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tmexico-my.sharepoint.com/personal/a_velazquezm_traxion_global/Documents/Escritorio/"/>
    </mc:Choice>
  </mc:AlternateContent>
  <xr:revisionPtr revIDLastSave="200" documentId="13_ncr:1_{2B9FFF1C-7C32-441E-BD7D-59DF39560586}" xr6:coauthVersionLast="47" xr6:coauthVersionMax="47" xr10:uidLastSave="{B927924B-03C7-45EA-B071-208045C2C7B5}"/>
  <bookViews>
    <workbookView xWindow="-120" yWindow="-120" windowWidth="51840" windowHeight="21120" activeTab="2" xr2:uid="{C5C586CD-D459-4D03-888E-6CCE9CC84C43}"/>
  </bookViews>
  <sheets>
    <sheet name="VIAJES" sheetId="5" r:id="rId1"/>
    <sheet name="EVENTOS" sheetId="4" r:id="rId2"/>
    <sheet name="SCORE" sheetId="1" r:id="rId3"/>
  </sheets>
  <definedNames>
    <definedName name="_xlnm._FilterDatabase" localSheetId="1" hidden="1">EVENTOS!$B$2:$F$6500</definedName>
    <definedName name="_xlnm._FilterDatabase" localSheetId="2" hidden="1">SCORE!$S$1:$AG$1300</definedName>
    <definedName name="_xlnm._FilterDatabase" localSheetId="0" hidden="1">VIAJES!$A$2:$H$443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" i="1" l="1"/>
  <c r="AI10" i="1"/>
  <c r="E131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Y237" i="1"/>
  <c r="Z237" i="1"/>
  <c r="AA237" i="1"/>
  <c r="Y381" i="1"/>
  <c r="Z381" i="1"/>
  <c r="AA381" i="1"/>
  <c r="Y444" i="1"/>
  <c r="Z444" i="1"/>
  <c r="AA444" i="1"/>
  <c r="Y445" i="1"/>
  <c r="Z445" i="1"/>
  <c r="AA445" i="1"/>
  <c r="Y446" i="1"/>
  <c r="Z446" i="1"/>
  <c r="AA446" i="1"/>
  <c r="Y447" i="1"/>
  <c r="Z447" i="1"/>
  <c r="AA447" i="1"/>
  <c r="Y448" i="1"/>
  <c r="Z448" i="1"/>
  <c r="AA448" i="1"/>
  <c r="Y449" i="1"/>
  <c r="Z449" i="1"/>
  <c r="AA449" i="1"/>
  <c r="Y450" i="1"/>
  <c r="Z450" i="1"/>
  <c r="AA450" i="1"/>
  <c r="Y451" i="1"/>
  <c r="Z451" i="1"/>
  <c r="AA451" i="1"/>
  <c r="Y452" i="1"/>
  <c r="Z452" i="1"/>
  <c r="AA452" i="1"/>
  <c r="Y453" i="1"/>
  <c r="Z453" i="1"/>
  <c r="AA453" i="1"/>
  <c r="Y454" i="1"/>
  <c r="Z454" i="1"/>
  <c r="AA454" i="1"/>
  <c r="Y455" i="1"/>
  <c r="Z455" i="1"/>
  <c r="AA455" i="1"/>
  <c r="Y456" i="1"/>
  <c r="Z456" i="1"/>
  <c r="AA456" i="1"/>
  <c r="Y457" i="1"/>
  <c r="Z457" i="1"/>
  <c r="AA457" i="1"/>
  <c r="Y458" i="1"/>
  <c r="Z458" i="1"/>
  <c r="AA458" i="1"/>
  <c r="Y459" i="1"/>
  <c r="Z459" i="1"/>
  <c r="AA459" i="1"/>
  <c r="Y460" i="1"/>
  <c r="Z460" i="1"/>
  <c r="AA460" i="1"/>
  <c r="Y461" i="1"/>
  <c r="Z461" i="1"/>
  <c r="AA461" i="1"/>
  <c r="Y462" i="1"/>
  <c r="Z462" i="1"/>
  <c r="AA462" i="1"/>
  <c r="Y463" i="1"/>
  <c r="Z463" i="1"/>
  <c r="AA463" i="1"/>
  <c r="Y464" i="1"/>
  <c r="Z464" i="1"/>
  <c r="AA464" i="1"/>
  <c r="Y465" i="1"/>
  <c r="Z465" i="1"/>
  <c r="AA465" i="1"/>
  <c r="Y466" i="1"/>
  <c r="Z466" i="1"/>
  <c r="AA466" i="1"/>
  <c r="Y467" i="1"/>
  <c r="Z467" i="1"/>
  <c r="AA467" i="1"/>
  <c r="Y468" i="1"/>
  <c r="Z468" i="1"/>
  <c r="AA468" i="1"/>
  <c r="Y469" i="1"/>
  <c r="Z469" i="1"/>
  <c r="AA469" i="1"/>
  <c r="Y470" i="1"/>
  <c r="Z470" i="1"/>
  <c r="AA470" i="1"/>
  <c r="Y471" i="1"/>
  <c r="Z471" i="1"/>
  <c r="AA471" i="1"/>
  <c r="Y472" i="1"/>
  <c r="Z472" i="1"/>
  <c r="AA472" i="1"/>
  <c r="Y473" i="1"/>
  <c r="Z473" i="1"/>
  <c r="AA473" i="1"/>
  <c r="Y474" i="1"/>
  <c r="Z474" i="1"/>
  <c r="AA474" i="1"/>
  <c r="Y475" i="1"/>
  <c r="Z475" i="1"/>
  <c r="AA475" i="1"/>
  <c r="Y476" i="1"/>
  <c r="Z476" i="1"/>
  <c r="AA476" i="1"/>
  <c r="Y477" i="1"/>
  <c r="Z477" i="1"/>
  <c r="AA477" i="1"/>
  <c r="Y478" i="1"/>
  <c r="Z478" i="1"/>
  <c r="AA478" i="1"/>
  <c r="Y479" i="1"/>
  <c r="Z479" i="1"/>
  <c r="AA479" i="1"/>
  <c r="Y480" i="1"/>
  <c r="Z480" i="1"/>
  <c r="AA480" i="1"/>
  <c r="Y481" i="1"/>
  <c r="Z481" i="1"/>
  <c r="AA481" i="1"/>
  <c r="Y482" i="1"/>
  <c r="Z482" i="1"/>
  <c r="AA482" i="1"/>
  <c r="Y483" i="1"/>
  <c r="Z483" i="1"/>
  <c r="AA483" i="1"/>
  <c r="Y484" i="1"/>
  <c r="Z484" i="1"/>
  <c r="AA484" i="1"/>
  <c r="Y485" i="1"/>
  <c r="Z485" i="1"/>
  <c r="AA485" i="1"/>
  <c r="Y486" i="1"/>
  <c r="Z486" i="1"/>
  <c r="AA486" i="1"/>
  <c r="Y487" i="1"/>
  <c r="Z487" i="1"/>
  <c r="AA487" i="1"/>
  <c r="Y488" i="1"/>
  <c r="Z488" i="1"/>
  <c r="AA488" i="1"/>
  <c r="Y489" i="1"/>
  <c r="Z489" i="1"/>
  <c r="AA489" i="1"/>
  <c r="Y490" i="1"/>
  <c r="Z490" i="1"/>
  <c r="AA490" i="1"/>
  <c r="Y491" i="1"/>
  <c r="Z491" i="1"/>
  <c r="AA491" i="1"/>
  <c r="Y492" i="1"/>
  <c r="Z492" i="1"/>
  <c r="AA492" i="1"/>
  <c r="Y493" i="1"/>
  <c r="Z493" i="1"/>
  <c r="AA493" i="1"/>
  <c r="Y494" i="1"/>
  <c r="Z494" i="1"/>
  <c r="AA494" i="1"/>
  <c r="Y495" i="1"/>
  <c r="Z495" i="1"/>
  <c r="AA495" i="1"/>
  <c r="Y496" i="1"/>
  <c r="Z496" i="1"/>
  <c r="AA496" i="1"/>
  <c r="Y497" i="1"/>
  <c r="Z497" i="1"/>
  <c r="AA497" i="1"/>
  <c r="Y498" i="1"/>
  <c r="Z498" i="1"/>
  <c r="AA498" i="1"/>
  <c r="Y499" i="1"/>
  <c r="Z499" i="1"/>
  <c r="AA499" i="1"/>
  <c r="Y500" i="1"/>
  <c r="Z500" i="1"/>
  <c r="AA500" i="1"/>
  <c r="Y501" i="1"/>
  <c r="Z501" i="1"/>
  <c r="AA501" i="1"/>
  <c r="Y502" i="1"/>
  <c r="Z502" i="1"/>
  <c r="AA502" i="1"/>
  <c r="Y503" i="1"/>
  <c r="Z503" i="1"/>
  <c r="AA503" i="1"/>
  <c r="Y504" i="1"/>
  <c r="Z504" i="1"/>
  <c r="AA504" i="1"/>
  <c r="Y505" i="1"/>
  <c r="Z505" i="1"/>
  <c r="AA505" i="1"/>
  <c r="Y506" i="1"/>
  <c r="Z506" i="1"/>
  <c r="AA506" i="1"/>
  <c r="Y507" i="1"/>
  <c r="Z507" i="1"/>
  <c r="AA507" i="1"/>
  <c r="Y508" i="1"/>
  <c r="Z508" i="1"/>
  <c r="AA508" i="1"/>
  <c r="Y509" i="1"/>
  <c r="Z509" i="1"/>
  <c r="AA509" i="1"/>
  <c r="Y510" i="1"/>
  <c r="Z510" i="1"/>
  <c r="AA510" i="1"/>
  <c r="Y511" i="1"/>
  <c r="Z511" i="1"/>
  <c r="AA511" i="1"/>
  <c r="Y512" i="1"/>
  <c r="Z512" i="1"/>
  <c r="AA512" i="1"/>
  <c r="Y513" i="1"/>
  <c r="Z513" i="1"/>
  <c r="AA513" i="1"/>
  <c r="Y514" i="1"/>
  <c r="Z514" i="1"/>
  <c r="AA514" i="1"/>
  <c r="Y515" i="1"/>
  <c r="Z515" i="1"/>
  <c r="AA515" i="1"/>
  <c r="Y516" i="1"/>
  <c r="Z516" i="1"/>
  <c r="AA516" i="1"/>
  <c r="Y517" i="1"/>
  <c r="Z517" i="1"/>
  <c r="AA517" i="1"/>
  <c r="Y518" i="1"/>
  <c r="Z518" i="1"/>
  <c r="AA518" i="1"/>
  <c r="Y519" i="1"/>
  <c r="Z519" i="1"/>
  <c r="AA519" i="1"/>
  <c r="Y520" i="1"/>
  <c r="Z520" i="1"/>
  <c r="AA520" i="1"/>
  <c r="Y521" i="1"/>
  <c r="Z521" i="1"/>
  <c r="AA521" i="1"/>
  <c r="Y522" i="1"/>
  <c r="Z522" i="1"/>
  <c r="AA522" i="1"/>
  <c r="Y523" i="1"/>
  <c r="Z523" i="1"/>
  <c r="AA523" i="1"/>
  <c r="Y524" i="1"/>
  <c r="Z524" i="1"/>
  <c r="AA524" i="1"/>
  <c r="Y525" i="1"/>
  <c r="Z525" i="1"/>
  <c r="AA525" i="1"/>
  <c r="Y526" i="1"/>
  <c r="Z526" i="1"/>
  <c r="AA526" i="1"/>
  <c r="Y527" i="1"/>
  <c r="Z527" i="1"/>
  <c r="AA527" i="1"/>
  <c r="Y528" i="1"/>
  <c r="Z528" i="1"/>
  <c r="AA528" i="1"/>
  <c r="Y529" i="1"/>
  <c r="Z529" i="1"/>
  <c r="AA529" i="1"/>
  <c r="Y530" i="1"/>
  <c r="Z530" i="1"/>
  <c r="AA530" i="1"/>
  <c r="Y531" i="1"/>
  <c r="Z531" i="1"/>
  <c r="AA531" i="1"/>
  <c r="Y532" i="1"/>
  <c r="Z532" i="1"/>
  <c r="AA532" i="1"/>
  <c r="Y533" i="1"/>
  <c r="Z533" i="1"/>
  <c r="AA533" i="1"/>
  <c r="Y534" i="1"/>
  <c r="Z534" i="1"/>
  <c r="AA534" i="1"/>
  <c r="Y535" i="1"/>
  <c r="Z535" i="1"/>
  <c r="AA535" i="1"/>
  <c r="Y536" i="1"/>
  <c r="Z536" i="1"/>
  <c r="AA536" i="1"/>
  <c r="Y537" i="1"/>
  <c r="Z537" i="1"/>
  <c r="AA537" i="1"/>
  <c r="Y538" i="1"/>
  <c r="Z538" i="1"/>
  <c r="AA538" i="1"/>
  <c r="Y539" i="1"/>
  <c r="Z539" i="1"/>
  <c r="AA539" i="1"/>
  <c r="Y540" i="1"/>
  <c r="Z540" i="1"/>
  <c r="AA540" i="1"/>
  <c r="Y541" i="1"/>
  <c r="Z541" i="1"/>
  <c r="AA541" i="1"/>
  <c r="Y542" i="1"/>
  <c r="Z542" i="1"/>
  <c r="AA542" i="1"/>
  <c r="Y543" i="1"/>
  <c r="Z543" i="1"/>
  <c r="AA543" i="1"/>
  <c r="Y544" i="1"/>
  <c r="Z544" i="1"/>
  <c r="AA544" i="1"/>
  <c r="Y545" i="1"/>
  <c r="Z545" i="1"/>
  <c r="AA545" i="1"/>
  <c r="Y546" i="1"/>
  <c r="Z546" i="1"/>
  <c r="AA546" i="1"/>
  <c r="Y547" i="1"/>
  <c r="Z547" i="1"/>
  <c r="AA547" i="1"/>
  <c r="Y548" i="1"/>
  <c r="Z548" i="1"/>
  <c r="AA548" i="1"/>
  <c r="Y549" i="1"/>
  <c r="Z549" i="1"/>
  <c r="AA549" i="1"/>
  <c r="Y550" i="1"/>
  <c r="Z550" i="1"/>
  <c r="AA550" i="1"/>
  <c r="Y551" i="1"/>
  <c r="Z551" i="1"/>
  <c r="AA551" i="1"/>
  <c r="Y552" i="1"/>
  <c r="Z552" i="1"/>
  <c r="AA552" i="1"/>
  <c r="Y553" i="1"/>
  <c r="Z553" i="1"/>
  <c r="AA553" i="1"/>
  <c r="Y554" i="1"/>
  <c r="Z554" i="1"/>
  <c r="AA554" i="1"/>
  <c r="Y555" i="1"/>
  <c r="Z555" i="1"/>
  <c r="AA555" i="1"/>
  <c r="Y556" i="1"/>
  <c r="Z556" i="1"/>
  <c r="AA556" i="1"/>
  <c r="Y557" i="1"/>
  <c r="Z557" i="1"/>
  <c r="AA557" i="1"/>
  <c r="Y558" i="1"/>
  <c r="Z558" i="1"/>
  <c r="AA558" i="1"/>
  <c r="Y559" i="1"/>
  <c r="Z559" i="1"/>
  <c r="AA559" i="1"/>
  <c r="Y560" i="1"/>
  <c r="Z560" i="1"/>
  <c r="AA560" i="1"/>
  <c r="Y561" i="1"/>
  <c r="Z561" i="1"/>
  <c r="AA561" i="1"/>
  <c r="Y562" i="1"/>
  <c r="Z562" i="1"/>
  <c r="AA562" i="1"/>
  <c r="Y563" i="1"/>
  <c r="Z563" i="1"/>
  <c r="AA563" i="1"/>
  <c r="Y564" i="1"/>
  <c r="Z564" i="1"/>
  <c r="AA564" i="1"/>
  <c r="Y565" i="1"/>
  <c r="Z565" i="1"/>
  <c r="AA565" i="1"/>
  <c r="Y566" i="1"/>
  <c r="Z566" i="1"/>
  <c r="AA566" i="1"/>
  <c r="Y567" i="1"/>
  <c r="Z567" i="1"/>
  <c r="AA567" i="1"/>
  <c r="Y568" i="1"/>
  <c r="Z568" i="1"/>
  <c r="AA568" i="1"/>
  <c r="Y569" i="1"/>
  <c r="Z569" i="1"/>
  <c r="AA569" i="1"/>
  <c r="Y570" i="1"/>
  <c r="Z570" i="1"/>
  <c r="AA570" i="1"/>
  <c r="Y571" i="1"/>
  <c r="Z571" i="1"/>
  <c r="AA571" i="1"/>
  <c r="Y572" i="1"/>
  <c r="Z572" i="1"/>
  <c r="AA572" i="1"/>
  <c r="Y573" i="1"/>
  <c r="Z573" i="1"/>
  <c r="AA573" i="1"/>
  <c r="Y574" i="1"/>
  <c r="Z574" i="1"/>
  <c r="AA574" i="1"/>
  <c r="Y575" i="1"/>
  <c r="Z575" i="1"/>
  <c r="AA575" i="1"/>
  <c r="Y576" i="1"/>
  <c r="Z576" i="1"/>
  <c r="AA576" i="1"/>
  <c r="Y577" i="1"/>
  <c r="Z577" i="1"/>
  <c r="AA577" i="1"/>
  <c r="Y578" i="1"/>
  <c r="Z578" i="1"/>
  <c r="AA578" i="1"/>
  <c r="Y579" i="1"/>
  <c r="Z579" i="1"/>
  <c r="AA579" i="1"/>
  <c r="Y580" i="1"/>
  <c r="Z580" i="1"/>
  <c r="AA580" i="1"/>
  <c r="Y581" i="1"/>
  <c r="Z581" i="1"/>
  <c r="AA581" i="1"/>
  <c r="Y582" i="1"/>
  <c r="Z582" i="1"/>
  <c r="AA582" i="1"/>
  <c r="Y583" i="1"/>
  <c r="Z583" i="1"/>
  <c r="AA583" i="1"/>
  <c r="Y584" i="1"/>
  <c r="Z584" i="1"/>
  <c r="AA584" i="1"/>
  <c r="Y585" i="1"/>
  <c r="Z585" i="1"/>
  <c r="AA585" i="1"/>
  <c r="Y586" i="1"/>
  <c r="Z586" i="1"/>
  <c r="AA586" i="1"/>
  <c r="Y587" i="1"/>
  <c r="Z587" i="1"/>
  <c r="AA587" i="1"/>
  <c r="Y588" i="1"/>
  <c r="Z588" i="1"/>
  <c r="AA588" i="1"/>
  <c r="Y589" i="1"/>
  <c r="Z589" i="1"/>
  <c r="AA589" i="1"/>
  <c r="Y590" i="1"/>
  <c r="Z590" i="1"/>
  <c r="AA590" i="1"/>
  <c r="Y591" i="1"/>
  <c r="Z591" i="1"/>
  <c r="AA591" i="1"/>
  <c r="Y592" i="1"/>
  <c r="Z592" i="1"/>
  <c r="AA592" i="1"/>
  <c r="Y593" i="1"/>
  <c r="Z593" i="1"/>
  <c r="AA593" i="1"/>
  <c r="Y594" i="1"/>
  <c r="Z594" i="1"/>
  <c r="AA594" i="1"/>
  <c r="Y595" i="1"/>
  <c r="Z595" i="1"/>
  <c r="AA595" i="1"/>
  <c r="Y596" i="1"/>
  <c r="Z596" i="1"/>
  <c r="AA596" i="1"/>
  <c r="Y597" i="1"/>
  <c r="Z597" i="1"/>
  <c r="AA597" i="1"/>
  <c r="Y598" i="1"/>
  <c r="Z598" i="1"/>
  <c r="AA598" i="1"/>
  <c r="Y599" i="1"/>
  <c r="Z599" i="1"/>
  <c r="AA599" i="1"/>
  <c r="Y600" i="1"/>
  <c r="Z600" i="1"/>
  <c r="AA600" i="1"/>
  <c r="Y601" i="1"/>
  <c r="Z601" i="1"/>
  <c r="AA601" i="1"/>
  <c r="Y602" i="1"/>
  <c r="Z602" i="1"/>
  <c r="AA602" i="1"/>
  <c r="Y603" i="1"/>
  <c r="Z603" i="1"/>
  <c r="AA603" i="1"/>
  <c r="Y604" i="1"/>
  <c r="Z604" i="1"/>
  <c r="AA604" i="1"/>
  <c r="Y605" i="1"/>
  <c r="Z605" i="1"/>
  <c r="AA605" i="1"/>
  <c r="Y606" i="1"/>
  <c r="Z606" i="1"/>
  <c r="AA606" i="1"/>
  <c r="Y607" i="1"/>
  <c r="Z607" i="1"/>
  <c r="AA607" i="1"/>
  <c r="Y608" i="1"/>
  <c r="Z608" i="1"/>
  <c r="AA608" i="1"/>
  <c r="Y609" i="1"/>
  <c r="Z609" i="1"/>
  <c r="AA609" i="1"/>
  <c r="Y610" i="1"/>
  <c r="Z610" i="1"/>
  <c r="AA610" i="1"/>
  <c r="Y611" i="1"/>
  <c r="Z611" i="1"/>
  <c r="AA611" i="1"/>
  <c r="Y612" i="1"/>
  <c r="Z612" i="1"/>
  <c r="AA612" i="1"/>
  <c r="Y613" i="1"/>
  <c r="Z613" i="1"/>
  <c r="AA613" i="1"/>
  <c r="Y614" i="1"/>
  <c r="Z614" i="1"/>
  <c r="AA614" i="1"/>
  <c r="Y615" i="1"/>
  <c r="Z615" i="1"/>
  <c r="AA615" i="1"/>
  <c r="Y616" i="1"/>
  <c r="Z616" i="1"/>
  <c r="AA616" i="1"/>
  <c r="Y617" i="1"/>
  <c r="Z617" i="1"/>
  <c r="AA617" i="1"/>
  <c r="Y618" i="1"/>
  <c r="Z618" i="1"/>
  <c r="AA618" i="1"/>
  <c r="Y619" i="1"/>
  <c r="Z619" i="1"/>
  <c r="AA619" i="1"/>
  <c r="Y620" i="1"/>
  <c r="Z620" i="1"/>
  <c r="AA620" i="1"/>
  <c r="Y621" i="1"/>
  <c r="Z621" i="1"/>
  <c r="AA621" i="1"/>
  <c r="Y622" i="1"/>
  <c r="Z622" i="1"/>
  <c r="AA622" i="1"/>
  <c r="Y623" i="1"/>
  <c r="Z623" i="1"/>
  <c r="AA623" i="1"/>
  <c r="Y624" i="1"/>
  <c r="Z624" i="1"/>
  <c r="AA624" i="1"/>
  <c r="Y625" i="1"/>
  <c r="Z625" i="1"/>
  <c r="AA625" i="1"/>
  <c r="Y626" i="1"/>
  <c r="Z626" i="1"/>
  <c r="AA626" i="1"/>
  <c r="Y627" i="1"/>
  <c r="Z627" i="1"/>
  <c r="AA627" i="1"/>
  <c r="Y628" i="1"/>
  <c r="Z628" i="1"/>
  <c r="AA628" i="1"/>
  <c r="Y629" i="1"/>
  <c r="Z629" i="1"/>
  <c r="AA629" i="1"/>
  <c r="Y630" i="1"/>
  <c r="Z630" i="1"/>
  <c r="AA630" i="1"/>
  <c r="Y631" i="1"/>
  <c r="Z631" i="1"/>
  <c r="AA631" i="1"/>
  <c r="Y632" i="1"/>
  <c r="Z632" i="1"/>
  <c r="AA632" i="1"/>
  <c r="Y633" i="1"/>
  <c r="Z633" i="1"/>
  <c r="AA633" i="1"/>
  <c r="Y634" i="1"/>
  <c r="Z634" i="1"/>
  <c r="AA634" i="1"/>
  <c r="Y635" i="1"/>
  <c r="Z635" i="1"/>
  <c r="AA635" i="1"/>
  <c r="Y636" i="1"/>
  <c r="Z636" i="1"/>
  <c r="AA636" i="1"/>
  <c r="Y637" i="1"/>
  <c r="Z637" i="1"/>
  <c r="AA637" i="1"/>
  <c r="Y638" i="1"/>
  <c r="Z638" i="1"/>
  <c r="AA638" i="1"/>
  <c r="Y639" i="1"/>
  <c r="Z639" i="1"/>
  <c r="AA639" i="1"/>
  <c r="Y640" i="1"/>
  <c r="Z640" i="1"/>
  <c r="AA640" i="1"/>
  <c r="Y641" i="1"/>
  <c r="Z641" i="1"/>
  <c r="AA641" i="1"/>
  <c r="Y642" i="1"/>
  <c r="Z642" i="1"/>
  <c r="AA642" i="1"/>
  <c r="Y643" i="1"/>
  <c r="Z643" i="1"/>
  <c r="AA643" i="1"/>
  <c r="Y644" i="1"/>
  <c r="Z644" i="1"/>
  <c r="AA644" i="1"/>
  <c r="Y645" i="1"/>
  <c r="Z645" i="1"/>
  <c r="AA645" i="1"/>
  <c r="Y646" i="1"/>
  <c r="Z646" i="1"/>
  <c r="AA646" i="1"/>
  <c r="Y647" i="1"/>
  <c r="Z647" i="1"/>
  <c r="AA647" i="1"/>
  <c r="Y648" i="1"/>
  <c r="Z648" i="1"/>
  <c r="AA648" i="1"/>
  <c r="Y649" i="1"/>
  <c r="Z649" i="1"/>
  <c r="AA649" i="1"/>
  <c r="Y650" i="1"/>
  <c r="Z650" i="1"/>
  <c r="AA650" i="1"/>
  <c r="Y651" i="1"/>
  <c r="Z651" i="1"/>
  <c r="AA651" i="1"/>
  <c r="Y652" i="1"/>
  <c r="Z652" i="1"/>
  <c r="AA652" i="1"/>
  <c r="Y653" i="1"/>
  <c r="Z653" i="1"/>
  <c r="AA653" i="1"/>
  <c r="Y654" i="1"/>
  <c r="Z654" i="1"/>
  <c r="AA654" i="1"/>
  <c r="Y655" i="1"/>
  <c r="Z655" i="1"/>
  <c r="AA655" i="1"/>
  <c r="Y656" i="1"/>
  <c r="Z656" i="1"/>
  <c r="AA656" i="1"/>
  <c r="Y657" i="1"/>
  <c r="Z657" i="1"/>
  <c r="AA657" i="1"/>
  <c r="Y658" i="1"/>
  <c r="Z658" i="1"/>
  <c r="AA658" i="1"/>
  <c r="Y659" i="1"/>
  <c r="Z659" i="1"/>
  <c r="AA659" i="1"/>
  <c r="Y660" i="1"/>
  <c r="Z660" i="1"/>
  <c r="AA660" i="1"/>
  <c r="Y661" i="1"/>
  <c r="Z661" i="1"/>
  <c r="AA661" i="1"/>
  <c r="Y662" i="1"/>
  <c r="Z662" i="1"/>
  <c r="AA662" i="1"/>
  <c r="Y663" i="1"/>
  <c r="Z663" i="1"/>
  <c r="AA663" i="1"/>
  <c r="Y664" i="1"/>
  <c r="Z664" i="1"/>
  <c r="AA664" i="1"/>
  <c r="Y665" i="1"/>
  <c r="Z665" i="1"/>
  <c r="AA665" i="1"/>
  <c r="Y666" i="1"/>
  <c r="Z666" i="1"/>
  <c r="AA666" i="1"/>
  <c r="Y667" i="1"/>
  <c r="Z667" i="1"/>
  <c r="AA667" i="1"/>
  <c r="Y668" i="1"/>
  <c r="Z668" i="1"/>
  <c r="AA668" i="1"/>
  <c r="Y669" i="1"/>
  <c r="Z669" i="1"/>
  <c r="AA669" i="1"/>
  <c r="Y670" i="1"/>
  <c r="Z670" i="1"/>
  <c r="AA670" i="1"/>
  <c r="Y671" i="1"/>
  <c r="Z671" i="1"/>
  <c r="AA671" i="1"/>
  <c r="Y672" i="1"/>
  <c r="Z672" i="1"/>
  <c r="AA672" i="1"/>
  <c r="Y673" i="1"/>
  <c r="Z673" i="1"/>
  <c r="AA673" i="1"/>
  <c r="Y674" i="1"/>
  <c r="Z674" i="1"/>
  <c r="AA674" i="1"/>
  <c r="Y675" i="1"/>
  <c r="Z675" i="1"/>
  <c r="AA675" i="1"/>
  <c r="Y676" i="1"/>
  <c r="Z676" i="1"/>
  <c r="AA676" i="1"/>
  <c r="Y677" i="1"/>
  <c r="Z677" i="1"/>
  <c r="AA677" i="1"/>
  <c r="Y678" i="1"/>
  <c r="Z678" i="1"/>
  <c r="AA678" i="1"/>
  <c r="Y679" i="1"/>
  <c r="Z679" i="1"/>
  <c r="AA679" i="1"/>
  <c r="Y680" i="1"/>
  <c r="Z680" i="1"/>
  <c r="AA680" i="1"/>
  <c r="Y681" i="1"/>
  <c r="Z681" i="1"/>
  <c r="AA681" i="1"/>
  <c r="Y682" i="1"/>
  <c r="Z682" i="1"/>
  <c r="AA682" i="1"/>
  <c r="Y683" i="1"/>
  <c r="Z683" i="1"/>
  <c r="AA683" i="1"/>
  <c r="Y684" i="1"/>
  <c r="Z684" i="1"/>
  <c r="AA684" i="1"/>
  <c r="Y685" i="1"/>
  <c r="Z685" i="1"/>
  <c r="AA685" i="1"/>
  <c r="Y686" i="1"/>
  <c r="Z686" i="1"/>
  <c r="AA686" i="1"/>
  <c r="Y687" i="1"/>
  <c r="Z687" i="1"/>
  <c r="AA687" i="1"/>
  <c r="Y688" i="1"/>
  <c r="Z688" i="1"/>
  <c r="AA688" i="1"/>
  <c r="Y689" i="1"/>
  <c r="Z689" i="1"/>
  <c r="AA689" i="1"/>
  <c r="Y690" i="1"/>
  <c r="Z690" i="1"/>
  <c r="AA690" i="1"/>
  <c r="Y691" i="1"/>
  <c r="Z691" i="1"/>
  <c r="AA691" i="1"/>
  <c r="Y692" i="1"/>
  <c r="Z692" i="1"/>
  <c r="AA692" i="1"/>
  <c r="Y693" i="1"/>
  <c r="Z693" i="1"/>
  <c r="AA693" i="1"/>
  <c r="Y694" i="1"/>
  <c r="Z694" i="1"/>
  <c r="AA694" i="1"/>
  <c r="Y695" i="1"/>
  <c r="Z695" i="1"/>
  <c r="AA695" i="1"/>
  <c r="Y696" i="1"/>
  <c r="Z696" i="1"/>
  <c r="AA696" i="1"/>
  <c r="Y697" i="1"/>
  <c r="Z697" i="1"/>
  <c r="AA697" i="1"/>
  <c r="Y698" i="1"/>
  <c r="Z698" i="1"/>
  <c r="AA698" i="1"/>
  <c r="Y699" i="1"/>
  <c r="Z699" i="1"/>
  <c r="AA699" i="1"/>
  <c r="Y700" i="1"/>
  <c r="Z700" i="1"/>
  <c r="AA700" i="1"/>
  <c r="Y701" i="1"/>
  <c r="Z701" i="1"/>
  <c r="AA701" i="1"/>
  <c r="Y702" i="1"/>
  <c r="Z702" i="1"/>
  <c r="AA702" i="1"/>
  <c r="Y703" i="1"/>
  <c r="Z703" i="1"/>
  <c r="AA703" i="1"/>
  <c r="Y704" i="1"/>
  <c r="Z704" i="1"/>
  <c r="AA704" i="1"/>
  <c r="Y705" i="1"/>
  <c r="Z705" i="1"/>
  <c r="AA705" i="1"/>
  <c r="Y706" i="1"/>
  <c r="Z706" i="1"/>
  <c r="AA706" i="1"/>
  <c r="Y707" i="1"/>
  <c r="Z707" i="1"/>
  <c r="AA707" i="1"/>
  <c r="Y708" i="1"/>
  <c r="Z708" i="1"/>
  <c r="AA708" i="1"/>
  <c r="Y709" i="1"/>
  <c r="Z709" i="1"/>
  <c r="AA709" i="1"/>
  <c r="Y710" i="1"/>
  <c r="Z710" i="1"/>
  <c r="AA710" i="1"/>
  <c r="Y711" i="1"/>
  <c r="Z711" i="1"/>
  <c r="AA711" i="1"/>
  <c r="Y712" i="1"/>
  <c r="Z712" i="1"/>
  <c r="AA712" i="1"/>
  <c r="Y713" i="1"/>
  <c r="Z713" i="1"/>
  <c r="AA713" i="1"/>
  <c r="Y714" i="1"/>
  <c r="Z714" i="1"/>
  <c r="AA714" i="1"/>
  <c r="Y715" i="1"/>
  <c r="Z715" i="1"/>
  <c r="AA715" i="1"/>
  <c r="Y716" i="1"/>
  <c r="Z716" i="1"/>
  <c r="AA716" i="1"/>
  <c r="Y717" i="1"/>
  <c r="Z717" i="1"/>
  <c r="AA717" i="1"/>
  <c r="Y718" i="1"/>
  <c r="Z718" i="1"/>
  <c r="AA718" i="1"/>
  <c r="Y719" i="1"/>
  <c r="Z719" i="1"/>
  <c r="AA719" i="1"/>
  <c r="Y720" i="1"/>
  <c r="Z720" i="1"/>
  <c r="AA720" i="1"/>
  <c r="Y721" i="1"/>
  <c r="Z721" i="1"/>
  <c r="AA721" i="1"/>
  <c r="Y722" i="1"/>
  <c r="Z722" i="1"/>
  <c r="AA722" i="1"/>
  <c r="Y723" i="1"/>
  <c r="Z723" i="1"/>
  <c r="AA723" i="1"/>
  <c r="Y724" i="1"/>
  <c r="Z724" i="1"/>
  <c r="AA724" i="1"/>
  <c r="Y725" i="1"/>
  <c r="Z725" i="1"/>
  <c r="AA725" i="1"/>
  <c r="Y726" i="1"/>
  <c r="Z726" i="1"/>
  <c r="AA726" i="1"/>
  <c r="Y727" i="1"/>
  <c r="Z727" i="1"/>
  <c r="AA727" i="1"/>
  <c r="Y728" i="1"/>
  <c r="Z728" i="1"/>
  <c r="AA728" i="1"/>
  <c r="Y729" i="1"/>
  <c r="Z729" i="1"/>
  <c r="AA729" i="1"/>
  <c r="Y730" i="1"/>
  <c r="Z730" i="1"/>
  <c r="AA730" i="1"/>
  <c r="Y731" i="1"/>
  <c r="Z731" i="1"/>
  <c r="AA731" i="1"/>
  <c r="Y732" i="1"/>
  <c r="Z732" i="1"/>
  <c r="AA732" i="1"/>
  <c r="Y733" i="1"/>
  <c r="Z733" i="1"/>
  <c r="AA733" i="1"/>
  <c r="Y734" i="1"/>
  <c r="Z734" i="1"/>
  <c r="AA734" i="1"/>
  <c r="Y735" i="1"/>
  <c r="Z735" i="1"/>
  <c r="AA735" i="1"/>
  <c r="Y736" i="1"/>
  <c r="Z736" i="1"/>
  <c r="AA736" i="1"/>
  <c r="Y737" i="1"/>
  <c r="Z737" i="1"/>
  <c r="AA737" i="1"/>
  <c r="Y738" i="1"/>
  <c r="Z738" i="1"/>
  <c r="AA738" i="1"/>
  <c r="Y739" i="1"/>
  <c r="Z739" i="1"/>
  <c r="AA739" i="1"/>
  <c r="Y740" i="1"/>
  <c r="Z740" i="1"/>
  <c r="AA740" i="1"/>
  <c r="Y741" i="1"/>
  <c r="Z741" i="1"/>
  <c r="AA741" i="1"/>
  <c r="Y742" i="1"/>
  <c r="Z742" i="1"/>
  <c r="AA742" i="1"/>
  <c r="Y743" i="1"/>
  <c r="Z743" i="1"/>
  <c r="AA743" i="1"/>
  <c r="Y744" i="1"/>
  <c r="Z744" i="1"/>
  <c r="AA744" i="1"/>
  <c r="Y745" i="1"/>
  <c r="Z745" i="1"/>
  <c r="AA745" i="1"/>
  <c r="Y746" i="1"/>
  <c r="Z746" i="1"/>
  <c r="AA746" i="1"/>
  <c r="Y747" i="1"/>
  <c r="Z747" i="1"/>
  <c r="AA747" i="1"/>
  <c r="Y748" i="1"/>
  <c r="Z748" i="1"/>
  <c r="AA748" i="1"/>
  <c r="Y749" i="1"/>
  <c r="Z749" i="1"/>
  <c r="AA749" i="1"/>
  <c r="Y750" i="1"/>
  <c r="Z750" i="1"/>
  <c r="AA750" i="1"/>
  <c r="Y751" i="1"/>
  <c r="Z751" i="1"/>
  <c r="AA751" i="1"/>
  <c r="Y752" i="1"/>
  <c r="Z752" i="1"/>
  <c r="AA752" i="1"/>
  <c r="Y753" i="1"/>
  <c r="Z753" i="1"/>
  <c r="AA753" i="1"/>
  <c r="Y754" i="1"/>
  <c r="Z754" i="1"/>
  <c r="AA754" i="1"/>
  <c r="Y755" i="1"/>
  <c r="Z755" i="1"/>
  <c r="AA755" i="1"/>
  <c r="Y756" i="1"/>
  <c r="Z756" i="1"/>
  <c r="AA756" i="1"/>
  <c r="Y757" i="1"/>
  <c r="Z757" i="1"/>
  <c r="AA757" i="1"/>
  <c r="Y758" i="1"/>
  <c r="Z758" i="1"/>
  <c r="AA758" i="1"/>
  <c r="Y759" i="1"/>
  <c r="Z759" i="1"/>
  <c r="AA759" i="1"/>
  <c r="Y760" i="1"/>
  <c r="Z760" i="1"/>
  <c r="AA760" i="1"/>
  <c r="Y761" i="1"/>
  <c r="Z761" i="1"/>
  <c r="AA761" i="1"/>
  <c r="Y762" i="1"/>
  <c r="Z762" i="1"/>
  <c r="AA762" i="1"/>
  <c r="Y763" i="1"/>
  <c r="Z763" i="1"/>
  <c r="AA763" i="1"/>
  <c r="Y764" i="1"/>
  <c r="Z764" i="1"/>
  <c r="AA764" i="1"/>
  <c r="Y765" i="1"/>
  <c r="Z765" i="1"/>
  <c r="AA765" i="1"/>
  <c r="Y766" i="1"/>
  <c r="Z766" i="1"/>
  <c r="AA766" i="1"/>
  <c r="Y767" i="1"/>
  <c r="Z767" i="1"/>
  <c r="AA767" i="1"/>
  <c r="Y768" i="1"/>
  <c r="Z768" i="1"/>
  <c r="AA768" i="1"/>
  <c r="Y769" i="1"/>
  <c r="Z769" i="1"/>
  <c r="AA769" i="1"/>
  <c r="Y770" i="1"/>
  <c r="Z770" i="1"/>
  <c r="AA770" i="1"/>
  <c r="Y771" i="1"/>
  <c r="Z771" i="1"/>
  <c r="AA771" i="1"/>
  <c r="Y772" i="1"/>
  <c r="Z772" i="1"/>
  <c r="AA772" i="1"/>
  <c r="Y773" i="1"/>
  <c r="Z773" i="1"/>
  <c r="AA773" i="1"/>
  <c r="Y774" i="1"/>
  <c r="Z774" i="1"/>
  <c r="AA774" i="1"/>
  <c r="Y775" i="1"/>
  <c r="Z775" i="1"/>
  <c r="AA775" i="1"/>
  <c r="Y776" i="1"/>
  <c r="Z776" i="1"/>
  <c r="AA776" i="1"/>
  <c r="Y777" i="1"/>
  <c r="Z777" i="1"/>
  <c r="AA777" i="1"/>
  <c r="Y778" i="1"/>
  <c r="Z778" i="1"/>
  <c r="AA778" i="1"/>
  <c r="Y779" i="1"/>
  <c r="Z779" i="1"/>
  <c r="AA779" i="1"/>
  <c r="Y780" i="1"/>
  <c r="Z780" i="1"/>
  <c r="AA780" i="1"/>
  <c r="Y781" i="1"/>
  <c r="Z781" i="1"/>
  <c r="AA781" i="1"/>
  <c r="Y782" i="1"/>
  <c r="Z782" i="1"/>
  <c r="AA782" i="1"/>
  <c r="Y783" i="1"/>
  <c r="Z783" i="1"/>
  <c r="AA783" i="1"/>
  <c r="Y784" i="1"/>
  <c r="Z784" i="1"/>
  <c r="AA784" i="1"/>
  <c r="Y785" i="1"/>
  <c r="Z785" i="1"/>
  <c r="AA785" i="1"/>
  <c r="Y786" i="1"/>
  <c r="Z786" i="1"/>
  <c r="AA786" i="1"/>
  <c r="Y787" i="1"/>
  <c r="Z787" i="1"/>
  <c r="AA787" i="1"/>
  <c r="Y788" i="1"/>
  <c r="Z788" i="1"/>
  <c r="AA788" i="1"/>
  <c r="Y789" i="1"/>
  <c r="Z789" i="1"/>
  <c r="AA789" i="1"/>
  <c r="Y790" i="1"/>
  <c r="Z790" i="1"/>
  <c r="AA790" i="1"/>
  <c r="Y791" i="1"/>
  <c r="Z791" i="1"/>
  <c r="AA791" i="1"/>
  <c r="Y792" i="1"/>
  <c r="Z792" i="1"/>
  <c r="AA792" i="1"/>
  <c r="Y793" i="1"/>
  <c r="Z793" i="1"/>
  <c r="AA793" i="1"/>
  <c r="Y794" i="1"/>
  <c r="Z794" i="1"/>
  <c r="AA794" i="1"/>
  <c r="Y795" i="1"/>
  <c r="Z795" i="1"/>
  <c r="AA795" i="1"/>
  <c r="Y796" i="1"/>
  <c r="Z796" i="1"/>
  <c r="AA796" i="1"/>
  <c r="Y797" i="1"/>
  <c r="Z797" i="1"/>
  <c r="AA797" i="1"/>
  <c r="Y798" i="1"/>
  <c r="Z798" i="1"/>
  <c r="AA798" i="1"/>
  <c r="Y799" i="1"/>
  <c r="Z799" i="1"/>
  <c r="AA799" i="1"/>
  <c r="Y800" i="1"/>
  <c r="Z800" i="1"/>
  <c r="AA800" i="1"/>
  <c r="Y801" i="1"/>
  <c r="Z801" i="1"/>
  <c r="AA801" i="1"/>
  <c r="Y802" i="1"/>
  <c r="Z802" i="1"/>
  <c r="AA802" i="1"/>
  <c r="Y803" i="1"/>
  <c r="Z803" i="1"/>
  <c r="AA803" i="1"/>
  <c r="Y804" i="1"/>
  <c r="Z804" i="1"/>
  <c r="AA804" i="1"/>
  <c r="Y805" i="1"/>
  <c r="Z805" i="1"/>
  <c r="AA805" i="1"/>
  <c r="Y806" i="1"/>
  <c r="Z806" i="1"/>
  <c r="AA806" i="1"/>
  <c r="Y807" i="1"/>
  <c r="Z807" i="1"/>
  <c r="AA807" i="1"/>
  <c r="Y808" i="1"/>
  <c r="Z808" i="1"/>
  <c r="AA808" i="1"/>
  <c r="Y809" i="1"/>
  <c r="Z809" i="1"/>
  <c r="AA809" i="1"/>
  <c r="Y810" i="1"/>
  <c r="Z810" i="1"/>
  <c r="AA810" i="1"/>
  <c r="Y811" i="1"/>
  <c r="Z811" i="1"/>
  <c r="AA811" i="1"/>
  <c r="Y812" i="1"/>
  <c r="Z812" i="1"/>
  <c r="AA812" i="1"/>
  <c r="Y813" i="1"/>
  <c r="Z813" i="1"/>
  <c r="AA813" i="1"/>
  <c r="Y814" i="1"/>
  <c r="Z814" i="1"/>
  <c r="AA814" i="1"/>
  <c r="Y815" i="1"/>
  <c r="Z815" i="1"/>
  <c r="AA815" i="1"/>
  <c r="Y816" i="1"/>
  <c r="Z816" i="1"/>
  <c r="AA816" i="1"/>
  <c r="Y817" i="1"/>
  <c r="Z817" i="1"/>
  <c r="AA817" i="1"/>
  <c r="Y818" i="1"/>
  <c r="Z818" i="1"/>
  <c r="AA818" i="1"/>
  <c r="Y819" i="1"/>
  <c r="Z819" i="1"/>
  <c r="AA819" i="1"/>
  <c r="Y820" i="1"/>
  <c r="Z820" i="1"/>
  <c r="AA820" i="1"/>
  <c r="Y821" i="1"/>
  <c r="Z821" i="1"/>
  <c r="AA821" i="1"/>
  <c r="Y822" i="1"/>
  <c r="Z822" i="1"/>
  <c r="AA822" i="1"/>
  <c r="Y823" i="1"/>
  <c r="Z823" i="1"/>
  <c r="AA823" i="1"/>
  <c r="Y824" i="1"/>
  <c r="Z824" i="1"/>
  <c r="AA824" i="1"/>
  <c r="Y825" i="1"/>
  <c r="Z825" i="1"/>
  <c r="AA825" i="1"/>
  <c r="Y826" i="1"/>
  <c r="Z826" i="1"/>
  <c r="AA826" i="1"/>
  <c r="Y827" i="1"/>
  <c r="Z827" i="1"/>
  <c r="AA827" i="1"/>
  <c r="Y828" i="1"/>
  <c r="Z828" i="1"/>
  <c r="AA828" i="1"/>
  <c r="Y829" i="1"/>
  <c r="Z829" i="1"/>
  <c r="AA829" i="1"/>
  <c r="Y830" i="1"/>
  <c r="Z830" i="1"/>
  <c r="AA830" i="1"/>
  <c r="Y831" i="1"/>
  <c r="Z831" i="1"/>
  <c r="AA831" i="1"/>
  <c r="Y832" i="1"/>
  <c r="Z832" i="1"/>
  <c r="AA832" i="1"/>
  <c r="Y833" i="1"/>
  <c r="Z833" i="1"/>
  <c r="AA833" i="1"/>
  <c r="Y834" i="1"/>
  <c r="Z834" i="1"/>
  <c r="AA834" i="1"/>
  <c r="Y835" i="1"/>
  <c r="Z835" i="1"/>
  <c r="AA835" i="1"/>
  <c r="Y836" i="1"/>
  <c r="Z836" i="1"/>
  <c r="AA836" i="1"/>
  <c r="Y837" i="1"/>
  <c r="Z837" i="1"/>
  <c r="AA837" i="1"/>
  <c r="Y838" i="1"/>
  <c r="Z838" i="1"/>
  <c r="AA838" i="1"/>
  <c r="Y839" i="1"/>
  <c r="Z839" i="1"/>
  <c r="AA839" i="1"/>
  <c r="Y840" i="1"/>
  <c r="Z840" i="1"/>
  <c r="AA840" i="1"/>
  <c r="Y841" i="1"/>
  <c r="Z841" i="1"/>
  <c r="AA841" i="1"/>
  <c r="Y842" i="1"/>
  <c r="Z842" i="1"/>
  <c r="AA842" i="1"/>
  <c r="Y843" i="1"/>
  <c r="Z843" i="1"/>
  <c r="AA843" i="1"/>
  <c r="Y844" i="1"/>
  <c r="Z844" i="1"/>
  <c r="AA844" i="1"/>
  <c r="Y845" i="1"/>
  <c r="Z845" i="1"/>
  <c r="AA845" i="1"/>
  <c r="Y846" i="1"/>
  <c r="Z846" i="1"/>
  <c r="AA846" i="1"/>
  <c r="Y847" i="1"/>
  <c r="Z847" i="1"/>
  <c r="AA847" i="1"/>
  <c r="Y848" i="1"/>
  <c r="Z848" i="1"/>
  <c r="AA848" i="1"/>
  <c r="Y849" i="1"/>
  <c r="Z849" i="1"/>
  <c r="AA849" i="1"/>
  <c r="Y850" i="1"/>
  <c r="Z850" i="1"/>
  <c r="AA850" i="1"/>
  <c r="Y851" i="1"/>
  <c r="Z851" i="1"/>
  <c r="AA851" i="1"/>
  <c r="Y852" i="1"/>
  <c r="Z852" i="1"/>
  <c r="AA852" i="1"/>
  <c r="Y853" i="1"/>
  <c r="Z853" i="1"/>
  <c r="AA853" i="1"/>
  <c r="Y854" i="1"/>
  <c r="Z854" i="1"/>
  <c r="AA854" i="1"/>
  <c r="Y855" i="1"/>
  <c r="Z855" i="1"/>
  <c r="AA855" i="1"/>
  <c r="Y856" i="1"/>
  <c r="Z856" i="1"/>
  <c r="AA856" i="1"/>
  <c r="Y857" i="1"/>
  <c r="Z857" i="1"/>
  <c r="AA857" i="1"/>
  <c r="Y858" i="1"/>
  <c r="Z858" i="1"/>
  <c r="AA858" i="1"/>
  <c r="Y859" i="1"/>
  <c r="Z859" i="1"/>
  <c r="AA859" i="1"/>
  <c r="Y860" i="1"/>
  <c r="Z860" i="1"/>
  <c r="AA860" i="1"/>
  <c r="Y861" i="1"/>
  <c r="Z861" i="1"/>
  <c r="AA861" i="1"/>
  <c r="Y862" i="1"/>
  <c r="Z862" i="1"/>
  <c r="AA862" i="1"/>
  <c r="Y863" i="1"/>
  <c r="Z863" i="1"/>
  <c r="AA863" i="1"/>
  <c r="Y864" i="1"/>
  <c r="Z864" i="1"/>
  <c r="AA864" i="1"/>
  <c r="Y865" i="1"/>
  <c r="Z865" i="1"/>
  <c r="AA865" i="1"/>
  <c r="Y866" i="1"/>
  <c r="Z866" i="1"/>
  <c r="AA866" i="1"/>
  <c r="Y867" i="1"/>
  <c r="Z867" i="1"/>
  <c r="AA867" i="1"/>
  <c r="Y868" i="1"/>
  <c r="Z868" i="1"/>
  <c r="AA868" i="1"/>
  <c r="Y869" i="1"/>
  <c r="Z869" i="1"/>
  <c r="AA869" i="1"/>
  <c r="Y870" i="1"/>
  <c r="Z870" i="1"/>
  <c r="AA870" i="1"/>
  <c r="Y871" i="1"/>
  <c r="Z871" i="1"/>
  <c r="AA871" i="1"/>
  <c r="Y872" i="1"/>
  <c r="Z872" i="1"/>
  <c r="AA872" i="1"/>
  <c r="Y873" i="1"/>
  <c r="Z873" i="1"/>
  <c r="AA873" i="1"/>
  <c r="Y874" i="1"/>
  <c r="Z874" i="1"/>
  <c r="AA874" i="1"/>
  <c r="Y875" i="1"/>
  <c r="Z875" i="1"/>
  <c r="AA875" i="1"/>
  <c r="Y876" i="1"/>
  <c r="Z876" i="1"/>
  <c r="AA876" i="1"/>
  <c r="Y877" i="1"/>
  <c r="Z877" i="1"/>
  <c r="AA877" i="1"/>
  <c r="Y878" i="1"/>
  <c r="Z878" i="1"/>
  <c r="AA878" i="1"/>
  <c r="Y879" i="1"/>
  <c r="Z879" i="1"/>
  <c r="AA879" i="1"/>
  <c r="Y880" i="1"/>
  <c r="Z880" i="1"/>
  <c r="AA880" i="1"/>
  <c r="Y881" i="1"/>
  <c r="Z881" i="1"/>
  <c r="AA881" i="1"/>
  <c r="Y882" i="1"/>
  <c r="Z882" i="1"/>
  <c r="AA882" i="1"/>
  <c r="Y883" i="1"/>
  <c r="Z883" i="1"/>
  <c r="AA883" i="1"/>
  <c r="Y884" i="1"/>
  <c r="Z884" i="1"/>
  <c r="AA884" i="1"/>
  <c r="Y885" i="1"/>
  <c r="Z885" i="1"/>
  <c r="AA885" i="1"/>
  <c r="Y886" i="1"/>
  <c r="Z886" i="1"/>
  <c r="AA886" i="1"/>
  <c r="Y887" i="1"/>
  <c r="Z887" i="1"/>
  <c r="AA887" i="1"/>
  <c r="Y888" i="1"/>
  <c r="Z888" i="1"/>
  <c r="AA888" i="1"/>
  <c r="Y889" i="1"/>
  <c r="Z889" i="1"/>
  <c r="AA889" i="1"/>
  <c r="Y890" i="1"/>
  <c r="Z890" i="1"/>
  <c r="AA890" i="1"/>
  <c r="Y891" i="1"/>
  <c r="Z891" i="1"/>
  <c r="AA891" i="1"/>
  <c r="Y892" i="1"/>
  <c r="Z892" i="1"/>
  <c r="AA892" i="1"/>
  <c r="Y893" i="1"/>
  <c r="Z893" i="1"/>
  <c r="AA893" i="1"/>
  <c r="Y894" i="1"/>
  <c r="Z894" i="1"/>
  <c r="AA894" i="1"/>
  <c r="Y895" i="1"/>
  <c r="Z895" i="1"/>
  <c r="AA895" i="1"/>
  <c r="Y896" i="1"/>
  <c r="Z896" i="1"/>
  <c r="AA896" i="1"/>
  <c r="Y897" i="1"/>
  <c r="Z897" i="1"/>
  <c r="AA897" i="1"/>
  <c r="Y898" i="1"/>
  <c r="Z898" i="1"/>
  <c r="AA898" i="1"/>
  <c r="Y899" i="1"/>
  <c r="Z899" i="1"/>
  <c r="AA899" i="1"/>
  <c r="Y900" i="1"/>
  <c r="Z900" i="1"/>
  <c r="AA900" i="1"/>
  <c r="Y901" i="1"/>
  <c r="Z901" i="1"/>
  <c r="AA901" i="1"/>
  <c r="Y902" i="1"/>
  <c r="Z902" i="1"/>
  <c r="AA902" i="1"/>
  <c r="Y903" i="1"/>
  <c r="Z903" i="1"/>
  <c r="AA903" i="1"/>
  <c r="Y904" i="1"/>
  <c r="Z904" i="1"/>
  <c r="AA904" i="1"/>
  <c r="Y905" i="1"/>
  <c r="Z905" i="1"/>
  <c r="AA905" i="1"/>
  <c r="Y906" i="1"/>
  <c r="Z906" i="1"/>
  <c r="AA906" i="1"/>
  <c r="Y907" i="1"/>
  <c r="Z907" i="1"/>
  <c r="AA907" i="1"/>
  <c r="Y908" i="1"/>
  <c r="Z908" i="1"/>
  <c r="AA908" i="1"/>
  <c r="Y909" i="1"/>
  <c r="Z909" i="1"/>
  <c r="AA909" i="1"/>
  <c r="Y910" i="1"/>
  <c r="Z910" i="1"/>
  <c r="AA910" i="1"/>
  <c r="Y911" i="1"/>
  <c r="Z911" i="1"/>
  <c r="AA911" i="1"/>
  <c r="Y912" i="1"/>
  <c r="Z912" i="1"/>
  <c r="AA912" i="1"/>
  <c r="Y913" i="1"/>
  <c r="Z913" i="1"/>
  <c r="AA913" i="1"/>
  <c r="Y914" i="1"/>
  <c r="Z914" i="1"/>
  <c r="AA914" i="1"/>
  <c r="Y915" i="1"/>
  <c r="Z915" i="1"/>
  <c r="AA915" i="1"/>
  <c r="Y916" i="1"/>
  <c r="Z916" i="1"/>
  <c r="AA916" i="1"/>
  <c r="Y917" i="1"/>
  <c r="Z917" i="1"/>
  <c r="AA917" i="1"/>
  <c r="Y918" i="1"/>
  <c r="Z918" i="1"/>
  <c r="AA918" i="1"/>
  <c r="Y919" i="1"/>
  <c r="Z919" i="1"/>
  <c r="AA919" i="1"/>
  <c r="Y920" i="1"/>
  <c r="Z920" i="1"/>
  <c r="AA920" i="1"/>
  <c r="Y921" i="1"/>
  <c r="Z921" i="1"/>
  <c r="AA921" i="1"/>
  <c r="Y922" i="1"/>
  <c r="Z922" i="1"/>
  <c r="AA922" i="1"/>
  <c r="Y923" i="1"/>
  <c r="Z923" i="1"/>
  <c r="AA923" i="1"/>
  <c r="Y924" i="1"/>
  <c r="Z924" i="1"/>
  <c r="AA924" i="1"/>
  <c r="Y925" i="1"/>
  <c r="Z925" i="1"/>
  <c r="AA925" i="1"/>
  <c r="Y926" i="1"/>
  <c r="Z926" i="1"/>
  <c r="AA926" i="1"/>
  <c r="Y927" i="1"/>
  <c r="Z927" i="1"/>
  <c r="AA927" i="1"/>
  <c r="Y928" i="1"/>
  <c r="Z928" i="1"/>
  <c r="AA928" i="1"/>
  <c r="Y929" i="1"/>
  <c r="Z929" i="1"/>
  <c r="AA929" i="1"/>
  <c r="Y930" i="1"/>
  <c r="Z930" i="1"/>
  <c r="AA930" i="1"/>
  <c r="Y931" i="1"/>
  <c r="Z931" i="1"/>
  <c r="AA931" i="1"/>
  <c r="Y932" i="1"/>
  <c r="Z932" i="1"/>
  <c r="AA932" i="1"/>
  <c r="Y933" i="1"/>
  <c r="Z933" i="1"/>
  <c r="AA933" i="1"/>
  <c r="Y934" i="1"/>
  <c r="Z934" i="1"/>
  <c r="AA934" i="1"/>
  <c r="Y935" i="1"/>
  <c r="Z935" i="1"/>
  <c r="AA935" i="1"/>
  <c r="Y936" i="1"/>
  <c r="Z936" i="1"/>
  <c r="AA936" i="1"/>
  <c r="Y937" i="1"/>
  <c r="Z937" i="1"/>
  <c r="AA937" i="1"/>
  <c r="Y938" i="1"/>
  <c r="Z938" i="1"/>
  <c r="AA938" i="1"/>
  <c r="Y939" i="1"/>
  <c r="Z939" i="1"/>
  <c r="AA939" i="1"/>
  <c r="Y940" i="1"/>
  <c r="Z940" i="1"/>
  <c r="AA940" i="1"/>
  <c r="Y941" i="1"/>
  <c r="Z941" i="1"/>
  <c r="AA941" i="1"/>
  <c r="Y942" i="1"/>
  <c r="Z942" i="1"/>
  <c r="AA942" i="1"/>
  <c r="Y943" i="1"/>
  <c r="Z943" i="1"/>
  <c r="AA943" i="1"/>
  <c r="Y944" i="1"/>
  <c r="Z944" i="1"/>
  <c r="AA944" i="1"/>
  <c r="Y945" i="1"/>
  <c r="Z945" i="1"/>
  <c r="AA945" i="1"/>
  <c r="Y946" i="1"/>
  <c r="Z946" i="1"/>
  <c r="AA946" i="1"/>
  <c r="Y947" i="1"/>
  <c r="Z947" i="1"/>
  <c r="AA947" i="1"/>
  <c r="Y948" i="1"/>
  <c r="Z948" i="1"/>
  <c r="AA948" i="1"/>
  <c r="Y949" i="1"/>
  <c r="Z949" i="1"/>
  <c r="AA949" i="1"/>
  <c r="Y950" i="1"/>
  <c r="Z950" i="1"/>
  <c r="AA950" i="1"/>
  <c r="Y951" i="1"/>
  <c r="Z951" i="1"/>
  <c r="AA951" i="1"/>
  <c r="Y952" i="1"/>
  <c r="Z952" i="1"/>
  <c r="AA952" i="1"/>
  <c r="Y953" i="1"/>
  <c r="Z953" i="1"/>
  <c r="AA953" i="1"/>
  <c r="Y954" i="1"/>
  <c r="Z954" i="1"/>
  <c r="AA954" i="1"/>
  <c r="Y955" i="1"/>
  <c r="Z955" i="1"/>
  <c r="AA955" i="1"/>
  <c r="Y956" i="1"/>
  <c r="Z956" i="1"/>
  <c r="AA956" i="1"/>
  <c r="Y957" i="1"/>
  <c r="Z957" i="1"/>
  <c r="AA957" i="1"/>
  <c r="Y958" i="1"/>
  <c r="Z958" i="1"/>
  <c r="AA958" i="1"/>
  <c r="Y959" i="1"/>
  <c r="Z959" i="1"/>
  <c r="AA959" i="1"/>
  <c r="Y960" i="1"/>
  <c r="Z960" i="1"/>
  <c r="AA960" i="1"/>
  <c r="Y961" i="1"/>
  <c r="Z961" i="1"/>
  <c r="AA961" i="1"/>
  <c r="Y962" i="1"/>
  <c r="Z962" i="1"/>
  <c r="AA962" i="1"/>
  <c r="Y963" i="1"/>
  <c r="Z963" i="1"/>
  <c r="AA963" i="1"/>
  <c r="Y964" i="1"/>
  <c r="Z964" i="1"/>
  <c r="AA964" i="1"/>
  <c r="Y965" i="1"/>
  <c r="Z965" i="1"/>
  <c r="AA965" i="1"/>
  <c r="Y966" i="1"/>
  <c r="Z966" i="1"/>
  <c r="AA966" i="1"/>
  <c r="Y967" i="1"/>
  <c r="Z967" i="1"/>
  <c r="AA967" i="1"/>
  <c r="Y968" i="1"/>
  <c r="Z968" i="1"/>
  <c r="AA968" i="1"/>
  <c r="Y969" i="1"/>
  <c r="Z969" i="1"/>
  <c r="AA969" i="1"/>
  <c r="Y970" i="1"/>
  <c r="Z970" i="1"/>
  <c r="AA970" i="1"/>
  <c r="Y971" i="1"/>
  <c r="Z971" i="1"/>
  <c r="AA971" i="1"/>
  <c r="Y972" i="1"/>
  <c r="Z972" i="1"/>
  <c r="AA972" i="1"/>
  <c r="Y973" i="1"/>
  <c r="Z973" i="1"/>
  <c r="AA973" i="1"/>
  <c r="Y974" i="1"/>
  <c r="Z974" i="1"/>
  <c r="AA974" i="1"/>
  <c r="Y975" i="1"/>
  <c r="Z975" i="1"/>
  <c r="AA975" i="1"/>
  <c r="Y976" i="1"/>
  <c r="Z976" i="1"/>
  <c r="AA976" i="1"/>
  <c r="Y977" i="1"/>
  <c r="Z977" i="1"/>
  <c r="AA977" i="1"/>
  <c r="Y978" i="1"/>
  <c r="Z978" i="1"/>
  <c r="AA978" i="1"/>
  <c r="Y979" i="1"/>
  <c r="Z979" i="1"/>
  <c r="AA979" i="1"/>
  <c r="Y980" i="1"/>
  <c r="Z980" i="1"/>
  <c r="AA980" i="1"/>
  <c r="Y981" i="1"/>
  <c r="Z981" i="1"/>
  <c r="AA981" i="1"/>
  <c r="Y982" i="1"/>
  <c r="Z982" i="1"/>
  <c r="AA982" i="1"/>
  <c r="Y983" i="1"/>
  <c r="Z983" i="1"/>
  <c r="AA983" i="1"/>
  <c r="Y984" i="1"/>
  <c r="Z984" i="1"/>
  <c r="AA984" i="1"/>
  <c r="Y985" i="1"/>
  <c r="Z985" i="1"/>
  <c r="AA985" i="1"/>
  <c r="Y986" i="1"/>
  <c r="Z986" i="1"/>
  <c r="AA986" i="1"/>
  <c r="Y987" i="1"/>
  <c r="Z987" i="1"/>
  <c r="AA987" i="1"/>
  <c r="Y988" i="1"/>
  <c r="Z988" i="1"/>
  <c r="AA988" i="1"/>
  <c r="Y989" i="1"/>
  <c r="Z989" i="1"/>
  <c r="AA989" i="1"/>
  <c r="Y990" i="1"/>
  <c r="Z990" i="1"/>
  <c r="AA990" i="1"/>
  <c r="Y991" i="1"/>
  <c r="Z991" i="1"/>
  <c r="AA991" i="1"/>
  <c r="Y992" i="1"/>
  <c r="Z992" i="1"/>
  <c r="AA992" i="1"/>
  <c r="Y993" i="1"/>
  <c r="Z993" i="1"/>
  <c r="AA993" i="1"/>
  <c r="Y994" i="1"/>
  <c r="Z994" i="1"/>
  <c r="AA994" i="1"/>
  <c r="Y995" i="1"/>
  <c r="Z995" i="1"/>
  <c r="AA995" i="1"/>
  <c r="Y996" i="1"/>
  <c r="Z996" i="1"/>
  <c r="AA996" i="1"/>
  <c r="Y997" i="1"/>
  <c r="Z997" i="1"/>
  <c r="AA997" i="1"/>
  <c r="Y998" i="1"/>
  <c r="Z998" i="1"/>
  <c r="AA998" i="1"/>
  <c r="Y999" i="1"/>
  <c r="Z999" i="1"/>
  <c r="AA999" i="1"/>
  <c r="Y1000" i="1"/>
  <c r="Z1000" i="1"/>
  <c r="AA1000" i="1"/>
  <c r="Y1001" i="1"/>
  <c r="Z1001" i="1"/>
  <c r="AA1001" i="1"/>
  <c r="Y1002" i="1"/>
  <c r="Z1002" i="1"/>
  <c r="AA1002" i="1"/>
  <c r="Y1003" i="1"/>
  <c r="Z1003" i="1"/>
  <c r="AA1003" i="1"/>
  <c r="Y1004" i="1"/>
  <c r="Z1004" i="1"/>
  <c r="AA1004" i="1"/>
  <c r="Y1005" i="1"/>
  <c r="Z1005" i="1"/>
  <c r="AA1005" i="1"/>
  <c r="Y1006" i="1"/>
  <c r="Z1006" i="1"/>
  <c r="AA1006" i="1"/>
  <c r="Y1007" i="1"/>
  <c r="Z1007" i="1"/>
  <c r="AA1007" i="1"/>
  <c r="Y1008" i="1"/>
  <c r="Z1008" i="1"/>
  <c r="AA1008" i="1"/>
  <c r="Y1009" i="1"/>
  <c r="Z1009" i="1"/>
  <c r="AA1009" i="1"/>
  <c r="Y1010" i="1"/>
  <c r="Z1010" i="1"/>
  <c r="AA1010" i="1"/>
  <c r="Y1011" i="1"/>
  <c r="Z1011" i="1"/>
  <c r="AA1011" i="1"/>
  <c r="Y1012" i="1"/>
  <c r="Z1012" i="1"/>
  <c r="AA1012" i="1"/>
  <c r="Y1013" i="1"/>
  <c r="Z1013" i="1"/>
  <c r="AA1013" i="1"/>
  <c r="Y1014" i="1"/>
  <c r="Z1014" i="1"/>
  <c r="AA1014" i="1"/>
  <c r="Y1015" i="1"/>
  <c r="Z1015" i="1"/>
  <c r="AA1015" i="1"/>
  <c r="Y1016" i="1"/>
  <c r="Z1016" i="1"/>
  <c r="AA1016" i="1"/>
  <c r="Y1017" i="1"/>
  <c r="Z1017" i="1"/>
  <c r="AA1017" i="1"/>
  <c r="Y1018" i="1"/>
  <c r="Z1018" i="1"/>
  <c r="AA1018" i="1"/>
  <c r="Y1019" i="1"/>
  <c r="Z1019" i="1"/>
  <c r="AA1019" i="1"/>
  <c r="Y1020" i="1"/>
  <c r="Z1020" i="1"/>
  <c r="AA1020" i="1"/>
  <c r="Y1021" i="1"/>
  <c r="Z1021" i="1"/>
  <c r="AA1021" i="1"/>
  <c r="Y1022" i="1"/>
  <c r="Z1022" i="1"/>
  <c r="AA1022" i="1"/>
  <c r="Y1023" i="1"/>
  <c r="Z1023" i="1"/>
  <c r="AA1023" i="1"/>
  <c r="Y1024" i="1"/>
  <c r="Z1024" i="1"/>
  <c r="AA1024" i="1"/>
  <c r="Y1025" i="1"/>
  <c r="Z1025" i="1"/>
  <c r="AA1025" i="1"/>
  <c r="Y1026" i="1"/>
  <c r="Z1026" i="1"/>
  <c r="AA1026" i="1"/>
  <c r="Y1027" i="1"/>
  <c r="Z1027" i="1"/>
  <c r="AA1027" i="1"/>
  <c r="Y1028" i="1"/>
  <c r="Z1028" i="1"/>
  <c r="AA1028" i="1"/>
  <c r="Y1029" i="1"/>
  <c r="Z1029" i="1"/>
  <c r="AA1029" i="1"/>
  <c r="Y1030" i="1"/>
  <c r="Z1030" i="1"/>
  <c r="AA1030" i="1"/>
  <c r="Y1031" i="1"/>
  <c r="Z1031" i="1"/>
  <c r="AA1031" i="1"/>
  <c r="Y1032" i="1"/>
  <c r="Z1032" i="1"/>
  <c r="AA1032" i="1"/>
  <c r="Y1033" i="1"/>
  <c r="Z1033" i="1"/>
  <c r="AA1033" i="1"/>
  <c r="Y1034" i="1"/>
  <c r="Z1034" i="1"/>
  <c r="AA1034" i="1"/>
  <c r="Y1035" i="1"/>
  <c r="Z1035" i="1"/>
  <c r="AA1035" i="1"/>
  <c r="Y1036" i="1"/>
  <c r="Z1036" i="1"/>
  <c r="AA1036" i="1"/>
  <c r="Y1037" i="1"/>
  <c r="Z1037" i="1"/>
  <c r="AA1037" i="1"/>
  <c r="Y1038" i="1"/>
  <c r="Z1038" i="1"/>
  <c r="AA1038" i="1"/>
  <c r="Y1039" i="1"/>
  <c r="Z1039" i="1"/>
  <c r="AA1039" i="1"/>
  <c r="Y1040" i="1"/>
  <c r="Z1040" i="1"/>
  <c r="AA1040" i="1"/>
  <c r="Y1041" i="1"/>
  <c r="Z1041" i="1"/>
  <c r="AA1041" i="1"/>
  <c r="Y1042" i="1"/>
  <c r="Z1042" i="1"/>
  <c r="AA1042" i="1"/>
  <c r="Y1043" i="1"/>
  <c r="Z1043" i="1"/>
  <c r="AA1043" i="1"/>
  <c r="Y1044" i="1"/>
  <c r="Z1044" i="1"/>
  <c r="AA1044" i="1"/>
  <c r="Y1045" i="1"/>
  <c r="Z1045" i="1"/>
  <c r="AA1045" i="1"/>
  <c r="Y1046" i="1"/>
  <c r="Z1046" i="1"/>
  <c r="AA1046" i="1"/>
  <c r="Y1047" i="1"/>
  <c r="Z1047" i="1"/>
  <c r="AA1047" i="1"/>
  <c r="Y1048" i="1"/>
  <c r="Z1048" i="1"/>
  <c r="AA1048" i="1"/>
  <c r="Y1049" i="1"/>
  <c r="Z1049" i="1"/>
  <c r="AA1049" i="1"/>
  <c r="Y1050" i="1"/>
  <c r="Z1050" i="1"/>
  <c r="AA1050" i="1"/>
  <c r="Y1051" i="1"/>
  <c r="Z1051" i="1"/>
  <c r="AA1051" i="1"/>
  <c r="Y1052" i="1"/>
  <c r="Z1052" i="1"/>
  <c r="AA1052" i="1"/>
  <c r="Y1053" i="1"/>
  <c r="Z1053" i="1"/>
  <c r="AA1053" i="1"/>
  <c r="Y1054" i="1"/>
  <c r="Z1054" i="1"/>
  <c r="AA1054" i="1"/>
  <c r="Y1055" i="1"/>
  <c r="Z1055" i="1"/>
  <c r="AA1055" i="1"/>
  <c r="Y1056" i="1"/>
  <c r="Z1056" i="1"/>
  <c r="AA1056" i="1"/>
  <c r="Y1057" i="1"/>
  <c r="Z1057" i="1"/>
  <c r="AA1057" i="1"/>
  <c r="Y1058" i="1"/>
  <c r="Z1058" i="1"/>
  <c r="AA1058" i="1"/>
  <c r="Y1059" i="1"/>
  <c r="Z1059" i="1"/>
  <c r="AA1059" i="1"/>
  <c r="Y1060" i="1"/>
  <c r="Z1060" i="1"/>
  <c r="AA1060" i="1"/>
  <c r="Y1061" i="1"/>
  <c r="Z1061" i="1"/>
  <c r="AA1061" i="1"/>
  <c r="Y1062" i="1"/>
  <c r="Z1062" i="1"/>
  <c r="AA1062" i="1"/>
  <c r="Y1063" i="1"/>
  <c r="Z1063" i="1"/>
  <c r="AA1063" i="1"/>
  <c r="Y1064" i="1"/>
  <c r="Z1064" i="1"/>
  <c r="AA1064" i="1"/>
  <c r="Y1065" i="1"/>
  <c r="Z1065" i="1"/>
  <c r="AA1065" i="1"/>
  <c r="Y1066" i="1"/>
  <c r="Z1066" i="1"/>
  <c r="AA1066" i="1"/>
  <c r="Y1067" i="1"/>
  <c r="Z1067" i="1"/>
  <c r="AA1067" i="1"/>
  <c r="Y1068" i="1"/>
  <c r="Z1068" i="1"/>
  <c r="AA1068" i="1"/>
  <c r="Y1069" i="1"/>
  <c r="Z1069" i="1"/>
  <c r="AA1069" i="1"/>
  <c r="Y1070" i="1"/>
  <c r="Z1070" i="1"/>
  <c r="AA1070" i="1"/>
  <c r="Y1071" i="1"/>
  <c r="Z1071" i="1"/>
  <c r="AA1071" i="1"/>
  <c r="Y1072" i="1"/>
  <c r="Z1072" i="1"/>
  <c r="AA1072" i="1"/>
  <c r="Y1073" i="1"/>
  <c r="Z1073" i="1"/>
  <c r="AA1073" i="1"/>
  <c r="Y1074" i="1"/>
  <c r="Z1074" i="1"/>
  <c r="AA1074" i="1"/>
  <c r="Y1075" i="1"/>
  <c r="Z1075" i="1"/>
  <c r="AA1075" i="1"/>
  <c r="Y1076" i="1"/>
  <c r="Z1076" i="1"/>
  <c r="AA1076" i="1"/>
  <c r="Y1077" i="1"/>
  <c r="Z1077" i="1"/>
  <c r="AA1077" i="1"/>
  <c r="Y1078" i="1"/>
  <c r="Z1078" i="1"/>
  <c r="AA1078" i="1"/>
  <c r="Y1079" i="1"/>
  <c r="Z1079" i="1"/>
  <c r="AA1079" i="1"/>
  <c r="Y1080" i="1"/>
  <c r="Z1080" i="1"/>
  <c r="AA1080" i="1"/>
  <c r="Y1081" i="1"/>
  <c r="Z1081" i="1"/>
  <c r="AA1081" i="1"/>
  <c r="Y1082" i="1"/>
  <c r="Z1082" i="1"/>
  <c r="AA1082" i="1"/>
  <c r="Y1083" i="1"/>
  <c r="Z1083" i="1"/>
  <c r="AA1083" i="1"/>
  <c r="Y1084" i="1"/>
  <c r="Z1084" i="1"/>
  <c r="AA1084" i="1"/>
  <c r="Y1085" i="1"/>
  <c r="Z1085" i="1"/>
  <c r="AA1085" i="1"/>
  <c r="Y1086" i="1"/>
  <c r="Z1086" i="1"/>
  <c r="AA1086" i="1"/>
  <c r="Y1087" i="1"/>
  <c r="Z1087" i="1"/>
  <c r="AA1087" i="1"/>
  <c r="Y1088" i="1"/>
  <c r="Z1088" i="1"/>
  <c r="AA1088" i="1"/>
  <c r="Y1089" i="1"/>
  <c r="Z1089" i="1"/>
  <c r="AA1089" i="1"/>
  <c r="Y1090" i="1"/>
  <c r="Z1090" i="1"/>
  <c r="AA1090" i="1"/>
  <c r="Y1091" i="1"/>
  <c r="Z1091" i="1"/>
  <c r="AA1091" i="1"/>
  <c r="Y1092" i="1"/>
  <c r="Z1092" i="1"/>
  <c r="AA1092" i="1"/>
  <c r="Y1093" i="1"/>
  <c r="Z1093" i="1"/>
  <c r="AA1093" i="1"/>
  <c r="Y1094" i="1"/>
  <c r="Z1094" i="1"/>
  <c r="AA1094" i="1"/>
  <c r="Y1095" i="1"/>
  <c r="Z1095" i="1"/>
  <c r="AA1095" i="1"/>
  <c r="Y1096" i="1"/>
  <c r="Z1096" i="1"/>
  <c r="AA1096" i="1"/>
  <c r="Y1097" i="1"/>
  <c r="Z1097" i="1"/>
  <c r="AA1097" i="1"/>
  <c r="Y1098" i="1"/>
  <c r="Z1098" i="1"/>
  <c r="AA1098" i="1"/>
  <c r="Y1099" i="1"/>
  <c r="Z1099" i="1"/>
  <c r="AA1099" i="1"/>
  <c r="Y1100" i="1"/>
  <c r="Z1100" i="1"/>
  <c r="AA1100" i="1"/>
  <c r="Y1101" i="1"/>
  <c r="Z1101" i="1"/>
  <c r="AA1101" i="1"/>
  <c r="Y1102" i="1"/>
  <c r="Z1102" i="1"/>
  <c r="AA1102" i="1"/>
  <c r="Y1103" i="1"/>
  <c r="Z1103" i="1"/>
  <c r="AA1103" i="1"/>
  <c r="Y1104" i="1"/>
  <c r="Z1104" i="1"/>
  <c r="AA1104" i="1"/>
  <c r="Y1105" i="1"/>
  <c r="Z1105" i="1"/>
  <c r="AA1105" i="1"/>
  <c r="Y1106" i="1"/>
  <c r="Z1106" i="1"/>
  <c r="AA1106" i="1"/>
  <c r="Y1107" i="1"/>
  <c r="Z1107" i="1"/>
  <c r="AA1107" i="1"/>
  <c r="Y1108" i="1"/>
  <c r="Z1108" i="1"/>
  <c r="AA1108" i="1"/>
  <c r="Y1109" i="1"/>
  <c r="Z1109" i="1"/>
  <c r="AA1109" i="1"/>
  <c r="Y1110" i="1"/>
  <c r="Z1110" i="1"/>
  <c r="AA1110" i="1"/>
  <c r="Y1111" i="1"/>
  <c r="Z1111" i="1"/>
  <c r="AA1111" i="1"/>
  <c r="Y1112" i="1"/>
  <c r="Z1112" i="1"/>
  <c r="AA1112" i="1"/>
  <c r="Y1113" i="1"/>
  <c r="Z1113" i="1"/>
  <c r="AA1113" i="1"/>
  <c r="Y1114" i="1"/>
  <c r="Z1114" i="1"/>
  <c r="AA1114" i="1"/>
  <c r="Y1115" i="1"/>
  <c r="Z1115" i="1"/>
  <c r="AA1115" i="1"/>
  <c r="Y1116" i="1"/>
  <c r="Z1116" i="1"/>
  <c r="AA1116" i="1"/>
  <c r="Y1117" i="1"/>
  <c r="Z1117" i="1"/>
  <c r="AA1117" i="1"/>
  <c r="Y1118" i="1"/>
  <c r="Z1118" i="1"/>
  <c r="AA1118" i="1"/>
  <c r="Y1119" i="1"/>
  <c r="Z1119" i="1"/>
  <c r="AA1119" i="1"/>
  <c r="Y1120" i="1"/>
  <c r="Z1120" i="1"/>
  <c r="AA1120" i="1"/>
  <c r="Y1121" i="1"/>
  <c r="Z1121" i="1"/>
  <c r="AA1121" i="1"/>
  <c r="Y1122" i="1"/>
  <c r="Z1122" i="1"/>
  <c r="AA1122" i="1"/>
  <c r="Y1123" i="1"/>
  <c r="Z1123" i="1"/>
  <c r="AA1123" i="1"/>
  <c r="Y1124" i="1"/>
  <c r="Z1124" i="1"/>
  <c r="AA1124" i="1"/>
  <c r="Y1125" i="1"/>
  <c r="Z1125" i="1"/>
  <c r="AA1125" i="1"/>
  <c r="Y1126" i="1"/>
  <c r="Z1126" i="1"/>
  <c r="AA1126" i="1"/>
  <c r="Y1127" i="1"/>
  <c r="Z1127" i="1"/>
  <c r="AA1127" i="1"/>
  <c r="Y1128" i="1"/>
  <c r="Z1128" i="1"/>
  <c r="AA1128" i="1"/>
  <c r="Y1129" i="1"/>
  <c r="Z1129" i="1"/>
  <c r="AA1129" i="1"/>
  <c r="Y1130" i="1"/>
  <c r="Z1130" i="1"/>
  <c r="AA1130" i="1"/>
  <c r="Y1131" i="1"/>
  <c r="Z1131" i="1"/>
  <c r="AA1131" i="1"/>
  <c r="Y1132" i="1"/>
  <c r="Z1132" i="1"/>
  <c r="AA1132" i="1"/>
  <c r="Y1133" i="1"/>
  <c r="Z1133" i="1"/>
  <c r="AA1133" i="1"/>
  <c r="Y1134" i="1"/>
  <c r="Z1134" i="1"/>
  <c r="AA1134" i="1"/>
  <c r="Y1135" i="1"/>
  <c r="Z1135" i="1"/>
  <c r="AA1135" i="1"/>
  <c r="Y1136" i="1"/>
  <c r="Z1136" i="1"/>
  <c r="AA1136" i="1"/>
  <c r="Y1137" i="1"/>
  <c r="Z1137" i="1"/>
  <c r="AA1137" i="1"/>
  <c r="Y1138" i="1"/>
  <c r="Z1138" i="1"/>
  <c r="AA1138" i="1"/>
  <c r="Y1139" i="1"/>
  <c r="Z1139" i="1"/>
  <c r="AA1139" i="1"/>
  <c r="Y1140" i="1"/>
  <c r="Z1140" i="1"/>
  <c r="AA1140" i="1"/>
  <c r="Y1141" i="1"/>
  <c r="Z1141" i="1"/>
  <c r="AA1141" i="1"/>
  <c r="Y1142" i="1"/>
  <c r="Z1142" i="1"/>
  <c r="AA1142" i="1"/>
  <c r="Y1143" i="1"/>
  <c r="Z1143" i="1"/>
  <c r="AA1143" i="1"/>
  <c r="Y1144" i="1"/>
  <c r="Z1144" i="1"/>
  <c r="AA1144" i="1"/>
  <c r="Y1145" i="1"/>
  <c r="Z1145" i="1"/>
  <c r="AA1145" i="1"/>
  <c r="Y1146" i="1"/>
  <c r="Z1146" i="1"/>
  <c r="AA1146" i="1"/>
  <c r="Y1147" i="1"/>
  <c r="Z1147" i="1"/>
  <c r="AA1147" i="1"/>
  <c r="Y1148" i="1"/>
  <c r="Z1148" i="1"/>
  <c r="AA1148" i="1"/>
  <c r="Y1149" i="1"/>
  <c r="Z1149" i="1"/>
  <c r="AA1149" i="1"/>
  <c r="Y1150" i="1"/>
  <c r="Z1150" i="1"/>
  <c r="AA1150" i="1"/>
  <c r="Y1151" i="1"/>
  <c r="Z1151" i="1"/>
  <c r="AA1151" i="1"/>
  <c r="Y1152" i="1"/>
  <c r="Z1152" i="1"/>
  <c r="AA1152" i="1"/>
  <c r="Y1153" i="1"/>
  <c r="Z1153" i="1"/>
  <c r="AA1153" i="1"/>
  <c r="Y1154" i="1"/>
  <c r="Z1154" i="1"/>
  <c r="AA1154" i="1"/>
  <c r="Y1155" i="1"/>
  <c r="Z1155" i="1"/>
  <c r="AA1155" i="1"/>
  <c r="Y1156" i="1"/>
  <c r="Z1156" i="1"/>
  <c r="AA1156" i="1"/>
  <c r="Y1157" i="1"/>
  <c r="Z1157" i="1"/>
  <c r="AA1157" i="1"/>
  <c r="Y1158" i="1"/>
  <c r="Z1158" i="1"/>
  <c r="AA1158" i="1"/>
  <c r="Y1159" i="1"/>
  <c r="Z1159" i="1"/>
  <c r="AA1159" i="1"/>
  <c r="Y1160" i="1"/>
  <c r="Z1160" i="1"/>
  <c r="AA1160" i="1"/>
  <c r="Y1161" i="1"/>
  <c r="Z1161" i="1"/>
  <c r="AA1161" i="1"/>
  <c r="Y1162" i="1"/>
  <c r="Z1162" i="1"/>
  <c r="AA1162" i="1"/>
  <c r="Y1163" i="1"/>
  <c r="Z1163" i="1"/>
  <c r="AA1163" i="1"/>
  <c r="Y1164" i="1"/>
  <c r="Z1164" i="1"/>
  <c r="AA1164" i="1"/>
  <c r="Y1165" i="1"/>
  <c r="Z1165" i="1"/>
  <c r="AA1165" i="1"/>
  <c r="Y1166" i="1"/>
  <c r="Z1166" i="1"/>
  <c r="AA1166" i="1"/>
  <c r="Y1167" i="1"/>
  <c r="Z1167" i="1"/>
  <c r="AA1167" i="1"/>
  <c r="Y1168" i="1"/>
  <c r="Z1168" i="1"/>
  <c r="AA1168" i="1"/>
  <c r="Y1169" i="1"/>
  <c r="Z1169" i="1"/>
  <c r="AA1169" i="1"/>
  <c r="Y1170" i="1"/>
  <c r="Z1170" i="1"/>
  <c r="AA1170" i="1"/>
  <c r="Y1171" i="1"/>
  <c r="Z1171" i="1"/>
  <c r="AA1171" i="1"/>
  <c r="Y1172" i="1"/>
  <c r="Z1172" i="1"/>
  <c r="AA1172" i="1"/>
  <c r="Y1173" i="1"/>
  <c r="Z1173" i="1"/>
  <c r="AA1173" i="1"/>
  <c r="Y1174" i="1"/>
  <c r="Z1174" i="1"/>
  <c r="AA1174" i="1"/>
  <c r="Y1175" i="1"/>
  <c r="Z1175" i="1"/>
  <c r="AA1175" i="1"/>
  <c r="Y1176" i="1"/>
  <c r="Z1176" i="1"/>
  <c r="AA1176" i="1"/>
  <c r="Y1177" i="1"/>
  <c r="Z1177" i="1"/>
  <c r="AA1177" i="1"/>
  <c r="Y1178" i="1"/>
  <c r="Z1178" i="1"/>
  <c r="AA1178" i="1"/>
  <c r="Y1179" i="1"/>
  <c r="Z1179" i="1"/>
  <c r="AA1179" i="1"/>
  <c r="Y1180" i="1"/>
  <c r="Z1180" i="1"/>
  <c r="AA1180" i="1"/>
  <c r="Y1181" i="1"/>
  <c r="Z1181" i="1"/>
  <c r="AA1181" i="1"/>
  <c r="Y1182" i="1"/>
  <c r="Z1182" i="1"/>
  <c r="AA1182" i="1"/>
  <c r="Y1183" i="1"/>
  <c r="Z1183" i="1"/>
  <c r="AA1183" i="1"/>
  <c r="Y1184" i="1"/>
  <c r="Z1184" i="1"/>
  <c r="AA1184" i="1"/>
  <c r="Y1185" i="1"/>
  <c r="Z1185" i="1"/>
  <c r="AA1185" i="1"/>
  <c r="Y1186" i="1"/>
  <c r="Z1186" i="1"/>
  <c r="AA1186" i="1"/>
  <c r="Y1187" i="1"/>
  <c r="Z1187" i="1"/>
  <c r="AA1187" i="1"/>
  <c r="Y1188" i="1"/>
  <c r="Z1188" i="1"/>
  <c r="AA1188" i="1"/>
  <c r="Y1189" i="1"/>
  <c r="Z1189" i="1"/>
  <c r="AA1189" i="1"/>
  <c r="Y1190" i="1"/>
  <c r="Z1190" i="1"/>
  <c r="AA1190" i="1"/>
  <c r="Y1191" i="1"/>
  <c r="Z1191" i="1"/>
  <c r="AA1191" i="1"/>
  <c r="Y1192" i="1"/>
  <c r="Z1192" i="1"/>
  <c r="AA1192" i="1"/>
  <c r="Y1193" i="1"/>
  <c r="Z1193" i="1"/>
  <c r="AA1193" i="1"/>
  <c r="Y1194" i="1"/>
  <c r="Z1194" i="1"/>
  <c r="AA1194" i="1"/>
  <c r="Y1195" i="1"/>
  <c r="Z1195" i="1"/>
  <c r="AA1195" i="1"/>
  <c r="Y1196" i="1"/>
  <c r="Z1196" i="1"/>
  <c r="AA1196" i="1"/>
  <c r="Y1197" i="1"/>
  <c r="Z1197" i="1"/>
  <c r="AA1197" i="1"/>
  <c r="Y1198" i="1"/>
  <c r="Z1198" i="1"/>
  <c r="AA1198" i="1"/>
  <c r="Y1199" i="1"/>
  <c r="Z1199" i="1"/>
  <c r="AA1199" i="1"/>
  <c r="Y1200" i="1"/>
  <c r="Z1200" i="1"/>
  <c r="AA1200" i="1"/>
  <c r="Y1201" i="1"/>
  <c r="Z1201" i="1"/>
  <c r="AA1201" i="1"/>
  <c r="Y1202" i="1"/>
  <c r="Z1202" i="1"/>
  <c r="AA1202" i="1"/>
  <c r="Y1203" i="1"/>
  <c r="Z1203" i="1"/>
  <c r="AA1203" i="1"/>
  <c r="Y1204" i="1"/>
  <c r="Z1204" i="1"/>
  <c r="AA1204" i="1"/>
  <c r="Y1205" i="1"/>
  <c r="Z1205" i="1"/>
  <c r="AA1205" i="1"/>
  <c r="Y1206" i="1"/>
  <c r="Z1206" i="1"/>
  <c r="AA1206" i="1"/>
  <c r="Y1207" i="1"/>
  <c r="Z1207" i="1"/>
  <c r="AA1207" i="1"/>
  <c r="Y1208" i="1"/>
  <c r="Z1208" i="1"/>
  <c r="AA1208" i="1"/>
  <c r="Y1209" i="1"/>
  <c r="Z1209" i="1"/>
  <c r="AA1209" i="1"/>
  <c r="Y1210" i="1"/>
  <c r="Z1210" i="1"/>
  <c r="AA1210" i="1"/>
  <c r="Y1211" i="1"/>
  <c r="Z1211" i="1"/>
  <c r="AA1211" i="1"/>
  <c r="Y1212" i="1"/>
  <c r="Z1212" i="1"/>
  <c r="AA1212" i="1"/>
  <c r="Y1213" i="1"/>
  <c r="Z1213" i="1"/>
  <c r="AA1213" i="1"/>
  <c r="Y1214" i="1"/>
  <c r="Z1214" i="1"/>
  <c r="AA1214" i="1"/>
  <c r="Y1215" i="1"/>
  <c r="Z1215" i="1"/>
  <c r="AA1215" i="1"/>
  <c r="Y1216" i="1"/>
  <c r="Z1216" i="1"/>
  <c r="AA1216" i="1"/>
  <c r="Y1217" i="1"/>
  <c r="Z1217" i="1"/>
  <c r="AA1217" i="1"/>
  <c r="Y1218" i="1"/>
  <c r="Z1218" i="1"/>
  <c r="AA1218" i="1"/>
  <c r="Y1219" i="1"/>
  <c r="Z1219" i="1"/>
  <c r="AA1219" i="1"/>
  <c r="Y1220" i="1"/>
  <c r="Z1220" i="1"/>
  <c r="AA1220" i="1"/>
  <c r="Y1221" i="1"/>
  <c r="Z1221" i="1"/>
  <c r="AA1221" i="1"/>
  <c r="Y1222" i="1"/>
  <c r="Z1222" i="1"/>
  <c r="AA1222" i="1"/>
  <c r="Y1223" i="1"/>
  <c r="Z1223" i="1"/>
  <c r="AA1223" i="1"/>
  <c r="Y1224" i="1"/>
  <c r="Z1224" i="1"/>
  <c r="AA1224" i="1"/>
  <c r="Y1225" i="1"/>
  <c r="Z1225" i="1"/>
  <c r="AA1225" i="1"/>
  <c r="Y1226" i="1"/>
  <c r="Z1226" i="1"/>
  <c r="AA1226" i="1"/>
  <c r="Y1227" i="1"/>
  <c r="Z1227" i="1"/>
  <c r="AA1227" i="1"/>
  <c r="Y1228" i="1"/>
  <c r="Z1228" i="1"/>
  <c r="AA1228" i="1"/>
  <c r="Y1229" i="1"/>
  <c r="Z1229" i="1"/>
  <c r="AA1229" i="1"/>
  <c r="Y1230" i="1"/>
  <c r="Z1230" i="1"/>
  <c r="AA1230" i="1"/>
  <c r="Y1231" i="1"/>
  <c r="Z1231" i="1"/>
  <c r="AA1231" i="1"/>
  <c r="Y1232" i="1"/>
  <c r="Z1232" i="1"/>
  <c r="AA1232" i="1"/>
  <c r="Y1233" i="1"/>
  <c r="Z1233" i="1"/>
  <c r="AA1233" i="1"/>
  <c r="Y1234" i="1"/>
  <c r="Z1234" i="1"/>
  <c r="AA1234" i="1"/>
  <c r="Y1235" i="1"/>
  <c r="Z1235" i="1"/>
  <c r="AA1235" i="1"/>
  <c r="Y1236" i="1"/>
  <c r="Z1236" i="1"/>
  <c r="AA1236" i="1"/>
  <c r="Y1237" i="1"/>
  <c r="Z1237" i="1"/>
  <c r="AA1237" i="1"/>
  <c r="Y1238" i="1"/>
  <c r="Z1238" i="1"/>
  <c r="AA1238" i="1"/>
  <c r="Y1239" i="1"/>
  <c r="Z1239" i="1"/>
  <c r="AA1239" i="1"/>
  <c r="Y1240" i="1"/>
  <c r="Z1240" i="1"/>
  <c r="AA1240" i="1"/>
  <c r="Y1241" i="1"/>
  <c r="Z1241" i="1"/>
  <c r="AA1241" i="1"/>
  <c r="Y1242" i="1"/>
  <c r="Z1242" i="1"/>
  <c r="AA1242" i="1"/>
  <c r="Y1243" i="1"/>
  <c r="Z1243" i="1"/>
  <c r="AA1243" i="1"/>
  <c r="Y1244" i="1"/>
  <c r="Z1244" i="1"/>
  <c r="AA1244" i="1"/>
  <c r="Y1245" i="1"/>
  <c r="Z1245" i="1"/>
  <c r="AA1245" i="1"/>
  <c r="Y1246" i="1"/>
  <c r="Z1246" i="1"/>
  <c r="AA1246" i="1"/>
  <c r="Y1247" i="1"/>
  <c r="Z1247" i="1"/>
  <c r="AA1247" i="1"/>
  <c r="Y1248" i="1"/>
  <c r="Z1248" i="1"/>
  <c r="AA1248" i="1"/>
  <c r="Y1249" i="1"/>
  <c r="Z1249" i="1"/>
  <c r="AA1249" i="1"/>
  <c r="Y1250" i="1"/>
  <c r="Z1250" i="1"/>
  <c r="AA1250" i="1"/>
  <c r="Y1251" i="1"/>
  <c r="Z1251" i="1"/>
  <c r="AA1251" i="1"/>
  <c r="Y1252" i="1"/>
  <c r="Z1252" i="1"/>
  <c r="AA1252" i="1"/>
  <c r="Y1253" i="1"/>
  <c r="Z1253" i="1"/>
  <c r="AA1253" i="1"/>
  <c r="Y1254" i="1"/>
  <c r="Z1254" i="1"/>
  <c r="AA1254" i="1"/>
  <c r="Y1255" i="1"/>
  <c r="Z1255" i="1"/>
  <c r="AA1255" i="1"/>
  <c r="Y1256" i="1"/>
  <c r="Z1256" i="1"/>
  <c r="AA1256" i="1"/>
  <c r="Y1257" i="1"/>
  <c r="Z1257" i="1"/>
  <c r="AA1257" i="1"/>
  <c r="Y1258" i="1"/>
  <c r="Z1258" i="1"/>
  <c r="AA1258" i="1"/>
  <c r="Y1259" i="1"/>
  <c r="Z1259" i="1"/>
  <c r="AA1259" i="1"/>
  <c r="Y1260" i="1"/>
  <c r="Z1260" i="1"/>
  <c r="AA1260" i="1"/>
  <c r="Y1261" i="1"/>
  <c r="Z1261" i="1"/>
  <c r="AA1261" i="1"/>
  <c r="Y1262" i="1"/>
  <c r="Z1262" i="1"/>
  <c r="AA1262" i="1"/>
  <c r="Y1263" i="1"/>
  <c r="Z1263" i="1"/>
  <c r="AA1263" i="1"/>
  <c r="Y1264" i="1"/>
  <c r="Z1264" i="1"/>
  <c r="AA1264" i="1"/>
  <c r="Y1265" i="1"/>
  <c r="Z1265" i="1"/>
  <c r="AA1265" i="1"/>
  <c r="Y1266" i="1"/>
  <c r="Z1266" i="1"/>
  <c r="AA1266" i="1"/>
  <c r="Y1267" i="1"/>
  <c r="Z1267" i="1"/>
  <c r="AA1267" i="1"/>
  <c r="Y1268" i="1"/>
  <c r="Z1268" i="1"/>
  <c r="AA1268" i="1"/>
  <c r="Y1269" i="1"/>
  <c r="Z1269" i="1"/>
  <c r="AA1269" i="1"/>
  <c r="Y1270" i="1"/>
  <c r="Z1270" i="1"/>
  <c r="AA1270" i="1"/>
  <c r="Y1271" i="1"/>
  <c r="Z1271" i="1"/>
  <c r="AA1271" i="1"/>
  <c r="Y1272" i="1"/>
  <c r="Z1272" i="1"/>
  <c r="AA1272" i="1"/>
  <c r="Y1273" i="1"/>
  <c r="Z1273" i="1"/>
  <c r="AA1273" i="1"/>
  <c r="Y1274" i="1"/>
  <c r="Z1274" i="1"/>
  <c r="AA1274" i="1"/>
  <c r="Y1275" i="1"/>
  <c r="Z1275" i="1"/>
  <c r="AA1275" i="1"/>
  <c r="Y1276" i="1"/>
  <c r="Z1276" i="1"/>
  <c r="AA1276" i="1"/>
  <c r="Y1277" i="1"/>
  <c r="Z1277" i="1"/>
  <c r="AA1277" i="1"/>
  <c r="Y1278" i="1"/>
  <c r="Z1278" i="1"/>
  <c r="AA1278" i="1"/>
  <c r="Y1279" i="1"/>
  <c r="Z1279" i="1"/>
  <c r="AA1279" i="1"/>
  <c r="Y1280" i="1"/>
  <c r="Z1280" i="1"/>
  <c r="AA1280" i="1"/>
  <c r="Y1281" i="1"/>
  <c r="Z1281" i="1"/>
  <c r="AA1281" i="1"/>
  <c r="Y1282" i="1"/>
  <c r="Z1282" i="1"/>
  <c r="AA1282" i="1"/>
  <c r="Y1283" i="1"/>
  <c r="Z1283" i="1"/>
  <c r="AA1283" i="1"/>
  <c r="Y1284" i="1"/>
  <c r="Z1284" i="1"/>
  <c r="AA1284" i="1"/>
  <c r="Y1285" i="1"/>
  <c r="Z1285" i="1"/>
  <c r="AA1285" i="1"/>
  <c r="Y1286" i="1"/>
  <c r="Z1286" i="1"/>
  <c r="AA1286" i="1"/>
  <c r="Y1287" i="1"/>
  <c r="Z1287" i="1"/>
  <c r="AA1287" i="1"/>
  <c r="Y1288" i="1"/>
  <c r="Z1288" i="1"/>
  <c r="AA1288" i="1"/>
  <c r="Y1289" i="1"/>
  <c r="Z1289" i="1"/>
  <c r="AA1289" i="1"/>
  <c r="Y1290" i="1"/>
  <c r="Z1290" i="1"/>
  <c r="AA1290" i="1"/>
  <c r="Y1291" i="1"/>
  <c r="Z1291" i="1"/>
  <c r="AA1291" i="1"/>
  <c r="Y1292" i="1"/>
  <c r="Z1292" i="1"/>
  <c r="AA1292" i="1"/>
  <c r="Y1293" i="1"/>
  <c r="Z1293" i="1"/>
  <c r="AA1293" i="1"/>
  <c r="Y1294" i="1"/>
  <c r="Z1294" i="1"/>
  <c r="AA1294" i="1"/>
  <c r="Y1295" i="1"/>
  <c r="Z1295" i="1"/>
  <c r="AA1295" i="1"/>
  <c r="Y1296" i="1"/>
  <c r="Z1296" i="1"/>
  <c r="AA1296" i="1"/>
  <c r="Y1297" i="1"/>
  <c r="Z1297" i="1"/>
  <c r="AA1297" i="1"/>
  <c r="Y1298" i="1"/>
  <c r="Z1298" i="1"/>
  <c r="AA1298" i="1"/>
  <c r="Y1299" i="1"/>
  <c r="Z1299" i="1"/>
  <c r="AA1299" i="1"/>
  <c r="Y1300" i="1"/>
  <c r="Z1300" i="1"/>
  <c r="AA1300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E877" i="1"/>
  <c r="F877" i="1"/>
  <c r="G877" i="1"/>
  <c r="E878" i="1"/>
  <c r="F878" i="1"/>
  <c r="G878" i="1"/>
  <c r="E879" i="1"/>
  <c r="F879" i="1"/>
  <c r="G879" i="1"/>
  <c r="E880" i="1"/>
  <c r="F880" i="1"/>
  <c r="G880" i="1"/>
  <c r="E881" i="1"/>
  <c r="F881" i="1"/>
  <c r="G881" i="1"/>
  <c r="E882" i="1"/>
  <c r="F882" i="1"/>
  <c r="G882" i="1"/>
  <c r="E883" i="1"/>
  <c r="F883" i="1"/>
  <c r="G883" i="1"/>
  <c r="E884" i="1"/>
  <c r="F884" i="1"/>
  <c r="G884" i="1"/>
  <c r="E885" i="1"/>
  <c r="F885" i="1"/>
  <c r="G885" i="1"/>
  <c r="E886" i="1"/>
  <c r="F886" i="1"/>
  <c r="G886" i="1"/>
  <c r="E887" i="1"/>
  <c r="F887" i="1"/>
  <c r="G887" i="1"/>
  <c r="E888" i="1"/>
  <c r="F888" i="1"/>
  <c r="G888" i="1"/>
  <c r="E889" i="1"/>
  <c r="F889" i="1"/>
  <c r="G889" i="1"/>
  <c r="E890" i="1"/>
  <c r="F890" i="1"/>
  <c r="G890" i="1"/>
  <c r="E891" i="1"/>
  <c r="F891" i="1"/>
  <c r="G891" i="1"/>
  <c r="E892" i="1"/>
  <c r="F892" i="1"/>
  <c r="G892" i="1"/>
  <c r="E893" i="1"/>
  <c r="F893" i="1"/>
  <c r="G893" i="1"/>
  <c r="E894" i="1"/>
  <c r="F894" i="1"/>
  <c r="G894" i="1"/>
  <c r="E895" i="1"/>
  <c r="F895" i="1"/>
  <c r="G895" i="1"/>
  <c r="E896" i="1"/>
  <c r="F896" i="1"/>
  <c r="G896" i="1"/>
  <c r="E897" i="1"/>
  <c r="F897" i="1"/>
  <c r="G897" i="1"/>
  <c r="E898" i="1"/>
  <c r="F898" i="1"/>
  <c r="G898" i="1"/>
  <c r="E899" i="1"/>
  <c r="F899" i="1"/>
  <c r="G899" i="1"/>
  <c r="E900" i="1"/>
  <c r="F900" i="1"/>
  <c r="G900" i="1"/>
  <c r="E901" i="1"/>
  <c r="F901" i="1"/>
  <c r="G901" i="1"/>
  <c r="E902" i="1"/>
  <c r="F902" i="1"/>
  <c r="G902" i="1"/>
  <c r="E903" i="1"/>
  <c r="F903" i="1"/>
  <c r="G903" i="1"/>
  <c r="E904" i="1"/>
  <c r="F904" i="1"/>
  <c r="G904" i="1"/>
  <c r="E905" i="1"/>
  <c r="F905" i="1"/>
  <c r="G905" i="1"/>
  <c r="E906" i="1"/>
  <c r="F906" i="1"/>
  <c r="G906" i="1"/>
  <c r="E907" i="1"/>
  <c r="F907" i="1"/>
  <c r="G907" i="1"/>
  <c r="E908" i="1"/>
  <c r="F908" i="1"/>
  <c r="G908" i="1"/>
  <c r="E909" i="1"/>
  <c r="F909" i="1"/>
  <c r="G909" i="1"/>
  <c r="E910" i="1"/>
  <c r="F910" i="1"/>
  <c r="G910" i="1"/>
  <c r="E911" i="1"/>
  <c r="F911" i="1"/>
  <c r="G911" i="1"/>
  <c r="E912" i="1"/>
  <c r="F912" i="1"/>
  <c r="G912" i="1"/>
  <c r="E913" i="1"/>
  <c r="F913" i="1"/>
  <c r="G913" i="1"/>
  <c r="E914" i="1"/>
  <c r="F914" i="1"/>
  <c r="G914" i="1"/>
  <c r="E915" i="1"/>
  <c r="F915" i="1"/>
  <c r="G915" i="1"/>
  <c r="E916" i="1"/>
  <c r="F916" i="1"/>
  <c r="G916" i="1"/>
  <c r="E917" i="1"/>
  <c r="F917" i="1"/>
  <c r="G917" i="1"/>
  <c r="E918" i="1"/>
  <c r="F918" i="1"/>
  <c r="G918" i="1"/>
  <c r="E919" i="1"/>
  <c r="F919" i="1"/>
  <c r="G919" i="1"/>
  <c r="E920" i="1"/>
  <c r="F920" i="1"/>
  <c r="G920" i="1"/>
  <c r="E921" i="1"/>
  <c r="F921" i="1"/>
  <c r="G921" i="1"/>
  <c r="E922" i="1"/>
  <c r="F922" i="1"/>
  <c r="G922" i="1"/>
  <c r="E923" i="1"/>
  <c r="F923" i="1"/>
  <c r="G923" i="1"/>
  <c r="E924" i="1"/>
  <c r="F924" i="1"/>
  <c r="G924" i="1"/>
  <c r="E925" i="1"/>
  <c r="F925" i="1"/>
  <c r="G925" i="1"/>
  <c r="E926" i="1"/>
  <c r="F926" i="1"/>
  <c r="G926" i="1"/>
  <c r="E927" i="1"/>
  <c r="F927" i="1"/>
  <c r="G927" i="1"/>
  <c r="E928" i="1"/>
  <c r="F928" i="1"/>
  <c r="G928" i="1"/>
  <c r="E929" i="1"/>
  <c r="F929" i="1"/>
  <c r="G929" i="1"/>
  <c r="E930" i="1"/>
  <c r="F930" i="1"/>
  <c r="G930" i="1"/>
  <c r="E931" i="1"/>
  <c r="F931" i="1"/>
  <c r="G931" i="1"/>
  <c r="E932" i="1"/>
  <c r="F932" i="1"/>
  <c r="G932" i="1"/>
  <c r="E933" i="1"/>
  <c r="F933" i="1"/>
  <c r="G933" i="1"/>
  <c r="E934" i="1"/>
  <c r="F934" i="1"/>
  <c r="G934" i="1"/>
  <c r="E935" i="1"/>
  <c r="F935" i="1"/>
  <c r="G935" i="1"/>
  <c r="E936" i="1"/>
  <c r="F936" i="1"/>
  <c r="G936" i="1"/>
  <c r="E937" i="1"/>
  <c r="F937" i="1"/>
  <c r="G937" i="1"/>
  <c r="E938" i="1"/>
  <c r="F938" i="1"/>
  <c r="G938" i="1"/>
  <c r="E939" i="1"/>
  <c r="F939" i="1"/>
  <c r="G939" i="1"/>
  <c r="E940" i="1"/>
  <c r="F940" i="1"/>
  <c r="G940" i="1"/>
  <c r="E941" i="1"/>
  <c r="F941" i="1"/>
  <c r="G941" i="1"/>
  <c r="E942" i="1"/>
  <c r="F942" i="1"/>
  <c r="G942" i="1"/>
  <c r="E943" i="1"/>
  <c r="F943" i="1"/>
  <c r="G943" i="1"/>
  <c r="E944" i="1"/>
  <c r="F944" i="1"/>
  <c r="G944" i="1"/>
  <c r="E945" i="1"/>
  <c r="F945" i="1"/>
  <c r="G945" i="1"/>
  <c r="E946" i="1"/>
  <c r="F946" i="1"/>
  <c r="G946" i="1"/>
  <c r="E947" i="1"/>
  <c r="F947" i="1"/>
  <c r="G947" i="1"/>
  <c r="E948" i="1"/>
  <c r="F948" i="1"/>
  <c r="G948" i="1"/>
  <c r="E949" i="1"/>
  <c r="F949" i="1"/>
  <c r="G949" i="1"/>
  <c r="E950" i="1"/>
  <c r="F950" i="1"/>
  <c r="G950" i="1"/>
  <c r="E951" i="1"/>
  <c r="F951" i="1"/>
  <c r="G951" i="1"/>
  <c r="E952" i="1"/>
  <c r="F952" i="1"/>
  <c r="G952" i="1"/>
  <c r="E953" i="1"/>
  <c r="F953" i="1"/>
  <c r="G953" i="1"/>
  <c r="E954" i="1"/>
  <c r="F954" i="1"/>
  <c r="G954" i="1"/>
  <c r="E955" i="1"/>
  <c r="F955" i="1"/>
  <c r="G955" i="1"/>
  <c r="E956" i="1"/>
  <c r="F956" i="1"/>
  <c r="G956" i="1"/>
  <c r="E957" i="1"/>
  <c r="F957" i="1"/>
  <c r="G957" i="1"/>
  <c r="E958" i="1"/>
  <c r="F958" i="1"/>
  <c r="G958" i="1"/>
  <c r="E959" i="1"/>
  <c r="F959" i="1"/>
  <c r="G959" i="1"/>
  <c r="E960" i="1"/>
  <c r="F960" i="1"/>
  <c r="G960" i="1"/>
  <c r="E961" i="1"/>
  <c r="F961" i="1"/>
  <c r="G961" i="1"/>
  <c r="E962" i="1"/>
  <c r="F962" i="1"/>
  <c r="G962" i="1"/>
  <c r="E963" i="1"/>
  <c r="F963" i="1"/>
  <c r="G963" i="1"/>
  <c r="E964" i="1"/>
  <c r="F964" i="1"/>
  <c r="G964" i="1"/>
  <c r="E965" i="1"/>
  <c r="F965" i="1"/>
  <c r="G965" i="1"/>
  <c r="E966" i="1"/>
  <c r="F966" i="1"/>
  <c r="G966" i="1"/>
  <c r="E967" i="1"/>
  <c r="F967" i="1"/>
  <c r="G967" i="1"/>
  <c r="E968" i="1"/>
  <c r="F968" i="1"/>
  <c r="G968" i="1"/>
  <c r="E969" i="1"/>
  <c r="F969" i="1"/>
  <c r="G969" i="1"/>
  <c r="E970" i="1"/>
  <c r="F970" i="1"/>
  <c r="G970" i="1"/>
  <c r="E971" i="1"/>
  <c r="F971" i="1"/>
  <c r="G971" i="1"/>
  <c r="E972" i="1"/>
  <c r="F972" i="1"/>
  <c r="G972" i="1"/>
  <c r="E973" i="1"/>
  <c r="F973" i="1"/>
  <c r="G973" i="1"/>
  <c r="E974" i="1"/>
  <c r="F974" i="1"/>
  <c r="G974" i="1"/>
  <c r="E975" i="1"/>
  <c r="F975" i="1"/>
  <c r="G975" i="1"/>
  <c r="E976" i="1"/>
  <c r="F976" i="1"/>
  <c r="G976" i="1"/>
  <c r="E977" i="1"/>
  <c r="F977" i="1"/>
  <c r="G977" i="1"/>
  <c r="E978" i="1"/>
  <c r="F978" i="1"/>
  <c r="G978" i="1"/>
  <c r="E979" i="1"/>
  <c r="F979" i="1"/>
  <c r="G979" i="1"/>
  <c r="E980" i="1"/>
  <c r="F980" i="1"/>
  <c r="G980" i="1"/>
  <c r="E981" i="1"/>
  <c r="F981" i="1"/>
  <c r="G981" i="1"/>
  <c r="E982" i="1"/>
  <c r="F982" i="1"/>
  <c r="G982" i="1"/>
  <c r="E983" i="1"/>
  <c r="F983" i="1"/>
  <c r="G983" i="1"/>
  <c r="E984" i="1"/>
  <c r="F984" i="1"/>
  <c r="G984" i="1"/>
  <c r="E985" i="1"/>
  <c r="F985" i="1"/>
  <c r="G985" i="1"/>
  <c r="E986" i="1"/>
  <c r="F986" i="1"/>
  <c r="G986" i="1"/>
  <c r="E987" i="1"/>
  <c r="F987" i="1"/>
  <c r="G987" i="1"/>
  <c r="E988" i="1"/>
  <c r="F988" i="1"/>
  <c r="G988" i="1"/>
  <c r="E989" i="1"/>
  <c r="F989" i="1"/>
  <c r="G989" i="1"/>
  <c r="E990" i="1"/>
  <c r="F990" i="1"/>
  <c r="G990" i="1"/>
  <c r="E991" i="1"/>
  <c r="F991" i="1"/>
  <c r="G991" i="1"/>
  <c r="E992" i="1"/>
  <c r="F992" i="1"/>
  <c r="G992" i="1"/>
  <c r="E993" i="1"/>
  <c r="F993" i="1"/>
  <c r="G993" i="1"/>
  <c r="E994" i="1"/>
  <c r="F994" i="1"/>
  <c r="G994" i="1"/>
  <c r="E995" i="1"/>
  <c r="F995" i="1"/>
  <c r="G995" i="1"/>
  <c r="E996" i="1"/>
  <c r="F996" i="1"/>
  <c r="G996" i="1"/>
  <c r="E997" i="1"/>
  <c r="F997" i="1"/>
  <c r="G997" i="1"/>
  <c r="E998" i="1"/>
  <c r="F998" i="1"/>
  <c r="G998" i="1"/>
  <c r="E999" i="1"/>
  <c r="F999" i="1"/>
  <c r="G999" i="1"/>
  <c r="E1000" i="1"/>
  <c r="F1000" i="1"/>
  <c r="G1000" i="1"/>
  <c r="E1001" i="1"/>
  <c r="F1001" i="1"/>
  <c r="G1001" i="1"/>
  <c r="E1002" i="1"/>
  <c r="F1002" i="1"/>
  <c r="G1002" i="1"/>
  <c r="E1003" i="1"/>
  <c r="F1003" i="1"/>
  <c r="G1003" i="1"/>
  <c r="E1004" i="1"/>
  <c r="F1004" i="1"/>
  <c r="G1004" i="1"/>
  <c r="E1005" i="1"/>
  <c r="F1005" i="1"/>
  <c r="G1005" i="1"/>
  <c r="E1006" i="1"/>
  <c r="F1006" i="1"/>
  <c r="G1006" i="1"/>
  <c r="E1007" i="1"/>
  <c r="F1007" i="1"/>
  <c r="G1007" i="1"/>
  <c r="E1008" i="1"/>
  <c r="F1008" i="1"/>
  <c r="G1008" i="1"/>
  <c r="E1009" i="1"/>
  <c r="F1009" i="1"/>
  <c r="G1009" i="1"/>
  <c r="E1010" i="1"/>
  <c r="F1010" i="1"/>
  <c r="G1010" i="1"/>
  <c r="E1011" i="1"/>
  <c r="F1011" i="1"/>
  <c r="G1011" i="1"/>
  <c r="E1012" i="1"/>
  <c r="F1012" i="1"/>
  <c r="G1012" i="1"/>
  <c r="E1013" i="1"/>
  <c r="F1013" i="1"/>
  <c r="G1013" i="1"/>
  <c r="E1014" i="1"/>
  <c r="F1014" i="1"/>
  <c r="G1014" i="1"/>
  <c r="E1015" i="1"/>
  <c r="F1015" i="1"/>
  <c r="G1015" i="1"/>
  <c r="E1016" i="1"/>
  <c r="F1016" i="1"/>
  <c r="G1016" i="1"/>
  <c r="E1017" i="1"/>
  <c r="F1017" i="1"/>
  <c r="G1017" i="1"/>
  <c r="E1018" i="1"/>
  <c r="F1018" i="1"/>
  <c r="G1018" i="1"/>
  <c r="E1019" i="1"/>
  <c r="F1019" i="1"/>
  <c r="G1019" i="1"/>
  <c r="E1020" i="1"/>
  <c r="F1020" i="1"/>
  <c r="G1020" i="1"/>
  <c r="E1021" i="1"/>
  <c r="F1021" i="1"/>
  <c r="G1021" i="1"/>
  <c r="E1022" i="1"/>
  <c r="F1022" i="1"/>
  <c r="G1022" i="1"/>
  <c r="E1023" i="1"/>
  <c r="F1023" i="1"/>
  <c r="G1023" i="1"/>
  <c r="E1024" i="1"/>
  <c r="F1024" i="1"/>
  <c r="G1024" i="1"/>
  <c r="E1025" i="1"/>
  <c r="F1025" i="1"/>
  <c r="G1025" i="1"/>
  <c r="E1026" i="1"/>
  <c r="F1026" i="1"/>
  <c r="G1026" i="1"/>
  <c r="E1027" i="1"/>
  <c r="F1027" i="1"/>
  <c r="G1027" i="1"/>
  <c r="E1028" i="1"/>
  <c r="F1028" i="1"/>
  <c r="G1028" i="1"/>
  <c r="E1029" i="1"/>
  <c r="F1029" i="1"/>
  <c r="G1029" i="1"/>
  <c r="E1030" i="1"/>
  <c r="F1030" i="1"/>
  <c r="G1030" i="1"/>
  <c r="E1031" i="1"/>
  <c r="F1031" i="1"/>
  <c r="G1031" i="1"/>
  <c r="E1032" i="1"/>
  <c r="F1032" i="1"/>
  <c r="G1032" i="1"/>
  <c r="E1033" i="1"/>
  <c r="F1033" i="1"/>
  <c r="G1033" i="1"/>
  <c r="E1034" i="1"/>
  <c r="F1034" i="1"/>
  <c r="G1034" i="1"/>
  <c r="E1035" i="1"/>
  <c r="F1035" i="1"/>
  <c r="G1035" i="1"/>
  <c r="E1036" i="1"/>
  <c r="F1036" i="1"/>
  <c r="G1036" i="1"/>
  <c r="E1037" i="1"/>
  <c r="F1037" i="1"/>
  <c r="G1037" i="1"/>
  <c r="E1038" i="1"/>
  <c r="F1038" i="1"/>
  <c r="G1038" i="1"/>
  <c r="E1039" i="1"/>
  <c r="F1039" i="1"/>
  <c r="G1039" i="1"/>
  <c r="E1040" i="1"/>
  <c r="F1040" i="1"/>
  <c r="G1040" i="1"/>
  <c r="E1041" i="1"/>
  <c r="F1041" i="1"/>
  <c r="G1041" i="1"/>
  <c r="E1042" i="1"/>
  <c r="F1042" i="1"/>
  <c r="G1042" i="1"/>
  <c r="E1043" i="1"/>
  <c r="F1043" i="1"/>
  <c r="G1043" i="1"/>
  <c r="E1044" i="1"/>
  <c r="F1044" i="1"/>
  <c r="G1044" i="1"/>
  <c r="E1045" i="1"/>
  <c r="F1045" i="1"/>
  <c r="G1045" i="1"/>
  <c r="E1046" i="1"/>
  <c r="F1046" i="1"/>
  <c r="G1046" i="1"/>
  <c r="E1047" i="1"/>
  <c r="F1047" i="1"/>
  <c r="G1047" i="1"/>
  <c r="E1048" i="1"/>
  <c r="F1048" i="1"/>
  <c r="G1048" i="1"/>
  <c r="E1049" i="1"/>
  <c r="F1049" i="1"/>
  <c r="G1049" i="1"/>
  <c r="E1050" i="1"/>
  <c r="F1050" i="1"/>
  <c r="G1050" i="1"/>
  <c r="E1051" i="1"/>
  <c r="F1051" i="1"/>
  <c r="G1051" i="1"/>
  <c r="E1052" i="1"/>
  <c r="F1052" i="1"/>
  <c r="G1052" i="1"/>
  <c r="E1053" i="1"/>
  <c r="F1053" i="1"/>
  <c r="G1053" i="1"/>
  <c r="E1054" i="1"/>
  <c r="F1054" i="1"/>
  <c r="G1054" i="1"/>
  <c r="E1055" i="1"/>
  <c r="F1055" i="1"/>
  <c r="G1055" i="1"/>
  <c r="E1056" i="1"/>
  <c r="F1056" i="1"/>
  <c r="G1056" i="1"/>
  <c r="E1057" i="1"/>
  <c r="F1057" i="1"/>
  <c r="G1057" i="1"/>
  <c r="E1058" i="1"/>
  <c r="F1058" i="1"/>
  <c r="G1058" i="1"/>
  <c r="E1059" i="1"/>
  <c r="F1059" i="1"/>
  <c r="G1059" i="1"/>
  <c r="E1060" i="1"/>
  <c r="F1060" i="1"/>
  <c r="G1060" i="1"/>
  <c r="E1061" i="1"/>
  <c r="F1061" i="1"/>
  <c r="G1061" i="1"/>
  <c r="E1062" i="1"/>
  <c r="F1062" i="1"/>
  <c r="G1062" i="1"/>
  <c r="E1063" i="1"/>
  <c r="F1063" i="1"/>
  <c r="G1063" i="1"/>
  <c r="E1064" i="1"/>
  <c r="F1064" i="1"/>
  <c r="G1064" i="1"/>
  <c r="E1065" i="1"/>
  <c r="F1065" i="1"/>
  <c r="G1065" i="1"/>
  <c r="E1066" i="1"/>
  <c r="F1066" i="1"/>
  <c r="G1066" i="1"/>
  <c r="E1067" i="1"/>
  <c r="F1067" i="1"/>
  <c r="G1067" i="1"/>
  <c r="E1068" i="1"/>
  <c r="F1068" i="1"/>
  <c r="G1068" i="1"/>
  <c r="E1069" i="1"/>
  <c r="F1069" i="1"/>
  <c r="G1069" i="1"/>
  <c r="E1070" i="1"/>
  <c r="F1070" i="1"/>
  <c r="G1070" i="1"/>
  <c r="E1071" i="1"/>
  <c r="F1071" i="1"/>
  <c r="G1071" i="1"/>
  <c r="E1072" i="1"/>
  <c r="F1072" i="1"/>
  <c r="G1072" i="1"/>
  <c r="E1073" i="1"/>
  <c r="F1073" i="1"/>
  <c r="G1073" i="1"/>
  <c r="E1074" i="1"/>
  <c r="F1074" i="1"/>
  <c r="G1074" i="1"/>
  <c r="E1075" i="1"/>
  <c r="F1075" i="1"/>
  <c r="G1075" i="1"/>
  <c r="E1076" i="1"/>
  <c r="F1076" i="1"/>
  <c r="G1076" i="1"/>
  <c r="E1077" i="1"/>
  <c r="F1077" i="1"/>
  <c r="G1077" i="1"/>
  <c r="E1078" i="1"/>
  <c r="F1078" i="1"/>
  <c r="G1078" i="1"/>
  <c r="E1079" i="1"/>
  <c r="F1079" i="1"/>
  <c r="G1079" i="1"/>
  <c r="E1080" i="1"/>
  <c r="F1080" i="1"/>
  <c r="G1080" i="1"/>
  <c r="E1081" i="1"/>
  <c r="F1081" i="1"/>
  <c r="G1081" i="1"/>
  <c r="E1082" i="1"/>
  <c r="F1082" i="1"/>
  <c r="G1082" i="1"/>
  <c r="E1083" i="1"/>
  <c r="F1083" i="1"/>
  <c r="G1083" i="1"/>
  <c r="E1084" i="1"/>
  <c r="F1084" i="1"/>
  <c r="G1084" i="1"/>
  <c r="E1085" i="1"/>
  <c r="F1085" i="1"/>
  <c r="G1085" i="1"/>
  <c r="E1086" i="1"/>
  <c r="F1086" i="1"/>
  <c r="G1086" i="1"/>
  <c r="E1087" i="1"/>
  <c r="F1087" i="1"/>
  <c r="G1087" i="1"/>
  <c r="E1088" i="1"/>
  <c r="F1088" i="1"/>
  <c r="G1088" i="1"/>
  <c r="E1089" i="1"/>
  <c r="F1089" i="1"/>
  <c r="G1089" i="1"/>
  <c r="E1090" i="1"/>
  <c r="F1090" i="1"/>
  <c r="G1090" i="1"/>
  <c r="E1091" i="1"/>
  <c r="F1091" i="1"/>
  <c r="G1091" i="1"/>
  <c r="E1092" i="1"/>
  <c r="F1092" i="1"/>
  <c r="G1092" i="1"/>
  <c r="E1093" i="1"/>
  <c r="F1093" i="1"/>
  <c r="G1093" i="1"/>
  <c r="E1094" i="1"/>
  <c r="F1094" i="1"/>
  <c r="G1094" i="1"/>
  <c r="E1095" i="1"/>
  <c r="F1095" i="1"/>
  <c r="G1095" i="1"/>
  <c r="E1096" i="1"/>
  <c r="F1096" i="1"/>
  <c r="G1096" i="1"/>
  <c r="E1097" i="1"/>
  <c r="F1097" i="1"/>
  <c r="G1097" i="1"/>
  <c r="E1098" i="1"/>
  <c r="F1098" i="1"/>
  <c r="G1098" i="1"/>
  <c r="E1099" i="1"/>
  <c r="F1099" i="1"/>
  <c r="G1099" i="1"/>
  <c r="E1100" i="1"/>
  <c r="F1100" i="1"/>
  <c r="G1100" i="1"/>
  <c r="E1101" i="1"/>
  <c r="F1101" i="1"/>
  <c r="G1101" i="1"/>
  <c r="E1102" i="1"/>
  <c r="F1102" i="1"/>
  <c r="G1102" i="1"/>
  <c r="E1103" i="1"/>
  <c r="F1103" i="1"/>
  <c r="G1103" i="1"/>
  <c r="E1104" i="1"/>
  <c r="F1104" i="1"/>
  <c r="G1104" i="1"/>
  <c r="E1105" i="1"/>
  <c r="F1105" i="1"/>
  <c r="G1105" i="1"/>
  <c r="E1106" i="1"/>
  <c r="F1106" i="1"/>
  <c r="G1106" i="1"/>
  <c r="E1107" i="1"/>
  <c r="F1107" i="1"/>
  <c r="G1107" i="1"/>
  <c r="E1108" i="1"/>
  <c r="F1108" i="1"/>
  <c r="G1108" i="1"/>
  <c r="E1109" i="1"/>
  <c r="F1109" i="1"/>
  <c r="G1109" i="1"/>
  <c r="E1110" i="1"/>
  <c r="F1110" i="1"/>
  <c r="G1110" i="1"/>
  <c r="E1111" i="1"/>
  <c r="F1111" i="1"/>
  <c r="G1111" i="1"/>
  <c r="E1112" i="1"/>
  <c r="F1112" i="1"/>
  <c r="G1112" i="1"/>
  <c r="E1113" i="1"/>
  <c r="F1113" i="1"/>
  <c r="G1113" i="1"/>
  <c r="E1114" i="1"/>
  <c r="F1114" i="1"/>
  <c r="G1114" i="1"/>
  <c r="E1115" i="1"/>
  <c r="F1115" i="1"/>
  <c r="G1115" i="1"/>
  <c r="E1116" i="1"/>
  <c r="F1116" i="1"/>
  <c r="G1116" i="1"/>
  <c r="E1117" i="1"/>
  <c r="F1117" i="1"/>
  <c r="G1117" i="1"/>
  <c r="E1118" i="1"/>
  <c r="F1118" i="1"/>
  <c r="G1118" i="1"/>
  <c r="E1119" i="1"/>
  <c r="F1119" i="1"/>
  <c r="G1119" i="1"/>
  <c r="E1120" i="1"/>
  <c r="F1120" i="1"/>
  <c r="G1120" i="1"/>
  <c r="E1121" i="1"/>
  <c r="F1121" i="1"/>
  <c r="G1121" i="1"/>
  <c r="E1122" i="1"/>
  <c r="F1122" i="1"/>
  <c r="G1122" i="1"/>
  <c r="E1123" i="1"/>
  <c r="F1123" i="1"/>
  <c r="G1123" i="1"/>
  <c r="E1124" i="1"/>
  <c r="F1124" i="1"/>
  <c r="G1124" i="1"/>
  <c r="E1125" i="1"/>
  <c r="F1125" i="1"/>
  <c r="G1125" i="1"/>
  <c r="E1126" i="1"/>
  <c r="F1126" i="1"/>
  <c r="G1126" i="1"/>
  <c r="E1127" i="1"/>
  <c r="F1127" i="1"/>
  <c r="G1127" i="1"/>
  <c r="E1128" i="1"/>
  <c r="F1128" i="1"/>
  <c r="G1128" i="1"/>
  <c r="E1129" i="1"/>
  <c r="F1129" i="1"/>
  <c r="G1129" i="1"/>
  <c r="E1130" i="1"/>
  <c r="F1130" i="1"/>
  <c r="G1130" i="1"/>
  <c r="E1131" i="1"/>
  <c r="F1131" i="1"/>
  <c r="G1131" i="1"/>
  <c r="E1132" i="1"/>
  <c r="F1132" i="1"/>
  <c r="G1132" i="1"/>
  <c r="E1133" i="1"/>
  <c r="F1133" i="1"/>
  <c r="G1133" i="1"/>
  <c r="E1134" i="1"/>
  <c r="F1134" i="1"/>
  <c r="G1134" i="1"/>
  <c r="E1135" i="1"/>
  <c r="F1135" i="1"/>
  <c r="G1135" i="1"/>
  <c r="E1136" i="1"/>
  <c r="F1136" i="1"/>
  <c r="G1136" i="1"/>
  <c r="E1137" i="1"/>
  <c r="F1137" i="1"/>
  <c r="G1137" i="1"/>
  <c r="E1138" i="1"/>
  <c r="F1138" i="1"/>
  <c r="G1138" i="1"/>
  <c r="E1139" i="1"/>
  <c r="F1139" i="1"/>
  <c r="G1139" i="1"/>
  <c r="E1140" i="1"/>
  <c r="F1140" i="1"/>
  <c r="G1140" i="1"/>
  <c r="E1141" i="1"/>
  <c r="F1141" i="1"/>
  <c r="G1141" i="1"/>
  <c r="E1142" i="1"/>
  <c r="F1142" i="1"/>
  <c r="G1142" i="1"/>
  <c r="E1143" i="1"/>
  <c r="F1143" i="1"/>
  <c r="G1143" i="1"/>
  <c r="E1144" i="1"/>
  <c r="F1144" i="1"/>
  <c r="G1144" i="1"/>
  <c r="E1145" i="1"/>
  <c r="F1145" i="1"/>
  <c r="G1145" i="1"/>
  <c r="E1146" i="1"/>
  <c r="F1146" i="1"/>
  <c r="G1146" i="1"/>
  <c r="E1147" i="1"/>
  <c r="F1147" i="1"/>
  <c r="G1147" i="1"/>
  <c r="E1148" i="1"/>
  <c r="F1148" i="1"/>
  <c r="G1148" i="1"/>
  <c r="E1149" i="1"/>
  <c r="F1149" i="1"/>
  <c r="G1149" i="1"/>
  <c r="E1150" i="1"/>
  <c r="F1150" i="1"/>
  <c r="G1150" i="1"/>
  <c r="E1151" i="1"/>
  <c r="F1151" i="1"/>
  <c r="G1151" i="1"/>
  <c r="E1152" i="1"/>
  <c r="F1152" i="1"/>
  <c r="G1152" i="1"/>
  <c r="E1153" i="1"/>
  <c r="F1153" i="1"/>
  <c r="G1153" i="1"/>
  <c r="E1154" i="1"/>
  <c r="F1154" i="1"/>
  <c r="G1154" i="1"/>
  <c r="E1155" i="1"/>
  <c r="F1155" i="1"/>
  <c r="G1155" i="1"/>
  <c r="E1156" i="1"/>
  <c r="F1156" i="1"/>
  <c r="G1156" i="1"/>
  <c r="E1157" i="1"/>
  <c r="F1157" i="1"/>
  <c r="G1157" i="1"/>
  <c r="E1158" i="1"/>
  <c r="F1158" i="1"/>
  <c r="G1158" i="1"/>
  <c r="E1159" i="1"/>
  <c r="F1159" i="1"/>
  <c r="G1159" i="1"/>
  <c r="E1160" i="1"/>
  <c r="F1160" i="1"/>
  <c r="G1160" i="1"/>
  <c r="E1161" i="1"/>
  <c r="F1161" i="1"/>
  <c r="G1161" i="1"/>
  <c r="E1162" i="1"/>
  <c r="F1162" i="1"/>
  <c r="G1162" i="1"/>
  <c r="E1163" i="1"/>
  <c r="F1163" i="1"/>
  <c r="G1163" i="1"/>
  <c r="E1164" i="1"/>
  <c r="F1164" i="1"/>
  <c r="G1164" i="1"/>
  <c r="E1165" i="1"/>
  <c r="F1165" i="1"/>
  <c r="G1165" i="1"/>
  <c r="E1166" i="1"/>
  <c r="F1166" i="1"/>
  <c r="G1166" i="1"/>
  <c r="E1167" i="1"/>
  <c r="F1167" i="1"/>
  <c r="G1167" i="1"/>
  <c r="E1168" i="1"/>
  <c r="F1168" i="1"/>
  <c r="G1168" i="1"/>
  <c r="E1169" i="1"/>
  <c r="F1169" i="1"/>
  <c r="G1169" i="1"/>
  <c r="E1170" i="1"/>
  <c r="F1170" i="1"/>
  <c r="G1170" i="1"/>
  <c r="E1171" i="1"/>
  <c r="F1171" i="1"/>
  <c r="G1171" i="1"/>
  <c r="E1172" i="1"/>
  <c r="F1172" i="1"/>
  <c r="G1172" i="1"/>
  <c r="E1173" i="1"/>
  <c r="F1173" i="1"/>
  <c r="G1173" i="1"/>
  <c r="E1174" i="1"/>
  <c r="F1174" i="1"/>
  <c r="G1174" i="1"/>
  <c r="E1175" i="1"/>
  <c r="F1175" i="1"/>
  <c r="G1175" i="1"/>
  <c r="E1176" i="1"/>
  <c r="F1176" i="1"/>
  <c r="G1176" i="1"/>
  <c r="E1177" i="1"/>
  <c r="F1177" i="1"/>
  <c r="G1177" i="1"/>
  <c r="E1178" i="1"/>
  <c r="F1178" i="1"/>
  <c r="G1178" i="1"/>
  <c r="E1179" i="1"/>
  <c r="F1179" i="1"/>
  <c r="G1179" i="1"/>
  <c r="E1180" i="1"/>
  <c r="F1180" i="1"/>
  <c r="G1180" i="1"/>
  <c r="E1181" i="1"/>
  <c r="F1181" i="1"/>
  <c r="G1181" i="1"/>
  <c r="E1182" i="1"/>
  <c r="F1182" i="1"/>
  <c r="G1182" i="1"/>
  <c r="E1183" i="1"/>
  <c r="F1183" i="1"/>
  <c r="G1183" i="1"/>
  <c r="E1184" i="1"/>
  <c r="F1184" i="1"/>
  <c r="G1184" i="1"/>
  <c r="E1185" i="1"/>
  <c r="F1185" i="1"/>
  <c r="G1185" i="1"/>
  <c r="E1186" i="1"/>
  <c r="F1186" i="1"/>
  <c r="G1186" i="1"/>
  <c r="E1187" i="1"/>
  <c r="F1187" i="1"/>
  <c r="G1187" i="1"/>
  <c r="E1188" i="1"/>
  <c r="F1188" i="1"/>
  <c r="G1188" i="1"/>
  <c r="E1189" i="1"/>
  <c r="F1189" i="1"/>
  <c r="G1189" i="1"/>
  <c r="E1190" i="1"/>
  <c r="F1190" i="1"/>
  <c r="G1190" i="1"/>
  <c r="E1191" i="1"/>
  <c r="F1191" i="1"/>
  <c r="G1191" i="1"/>
  <c r="E1192" i="1"/>
  <c r="F1192" i="1"/>
  <c r="G1192" i="1"/>
  <c r="E1193" i="1"/>
  <c r="F1193" i="1"/>
  <c r="G1193" i="1"/>
  <c r="E1194" i="1"/>
  <c r="F1194" i="1"/>
  <c r="G1194" i="1"/>
  <c r="E1195" i="1"/>
  <c r="F1195" i="1"/>
  <c r="G1195" i="1"/>
  <c r="E1196" i="1"/>
  <c r="F1196" i="1"/>
  <c r="G1196" i="1"/>
  <c r="E1197" i="1"/>
  <c r="F1197" i="1"/>
  <c r="G1197" i="1"/>
  <c r="E1198" i="1"/>
  <c r="F1198" i="1"/>
  <c r="G1198" i="1"/>
  <c r="E1199" i="1"/>
  <c r="F1199" i="1"/>
  <c r="G1199" i="1"/>
  <c r="E1200" i="1"/>
  <c r="F1200" i="1"/>
  <c r="G1200" i="1"/>
  <c r="E1201" i="1"/>
  <c r="F1201" i="1"/>
  <c r="G1201" i="1"/>
  <c r="E1202" i="1"/>
  <c r="F1202" i="1"/>
  <c r="G1202" i="1"/>
  <c r="E1203" i="1"/>
  <c r="F1203" i="1"/>
  <c r="G1203" i="1"/>
  <c r="E1204" i="1"/>
  <c r="F1204" i="1"/>
  <c r="G1204" i="1"/>
  <c r="E1205" i="1"/>
  <c r="F1205" i="1"/>
  <c r="G1205" i="1"/>
  <c r="E1206" i="1"/>
  <c r="F1206" i="1"/>
  <c r="G1206" i="1"/>
  <c r="E1207" i="1"/>
  <c r="F1207" i="1"/>
  <c r="G1207" i="1"/>
  <c r="E1208" i="1"/>
  <c r="F1208" i="1"/>
  <c r="G1208" i="1"/>
  <c r="E1209" i="1"/>
  <c r="F1209" i="1"/>
  <c r="G1209" i="1"/>
  <c r="E1210" i="1"/>
  <c r="F1210" i="1"/>
  <c r="G1210" i="1"/>
  <c r="E1211" i="1"/>
  <c r="F1211" i="1"/>
  <c r="G1211" i="1"/>
  <c r="E1212" i="1"/>
  <c r="F1212" i="1"/>
  <c r="G1212" i="1"/>
  <c r="E1213" i="1"/>
  <c r="F1213" i="1"/>
  <c r="G1213" i="1"/>
  <c r="E1214" i="1"/>
  <c r="F1214" i="1"/>
  <c r="G1214" i="1"/>
  <c r="E1215" i="1"/>
  <c r="F1215" i="1"/>
  <c r="G1215" i="1"/>
  <c r="E1216" i="1"/>
  <c r="F1216" i="1"/>
  <c r="G1216" i="1"/>
  <c r="E1217" i="1"/>
  <c r="F1217" i="1"/>
  <c r="G1217" i="1"/>
  <c r="E1218" i="1"/>
  <c r="F1218" i="1"/>
  <c r="G1218" i="1"/>
  <c r="E1219" i="1"/>
  <c r="F1219" i="1"/>
  <c r="G1219" i="1"/>
  <c r="E1220" i="1"/>
  <c r="F1220" i="1"/>
  <c r="G1220" i="1"/>
  <c r="E1221" i="1"/>
  <c r="F1221" i="1"/>
  <c r="G1221" i="1"/>
  <c r="E1222" i="1"/>
  <c r="F1222" i="1"/>
  <c r="G1222" i="1"/>
  <c r="E1223" i="1"/>
  <c r="F1223" i="1"/>
  <c r="G1223" i="1"/>
  <c r="E1224" i="1"/>
  <c r="F1224" i="1"/>
  <c r="G1224" i="1"/>
  <c r="E1225" i="1"/>
  <c r="F1225" i="1"/>
  <c r="G1225" i="1"/>
  <c r="E1226" i="1"/>
  <c r="F1226" i="1"/>
  <c r="G1226" i="1"/>
  <c r="E1227" i="1"/>
  <c r="F1227" i="1"/>
  <c r="G1227" i="1"/>
  <c r="E1228" i="1"/>
  <c r="F1228" i="1"/>
  <c r="G1228" i="1"/>
  <c r="E1229" i="1"/>
  <c r="F1229" i="1"/>
  <c r="G1229" i="1"/>
  <c r="E1230" i="1"/>
  <c r="F1230" i="1"/>
  <c r="G1230" i="1"/>
  <c r="E1231" i="1"/>
  <c r="F1231" i="1"/>
  <c r="G1231" i="1"/>
  <c r="E1232" i="1"/>
  <c r="F1232" i="1"/>
  <c r="G1232" i="1"/>
  <c r="E1233" i="1"/>
  <c r="F1233" i="1"/>
  <c r="G1233" i="1"/>
  <c r="E1234" i="1"/>
  <c r="F1234" i="1"/>
  <c r="G1234" i="1"/>
  <c r="E1235" i="1"/>
  <c r="F1235" i="1"/>
  <c r="G1235" i="1"/>
  <c r="E1236" i="1"/>
  <c r="F1236" i="1"/>
  <c r="G1236" i="1"/>
  <c r="E1237" i="1"/>
  <c r="F1237" i="1"/>
  <c r="G1237" i="1"/>
  <c r="E1238" i="1"/>
  <c r="F1238" i="1"/>
  <c r="G1238" i="1"/>
  <c r="E1239" i="1"/>
  <c r="F1239" i="1"/>
  <c r="G1239" i="1"/>
  <c r="E1240" i="1"/>
  <c r="F1240" i="1"/>
  <c r="G1240" i="1"/>
  <c r="E1241" i="1"/>
  <c r="F1241" i="1"/>
  <c r="G1241" i="1"/>
  <c r="E1242" i="1"/>
  <c r="F1242" i="1"/>
  <c r="G1242" i="1"/>
  <c r="E1243" i="1"/>
  <c r="F1243" i="1"/>
  <c r="G1243" i="1"/>
  <c r="E1244" i="1"/>
  <c r="F1244" i="1"/>
  <c r="G1244" i="1"/>
  <c r="E1245" i="1"/>
  <c r="F1245" i="1"/>
  <c r="G1245" i="1"/>
  <c r="E1246" i="1"/>
  <c r="F1246" i="1"/>
  <c r="G1246" i="1"/>
  <c r="E1247" i="1"/>
  <c r="F1247" i="1"/>
  <c r="G1247" i="1"/>
  <c r="E1248" i="1"/>
  <c r="F1248" i="1"/>
  <c r="G1248" i="1"/>
  <c r="E1249" i="1"/>
  <c r="F1249" i="1"/>
  <c r="G1249" i="1"/>
  <c r="E1250" i="1"/>
  <c r="F1250" i="1"/>
  <c r="G1250" i="1"/>
  <c r="E1251" i="1"/>
  <c r="F1251" i="1"/>
  <c r="G1251" i="1"/>
  <c r="E1252" i="1"/>
  <c r="F1252" i="1"/>
  <c r="G1252" i="1"/>
  <c r="E1253" i="1"/>
  <c r="F1253" i="1"/>
  <c r="G1253" i="1"/>
  <c r="E1254" i="1"/>
  <c r="F1254" i="1"/>
  <c r="G1254" i="1"/>
  <c r="E1255" i="1"/>
  <c r="F1255" i="1"/>
  <c r="G1255" i="1"/>
  <c r="E1256" i="1"/>
  <c r="F1256" i="1"/>
  <c r="G1256" i="1"/>
  <c r="E1257" i="1"/>
  <c r="F1257" i="1"/>
  <c r="G1257" i="1"/>
  <c r="E1258" i="1"/>
  <c r="F1258" i="1"/>
  <c r="G1258" i="1"/>
  <c r="E1259" i="1"/>
  <c r="F1259" i="1"/>
  <c r="G1259" i="1"/>
  <c r="E1260" i="1"/>
  <c r="F1260" i="1"/>
  <c r="G1260" i="1"/>
  <c r="E1261" i="1"/>
  <c r="F1261" i="1"/>
  <c r="G1261" i="1"/>
  <c r="E1262" i="1"/>
  <c r="F1262" i="1"/>
  <c r="G1262" i="1"/>
  <c r="E1263" i="1"/>
  <c r="F1263" i="1"/>
  <c r="G1263" i="1"/>
  <c r="E1264" i="1"/>
  <c r="F1264" i="1"/>
  <c r="G1264" i="1"/>
  <c r="E1265" i="1"/>
  <c r="F1265" i="1"/>
  <c r="G1265" i="1"/>
  <c r="E1266" i="1"/>
  <c r="F1266" i="1"/>
  <c r="G1266" i="1"/>
  <c r="E1267" i="1"/>
  <c r="F1267" i="1"/>
  <c r="G1267" i="1"/>
  <c r="E1268" i="1"/>
  <c r="F1268" i="1"/>
  <c r="G1268" i="1"/>
  <c r="E1269" i="1"/>
  <c r="F1269" i="1"/>
  <c r="G1269" i="1"/>
  <c r="E1270" i="1"/>
  <c r="F1270" i="1"/>
  <c r="G1270" i="1"/>
  <c r="E1271" i="1"/>
  <c r="F1271" i="1"/>
  <c r="G1271" i="1"/>
  <c r="E1272" i="1"/>
  <c r="F1272" i="1"/>
  <c r="G1272" i="1"/>
  <c r="E1273" i="1"/>
  <c r="F1273" i="1"/>
  <c r="G1273" i="1"/>
  <c r="E1274" i="1"/>
  <c r="F1274" i="1"/>
  <c r="G1274" i="1"/>
  <c r="E1275" i="1"/>
  <c r="F1275" i="1"/>
  <c r="G1275" i="1"/>
  <c r="E1276" i="1"/>
  <c r="F1276" i="1"/>
  <c r="G1276" i="1"/>
  <c r="E1277" i="1"/>
  <c r="F1277" i="1"/>
  <c r="G1277" i="1"/>
  <c r="E1278" i="1"/>
  <c r="F1278" i="1"/>
  <c r="G1278" i="1"/>
  <c r="E1279" i="1"/>
  <c r="F1279" i="1"/>
  <c r="G1279" i="1"/>
  <c r="E1280" i="1"/>
  <c r="F1280" i="1"/>
  <c r="G1280" i="1"/>
  <c r="E1281" i="1"/>
  <c r="F1281" i="1"/>
  <c r="G1281" i="1"/>
  <c r="E1282" i="1"/>
  <c r="F1282" i="1"/>
  <c r="G1282" i="1"/>
  <c r="E1283" i="1"/>
  <c r="F1283" i="1"/>
  <c r="G1283" i="1"/>
  <c r="E1284" i="1"/>
  <c r="F1284" i="1"/>
  <c r="G1284" i="1"/>
  <c r="E1285" i="1"/>
  <c r="F1285" i="1"/>
  <c r="G1285" i="1"/>
  <c r="E1286" i="1"/>
  <c r="F1286" i="1"/>
  <c r="G1286" i="1"/>
  <c r="E1287" i="1"/>
  <c r="F1287" i="1"/>
  <c r="G1287" i="1"/>
  <c r="E1288" i="1"/>
  <c r="F1288" i="1"/>
  <c r="G1288" i="1"/>
  <c r="E1289" i="1"/>
  <c r="F1289" i="1"/>
  <c r="G1289" i="1"/>
  <c r="E1290" i="1"/>
  <c r="F1290" i="1"/>
  <c r="G1290" i="1"/>
  <c r="E1291" i="1"/>
  <c r="F1291" i="1"/>
  <c r="G1291" i="1"/>
  <c r="E1292" i="1"/>
  <c r="F1292" i="1"/>
  <c r="G1292" i="1"/>
  <c r="E1293" i="1"/>
  <c r="F1293" i="1"/>
  <c r="G1293" i="1"/>
  <c r="E1294" i="1"/>
  <c r="F1294" i="1"/>
  <c r="G1294" i="1"/>
  <c r="E1295" i="1"/>
  <c r="F1295" i="1"/>
  <c r="G1295" i="1"/>
  <c r="E1296" i="1"/>
  <c r="F1296" i="1"/>
  <c r="G1296" i="1"/>
  <c r="E1297" i="1"/>
  <c r="F1297" i="1"/>
  <c r="G1297" i="1"/>
  <c r="E1298" i="1"/>
  <c r="F1298" i="1"/>
  <c r="G1298" i="1"/>
  <c r="E1299" i="1"/>
  <c r="F1299" i="1"/>
  <c r="G1299" i="1"/>
  <c r="E1300" i="1"/>
  <c r="F1300" i="1"/>
  <c r="G1300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E4174" i="4"/>
  <c r="F4174" i="4" s="1"/>
  <c r="E4175" i="4"/>
  <c r="E4176" i="4"/>
  <c r="F4176" i="4" s="1"/>
  <c r="E4177" i="4"/>
  <c r="F4177" i="4" s="1"/>
  <c r="E4178" i="4"/>
  <c r="F4178" i="4" s="1"/>
  <c r="E4179" i="4"/>
  <c r="F4179" i="4" s="1"/>
  <c r="E4180" i="4"/>
  <c r="F4180" i="4" s="1"/>
  <c r="E4181" i="4"/>
  <c r="F4181" i="4" s="1"/>
  <c r="E4182" i="4"/>
  <c r="F4182" i="4" s="1"/>
  <c r="E4183" i="4"/>
  <c r="F4183" i="4" s="1"/>
  <c r="E4184" i="4"/>
  <c r="F4184" i="4" s="1"/>
  <c r="E4185" i="4"/>
  <c r="E4186" i="4"/>
  <c r="F4186" i="4" s="1"/>
  <c r="E4187" i="4"/>
  <c r="F4187" i="4" s="1"/>
  <c r="E4188" i="4"/>
  <c r="E4189" i="4"/>
  <c r="F4189" i="4" s="1"/>
  <c r="E4190" i="4"/>
  <c r="F4190" i="4" s="1"/>
  <c r="E4191" i="4"/>
  <c r="F4191" i="4" s="1"/>
  <c r="E4192" i="4"/>
  <c r="F4192" i="4" s="1"/>
  <c r="E4193" i="4"/>
  <c r="F4193" i="4" s="1"/>
  <c r="E4194" i="4"/>
  <c r="F4194" i="4" s="1"/>
  <c r="E4195" i="4"/>
  <c r="F4195" i="4" s="1"/>
  <c r="E4196" i="4"/>
  <c r="F4196" i="4" s="1"/>
  <c r="E4197" i="4"/>
  <c r="F4197" i="4" s="1"/>
  <c r="E4198" i="4"/>
  <c r="F4198" i="4" s="1"/>
  <c r="E4199" i="4"/>
  <c r="F4199" i="4" s="1"/>
  <c r="E4200" i="4"/>
  <c r="F4200" i="4" s="1"/>
  <c r="E4201" i="4"/>
  <c r="F4201" i="4" s="1"/>
  <c r="E4202" i="4"/>
  <c r="F4202" i="4" s="1"/>
  <c r="E4203" i="4"/>
  <c r="F4203" i="4" s="1"/>
  <c r="E4204" i="4"/>
  <c r="E4205" i="4"/>
  <c r="F4205" i="4" s="1"/>
  <c r="E4206" i="4"/>
  <c r="F4206" i="4" s="1"/>
  <c r="E4207" i="4"/>
  <c r="F4207" i="4" s="1"/>
  <c r="E4208" i="4"/>
  <c r="F4208" i="4" s="1"/>
  <c r="E4209" i="4"/>
  <c r="F4209" i="4" s="1"/>
  <c r="E4210" i="4"/>
  <c r="F4210" i="4" s="1"/>
  <c r="E4211" i="4"/>
  <c r="F4211" i="4" s="1"/>
  <c r="E4212" i="4"/>
  <c r="F4212" i="4" s="1"/>
  <c r="E4213" i="4"/>
  <c r="F4213" i="4" s="1"/>
  <c r="E4214" i="4"/>
  <c r="F4214" i="4" s="1"/>
  <c r="E4215" i="4"/>
  <c r="F4215" i="4" s="1"/>
  <c r="E4216" i="4"/>
  <c r="F4216" i="4" s="1"/>
  <c r="E4217" i="4"/>
  <c r="F4217" i="4" s="1"/>
  <c r="E4218" i="4"/>
  <c r="F4218" i="4" s="1"/>
  <c r="E4219" i="4"/>
  <c r="F4219" i="4" s="1"/>
  <c r="E4220" i="4"/>
  <c r="F4220" i="4" s="1"/>
  <c r="E4221" i="4"/>
  <c r="F4221" i="4" s="1"/>
  <c r="E4222" i="4"/>
  <c r="F4222" i="4" s="1"/>
  <c r="E4223" i="4"/>
  <c r="F4223" i="4" s="1"/>
  <c r="E4224" i="4"/>
  <c r="F4224" i="4" s="1"/>
  <c r="E4225" i="4"/>
  <c r="F4225" i="4" s="1"/>
  <c r="E4226" i="4"/>
  <c r="F4226" i="4" s="1"/>
  <c r="E4227" i="4"/>
  <c r="F4227" i="4" s="1"/>
  <c r="E4228" i="4"/>
  <c r="F4228" i="4" s="1"/>
  <c r="E4229" i="4"/>
  <c r="F4229" i="4" s="1"/>
  <c r="E4230" i="4"/>
  <c r="F4230" i="4" s="1"/>
  <c r="E4231" i="4"/>
  <c r="F4231" i="4" s="1"/>
  <c r="E4232" i="4"/>
  <c r="F4232" i="4" s="1"/>
  <c r="E4233" i="4"/>
  <c r="F4233" i="4" s="1"/>
  <c r="E4234" i="4"/>
  <c r="E4235" i="4"/>
  <c r="F4235" i="4" s="1"/>
  <c r="E4236" i="4"/>
  <c r="F4236" i="4" s="1"/>
  <c r="E4237" i="4"/>
  <c r="F4237" i="4" s="1"/>
  <c r="E4238" i="4"/>
  <c r="F4238" i="4" s="1"/>
  <c r="E4239" i="4"/>
  <c r="F4239" i="4" s="1"/>
  <c r="E4240" i="4"/>
  <c r="F4240" i="4" s="1"/>
  <c r="E4241" i="4"/>
  <c r="E4242" i="4"/>
  <c r="F4242" i="4" s="1"/>
  <c r="E4243" i="4"/>
  <c r="F4243" i="4" s="1"/>
  <c r="E4244" i="4"/>
  <c r="F4244" i="4" s="1"/>
  <c r="E4245" i="4"/>
  <c r="F4245" i="4" s="1"/>
  <c r="E4246" i="4"/>
  <c r="E4247" i="4"/>
  <c r="F4247" i="4" s="1"/>
  <c r="E4248" i="4"/>
  <c r="F4248" i="4" s="1"/>
  <c r="E4249" i="4"/>
  <c r="F4249" i="4" s="1"/>
  <c r="E4250" i="4"/>
  <c r="F4250" i="4" s="1"/>
  <c r="E4251" i="4"/>
  <c r="F4251" i="4" s="1"/>
  <c r="E4252" i="4"/>
  <c r="F4252" i="4" s="1"/>
  <c r="E4253" i="4"/>
  <c r="F4253" i="4" s="1"/>
  <c r="E4254" i="4"/>
  <c r="F4254" i="4" s="1"/>
  <c r="E4255" i="4"/>
  <c r="F4255" i="4" s="1"/>
  <c r="E4256" i="4"/>
  <c r="F4256" i="4" s="1"/>
  <c r="E4257" i="4"/>
  <c r="F4257" i="4" s="1"/>
  <c r="E4258" i="4"/>
  <c r="F4258" i="4" s="1"/>
  <c r="E4259" i="4"/>
  <c r="F4259" i="4" s="1"/>
  <c r="E4260" i="4"/>
  <c r="F4260" i="4" s="1"/>
  <c r="E4261" i="4"/>
  <c r="E4262" i="4"/>
  <c r="F4262" i="4" s="1"/>
  <c r="E4263" i="4"/>
  <c r="F4263" i="4" s="1"/>
  <c r="E4264" i="4"/>
  <c r="F4264" i="4" s="1"/>
  <c r="E4265" i="4"/>
  <c r="F4265" i="4" s="1"/>
  <c r="E4266" i="4"/>
  <c r="F4266" i="4" s="1"/>
  <c r="E4267" i="4"/>
  <c r="F4267" i="4" s="1"/>
  <c r="E4268" i="4"/>
  <c r="F4268" i="4" s="1"/>
  <c r="E4269" i="4"/>
  <c r="F4269" i="4" s="1"/>
  <c r="E4270" i="4"/>
  <c r="F4270" i="4" s="1"/>
  <c r="E4271" i="4"/>
  <c r="F4271" i="4" s="1"/>
  <c r="E4272" i="4"/>
  <c r="F4272" i="4" s="1"/>
  <c r="E4273" i="4"/>
  <c r="F4273" i="4" s="1"/>
  <c r="E4274" i="4"/>
  <c r="F4274" i="4" s="1"/>
  <c r="E4275" i="4"/>
  <c r="F4275" i="4" s="1"/>
  <c r="E4276" i="4"/>
  <c r="F4276" i="4" s="1"/>
  <c r="E4277" i="4"/>
  <c r="F4277" i="4" s="1"/>
  <c r="E4278" i="4"/>
  <c r="E4279" i="4"/>
  <c r="F4279" i="4" s="1"/>
  <c r="E4280" i="4"/>
  <c r="F4280" i="4" s="1"/>
  <c r="E4281" i="4"/>
  <c r="F4281" i="4" s="1"/>
  <c r="E4282" i="4"/>
  <c r="F4282" i="4" s="1"/>
  <c r="E4283" i="4"/>
  <c r="F4283" i="4" s="1"/>
  <c r="E4284" i="4"/>
  <c r="F4284" i="4" s="1"/>
  <c r="E4285" i="4"/>
  <c r="F4285" i="4" s="1"/>
  <c r="E4286" i="4"/>
  <c r="F4286" i="4" s="1"/>
  <c r="E4287" i="4"/>
  <c r="F4287" i="4" s="1"/>
  <c r="E4288" i="4"/>
  <c r="F4288" i="4" s="1"/>
  <c r="E4289" i="4"/>
  <c r="F4289" i="4" s="1"/>
  <c r="E4290" i="4"/>
  <c r="F4290" i="4" s="1"/>
  <c r="E4291" i="4"/>
  <c r="E4292" i="4"/>
  <c r="F4292" i="4" s="1"/>
  <c r="E4293" i="4"/>
  <c r="F4293" i="4" s="1"/>
  <c r="E4294" i="4"/>
  <c r="F4294" i="4" s="1"/>
  <c r="E4295" i="4"/>
  <c r="F4295" i="4" s="1"/>
  <c r="E4296" i="4"/>
  <c r="F4296" i="4" s="1"/>
  <c r="E4297" i="4"/>
  <c r="F4297" i="4" s="1"/>
  <c r="E4298" i="4"/>
  <c r="F4298" i="4" s="1"/>
  <c r="E4299" i="4"/>
  <c r="F4299" i="4" s="1"/>
  <c r="E4300" i="4"/>
  <c r="F4300" i="4" s="1"/>
  <c r="E4301" i="4"/>
  <c r="F4301" i="4" s="1"/>
  <c r="E4302" i="4"/>
  <c r="F4302" i="4" s="1"/>
  <c r="E4303" i="4"/>
  <c r="F4303" i="4" s="1"/>
  <c r="E4304" i="4"/>
  <c r="F4304" i="4" s="1"/>
  <c r="E4305" i="4"/>
  <c r="F4305" i="4" s="1"/>
  <c r="E4306" i="4"/>
  <c r="F4306" i="4" s="1"/>
  <c r="E4307" i="4"/>
  <c r="F4307" i="4" s="1"/>
  <c r="E4308" i="4"/>
  <c r="F4308" i="4" s="1"/>
  <c r="E4309" i="4"/>
  <c r="F4309" i="4" s="1"/>
  <c r="E4310" i="4"/>
  <c r="F4310" i="4" s="1"/>
  <c r="E4311" i="4"/>
  <c r="F4311" i="4" s="1"/>
  <c r="E4312" i="4"/>
  <c r="F4312" i="4" s="1"/>
  <c r="E4313" i="4"/>
  <c r="F4313" i="4" s="1"/>
  <c r="E4314" i="4"/>
  <c r="F4314" i="4" s="1"/>
  <c r="E4315" i="4"/>
  <c r="F4315" i="4" s="1"/>
  <c r="E4316" i="4"/>
  <c r="F4316" i="4" s="1"/>
  <c r="E4317" i="4"/>
  <c r="F4317" i="4" s="1"/>
  <c r="E4318" i="4"/>
  <c r="F4318" i="4" s="1"/>
  <c r="E4319" i="4"/>
  <c r="F4319" i="4" s="1"/>
  <c r="E4320" i="4"/>
  <c r="F4320" i="4" s="1"/>
  <c r="E4321" i="4"/>
  <c r="F4321" i="4" s="1"/>
  <c r="E4322" i="4"/>
  <c r="F4322" i="4" s="1"/>
  <c r="E4323" i="4"/>
  <c r="F4323" i="4" s="1"/>
  <c r="E4324" i="4"/>
  <c r="F4324" i="4" s="1"/>
  <c r="E4325" i="4"/>
  <c r="F4325" i="4" s="1"/>
  <c r="E4326" i="4"/>
  <c r="F4326" i="4" s="1"/>
  <c r="E4327" i="4"/>
  <c r="F4327" i="4" s="1"/>
  <c r="E4328" i="4"/>
  <c r="F4328" i="4" s="1"/>
  <c r="E4329" i="4"/>
  <c r="F4329" i="4" s="1"/>
  <c r="E4330" i="4"/>
  <c r="F4330" i="4" s="1"/>
  <c r="E4331" i="4"/>
  <c r="F4331" i="4" s="1"/>
  <c r="E4332" i="4"/>
  <c r="F4332" i="4" s="1"/>
  <c r="E4333" i="4"/>
  <c r="F4333" i="4" s="1"/>
  <c r="E4334" i="4"/>
  <c r="F4334" i="4" s="1"/>
  <c r="E4335" i="4"/>
  <c r="F4335" i="4" s="1"/>
  <c r="E4336" i="4"/>
  <c r="F4336" i="4" s="1"/>
  <c r="E4337" i="4"/>
  <c r="F4337" i="4" s="1"/>
  <c r="E4338" i="4"/>
  <c r="F4338" i="4" s="1"/>
  <c r="E4339" i="4"/>
  <c r="F4339" i="4" s="1"/>
  <c r="E4340" i="4"/>
  <c r="F4340" i="4" s="1"/>
  <c r="E4341" i="4"/>
  <c r="F4341" i="4" s="1"/>
  <c r="E4342" i="4"/>
  <c r="E4343" i="4"/>
  <c r="F4343" i="4" s="1"/>
  <c r="E4344" i="4"/>
  <c r="F4344" i="4" s="1"/>
  <c r="E4345" i="4"/>
  <c r="F4345" i="4" s="1"/>
  <c r="E4346" i="4"/>
  <c r="F4346" i="4" s="1"/>
  <c r="E4347" i="4"/>
  <c r="F4347" i="4" s="1"/>
  <c r="E4348" i="4"/>
  <c r="F4348" i="4" s="1"/>
  <c r="E4349" i="4"/>
  <c r="F4349" i="4" s="1"/>
  <c r="E4350" i="4"/>
  <c r="F4350" i="4" s="1"/>
  <c r="E4351" i="4"/>
  <c r="F4351" i="4" s="1"/>
  <c r="E4352" i="4"/>
  <c r="F4352" i="4" s="1"/>
  <c r="E4353" i="4"/>
  <c r="F4353" i="4" s="1"/>
  <c r="E4354" i="4"/>
  <c r="F4354" i="4" s="1"/>
  <c r="E4355" i="4"/>
  <c r="F4355" i="4" s="1"/>
  <c r="E4356" i="4"/>
  <c r="F4356" i="4" s="1"/>
  <c r="E4357" i="4"/>
  <c r="F4357" i="4" s="1"/>
  <c r="E4358" i="4"/>
  <c r="F4358" i="4" s="1"/>
  <c r="E4359" i="4"/>
  <c r="F4359" i="4" s="1"/>
  <c r="E4360" i="4"/>
  <c r="F4360" i="4" s="1"/>
  <c r="E4361" i="4"/>
  <c r="F4361" i="4" s="1"/>
  <c r="E4362" i="4"/>
  <c r="F4362" i="4" s="1"/>
  <c r="E4363" i="4"/>
  <c r="F4363" i="4" s="1"/>
  <c r="E4364" i="4"/>
  <c r="F4364" i="4" s="1"/>
  <c r="E4365" i="4"/>
  <c r="F4365" i="4" s="1"/>
  <c r="E4366" i="4"/>
  <c r="F4366" i="4" s="1"/>
  <c r="E4367" i="4"/>
  <c r="F4367" i="4" s="1"/>
  <c r="E4368" i="4"/>
  <c r="F4368" i="4" s="1"/>
  <c r="E4369" i="4"/>
  <c r="E4370" i="4"/>
  <c r="F4370" i="4" s="1"/>
  <c r="E4371" i="4"/>
  <c r="F4371" i="4" s="1"/>
  <c r="E4372" i="4"/>
  <c r="F4372" i="4" s="1"/>
  <c r="E4373" i="4"/>
  <c r="F4373" i="4" s="1"/>
  <c r="E4374" i="4"/>
  <c r="F4374" i="4" s="1"/>
  <c r="E4375" i="4"/>
  <c r="F4375" i="4" s="1"/>
  <c r="E4376" i="4"/>
  <c r="F4376" i="4" s="1"/>
  <c r="E4377" i="4"/>
  <c r="F4377" i="4" s="1"/>
  <c r="E4378" i="4"/>
  <c r="F4378" i="4" s="1"/>
  <c r="E4379" i="4"/>
  <c r="F4379" i="4" s="1"/>
  <c r="E4380" i="4"/>
  <c r="F4380" i="4" s="1"/>
  <c r="E4381" i="4"/>
  <c r="F4381" i="4" s="1"/>
  <c r="E4382" i="4"/>
  <c r="F4382" i="4" s="1"/>
  <c r="E4383" i="4"/>
  <c r="F4383" i="4" s="1"/>
  <c r="E4384" i="4"/>
  <c r="F4384" i="4" s="1"/>
  <c r="E4385" i="4"/>
  <c r="F4385" i="4" s="1"/>
  <c r="E4386" i="4"/>
  <c r="F4386" i="4" s="1"/>
  <c r="E4387" i="4"/>
  <c r="F4387" i="4" s="1"/>
  <c r="E4388" i="4"/>
  <c r="F4388" i="4" s="1"/>
  <c r="E4389" i="4"/>
  <c r="F4389" i="4" s="1"/>
  <c r="E4390" i="4"/>
  <c r="F4390" i="4" s="1"/>
  <c r="E4391" i="4"/>
  <c r="F4391" i="4" s="1"/>
  <c r="E4392" i="4"/>
  <c r="F4392" i="4" s="1"/>
  <c r="E4393" i="4"/>
  <c r="F4393" i="4" s="1"/>
  <c r="E4394" i="4"/>
  <c r="F4394" i="4" s="1"/>
  <c r="E4395" i="4"/>
  <c r="F4395" i="4" s="1"/>
  <c r="E4396" i="4"/>
  <c r="F4396" i="4" s="1"/>
  <c r="E4397" i="4"/>
  <c r="F4397" i="4" s="1"/>
  <c r="E4398" i="4"/>
  <c r="F4398" i="4" s="1"/>
  <c r="E4399" i="4"/>
  <c r="F4399" i="4" s="1"/>
  <c r="E4400" i="4"/>
  <c r="F4400" i="4" s="1"/>
  <c r="E4401" i="4"/>
  <c r="F4401" i="4" s="1"/>
  <c r="E4402" i="4"/>
  <c r="F4402" i="4" s="1"/>
  <c r="E4403" i="4"/>
  <c r="E4404" i="4"/>
  <c r="E4405" i="4"/>
  <c r="F4405" i="4" s="1"/>
  <c r="E4406" i="4"/>
  <c r="F4406" i="4" s="1"/>
  <c r="E4407" i="4"/>
  <c r="F4407" i="4" s="1"/>
  <c r="E4408" i="4"/>
  <c r="F4408" i="4" s="1"/>
  <c r="E4409" i="4"/>
  <c r="F4409" i="4" s="1"/>
  <c r="E4410" i="4"/>
  <c r="F4410" i="4" s="1"/>
  <c r="E4411" i="4"/>
  <c r="F4411" i="4" s="1"/>
  <c r="E4412" i="4"/>
  <c r="F4412" i="4" s="1"/>
  <c r="E4413" i="4"/>
  <c r="F4413" i="4" s="1"/>
  <c r="E4414" i="4"/>
  <c r="F4414" i="4" s="1"/>
  <c r="E4415" i="4"/>
  <c r="F4415" i="4" s="1"/>
  <c r="E4416" i="4"/>
  <c r="F4416" i="4" s="1"/>
  <c r="E4417" i="4"/>
  <c r="F4417" i="4" s="1"/>
  <c r="E4418" i="4"/>
  <c r="F4418" i="4" s="1"/>
  <c r="E4419" i="4"/>
  <c r="F4419" i="4" s="1"/>
  <c r="E4420" i="4"/>
  <c r="F4420" i="4" s="1"/>
  <c r="E4421" i="4"/>
  <c r="F4421" i="4" s="1"/>
  <c r="E4422" i="4"/>
  <c r="F4422" i="4" s="1"/>
  <c r="E4423" i="4"/>
  <c r="F4423" i="4" s="1"/>
  <c r="E4424" i="4"/>
  <c r="F4424" i="4" s="1"/>
  <c r="E4425" i="4"/>
  <c r="F4425" i="4" s="1"/>
  <c r="E4426" i="4"/>
  <c r="F4426" i="4" s="1"/>
  <c r="E4427" i="4"/>
  <c r="F4427" i="4" s="1"/>
  <c r="E4428" i="4"/>
  <c r="F4428" i="4" s="1"/>
  <c r="E4429" i="4"/>
  <c r="F4429" i="4" s="1"/>
  <c r="E4430" i="4"/>
  <c r="F4430" i="4" s="1"/>
  <c r="E4431" i="4"/>
  <c r="F4431" i="4" s="1"/>
  <c r="E4432" i="4"/>
  <c r="E4433" i="4"/>
  <c r="F4433" i="4" s="1"/>
  <c r="E4434" i="4"/>
  <c r="F4434" i="4" s="1"/>
  <c r="E4435" i="4"/>
  <c r="F4435" i="4" s="1"/>
  <c r="E4436" i="4"/>
  <c r="F4436" i="4" s="1"/>
  <c r="E4437" i="4"/>
  <c r="F4437" i="4" s="1"/>
  <c r="E4438" i="4"/>
  <c r="F4438" i="4" s="1"/>
  <c r="E4439" i="4"/>
  <c r="F4439" i="4" s="1"/>
  <c r="E4440" i="4"/>
  <c r="F4440" i="4" s="1"/>
  <c r="E4441" i="4"/>
  <c r="F4441" i="4" s="1"/>
  <c r="E4442" i="4"/>
  <c r="F4442" i="4" s="1"/>
  <c r="E4443" i="4"/>
  <c r="F4443" i="4" s="1"/>
  <c r="E4444" i="4"/>
  <c r="F4444" i="4" s="1"/>
  <c r="E4445" i="4"/>
  <c r="F4445" i="4" s="1"/>
  <c r="E4446" i="4"/>
  <c r="F4446" i="4" s="1"/>
  <c r="E4447" i="4"/>
  <c r="F4447" i="4" s="1"/>
  <c r="E4448" i="4"/>
  <c r="E4449" i="4"/>
  <c r="F4449" i="4" s="1"/>
  <c r="E4450" i="4"/>
  <c r="F4450" i="4" s="1"/>
  <c r="E4451" i="4"/>
  <c r="F4451" i="4" s="1"/>
  <c r="E4452" i="4"/>
  <c r="F4452" i="4" s="1"/>
  <c r="E4453" i="4"/>
  <c r="F4453" i="4" s="1"/>
  <c r="E4454" i="4"/>
  <c r="F4454" i="4" s="1"/>
  <c r="E4455" i="4"/>
  <c r="F4455" i="4" s="1"/>
  <c r="E4456" i="4"/>
  <c r="F4456" i="4" s="1"/>
  <c r="E4457" i="4"/>
  <c r="F4457" i="4" s="1"/>
  <c r="E4458" i="4"/>
  <c r="F4458" i="4" s="1"/>
  <c r="E4459" i="4"/>
  <c r="F4459" i="4" s="1"/>
  <c r="E4460" i="4"/>
  <c r="F4460" i="4" s="1"/>
  <c r="E4461" i="4"/>
  <c r="F4461" i="4" s="1"/>
  <c r="E4462" i="4"/>
  <c r="F4462" i="4" s="1"/>
  <c r="E4463" i="4"/>
  <c r="F4463" i="4" s="1"/>
  <c r="E4464" i="4"/>
  <c r="F4464" i="4" s="1"/>
  <c r="E4465" i="4"/>
  <c r="F4465" i="4" s="1"/>
  <c r="E4466" i="4"/>
  <c r="F4466" i="4" s="1"/>
  <c r="E4467" i="4"/>
  <c r="F4467" i="4" s="1"/>
  <c r="E4468" i="4"/>
  <c r="F4468" i="4" s="1"/>
  <c r="E4469" i="4"/>
  <c r="F4469" i="4" s="1"/>
  <c r="E4470" i="4"/>
  <c r="F4470" i="4" s="1"/>
  <c r="E4471" i="4"/>
  <c r="F4471" i="4" s="1"/>
  <c r="E4472" i="4"/>
  <c r="F4472" i="4" s="1"/>
  <c r="E4473" i="4"/>
  <c r="F4473" i="4" s="1"/>
  <c r="E4474" i="4"/>
  <c r="F4474" i="4" s="1"/>
  <c r="E4475" i="4"/>
  <c r="F4475" i="4" s="1"/>
  <c r="E4476" i="4"/>
  <c r="F4476" i="4" s="1"/>
  <c r="E4477" i="4"/>
  <c r="F4477" i="4" s="1"/>
  <c r="E4478" i="4"/>
  <c r="F4478" i="4" s="1"/>
  <c r="E4479" i="4"/>
  <c r="F4479" i="4" s="1"/>
  <c r="E4480" i="4"/>
  <c r="E4481" i="4"/>
  <c r="F4481" i="4" s="1"/>
  <c r="E4482" i="4"/>
  <c r="F4482" i="4" s="1"/>
  <c r="E4483" i="4"/>
  <c r="F4483" i="4" s="1"/>
  <c r="E4484" i="4"/>
  <c r="F4484" i="4" s="1"/>
  <c r="E4485" i="4"/>
  <c r="F4485" i="4" s="1"/>
  <c r="E4486" i="4"/>
  <c r="F4486" i="4" s="1"/>
  <c r="E4487" i="4"/>
  <c r="F4487" i="4" s="1"/>
  <c r="E4488" i="4"/>
  <c r="F4488" i="4" s="1"/>
  <c r="E4489" i="4"/>
  <c r="E4490" i="4"/>
  <c r="F4490" i="4" s="1"/>
  <c r="E4491" i="4"/>
  <c r="F4491" i="4" s="1"/>
  <c r="E4492" i="4"/>
  <c r="F4492" i="4" s="1"/>
  <c r="E4493" i="4"/>
  <c r="F4493" i="4" s="1"/>
  <c r="E4494" i="4"/>
  <c r="F4494" i="4" s="1"/>
  <c r="E4495" i="4"/>
  <c r="F4495" i="4" s="1"/>
  <c r="E4496" i="4"/>
  <c r="F4496" i="4" s="1"/>
  <c r="E4497" i="4"/>
  <c r="F4497" i="4" s="1"/>
  <c r="E4498" i="4"/>
  <c r="F4498" i="4" s="1"/>
  <c r="E4499" i="4"/>
  <c r="F4499" i="4" s="1"/>
  <c r="E4500" i="4"/>
  <c r="F4500" i="4" s="1"/>
  <c r="E4501" i="4"/>
  <c r="F4501" i="4" s="1"/>
  <c r="E4502" i="4"/>
  <c r="F4502" i="4" s="1"/>
  <c r="E4503" i="4"/>
  <c r="F4503" i="4" s="1"/>
  <c r="E4504" i="4"/>
  <c r="F4504" i="4" s="1"/>
  <c r="E4505" i="4"/>
  <c r="F4505" i="4" s="1"/>
  <c r="E4506" i="4"/>
  <c r="E4507" i="4"/>
  <c r="F4507" i="4" s="1"/>
  <c r="E4508" i="4"/>
  <c r="F4508" i="4" s="1"/>
  <c r="E4509" i="4"/>
  <c r="F4509" i="4" s="1"/>
  <c r="E4510" i="4"/>
  <c r="F4510" i="4" s="1"/>
  <c r="E4511" i="4"/>
  <c r="F4511" i="4" s="1"/>
  <c r="E4512" i="4"/>
  <c r="F4512" i="4" s="1"/>
  <c r="E4513" i="4"/>
  <c r="F4513" i="4" s="1"/>
  <c r="E4514" i="4"/>
  <c r="F4514" i="4" s="1"/>
  <c r="E4515" i="4"/>
  <c r="F4515" i="4" s="1"/>
  <c r="E4516" i="4"/>
  <c r="F4516" i="4" s="1"/>
  <c r="E4517" i="4"/>
  <c r="F4517" i="4" s="1"/>
  <c r="E4518" i="4"/>
  <c r="F4518" i="4" s="1"/>
  <c r="E4519" i="4"/>
  <c r="F4519" i="4" s="1"/>
  <c r="E4520" i="4"/>
  <c r="F4520" i="4" s="1"/>
  <c r="E4521" i="4"/>
  <c r="F4521" i="4" s="1"/>
  <c r="E4522" i="4"/>
  <c r="F4522" i="4" s="1"/>
  <c r="E4523" i="4"/>
  <c r="F4523" i="4" s="1"/>
  <c r="E4524" i="4"/>
  <c r="E4525" i="4"/>
  <c r="F4525" i="4" s="1"/>
  <c r="E4526" i="4"/>
  <c r="F4526" i="4" s="1"/>
  <c r="E4527" i="4"/>
  <c r="F4527" i="4" s="1"/>
  <c r="E4528" i="4"/>
  <c r="F4528" i="4" s="1"/>
  <c r="E4529" i="4"/>
  <c r="F4529" i="4" s="1"/>
  <c r="E4530" i="4"/>
  <c r="F4530" i="4" s="1"/>
  <c r="E4531" i="4"/>
  <c r="F4531" i="4" s="1"/>
  <c r="E4532" i="4"/>
  <c r="F4532" i="4" s="1"/>
  <c r="E4533" i="4"/>
  <c r="F4533" i="4" s="1"/>
  <c r="E4534" i="4"/>
  <c r="F4534" i="4" s="1"/>
  <c r="E4535" i="4"/>
  <c r="F4535" i="4" s="1"/>
  <c r="E4536" i="4"/>
  <c r="F4536" i="4" s="1"/>
  <c r="E4537" i="4"/>
  <c r="F4537" i="4" s="1"/>
  <c r="E4538" i="4"/>
  <c r="F4538" i="4" s="1"/>
  <c r="E4539" i="4"/>
  <c r="F4539" i="4" s="1"/>
  <c r="E4540" i="4"/>
  <c r="F4540" i="4" s="1"/>
  <c r="E4541" i="4"/>
  <c r="F4541" i="4" s="1"/>
  <c r="E4542" i="4"/>
  <c r="F4542" i="4" s="1"/>
  <c r="E4543" i="4"/>
  <c r="F4543" i="4" s="1"/>
  <c r="E4544" i="4"/>
  <c r="F4544" i="4" s="1"/>
  <c r="E4545" i="4"/>
  <c r="F4545" i="4" s="1"/>
  <c r="E4546" i="4"/>
  <c r="F4546" i="4" s="1"/>
  <c r="E4547" i="4"/>
  <c r="F4547" i="4" s="1"/>
  <c r="E4548" i="4"/>
  <c r="F4548" i="4" s="1"/>
  <c r="E4549" i="4"/>
  <c r="F4549" i="4" s="1"/>
  <c r="E4550" i="4"/>
  <c r="F4550" i="4" s="1"/>
  <c r="E4551" i="4"/>
  <c r="F4551" i="4" s="1"/>
  <c r="E4552" i="4"/>
  <c r="F4552" i="4" s="1"/>
  <c r="E4553" i="4"/>
  <c r="F4553" i="4" s="1"/>
  <c r="E4554" i="4"/>
  <c r="F4554" i="4" s="1"/>
  <c r="E4555" i="4"/>
  <c r="F4555" i="4" s="1"/>
  <c r="E4556" i="4"/>
  <c r="E4557" i="4"/>
  <c r="F4557" i="4" s="1"/>
  <c r="E4558" i="4"/>
  <c r="F4558" i="4" s="1"/>
  <c r="E4559" i="4"/>
  <c r="F4559" i="4" s="1"/>
  <c r="E4560" i="4"/>
  <c r="F4560" i="4" s="1"/>
  <c r="E4561" i="4"/>
  <c r="F4561" i="4" s="1"/>
  <c r="E4562" i="4"/>
  <c r="F4562" i="4" s="1"/>
  <c r="E4563" i="4"/>
  <c r="F4563" i="4" s="1"/>
  <c r="E4564" i="4"/>
  <c r="F4564" i="4" s="1"/>
  <c r="E4565" i="4"/>
  <c r="F4565" i="4" s="1"/>
  <c r="E4566" i="4"/>
  <c r="F4566" i="4" s="1"/>
  <c r="E4567" i="4"/>
  <c r="F4567" i="4" s="1"/>
  <c r="E4568" i="4"/>
  <c r="F4568" i="4" s="1"/>
  <c r="E4569" i="4"/>
  <c r="F4569" i="4" s="1"/>
  <c r="E4570" i="4"/>
  <c r="F4570" i="4" s="1"/>
  <c r="E4571" i="4"/>
  <c r="F4571" i="4" s="1"/>
  <c r="E4572" i="4"/>
  <c r="E4573" i="4"/>
  <c r="F4573" i="4" s="1"/>
  <c r="E4574" i="4"/>
  <c r="F4574" i="4" s="1"/>
  <c r="E4575" i="4"/>
  <c r="F4575" i="4" s="1"/>
  <c r="E4576" i="4"/>
  <c r="F4576" i="4" s="1"/>
  <c r="E4577" i="4"/>
  <c r="F4577" i="4" s="1"/>
  <c r="E4578" i="4"/>
  <c r="F4578" i="4" s="1"/>
  <c r="E4579" i="4"/>
  <c r="F4579" i="4" s="1"/>
  <c r="E4580" i="4"/>
  <c r="F4580" i="4" s="1"/>
  <c r="E4581" i="4"/>
  <c r="F4581" i="4" s="1"/>
  <c r="E4582" i="4"/>
  <c r="F4582" i="4" s="1"/>
  <c r="E4583" i="4"/>
  <c r="F4583" i="4" s="1"/>
  <c r="E4584" i="4"/>
  <c r="E4585" i="4"/>
  <c r="F4585" i="4" s="1"/>
  <c r="E4586" i="4"/>
  <c r="F4586" i="4" s="1"/>
  <c r="E4587" i="4"/>
  <c r="F4587" i="4" s="1"/>
  <c r="E4588" i="4"/>
  <c r="F4588" i="4" s="1"/>
  <c r="E4589" i="4"/>
  <c r="F4589" i="4" s="1"/>
  <c r="E4590" i="4"/>
  <c r="F4590" i="4" s="1"/>
  <c r="E4591" i="4"/>
  <c r="F4591" i="4" s="1"/>
  <c r="E4592" i="4"/>
  <c r="F4592" i="4" s="1"/>
  <c r="E4593" i="4"/>
  <c r="F4593" i="4" s="1"/>
  <c r="E4594" i="4"/>
  <c r="F4594" i="4" s="1"/>
  <c r="E4595" i="4"/>
  <c r="F4595" i="4" s="1"/>
  <c r="E4596" i="4"/>
  <c r="F4596" i="4" s="1"/>
  <c r="E4597" i="4"/>
  <c r="F4597" i="4" s="1"/>
  <c r="E4598" i="4"/>
  <c r="F4598" i="4" s="1"/>
  <c r="E4599" i="4"/>
  <c r="F4599" i="4" s="1"/>
  <c r="E4600" i="4"/>
  <c r="E4601" i="4"/>
  <c r="F4601" i="4" s="1"/>
  <c r="E4602" i="4"/>
  <c r="E4603" i="4"/>
  <c r="F4603" i="4" s="1"/>
  <c r="E4604" i="4"/>
  <c r="F4604" i="4" s="1"/>
  <c r="E4605" i="4"/>
  <c r="F4605" i="4" s="1"/>
  <c r="E4606" i="4"/>
  <c r="F4606" i="4" s="1"/>
  <c r="E4607" i="4"/>
  <c r="F4607" i="4" s="1"/>
  <c r="E4608" i="4"/>
  <c r="F4608" i="4" s="1"/>
  <c r="E4609" i="4"/>
  <c r="F4609" i="4" s="1"/>
  <c r="E4610" i="4"/>
  <c r="F4610" i="4" s="1"/>
  <c r="E4611" i="4"/>
  <c r="F4611" i="4" s="1"/>
  <c r="E4612" i="4"/>
  <c r="F4612" i="4" s="1"/>
  <c r="E4613" i="4"/>
  <c r="F4613" i="4" s="1"/>
  <c r="E4614" i="4"/>
  <c r="E4615" i="4"/>
  <c r="F4615" i="4" s="1"/>
  <c r="E4616" i="4"/>
  <c r="F4616" i="4" s="1"/>
  <c r="E4617" i="4"/>
  <c r="F4617" i="4" s="1"/>
  <c r="E4618" i="4"/>
  <c r="F4618" i="4" s="1"/>
  <c r="E4619" i="4"/>
  <c r="F4619" i="4" s="1"/>
  <c r="E4620" i="4"/>
  <c r="F4620" i="4" s="1"/>
  <c r="E4621" i="4"/>
  <c r="F4621" i="4" s="1"/>
  <c r="E4622" i="4"/>
  <c r="F4622" i="4" s="1"/>
  <c r="E4623" i="4"/>
  <c r="F4623" i="4" s="1"/>
  <c r="E4624" i="4"/>
  <c r="F4624" i="4" s="1"/>
  <c r="E4625" i="4"/>
  <c r="F4625" i="4" s="1"/>
  <c r="E4626" i="4"/>
  <c r="F4626" i="4" s="1"/>
  <c r="E4627" i="4"/>
  <c r="F4627" i="4" s="1"/>
  <c r="E4628" i="4"/>
  <c r="F4628" i="4" s="1"/>
  <c r="E4629" i="4"/>
  <c r="F4629" i="4" s="1"/>
  <c r="E4630" i="4"/>
  <c r="F4630" i="4" s="1"/>
  <c r="E4631" i="4"/>
  <c r="F4631" i="4" s="1"/>
  <c r="E4632" i="4"/>
  <c r="F4632" i="4" s="1"/>
  <c r="E4633" i="4"/>
  <c r="F4633" i="4" s="1"/>
  <c r="E4634" i="4"/>
  <c r="F4634" i="4" s="1"/>
  <c r="E4635" i="4"/>
  <c r="F4635" i="4" s="1"/>
  <c r="E4636" i="4"/>
  <c r="E4637" i="4"/>
  <c r="F4637" i="4" s="1"/>
  <c r="E4638" i="4"/>
  <c r="F4638" i="4" s="1"/>
  <c r="E4639" i="4"/>
  <c r="F4639" i="4" s="1"/>
  <c r="E4640" i="4"/>
  <c r="F4640" i="4" s="1"/>
  <c r="E4641" i="4"/>
  <c r="F4641" i="4" s="1"/>
  <c r="E4642" i="4"/>
  <c r="F4642" i="4" s="1"/>
  <c r="E4643" i="4"/>
  <c r="F4643" i="4" s="1"/>
  <c r="E4644" i="4"/>
  <c r="F4644" i="4" s="1"/>
  <c r="E4645" i="4"/>
  <c r="F4645" i="4" s="1"/>
  <c r="E4646" i="4"/>
  <c r="F4646" i="4" s="1"/>
  <c r="E4647" i="4"/>
  <c r="F4647" i="4" s="1"/>
  <c r="E4648" i="4"/>
  <c r="F4648" i="4" s="1"/>
  <c r="E4649" i="4"/>
  <c r="F4649" i="4" s="1"/>
  <c r="E4650" i="4"/>
  <c r="F4650" i="4" s="1"/>
  <c r="E4651" i="4"/>
  <c r="F4651" i="4" s="1"/>
  <c r="E4652" i="4"/>
  <c r="F4652" i="4" s="1"/>
  <c r="E4653" i="4"/>
  <c r="F4653" i="4" s="1"/>
  <c r="E4654" i="4"/>
  <c r="F4654" i="4" s="1"/>
  <c r="E4655" i="4"/>
  <c r="F4655" i="4" s="1"/>
  <c r="E4656" i="4"/>
  <c r="F4656" i="4" s="1"/>
  <c r="E4657" i="4"/>
  <c r="F4657" i="4" s="1"/>
  <c r="E4658" i="4"/>
  <c r="F4658" i="4" s="1"/>
  <c r="E4659" i="4"/>
  <c r="F4659" i="4" s="1"/>
  <c r="E4660" i="4"/>
  <c r="F4660" i="4" s="1"/>
  <c r="E4661" i="4"/>
  <c r="F4661" i="4" s="1"/>
  <c r="E4662" i="4"/>
  <c r="E4663" i="4"/>
  <c r="F4663" i="4" s="1"/>
  <c r="E4664" i="4"/>
  <c r="F4664" i="4" s="1"/>
  <c r="E4665" i="4"/>
  <c r="F4665" i="4" s="1"/>
  <c r="E4666" i="4"/>
  <c r="F4666" i="4" s="1"/>
  <c r="E4667" i="4"/>
  <c r="F4667" i="4" s="1"/>
  <c r="E4668" i="4"/>
  <c r="F4668" i="4" s="1"/>
  <c r="E4669" i="4"/>
  <c r="F4669" i="4" s="1"/>
  <c r="E4670" i="4"/>
  <c r="F4670" i="4" s="1"/>
  <c r="E4671" i="4"/>
  <c r="F4671" i="4" s="1"/>
  <c r="E4672" i="4"/>
  <c r="F4672" i="4" s="1"/>
  <c r="E4673" i="4"/>
  <c r="F4673" i="4" s="1"/>
  <c r="E4674" i="4"/>
  <c r="F4674" i="4" s="1"/>
  <c r="E4675" i="4"/>
  <c r="F4675" i="4" s="1"/>
  <c r="E4676" i="4"/>
  <c r="F4676" i="4" s="1"/>
  <c r="E4677" i="4"/>
  <c r="F4677" i="4" s="1"/>
  <c r="E4678" i="4"/>
  <c r="F4678" i="4" s="1"/>
  <c r="E4679" i="4"/>
  <c r="F4679" i="4" s="1"/>
  <c r="E4680" i="4"/>
  <c r="F4680" i="4" s="1"/>
  <c r="E4681" i="4"/>
  <c r="F4681" i="4" s="1"/>
  <c r="E4682" i="4"/>
  <c r="F4682" i="4" s="1"/>
  <c r="E4683" i="4"/>
  <c r="F4683" i="4" s="1"/>
  <c r="E4684" i="4"/>
  <c r="F4684" i="4" s="1"/>
  <c r="E4685" i="4"/>
  <c r="F4685" i="4" s="1"/>
  <c r="E4686" i="4"/>
  <c r="F4686" i="4" s="1"/>
  <c r="E4687" i="4"/>
  <c r="F4687" i="4" s="1"/>
  <c r="E4688" i="4"/>
  <c r="F4688" i="4" s="1"/>
  <c r="E4689" i="4"/>
  <c r="F4689" i="4" s="1"/>
  <c r="E4690" i="4"/>
  <c r="F4690" i="4" s="1"/>
  <c r="E4691" i="4"/>
  <c r="F4691" i="4" s="1"/>
  <c r="E4692" i="4"/>
  <c r="F4692" i="4" s="1"/>
  <c r="E4693" i="4"/>
  <c r="F4693" i="4" s="1"/>
  <c r="E4694" i="4"/>
  <c r="F4694" i="4" s="1"/>
  <c r="E4695" i="4"/>
  <c r="F4695" i="4" s="1"/>
  <c r="E4696" i="4"/>
  <c r="F4696" i="4" s="1"/>
  <c r="E4697" i="4"/>
  <c r="F4697" i="4" s="1"/>
  <c r="E4698" i="4"/>
  <c r="E4699" i="4"/>
  <c r="F4699" i="4" s="1"/>
  <c r="E4700" i="4"/>
  <c r="F4700" i="4" s="1"/>
  <c r="E4701" i="4"/>
  <c r="F4701" i="4" s="1"/>
  <c r="E4702" i="4"/>
  <c r="F4702" i="4" s="1"/>
  <c r="E4703" i="4"/>
  <c r="F4703" i="4" s="1"/>
  <c r="E4704" i="4"/>
  <c r="F4704" i="4" s="1"/>
  <c r="E4705" i="4"/>
  <c r="F4705" i="4" s="1"/>
  <c r="E4706" i="4"/>
  <c r="F4706" i="4" s="1"/>
  <c r="E4707" i="4"/>
  <c r="F4707" i="4" s="1"/>
  <c r="E4708" i="4"/>
  <c r="F4708" i="4" s="1"/>
  <c r="E4709" i="4"/>
  <c r="F4709" i="4" s="1"/>
  <c r="E4710" i="4"/>
  <c r="F4710" i="4" s="1"/>
  <c r="E4711" i="4"/>
  <c r="F4711" i="4" s="1"/>
  <c r="E4712" i="4"/>
  <c r="F4712" i="4" s="1"/>
  <c r="E4713" i="4"/>
  <c r="E4714" i="4"/>
  <c r="F4714" i="4" s="1"/>
  <c r="E4715" i="4"/>
  <c r="F4715" i="4" s="1"/>
  <c r="E4716" i="4"/>
  <c r="F4716" i="4" s="1"/>
  <c r="E4717" i="4"/>
  <c r="F4717" i="4" s="1"/>
  <c r="E4718" i="4"/>
  <c r="F4718" i="4" s="1"/>
  <c r="E4719" i="4"/>
  <c r="F4719" i="4" s="1"/>
  <c r="E4720" i="4"/>
  <c r="F4720" i="4" s="1"/>
  <c r="E4721" i="4"/>
  <c r="F4721" i="4" s="1"/>
  <c r="E4722" i="4"/>
  <c r="F4722" i="4" s="1"/>
  <c r="E4723" i="4"/>
  <c r="F4723" i="4" s="1"/>
  <c r="E4724" i="4"/>
  <c r="F4724" i="4" s="1"/>
  <c r="E4725" i="4"/>
  <c r="F4725" i="4" s="1"/>
  <c r="E4726" i="4"/>
  <c r="F4726" i="4" s="1"/>
  <c r="E4727" i="4"/>
  <c r="E4728" i="4"/>
  <c r="F4728" i="4" s="1"/>
  <c r="E4729" i="4"/>
  <c r="F4729" i="4" s="1"/>
  <c r="E4730" i="4"/>
  <c r="F4730" i="4" s="1"/>
  <c r="E4731" i="4"/>
  <c r="F4731" i="4" s="1"/>
  <c r="E4732" i="4"/>
  <c r="F4732" i="4" s="1"/>
  <c r="E4733" i="4"/>
  <c r="F4733" i="4" s="1"/>
  <c r="E4734" i="4"/>
  <c r="F4734" i="4" s="1"/>
  <c r="E4735" i="4"/>
  <c r="F4735" i="4" s="1"/>
  <c r="E4736" i="4"/>
  <c r="F4736" i="4" s="1"/>
  <c r="E4737" i="4"/>
  <c r="F4737" i="4" s="1"/>
  <c r="E4738" i="4"/>
  <c r="F4738" i="4" s="1"/>
  <c r="E4739" i="4"/>
  <c r="E4740" i="4"/>
  <c r="F4740" i="4" s="1"/>
  <c r="E4741" i="4"/>
  <c r="F4741" i="4" s="1"/>
  <c r="E4742" i="4"/>
  <c r="F4742" i="4" s="1"/>
  <c r="E4743" i="4"/>
  <c r="F4743" i="4" s="1"/>
  <c r="E4744" i="4"/>
  <c r="F4744" i="4" s="1"/>
  <c r="E4745" i="4"/>
  <c r="F4745" i="4" s="1"/>
  <c r="E4746" i="4"/>
  <c r="E4747" i="4"/>
  <c r="F4747" i="4" s="1"/>
  <c r="E4748" i="4"/>
  <c r="E4749" i="4"/>
  <c r="F4749" i="4" s="1"/>
  <c r="E4750" i="4"/>
  <c r="E4751" i="4"/>
  <c r="F4751" i="4" s="1"/>
  <c r="E4752" i="4"/>
  <c r="F4752" i="4" s="1"/>
  <c r="E4753" i="4"/>
  <c r="F4753" i="4" s="1"/>
  <c r="E4754" i="4"/>
  <c r="F4754" i="4" s="1"/>
  <c r="E4755" i="4"/>
  <c r="F4755" i="4" s="1"/>
  <c r="E4756" i="4"/>
  <c r="F4756" i="4" s="1"/>
  <c r="E4757" i="4"/>
  <c r="F4757" i="4" s="1"/>
  <c r="E4758" i="4"/>
  <c r="F4758" i="4" s="1"/>
  <c r="E4759" i="4"/>
  <c r="F4759" i="4" s="1"/>
  <c r="E4760" i="4"/>
  <c r="F4760" i="4" s="1"/>
  <c r="E4761" i="4"/>
  <c r="F4761" i="4" s="1"/>
  <c r="E4762" i="4"/>
  <c r="F4762" i="4" s="1"/>
  <c r="E4763" i="4"/>
  <c r="F4763" i="4" s="1"/>
  <c r="E4764" i="4"/>
  <c r="F4764" i="4" s="1"/>
  <c r="E4765" i="4"/>
  <c r="F4765" i="4" s="1"/>
  <c r="E4766" i="4"/>
  <c r="F4766" i="4" s="1"/>
  <c r="E4767" i="4"/>
  <c r="F4767" i="4" s="1"/>
  <c r="E4768" i="4"/>
  <c r="F4768" i="4" s="1"/>
  <c r="E4769" i="4"/>
  <c r="F4769" i="4" s="1"/>
  <c r="E4770" i="4"/>
  <c r="F4770" i="4" s="1"/>
  <c r="E4771" i="4"/>
  <c r="F4771" i="4" s="1"/>
  <c r="E4772" i="4"/>
  <c r="F4772" i="4" s="1"/>
  <c r="E4773" i="4"/>
  <c r="F4773" i="4" s="1"/>
  <c r="E4774" i="4"/>
  <c r="F4774" i="4" s="1"/>
  <c r="E4775" i="4"/>
  <c r="F4775" i="4" s="1"/>
  <c r="E4776" i="4"/>
  <c r="F4776" i="4" s="1"/>
  <c r="E4777" i="4"/>
  <c r="F4777" i="4" s="1"/>
  <c r="E4778" i="4"/>
  <c r="F4778" i="4" s="1"/>
  <c r="E4779" i="4"/>
  <c r="F4779" i="4" s="1"/>
  <c r="E4780" i="4"/>
  <c r="F4780" i="4" s="1"/>
  <c r="E4781" i="4"/>
  <c r="F4781" i="4" s="1"/>
  <c r="E4782" i="4"/>
  <c r="F4782" i="4" s="1"/>
  <c r="E4783" i="4"/>
  <c r="F4783" i="4" s="1"/>
  <c r="E4784" i="4"/>
  <c r="F4784" i="4" s="1"/>
  <c r="E4785" i="4"/>
  <c r="F4785" i="4" s="1"/>
  <c r="E4786" i="4"/>
  <c r="F4786" i="4" s="1"/>
  <c r="E4787" i="4"/>
  <c r="F4787" i="4" s="1"/>
  <c r="E4788" i="4"/>
  <c r="F4788" i="4" s="1"/>
  <c r="E4789" i="4"/>
  <c r="F4789" i="4" s="1"/>
  <c r="E4790" i="4"/>
  <c r="F4790" i="4" s="1"/>
  <c r="E4791" i="4"/>
  <c r="F4791" i="4" s="1"/>
  <c r="E4792" i="4"/>
  <c r="F4792" i="4" s="1"/>
  <c r="E4793" i="4"/>
  <c r="F4793" i="4" s="1"/>
  <c r="E4794" i="4"/>
  <c r="F4794" i="4" s="1"/>
  <c r="E4795" i="4"/>
  <c r="F4795" i="4" s="1"/>
  <c r="E4796" i="4"/>
  <c r="F4796" i="4" s="1"/>
  <c r="E4797" i="4"/>
  <c r="F4797" i="4" s="1"/>
  <c r="E4798" i="4"/>
  <c r="F4798" i="4" s="1"/>
  <c r="E4799" i="4"/>
  <c r="F4799" i="4" s="1"/>
  <c r="E4800" i="4"/>
  <c r="F4800" i="4" s="1"/>
  <c r="E4801" i="4"/>
  <c r="F4801" i="4" s="1"/>
  <c r="E4802" i="4"/>
  <c r="F4802" i="4" s="1"/>
  <c r="E4803" i="4"/>
  <c r="F4803" i="4" s="1"/>
  <c r="E4804" i="4"/>
  <c r="F4804" i="4" s="1"/>
  <c r="E4805" i="4"/>
  <c r="F4805" i="4" s="1"/>
  <c r="E4806" i="4"/>
  <c r="E4807" i="4"/>
  <c r="F4807" i="4" s="1"/>
  <c r="E4808" i="4"/>
  <c r="F4808" i="4" s="1"/>
  <c r="E4809" i="4"/>
  <c r="F4809" i="4" s="1"/>
  <c r="E4810" i="4"/>
  <c r="F4810" i="4" s="1"/>
  <c r="E4811" i="4"/>
  <c r="F4811" i="4" s="1"/>
  <c r="E4812" i="4"/>
  <c r="F4812" i="4" s="1"/>
  <c r="E4813" i="4"/>
  <c r="F4813" i="4" s="1"/>
  <c r="E4814" i="4"/>
  <c r="F4814" i="4" s="1"/>
  <c r="E4815" i="4"/>
  <c r="F4815" i="4" s="1"/>
  <c r="E4816" i="4"/>
  <c r="F4816" i="4" s="1"/>
  <c r="E4817" i="4"/>
  <c r="F4817" i="4" s="1"/>
  <c r="E4818" i="4"/>
  <c r="F4818" i="4" s="1"/>
  <c r="E4819" i="4"/>
  <c r="F4819" i="4" s="1"/>
  <c r="E4820" i="4"/>
  <c r="F4820" i="4" s="1"/>
  <c r="E4821" i="4"/>
  <c r="E4822" i="4"/>
  <c r="F4822" i="4" s="1"/>
  <c r="E4823" i="4"/>
  <c r="F4823" i="4" s="1"/>
  <c r="E4824" i="4"/>
  <c r="F4824" i="4" s="1"/>
  <c r="E4825" i="4"/>
  <c r="F4825" i="4" s="1"/>
  <c r="E4826" i="4"/>
  <c r="F4826" i="4" s="1"/>
  <c r="E4827" i="4"/>
  <c r="F4827" i="4" s="1"/>
  <c r="E4828" i="4"/>
  <c r="F4828" i="4" s="1"/>
  <c r="E4829" i="4"/>
  <c r="F4829" i="4" s="1"/>
  <c r="E4830" i="4"/>
  <c r="F4830" i="4" s="1"/>
  <c r="E4831" i="4"/>
  <c r="F4831" i="4" s="1"/>
  <c r="E4832" i="4"/>
  <c r="F4832" i="4" s="1"/>
  <c r="E4833" i="4"/>
  <c r="F4833" i="4" s="1"/>
  <c r="E4834" i="4"/>
  <c r="F4834" i="4" s="1"/>
  <c r="E4835" i="4"/>
  <c r="F4835" i="4" s="1"/>
  <c r="E4836" i="4"/>
  <c r="F4836" i="4" s="1"/>
  <c r="E4837" i="4"/>
  <c r="F4837" i="4" s="1"/>
  <c r="E4838" i="4"/>
  <c r="F4838" i="4" s="1"/>
  <c r="E4839" i="4"/>
  <c r="F4839" i="4" s="1"/>
  <c r="E4840" i="4"/>
  <c r="E4841" i="4"/>
  <c r="F4841" i="4" s="1"/>
  <c r="E4842" i="4"/>
  <c r="F4842" i="4" s="1"/>
  <c r="E4843" i="4"/>
  <c r="F4843" i="4" s="1"/>
  <c r="E4844" i="4"/>
  <c r="F4844" i="4" s="1"/>
  <c r="E4845" i="4"/>
  <c r="F4845" i="4" s="1"/>
  <c r="E4846" i="4"/>
  <c r="F4846" i="4" s="1"/>
  <c r="E4847" i="4"/>
  <c r="F4847" i="4" s="1"/>
  <c r="E4848" i="4"/>
  <c r="F4848" i="4" s="1"/>
  <c r="E4849" i="4"/>
  <c r="F4849" i="4" s="1"/>
  <c r="E4850" i="4"/>
  <c r="F4850" i="4" s="1"/>
  <c r="E4851" i="4"/>
  <c r="F4851" i="4" s="1"/>
  <c r="E4852" i="4"/>
  <c r="F4852" i="4" s="1"/>
  <c r="E4853" i="4"/>
  <c r="F4853" i="4" s="1"/>
  <c r="E4854" i="4"/>
  <c r="F4854" i="4" s="1"/>
  <c r="E4855" i="4"/>
  <c r="F4855" i="4" s="1"/>
  <c r="E4856" i="4"/>
  <c r="F4856" i="4" s="1"/>
  <c r="E4857" i="4"/>
  <c r="F4857" i="4" s="1"/>
  <c r="E4858" i="4"/>
  <c r="F4858" i="4" s="1"/>
  <c r="E4859" i="4"/>
  <c r="F4859" i="4" s="1"/>
  <c r="E4860" i="4"/>
  <c r="F4860" i="4" s="1"/>
  <c r="E4861" i="4"/>
  <c r="F4861" i="4" s="1"/>
  <c r="E4862" i="4"/>
  <c r="F4862" i="4" s="1"/>
  <c r="E4863" i="4"/>
  <c r="F4863" i="4" s="1"/>
  <c r="E4864" i="4"/>
  <c r="F4864" i="4" s="1"/>
  <c r="E4865" i="4"/>
  <c r="F4865" i="4" s="1"/>
  <c r="E4866" i="4"/>
  <c r="F4866" i="4" s="1"/>
  <c r="E4867" i="4"/>
  <c r="F4867" i="4" s="1"/>
  <c r="E4868" i="4"/>
  <c r="F4868" i="4" s="1"/>
  <c r="E4869" i="4"/>
  <c r="F4869" i="4" s="1"/>
  <c r="E4870" i="4"/>
  <c r="F4870" i="4" s="1"/>
  <c r="E4871" i="4"/>
  <c r="F4871" i="4" s="1"/>
  <c r="E4872" i="4"/>
  <c r="F4872" i="4" s="1"/>
  <c r="E4873" i="4"/>
  <c r="F4873" i="4" s="1"/>
  <c r="E4874" i="4"/>
  <c r="F4874" i="4" s="1"/>
  <c r="E4875" i="4"/>
  <c r="F4875" i="4" s="1"/>
  <c r="E4876" i="4"/>
  <c r="F4876" i="4" s="1"/>
  <c r="E4877" i="4"/>
  <c r="F4877" i="4" s="1"/>
  <c r="E4878" i="4"/>
  <c r="F4878" i="4" s="1"/>
  <c r="E4879" i="4"/>
  <c r="F4879" i="4" s="1"/>
  <c r="E4880" i="4"/>
  <c r="F4880" i="4" s="1"/>
  <c r="E4881" i="4"/>
  <c r="F4881" i="4" s="1"/>
  <c r="E4882" i="4"/>
  <c r="F4882" i="4" s="1"/>
  <c r="E4883" i="4"/>
  <c r="F4883" i="4" s="1"/>
  <c r="E4884" i="4"/>
  <c r="F4884" i="4" s="1"/>
  <c r="E4885" i="4"/>
  <c r="F4885" i="4" s="1"/>
  <c r="E4886" i="4"/>
  <c r="F4886" i="4" s="1"/>
  <c r="E4887" i="4"/>
  <c r="F4887" i="4" s="1"/>
  <c r="E4888" i="4"/>
  <c r="F4888" i="4" s="1"/>
  <c r="E4889" i="4"/>
  <c r="F4889" i="4" s="1"/>
  <c r="E4890" i="4"/>
  <c r="F4890" i="4" s="1"/>
  <c r="E4891" i="4"/>
  <c r="F4891" i="4" s="1"/>
  <c r="E4892" i="4"/>
  <c r="F4892" i="4" s="1"/>
  <c r="E4893" i="4"/>
  <c r="F4893" i="4" s="1"/>
  <c r="E4894" i="4"/>
  <c r="F4894" i="4" s="1"/>
  <c r="E4895" i="4"/>
  <c r="F4895" i="4" s="1"/>
  <c r="E4896" i="4"/>
  <c r="F4896" i="4" s="1"/>
  <c r="E4897" i="4"/>
  <c r="F4897" i="4" s="1"/>
  <c r="E4898" i="4"/>
  <c r="F4898" i="4" s="1"/>
  <c r="E4899" i="4"/>
  <c r="F4899" i="4" s="1"/>
  <c r="E4900" i="4"/>
  <c r="F4900" i="4" s="1"/>
  <c r="E4901" i="4"/>
  <c r="F4901" i="4" s="1"/>
  <c r="E4902" i="4"/>
  <c r="F4902" i="4" s="1"/>
  <c r="E4903" i="4"/>
  <c r="F4903" i="4" s="1"/>
  <c r="E4904" i="4"/>
  <c r="F4904" i="4" s="1"/>
  <c r="E4905" i="4"/>
  <c r="F4905" i="4" s="1"/>
  <c r="E4906" i="4"/>
  <c r="F4906" i="4" s="1"/>
  <c r="E4907" i="4"/>
  <c r="F4907" i="4" s="1"/>
  <c r="E4908" i="4"/>
  <c r="F4908" i="4" s="1"/>
  <c r="E4909" i="4"/>
  <c r="F4909" i="4" s="1"/>
  <c r="E4910" i="4"/>
  <c r="F4910" i="4" s="1"/>
  <c r="E4911" i="4"/>
  <c r="F4911" i="4" s="1"/>
  <c r="E4912" i="4"/>
  <c r="F4912" i="4" s="1"/>
  <c r="E4913" i="4"/>
  <c r="F4913" i="4" s="1"/>
  <c r="E4914" i="4"/>
  <c r="F4914" i="4" s="1"/>
  <c r="E4915" i="4"/>
  <c r="F4915" i="4" s="1"/>
  <c r="E4916" i="4"/>
  <c r="F4916" i="4" s="1"/>
  <c r="E4917" i="4"/>
  <c r="F4917" i="4" s="1"/>
  <c r="E4918" i="4"/>
  <c r="F4918" i="4" s="1"/>
  <c r="E4919" i="4"/>
  <c r="F4919" i="4" s="1"/>
  <c r="E4920" i="4"/>
  <c r="F4920" i="4" s="1"/>
  <c r="E4921" i="4"/>
  <c r="F4921" i="4" s="1"/>
  <c r="E4922" i="4"/>
  <c r="F4922" i="4" s="1"/>
  <c r="E4923" i="4"/>
  <c r="F4923" i="4" s="1"/>
  <c r="E4924" i="4"/>
  <c r="F4924" i="4" s="1"/>
  <c r="E4925" i="4"/>
  <c r="F4925" i="4" s="1"/>
  <c r="E4926" i="4"/>
  <c r="F4926" i="4" s="1"/>
  <c r="E4927" i="4"/>
  <c r="F4927" i="4" s="1"/>
  <c r="E4928" i="4"/>
  <c r="F4928" i="4" s="1"/>
  <c r="E4929" i="4"/>
  <c r="F4929" i="4" s="1"/>
  <c r="E4930" i="4"/>
  <c r="F4930" i="4" s="1"/>
  <c r="E4931" i="4"/>
  <c r="F4931" i="4" s="1"/>
  <c r="E4932" i="4"/>
  <c r="F4932" i="4" s="1"/>
  <c r="E4933" i="4"/>
  <c r="F4933" i="4" s="1"/>
  <c r="E4934" i="4"/>
  <c r="F4934" i="4" s="1"/>
  <c r="E4935" i="4"/>
  <c r="F4935" i="4" s="1"/>
  <c r="E4936" i="4"/>
  <c r="F4936" i="4" s="1"/>
  <c r="E4937" i="4"/>
  <c r="F4937" i="4" s="1"/>
  <c r="E4938" i="4"/>
  <c r="F4938" i="4" s="1"/>
  <c r="E4939" i="4"/>
  <c r="F4939" i="4" s="1"/>
  <c r="E4940" i="4"/>
  <c r="F4940" i="4" s="1"/>
  <c r="E4941" i="4"/>
  <c r="F4941" i="4" s="1"/>
  <c r="E4942" i="4"/>
  <c r="F4942" i="4" s="1"/>
  <c r="E4943" i="4"/>
  <c r="F4943" i="4" s="1"/>
  <c r="E4944" i="4"/>
  <c r="F4944" i="4" s="1"/>
  <c r="E4945" i="4"/>
  <c r="F4945" i="4" s="1"/>
  <c r="E4946" i="4"/>
  <c r="F4946" i="4" s="1"/>
  <c r="E4947" i="4"/>
  <c r="F4947" i="4" s="1"/>
  <c r="E4948" i="4"/>
  <c r="F4948" i="4" s="1"/>
  <c r="E4949" i="4"/>
  <c r="F4949" i="4" s="1"/>
  <c r="E4950" i="4"/>
  <c r="F4950" i="4" s="1"/>
  <c r="E4951" i="4"/>
  <c r="F4951" i="4" s="1"/>
  <c r="E4952" i="4"/>
  <c r="F4952" i="4" s="1"/>
  <c r="E4953" i="4"/>
  <c r="F4953" i="4" s="1"/>
  <c r="E4954" i="4"/>
  <c r="F4954" i="4" s="1"/>
  <c r="E4955" i="4"/>
  <c r="F4955" i="4" s="1"/>
  <c r="E4956" i="4"/>
  <c r="F4956" i="4" s="1"/>
  <c r="E4957" i="4"/>
  <c r="F4957" i="4" s="1"/>
  <c r="E4958" i="4"/>
  <c r="F4958" i="4" s="1"/>
  <c r="E4959" i="4"/>
  <c r="F4959" i="4" s="1"/>
  <c r="E4960" i="4"/>
  <c r="F4960" i="4" s="1"/>
  <c r="E4961" i="4"/>
  <c r="F4961" i="4" s="1"/>
  <c r="E4962" i="4"/>
  <c r="F4962" i="4" s="1"/>
  <c r="E4963" i="4"/>
  <c r="F4963" i="4" s="1"/>
  <c r="E4964" i="4"/>
  <c r="F4964" i="4" s="1"/>
  <c r="E4965" i="4"/>
  <c r="F4965" i="4" s="1"/>
  <c r="E4966" i="4"/>
  <c r="F4966" i="4" s="1"/>
  <c r="E4967" i="4"/>
  <c r="F4967" i="4" s="1"/>
  <c r="E4968" i="4"/>
  <c r="F4968" i="4" s="1"/>
  <c r="E4969" i="4"/>
  <c r="F4969" i="4" s="1"/>
  <c r="E4970" i="4"/>
  <c r="F4970" i="4" s="1"/>
  <c r="E4971" i="4"/>
  <c r="F4971" i="4" s="1"/>
  <c r="E4972" i="4"/>
  <c r="F4972" i="4" s="1"/>
  <c r="E4973" i="4"/>
  <c r="F4973" i="4" s="1"/>
  <c r="E4974" i="4"/>
  <c r="F4974" i="4" s="1"/>
  <c r="E4975" i="4"/>
  <c r="F4975" i="4" s="1"/>
  <c r="E4976" i="4"/>
  <c r="F4976" i="4" s="1"/>
  <c r="E4977" i="4"/>
  <c r="F4977" i="4" s="1"/>
  <c r="E4978" i="4"/>
  <c r="F4978" i="4" s="1"/>
  <c r="E4979" i="4"/>
  <c r="F4979" i="4" s="1"/>
  <c r="E4980" i="4"/>
  <c r="F4980" i="4" s="1"/>
  <c r="E4981" i="4"/>
  <c r="F4981" i="4" s="1"/>
  <c r="E4982" i="4"/>
  <c r="F4982" i="4" s="1"/>
  <c r="E4983" i="4"/>
  <c r="F4983" i="4" s="1"/>
  <c r="E4984" i="4"/>
  <c r="F4984" i="4" s="1"/>
  <c r="E4985" i="4"/>
  <c r="F4985" i="4" s="1"/>
  <c r="E4986" i="4"/>
  <c r="F4986" i="4" s="1"/>
  <c r="E4987" i="4"/>
  <c r="F4987" i="4" s="1"/>
  <c r="E4988" i="4"/>
  <c r="F4988" i="4" s="1"/>
  <c r="E4989" i="4"/>
  <c r="F4989" i="4" s="1"/>
  <c r="E4990" i="4"/>
  <c r="F4990" i="4" s="1"/>
  <c r="E4991" i="4"/>
  <c r="F4991" i="4" s="1"/>
  <c r="E4992" i="4"/>
  <c r="F4992" i="4" s="1"/>
  <c r="E4993" i="4"/>
  <c r="F4993" i="4" s="1"/>
  <c r="E4994" i="4"/>
  <c r="F4994" i="4" s="1"/>
  <c r="E4995" i="4"/>
  <c r="F4995" i="4" s="1"/>
  <c r="E4996" i="4"/>
  <c r="F4996" i="4" s="1"/>
  <c r="E4997" i="4"/>
  <c r="F4997" i="4" s="1"/>
  <c r="E4998" i="4"/>
  <c r="F4998" i="4" s="1"/>
  <c r="E4999" i="4"/>
  <c r="F4999" i="4" s="1"/>
  <c r="E5000" i="4"/>
  <c r="F5000" i="4" s="1"/>
  <c r="E5001" i="4"/>
  <c r="F5001" i="4" s="1"/>
  <c r="E5002" i="4"/>
  <c r="F5002" i="4" s="1"/>
  <c r="E5003" i="4"/>
  <c r="F5003" i="4" s="1"/>
  <c r="E5004" i="4"/>
  <c r="F5004" i="4" s="1"/>
  <c r="E5005" i="4"/>
  <c r="F5005" i="4" s="1"/>
  <c r="E5006" i="4"/>
  <c r="F5006" i="4" s="1"/>
  <c r="E5007" i="4"/>
  <c r="F5007" i="4" s="1"/>
  <c r="E5008" i="4"/>
  <c r="F5008" i="4" s="1"/>
  <c r="E5009" i="4"/>
  <c r="F5009" i="4" s="1"/>
  <c r="E5010" i="4"/>
  <c r="F5010" i="4" s="1"/>
  <c r="E5011" i="4"/>
  <c r="F5011" i="4" s="1"/>
  <c r="E5012" i="4"/>
  <c r="F5012" i="4" s="1"/>
  <c r="E5013" i="4"/>
  <c r="F5013" i="4" s="1"/>
  <c r="E5014" i="4"/>
  <c r="F5014" i="4" s="1"/>
  <c r="E5015" i="4"/>
  <c r="F5015" i="4" s="1"/>
  <c r="E5016" i="4"/>
  <c r="F5016" i="4" s="1"/>
  <c r="E5017" i="4"/>
  <c r="F5017" i="4" s="1"/>
  <c r="E5018" i="4"/>
  <c r="F5018" i="4" s="1"/>
  <c r="E5019" i="4"/>
  <c r="F5019" i="4" s="1"/>
  <c r="E5020" i="4"/>
  <c r="F5020" i="4" s="1"/>
  <c r="E5021" i="4"/>
  <c r="F5021" i="4" s="1"/>
  <c r="E5022" i="4"/>
  <c r="F5022" i="4" s="1"/>
  <c r="E5023" i="4"/>
  <c r="F5023" i="4" s="1"/>
  <c r="E5024" i="4"/>
  <c r="F5024" i="4" s="1"/>
  <c r="E5025" i="4"/>
  <c r="F5025" i="4" s="1"/>
  <c r="E5026" i="4"/>
  <c r="F5026" i="4" s="1"/>
  <c r="E5027" i="4"/>
  <c r="F5027" i="4" s="1"/>
  <c r="E5028" i="4"/>
  <c r="F5028" i="4" s="1"/>
  <c r="E5029" i="4"/>
  <c r="F5029" i="4" s="1"/>
  <c r="E5030" i="4"/>
  <c r="F5030" i="4" s="1"/>
  <c r="E5031" i="4"/>
  <c r="F5031" i="4" s="1"/>
  <c r="E5032" i="4"/>
  <c r="F5032" i="4" s="1"/>
  <c r="E5033" i="4"/>
  <c r="F5033" i="4" s="1"/>
  <c r="E5034" i="4"/>
  <c r="F5034" i="4" s="1"/>
  <c r="E5035" i="4"/>
  <c r="F5035" i="4" s="1"/>
  <c r="E5036" i="4"/>
  <c r="F5036" i="4" s="1"/>
  <c r="E5037" i="4"/>
  <c r="F5037" i="4" s="1"/>
  <c r="E5038" i="4"/>
  <c r="F5038" i="4" s="1"/>
  <c r="E5039" i="4"/>
  <c r="F5039" i="4" s="1"/>
  <c r="E5040" i="4"/>
  <c r="F5040" i="4" s="1"/>
  <c r="E5041" i="4"/>
  <c r="F5041" i="4" s="1"/>
  <c r="E5042" i="4"/>
  <c r="F5042" i="4" s="1"/>
  <c r="E5043" i="4"/>
  <c r="F5043" i="4" s="1"/>
  <c r="E5044" i="4"/>
  <c r="F5044" i="4" s="1"/>
  <c r="E5045" i="4"/>
  <c r="F5045" i="4" s="1"/>
  <c r="E5046" i="4"/>
  <c r="F5046" i="4" s="1"/>
  <c r="E5047" i="4"/>
  <c r="F5047" i="4" s="1"/>
  <c r="E5048" i="4"/>
  <c r="F5048" i="4" s="1"/>
  <c r="E5049" i="4"/>
  <c r="F5049" i="4" s="1"/>
  <c r="E5050" i="4"/>
  <c r="F5050" i="4" s="1"/>
  <c r="E5051" i="4"/>
  <c r="F5051" i="4" s="1"/>
  <c r="E5052" i="4"/>
  <c r="F5052" i="4" s="1"/>
  <c r="E5053" i="4"/>
  <c r="F5053" i="4" s="1"/>
  <c r="E5054" i="4"/>
  <c r="F5054" i="4" s="1"/>
  <c r="E5055" i="4"/>
  <c r="F5055" i="4" s="1"/>
  <c r="E5056" i="4"/>
  <c r="F5056" i="4" s="1"/>
  <c r="E5057" i="4"/>
  <c r="F5057" i="4" s="1"/>
  <c r="E5058" i="4"/>
  <c r="F5058" i="4" s="1"/>
  <c r="E5059" i="4"/>
  <c r="F5059" i="4" s="1"/>
  <c r="E5060" i="4"/>
  <c r="F5060" i="4" s="1"/>
  <c r="E5061" i="4"/>
  <c r="F5061" i="4" s="1"/>
  <c r="E5062" i="4"/>
  <c r="F5062" i="4" s="1"/>
  <c r="E5063" i="4"/>
  <c r="F5063" i="4" s="1"/>
  <c r="E5064" i="4"/>
  <c r="F5064" i="4" s="1"/>
  <c r="E5065" i="4"/>
  <c r="F5065" i="4" s="1"/>
  <c r="E5066" i="4"/>
  <c r="F5066" i="4" s="1"/>
  <c r="E5067" i="4"/>
  <c r="F5067" i="4" s="1"/>
  <c r="E5068" i="4"/>
  <c r="F5068" i="4" s="1"/>
  <c r="E5069" i="4"/>
  <c r="F5069" i="4" s="1"/>
  <c r="E5070" i="4"/>
  <c r="F5070" i="4" s="1"/>
  <c r="E5071" i="4"/>
  <c r="F5071" i="4" s="1"/>
  <c r="E5072" i="4"/>
  <c r="F5072" i="4" s="1"/>
  <c r="E5073" i="4"/>
  <c r="F5073" i="4" s="1"/>
  <c r="E5074" i="4"/>
  <c r="F5074" i="4" s="1"/>
  <c r="E5075" i="4"/>
  <c r="F5075" i="4" s="1"/>
  <c r="E5076" i="4"/>
  <c r="F5076" i="4" s="1"/>
  <c r="E5077" i="4"/>
  <c r="F5077" i="4" s="1"/>
  <c r="E5078" i="4"/>
  <c r="F5078" i="4" s="1"/>
  <c r="E5079" i="4"/>
  <c r="F5079" i="4" s="1"/>
  <c r="E5080" i="4"/>
  <c r="F5080" i="4" s="1"/>
  <c r="E5081" i="4"/>
  <c r="F5081" i="4" s="1"/>
  <c r="E5082" i="4"/>
  <c r="F5082" i="4" s="1"/>
  <c r="E5083" i="4"/>
  <c r="F5083" i="4" s="1"/>
  <c r="E5084" i="4"/>
  <c r="F5084" i="4" s="1"/>
  <c r="E5085" i="4"/>
  <c r="F5085" i="4" s="1"/>
  <c r="E5086" i="4"/>
  <c r="F5086" i="4" s="1"/>
  <c r="E5087" i="4"/>
  <c r="F5087" i="4" s="1"/>
  <c r="E5088" i="4"/>
  <c r="F5088" i="4" s="1"/>
  <c r="E5089" i="4"/>
  <c r="F5089" i="4" s="1"/>
  <c r="E5090" i="4"/>
  <c r="F5090" i="4" s="1"/>
  <c r="E5091" i="4"/>
  <c r="F5091" i="4" s="1"/>
  <c r="E5092" i="4"/>
  <c r="F5092" i="4" s="1"/>
  <c r="E5093" i="4"/>
  <c r="F5093" i="4" s="1"/>
  <c r="E5094" i="4"/>
  <c r="F5094" i="4" s="1"/>
  <c r="E5095" i="4"/>
  <c r="F5095" i="4" s="1"/>
  <c r="E5096" i="4"/>
  <c r="F5096" i="4" s="1"/>
  <c r="E5097" i="4"/>
  <c r="F5097" i="4" s="1"/>
  <c r="E5098" i="4"/>
  <c r="F5098" i="4" s="1"/>
  <c r="E5099" i="4"/>
  <c r="F5099" i="4" s="1"/>
  <c r="E5100" i="4"/>
  <c r="F5100" i="4" s="1"/>
  <c r="E5101" i="4"/>
  <c r="F5101" i="4" s="1"/>
  <c r="E5102" i="4"/>
  <c r="F5102" i="4" s="1"/>
  <c r="E5103" i="4"/>
  <c r="F5103" i="4" s="1"/>
  <c r="E5104" i="4"/>
  <c r="F5104" i="4" s="1"/>
  <c r="E5105" i="4"/>
  <c r="F5105" i="4" s="1"/>
  <c r="E5106" i="4"/>
  <c r="F5106" i="4" s="1"/>
  <c r="E5107" i="4"/>
  <c r="F5107" i="4" s="1"/>
  <c r="E5108" i="4"/>
  <c r="F5108" i="4" s="1"/>
  <c r="E5109" i="4"/>
  <c r="F5109" i="4" s="1"/>
  <c r="E5110" i="4"/>
  <c r="F5110" i="4" s="1"/>
  <c r="E5111" i="4"/>
  <c r="F5111" i="4" s="1"/>
  <c r="E5112" i="4"/>
  <c r="F5112" i="4" s="1"/>
  <c r="E5113" i="4"/>
  <c r="F5113" i="4" s="1"/>
  <c r="E5114" i="4"/>
  <c r="F5114" i="4" s="1"/>
  <c r="E5115" i="4"/>
  <c r="F5115" i="4" s="1"/>
  <c r="E5116" i="4"/>
  <c r="F5116" i="4" s="1"/>
  <c r="E5117" i="4"/>
  <c r="F5117" i="4" s="1"/>
  <c r="E5118" i="4"/>
  <c r="F5118" i="4" s="1"/>
  <c r="E5119" i="4"/>
  <c r="F5119" i="4" s="1"/>
  <c r="E5120" i="4"/>
  <c r="F5120" i="4" s="1"/>
  <c r="E5121" i="4"/>
  <c r="F5121" i="4" s="1"/>
  <c r="E5122" i="4"/>
  <c r="F5122" i="4" s="1"/>
  <c r="E5123" i="4"/>
  <c r="F5123" i="4" s="1"/>
  <c r="E5124" i="4"/>
  <c r="F5124" i="4" s="1"/>
  <c r="E5125" i="4"/>
  <c r="F5125" i="4" s="1"/>
  <c r="E5126" i="4"/>
  <c r="F5126" i="4" s="1"/>
  <c r="E5127" i="4"/>
  <c r="F5127" i="4" s="1"/>
  <c r="E5128" i="4"/>
  <c r="F5128" i="4" s="1"/>
  <c r="E5129" i="4"/>
  <c r="F5129" i="4" s="1"/>
  <c r="E5130" i="4"/>
  <c r="F5130" i="4" s="1"/>
  <c r="E5131" i="4"/>
  <c r="F5131" i="4" s="1"/>
  <c r="E5132" i="4"/>
  <c r="F5132" i="4" s="1"/>
  <c r="E5133" i="4"/>
  <c r="F5133" i="4" s="1"/>
  <c r="E5134" i="4"/>
  <c r="F5134" i="4" s="1"/>
  <c r="E5135" i="4"/>
  <c r="F5135" i="4" s="1"/>
  <c r="E5136" i="4"/>
  <c r="F5136" i="4" s="1"/>
  <c r="E5137" i="4"/>
  <c r="F5137" i="4" s="1"/>
  <c r="E5138" i="4"/>
  <c r="F5138" i="4" s="1"/>
  <c r="E5139" i="4"/>
  <c r="F5139" i="4" s="1"/>
  <c r="E5140" i="4"/>
  <c r="F5140" i="4" s="1"/>
  <c r="E5141" i="4"/>
  <c r="F5141" i="4" s="1"/>
  <c r="E5142" i="4"/>
  <c r="F5142" i="4" s="1"/>
  <c r="E5143" i="4"/>
  <c r="F5143" i="4" s="1"/>
  <c r="E5144" i="4"/>
  <c r="F5144" i="4" s="1"/>
  <c r="E5145" i="4"/>
  <c r="F5145" i="4" s="1"/>
  <c r="E5146" i="4"/>
  <c r="F5146" i="4" s="1"/>
  <c r="E5147" i="4"/>
  <c r="F5147" i="4" s="1"/>
  <c r="E5148" i="4"/>
  <c r="F5148" i="4" s="1"/>
  <c r="E5149" i="4"/>
  <c r="F5149" i="4" s="1"/>
  <c r="E5150" i="4"/>
  <c r="F5150" i="4" s="1"/>
  <c r="E5151" i="4"/>
  <c r="F5151" i="4" s="1"/>
  <c r="E5152" i="4"/>
  <c r="F5152" i="4" s="1"/>
  <c r="E5153" i="4"/>
  <c r="F5153" i="4" s="1"/>
  <c r="E5154" i="4"/>
  <c r="F5154" i="4" s="1"/>
  <c r="E5155" i="4"/>
  <c r="F5155" i="4" s="1"/>
  <c r="E5156" i="4"/>
  <c r="F5156" i="4" s="1"/>
  <c r="E5157" i="4"/>
  <c r="F5157" i="4" s="1"/>
  <c r="E5158" i="4"/>
  <c r="F5158" i="4" s="1"/>
  <c r="E5159" i="4"/>
  <c r="F5159" i="4" s="1"/>
  <c r="E5160" i="4"/>
  <c r="F5160" i="4" s="1"/>
  <c r="E5161" i="4"/>
  <c r="F5161" i="4" s="1"/>
  <c r="E5162" i="4"/>
  <c r="F5162" i="4" s="1"/>
  <c r="E5163" i="4"/>
  <c r="F5163" i="4" s="1"/>
  <c r="E5164" i="4"/>
  <c r="F5164" i="4" s="1"/>
  <c r="E5165" i="4"/>
  <c r="F5165" i="4" s="1"/>
  <c r="E5166" i="4"/>
  <c r="F5166" i="4" s="1"/>
  <c r="E5167" i="4"/>
  <c r="F5167" i="4" s="1"/>
  <c r="E5168" i="4"/>
  <c r="F5168" i="4" s="1"/>
  <c r="E5169" i="4"/>
  <c r="F5169" i="4" s="1"/>
  <c r="E5170" i="4"/>
  <c r="F5170" i="4" s="1"/>
  <c r="E5171" i="4"/>
  <c r="F5171" i="4" s="1"/>
  <c r="E5172" i="4"/>
  <c r="F5172" i="4" s="1"/>
  <c r="E5173" i="4"/>
  <c r="F5173" i="4" s="1"/>
  <c r="E5174" i="4"/>
  <c r="F5174" i="4" s="1"/>
  <c r="E5175" i="4"/>
  <c r="F5175" i="4" s="1"/>
  <c r="E5176" i="4"/>
  <c r="F5176" i="4" s="1"/>
  <c r="E5177" i="4"/>
  <c r="F5177" i="4" s="1"/>
  <c r="E5178" i="4"/>
  <c r="F5178" i="4" s="1"/>
  <c r="E5179" i="4"/>
  <c r="F5179" i="4" s="1"/>
  <c r="E5180" i="4"/>
  <c r="F5180" i="4" s="1"/>
  <c r="E5181" i="4"/>
  <c r="F5181" i="4" s="1"/>
  <c r="E5182" i="4"/>
  <c r="F5182" i="4" s="1"/>
  <c r="E5183" i="4"/>
  <c r="F5183" i="4" s="1"/>
  <c r="E5184" i="4"/>
  <c r="F5184" i="4" s="1"/>
  <c r="E5185" i="4"/>
  <c r="F5185" i="4" s="1"/>
  <c r="E5186" i="4"/>
  <c r="F5186" i="4" s="1"/>
  <c r="E5187" i="4"/>
  <c r="F5187" i="4" s="1"/>
  <c r="E5188" i="4"/>
  <c r="F5188" i="4" s="1"/>
  <c r="E5189" i="4"/>
  <c r="F5189" i="4" s="1"/>
  <c r="E5190" i="4"/>
  <c r="F5190" i="4" s="1"/>
  <c r="E5191" i="4"/>
  <c r="F5191" i="4" s="1"/>
  <c r="E5192" i="4"/>
  <c r="F5192" i="4" s="1"/>
  <c r="E5193" i="4"/>
  <c r="F5193" i="4" s="1"/>
  <c r="E5194" i="4"/>
  <c r="F5194" i="4" s="1"/>
  <c r="E5195" i="4"/>
  <c r="F5195" i="4" s="1"/>
  <c r="E5196" i="4"/>
  <c r="F5196" i="4" s="1"/>
  <c r="E5197" i="4"/>
  <c r="F5197" i="4" s="1"/>
  <c r="E5198" i="4"/>
  <c r="F5198" i="4" s="1"/>
  <c r="E5199" i="4"/>
  <c r="F5199" i="4" s="1"/>
  <c r="E5200" i="4"/>
  <c r="F5200" i="4" s="1"/>
  <c r="E5201" i="4"/>
  <c r="F5201" i="4" s="1"/>
  <c r="E5202" i="4"/>
  <c r="F5202" i="4" s="1"/>
  <c r="E5203" i="4"/>
  <c r="F5203" i="4" s="1"/>
  <c r="E5204" i="4"/>
  <c r="F5204" i="4" s="1"/>
  <c r="E5205" i="4"/>
  <c r="F5205" i="4" s="1"/>
  <c r="E5206" i="4"/>
  <c r="F5206" i="4" s="1"/>
  <c r="E5207" i="4"/>
  <c r="F5207" i="4" s="1"/>
  <c r="E5208" i="4"/>
  <c r="F5208" i="4" s="1"/>
  <c r="E5209" i="4"/>
  <c r="F5209" i="4" s="1"/>
  <c r="E5210" i="4"/>
  <c r="F5210" i="4" s="1"/>
  <c r="E5211" i="4"/>
  <c r="F5211" i="4" s="1"/>
  <c r="E5212" i="4"/>
  <c r="F5212" i="4" s="1"/>
  <c r="E5213" i="4"/>
  <c r="F5213" i="4" s="1"/>
  <c r="E5214" i="4"/>
  <c r="F5214" i="4" s="1"/>
  <c r="E5215" i="4"/>
  <c r="F5215" i="4" s="1"/>
  <c r="E5216" i="4"/>
  <c r="F5216" i="4" s="1"/>
  <c r="E5217" i="4"/>
  <c r="F5217" i="4" s="1"/>
  <c r="E5218" i="4"/>
  <c r="F5218" i="4" s="1"/>
  <c r="E5219" i="4"/>
  <c r="F5219" i="4" s="1"/>
  <c r="E5220" i="4"/>
  <c r="F5220" i="4" s="1"/>
  <c r="E5221" i="4"/>
  <c r="F5221" i="4" s="1"/>
  <c r="E5222" i="4"/>
  <c r="F5222" i="4" s="1"/>
  <c r="E5223" i="4"/>
  <c r="F5223" i="4" s="1"/>
  <c r="E5224" i="4"/>
  <c r="F5224" i="4" s="1"/>
  <c r="E5225" i="4"/>
  <c r="F5225" i="4" s="1"/>
  <c r="E5226" i="4"/>
  <c r="F5226" i="4" s="1"/>
  <c r="E5227" i="4"/>
  <c r="F5227" i="4" s="1"/>
  <c r="E5228" i="4"/>
  <c r="F5228" i="4" s="1"/>
  <c r="E5229" i="4"/>
  <c r="F5229" i="4" s="1"/>
  <c r="E5230" i="4"/>
  <c r="F5230" i="4" s="1"/>
  <c r="E5231" i="4"/>
  <c r="F5231" i="4" s="1"/>
  <c r="E5232" i="4"/>
  <c r="F5232" i="4" s="1"/>
  <c r="E5233" i="4"/>
  <c r="F5233" i="4" s="1"/>
  <c r="E5234" i="4"/>
  <c r="F5234" i="4" s="1"/>
  <c r="E5235" i="4"/>
  <c r="F5235" i="4" s="1"/>
  <c r="E5236" i="4"/>
  <c r="F5236" i="4" s="1"/>
  <c r="E5237" i="4"/>
  <c r="F5237" i="4" s="1"/>
  <c r="E5238" i="4"/>
  <c r="F5238" i="4" s="1"/>
  <c r="E5239" i="4"/>
  <c r="F5239" i="4" s="1"/>
  <c r="E5240" i="4"/>
  <c r="F5240" i="4" s="1"/>
  <c r="E5241" i="4"/>
  <c r="F5241" i="4" s="1"/>
  <c r="E5242" i="4"/>
  <c r="F5242" i="4" s="1"/>
  <c r="E5243" i="4"/>
  <c r="F5243" i="4" s="1"/>
  <c r="E5244" i="4"/>
  <c r="F5244" i="4" s="1"/>
  <c r="E5245" i="4"/>
  <c r="F5245" i="4" s="1"/>
  <c r="E5246" i="4"/>
  <c r="F5246" i="4" s="1"/>
  <c r="E5247" i="4"/>
  <c r="F5247" i="4" s="1"/>
  <c r="E5248" i="4"/>
  <c r="F5248" i="4" s="1"/>
  <c r="E5249" i="4"/>
  <c r="F5249" i="4" s="1"/>
  <c r="E5250" i="4"/>
  <c r="F5250" i="4" s="1"/>
  <c r="E5251" i="4"/>
  <c r="F5251" i="4" s="1"/>
  <c r="E5252" i="4"/>
  <c r="F5252" i="4" s="1"/>
  <c r="E5253" i="4"/>
  <c r="F5253" i="4" s="1"/>
  <c r="E5254" i="4"/>
  <c r="F5254" i="4" s="1"/>
  <c r="E5255" i="4"/>
  <c r="F5255" i="4" s="1"/>
  <c r="E5256" i="4"/>
  <c r="F5256" i="4" s="1"/>
  <c r="E5257" i="4"/>
  <c r="F5257" i="4" s="1"/>
  <c r="E5258" i="4"/>
  <c r="F5258" i="4" s="1"/>
  <c r="E5259" i="4"/>
  <c r="F5259" i="4" s="1"/>
  <c r="E5260" i="4"/>
  <c r="F5260" i="4" s="1"/>
  <c r="E5261" i="4"/>
  <c r="F5261" i="4" s="1"/>
  <c r="E5262" i="4"/>
  <c r="F5262" i="4" s="1"/>
  <c r="E5263" i="4"/>
  <c r="F5263" i="4" s="1"/>
  <c r="E5264" i="4"/>
  <c r="F5264" i="4" s="1"/>
  <c r="E5265" i="4"/>
  <c r="F5265" i="4" s="1"/>
  <c r="E5266" i="4"/>
  <c r="F5266" i="4" s="1"/>
  <c r="E5267" i="4"/>
  <c r="F5267" i="4" s="1"/>
  <c r="E5268" i="4"/>
  <c r="F5268" i="4" s="1"/>
  <c r="E5269" i="4"/>
  <c r="F5269" i="4" s="1"/>
  <c r="E5270" i="4"/>
  <c r="F5270" i="4" s="1"/>
  <c r="E5271" i="4"/>
  <c r="F5271" i="4" s="1"/>
  <c r="E5272" i="4"/>
  <c r="F5272" i="4" s="1"/>
  <c r="E5273" i="4"/>
  <c r="F5273" i="4" s="1"/>
  <c r="E5274" i="4"/>
  <c r="F5274" i="4" s="1"/>
  <c r="E5275" i="4"/>
  <c r="F5275" i="4" s="1"/>
  <c r="E5276" i="4"/>
  <c r="F5276" i="4" s="1"/>
  <c r="E5277" i="4"/>
  <c r="F5277" i="4" s="1"/>
  <c r="E5278" i="4"/>
  <c r="F5278" i="4" s="1"/>
  <c r="E5279" i="4"/>
  <c r="F5279" i="4" s="1"/>
  <c r="E5280" i="4"/>
  <c r="F5280" i="4" s="1"/>
  <c r="E5281" i="4"/>
  <c r="F5281" i="4" s="1"/>
  <c r="E5282" i="4"/>
  <c r="F5282" i="4" s="1"/>
  <c r="E5283" i="4"/>
  <c r="F5283" i="4" s="1"/>
  <c r="E5284" i="4"/>
  <c r="F5284" i="4" s="1"/>
  <c r="E5285" i="4"/>
  <c r="F5285" i="4" s="1"/>
  <c r="E5286" i="4"/>
  <c r="F5286" i="4" s="1"/>
  <c r="E5287" i="4"/>
  <c r="F5287" i="4" s="1"/>
  <c r="E5288" i="4"/>
  <c r="F5288" i="4" s="1"/>
  <c r="E5289" i="4"/>
  <c r="F5289" i="4" s="1"/>
  <c r="E5290" i="4"/>
  <c r="F5290" i="4" s="1"/>
  <c r="E5291" i="4"/>
  <c r="F5291" i="4" s="1"/>
  <c r="E5292" i="4"/>
  <c r="F5292" i="4" s="1"/>
  <c r="E5293" i="4"/>
  <c r="F5293" i="4" s="1"/>
  <c r="E5294" i="4"/>
  <c r="F5294" i="4" s="1"/>
  <c r="E5295" i="4"/>
  <c r="F5295" i="4" s="1"/>
  <c r="E5296" i="4"/>
  <c r="F5296" i="4" s="1"/>
  <c r="E5297" i="4"/>
  <c r="F5297" i="4" s="1"/>
  <c r="E5298" i="4"/>
  <c r="F5298" i="4" s="1"/>
  <c r="E5299" i="4"/>
  <c r="F5299" i="4" s="1"/>
  <c r="E5300" i="4"/>
  <c r="F5300" i="4" s="1"/>
  <c r="E5301" i="4"/>
  <c r="F5301" i="4" s="1"/>
  <c r="E5302" i="4"/>
  <c r="F5302" i="4" s="1"/>
  <c r="E5303" i="4"/>
  <c r="F5303" i="4" s="1"/>
  <c r="E5304" i="4"/>
  <c r="F5304" i="4" s="1"/>
  <c r="E5305" i="4"/>
  <c r="F5305" i="4" s="1"/>
  <c r="E5306" i="4"/>
  <c r="F5306" i="4" s="1"/>
  <c r="E5307" i="4"/>
  <c r="F5307" i="4" s="1"/>
  <c r="E5308" i="4"/>
  <c r="F5308" i="4" s="1"/>
  <c r="E5309" i="4"/>
  <c r="F5309" i="4" s="1"/>
  <c r="E5310" i="4"/>
  <c r="F5310" i="4" s="1"/>
  <c r="E5311" i="4"/>
  <c r="F5311" i="4" s="1"/>
  <c r="E5312" i="4"/>
  <c r="F5312" i="4" s="1"/>
  <c r="E5313" i="4"/>
  <c r="F5313" i="4" s="1"/>
  <c r="E5314" i="4"/>
  <c r="F5314" i="4" s="1"/>
  <c r="E5315" i="4"/>
  <c r="F5315" i="4" s="1"/>
  <c r="E5316" i="4"/>
  <c r="F5316" i="4" s="1"/>
  <c r="E5317" i="4"/>
  <c r="F5317" i="4" s="1"/>
  <c r="E5318" i="4"/>
  <c r="F5318" i="4" s="1"/>
  <c r="E5319" i="4"/>
  <c r="F5319" i="4" s="1"/>
  <c r="E5320" i="4"/>
  <c r="F5320" i="4" s="1"/>
  <c r="E5321" i="4"/>
  <c r="F5321" i="4" s="1"/>
  <c r="E5322" i="4"/>
  <c r="F5322" i="4" s="1"/>
  <c r="E5323" i="4"/>
  <c r="F5323" i="4" s="1"/>
  <c r="E5324" i="4"/>
  <c r="F5324" i="4" s="1"/>
  <c r="E5325" i="4"/>
  <c r="F5325" i="4" s="1"/>
  <c r="E5326" i="4"/>
  <c r="F5326" i="4" s="1"/>
  <c r="E5327" i="4"/>
  <c r="F5327" i="4" s="1"/>
  <c r="E5328" i="4"/>
  <c r="F5328" i="4" s="1"/>
  <c r="E5329" i="4"/>
  <c r="F5329" i="4" s="1"/>
  <c r="E5330" i="4"/>
  <c r="F5330" i="4" s="1"/>
  <c r="E5331" i="4"/>
  <c r="F5331" i="4" s="1"/>
  <c r="E5332" i="4"/>
  <c r="F5332" i="4" s="1"/>
  <c r="E5333" i="4"/>
  <c r="F5333" i="4" s="1"/>
  <c r="E5334" i="4"/>
  <c r="F5334" i="4" s="1"/>
  <c r="E5335" i="4"/>
  <c r="F5335" i="4" s="1"/>
  <c r="E5336" i="4"/>
  <c r="F5336" i="4" s="1"/>
  <c r="E5337" i="4"/>
  <c r="F5337" i="4" s="1"/>
  <c r="E5338" i="4"/>
  <c r="F5338" i="4" s="1"/>
  <c r="E5339" i="4"/>
  <c r="F5339" i="4" s="1"/>
  <c r="E5340" i="4"/>
  <c r="F5340" i="4" s="1"/>
  <c r="E5341" i="4"/>
  <c r="F5341" i="4" s="1"/>
  <c r="E5342" i="4"/>
  <c r="F5342" i="4" s="1"/>
  <c r="E5343" i="4"/>
  <c r="F5343" i="4" s="1"/>
  <c r="E5344" i="4"/>
  <c r="F5344" i="4" s="1"/>
  <c r="E5345" i="4"/>
  <c r="F5345" i="4" s="1"/>
  <c r="E5346" i="4"/>
  <c r="F5346" i="4" s="1"/>
  <c r="E5347" i="4"/>
  <c r="F5347" i="4" s="1"/>
  <c r="E5348" i="4"/>
  <c r="F5348" i="4" s="1"/>
  <c r="E5349" i="4"/>
  <c r="F5349" i="4" s="1"/>
  <c r="E5350" i="4"/>
  <c r="F5350" i="4" s="1"/>
  <c r="E5351" i="4"/>
  <c r="F5351" i="4" s="1"/>
  <c r="E5352" i="4"/>
  <c r="F5352" i="4" s="1"/>
  <c r="E5353" i="4"/>
  <c r="F5353" i="4" s="1"/>
  <c r="E5354" i="4"/>
  <c r="F5354" i="4" s="1"/>
  <c r="E5355" i="4"/>
  <c r="F5355" i="4" s="1"/>
  <c r="E5356" i="4"/>
  <c r="F5356" i="4" s="1"/>
  <c r="E5357" i="4"/>
  <c r="F5357" i="4" s="1"/>
  <c r="E5358" i="4"/>
  <c r="F5358" i="4" s="1"/>
  <c r="E5359" i="4"/>
  <c r="F5359" i="4" s="1"/>
  <c r="E5360" i="4"/>
  <c r="F5360" i="4" s="1"/>
  <c r="E5361" i="4"/>
  <c r="F5361" i="4" s="1"/>
  <c r="E5362" i="4"/>
  <c r="F5362" i="4" s="1"/>
  <c r="E5363" i="4"/>
  <c r="F5363" i="4" s="1"/>
  <c r="E5364" i="4"/>
  <c r="F5364" i="4" s="1"/>
  <c r="E5365" i="4"/>
  <c r="F5365" i="4" s="1"/>
  <c r="E5366" i="4"/>
  <c r="F5366" i="4" s="1"/>
  <c r="E5367" i="4"/>
  <c r="F5367" i="4" s="1"/>
  <c r="E5368" i="4"/>
  <c r="F5368" i="4" s="1"/>
  <c r="E5369" i="4"/>
  <c r="F5369" i="4" s="1"/>
  <c r="E5370" i="4"/>
  <c r="F5370" i="4" s="1"/>
  <c r="E5371" i="4"/>
  <c r="F5371" i="4" s="1"/>
  <c r="E5372" i="4"/>
  <c r="F5372" i="4" s="1"/>
  <c r="E5373" i="4"/>
  <c r="F5373" i="4" s="1"/>
  <c r="E5374" i="4"/>
  <c r="F5374" i="4" s="1"/>
  <c r="E5375" i="4"/>
  <c r="F5375" i="4" s="1"/>
  <c r="E5376" i="4"/>
  <c r="F5376" i="4" s="1"/>
  <c r="E5377" i="4"/>
  <c r="F5377" i="4" s="1"/>
  <c r="E5378" i="4"/>
  <c r="F5378" i="4" s="1"/>
  <c r="E5379" i="4"/>
  <c r="F5379" i="4" s="1"/>
  <c r="E5380" i="4"/>
  <c r="F5380" i="4" s="1"/>
  <c r="E5381" i="4"/>
  <c r="F5381" i="4" s="1"/>
  <c r="E5382" i="4"/>
  <c r="F5382" i="4" s="1"/>
  <c r="E5383" i="4"/>
  <c r="F5383" i="4" s="1"/>
  <c r="E5384" i="4"/>
  <c r="F5384" i="4" s="1"/>
  <c r="E5385" i="4"/>
  <c r="F5385" i="4" s="1"/>
  <c r="E5386" i="4"/>
  <c r="F5386" i="4" s="1"/>
  <c r="E5387" i="4"/>
  <c r="F5387" i="4" s="1"/>
  <c r="E5388" i="4"/>
  <c r="F5388" i="4" s="1"/>
  <c r="E5389" i="4"/>
  <c r="F5389" i="4" s="1"/>
  <c r="E5390" i="4"/>
  <c r="F5390" i="4" s="1"/>
  <c r="E5391" i="4"/>
  <c r="F5391" i="4" s="1"/>
  <c r="E5392" i="4"/>
  <c r="F5392" i="4" s="1"/>
  <c r="E5393" i="4"/>
  <c r="F5393" i="4" s="1"/>
  <c r="E5394" i="4"/>
  <c r="F5394" i="4" s="1"/>
  <c r="E5395" i="4"/>
  <c r="F5395" i="4" s="1"/>
  <c r="E5396" i="4"/>
  <c r="F5396" i="4" s="1"/>
  <c r="E5397" i="4"/>
  <c r="F5397" i="4" s="1"/>
  <c r="E5398" i="4"/>
  <c r="F5398" i="4" s="1"/>
  <c r="E5399" i="4"/>
  <c r="F5399" i="4" s="1"/>
  <c r="E5400" i="4"/>
  <c r="F5400" i="4" s="1"/>
  <c r="E5401" i="4"/>
  <c r="F5401" i="4" s="1"/>
  <c r="E5402" i="4"/>
  <c r="F5402" i="4" s="1"/>
  <c r="E5403" i="4"/>
  <c r="F5403" i="4" s="1"/>
  <c r="E5404" i="4"/>
  <c r="F5404" i="4" s="1"/>
  <c r="E5405" i="4"/>
  <c r="F5405" i="4" s="1"/>
  <c r="E5406" i="4"/>
  <c r="F5406" i="4" s="1"/>
  <c r="E5407" i="4"/>
  <c r="F5407" i="4" s="1"/>
  <c r="E5408" i="4"/>
  <c r="F5408" i="4" s="1"/>
  <c r="E5409" i="4"/>
  <c r="F5409" i="4" s="1"/>
  <c r="E5410" i="4"/>
  <c r="F5410" i="4" s="1"/>
  <c r="E5411" i="4"/>
  <c r="F5411" i="4" s="1"/>
  <c r="E5412" i="4"/>
  <c r="F5412" i="4" s="1"/>
  <c r="E5413" i="4"/>
  <c r="F5413" i="4" s="1"/>
  <c r="E5414" i="4"/>
  <c r="F5414" i="4" s="1"/>
  <c r="E5415" i="4"/>
  <c r="F5415" i="4" s="1"/>
  <c r="E5416" i="4"/>
  <c r="F5416" i="4" s="1"/>
  <c r="E5417" i="4"/>
  <c r="F5417" i="4" s="1"/>
  <c r="E5418" i="4"/>
  <c r="F5418" i="4" s="1"/>
  <c r="E5419" i="4"/>
  <c r="F5419" i="4" s="1"/>
  <c r="E5420" i="4"/>
  <c r="F5420" i="4" s="1"/>
  <c r="E5421" i="4"/>
  <c r="F5421" i="4" s="1"/>
  <c r="E5422" i="4"/>
  <c r="F5422" i="4" s="1"/>
  <c r="E5423" i="4"/>
  <c r="F5423" i="4" s="1"/>
  <c r="E5424" i="4"/>
  <c r="F5424" i="4" s="1"/>
  <c r="E5425" i="4"/>
  <c r="F5425" i="4" s="1"/>
  <c r="E5426" i="4"/>
  <c r="F5426" i="4" s="1"/>
  <c r="E5427" i="4"/>
  <c r="F5427" i="4" s="1"/>
  <c r="E5428" i="4"/>
  <c r="F5428" i="4" s="1"/>
  <c r="E5429" i="4"/>
  <c r="F5429" i="4" s="1"/>
  <c r="E5430" i="4"/>
  <c r="F5430" i="4" s="1"/>
  <c r="E5431" i="4"/>
  <c r="F5431" i="4" s="1"/>
  <c r="E5432" i="4"/>
  <c r="F5432" i="4" s="1"/>
  <c r="E5433" i="4"/>
  <c r="F5433" i="4" s="1"/>
  <c r="E5434" i="4"/>
  <c r="F5434" i="4" s="1"/>
  <c r="E5435" i="4"/>
  <c r="F5435" i="4" s="1"/>
  <c r="E5436" i="4"/>
  <c r="F5436" i="4" s="1"/>
  <c r="E5437" i="4"/>
  <c r="F5437" i="4" s="1"/>
  <c r="E5438" i="4"/>
  <c r="F5438" i="4" s="1"/>
  <c r="E5439" i="4"/>
  <c r="F5439" i="4" s="1"/>
  <c r="E5440" i="4"/>
  <c r="F5440" i="4" s="1"/>
  <c r="E5441" i="4"/>
  <c r="F5441" i="4" s="1"/>
  <c r="E5442" i="4"/>
  <c r="F5442" i="4" s="1"/>
  <c r="E5443" i="4"/>
  <c r="F5443" i="4" s="1"/>
  <c r="E5444" i="4"/>
  <c r="F5444" i="4" s="1"/>
  <c r="E5445" i="4"/>
  <c r="F5445" i="4" s="1"/>
  <c r="E5446" i="4"/>
  <c r="F5446" i="4" s="1"/>
  <c r="E5447" i="4"/>
  <c r="F5447" i="4" s="1"/>
  <c r="E5448" i="4"/>
  <c r="F5448" i="4" s="1"/>
  <c r="E5449" i="4"/>
  <c r="F5449" i="4" s="1"/>
  <c r="E5450" i="4"/>
  <c r="F5450" i="4" s="1"/>
  <c r="E5451" i="4"/>
  <c r="F5451" i="4" s="1"/>
  <c r="E5452" i="4"/>
  <c r="F5452" i="4" s="1"/>
  <c r="E5453" i="4"/>
  <c r="F5453" i="4" s="1"/>
  <c r="E5454" i="4"/>
  <c r="F5454" i="4" s="1"/>
  <c r="E5455" i="4"/>
  <c r="F5455" i="4" s="1"/>
  <c r="E5456" i="4"/>
  <c r="F5456" i="4" s="1"/>
  <c r="E5457" i="4"/>
  <c r="F5457" i="4" s="1"/>
  <c r="E5458" i="4"/>
  <c r="F5458" i="4" s="1"/>
  <c r="E5459" i="4"/>
  <c r="F5459" i="4" s="1"/>
  <c r="E5460" i="4"/>
  <c r="F5460" i="4" s="1"/>
  <c r="E5461" i="4"/>
  <c r="F5461" i="4" s="1"/>
  <c r="E5462" i="4"/>
  <c r="F5462" i="4" s="1"/>
  <c r="E5463" i="4"/>
  <c r="F5463" i="4" s="1"/>
  <c r="E5464" i="4"/>
  <c r="F5464" i="4" s="1"/>
  <c r="E5465" i="4"/>
  <c r="F5465" i="4" s="1"/>
  <c r="E5466" i="4"/>
  <c r="F5466" i="4" s="1"/>
  <c r="E5467" i="4"/>
  <c r="F5467" i="4" s="1"/>
  <c r="E5468" i="4"/>
  <c r="F5468" i="4" s="1"/>
  <c r="E5469" i="4"/>
  <c r="F5469" i="4" s="1"/>
  <c r="E5470" i="4"/>
  <c r="F5470" i="4" s="1"/>
  <c r="E5471" i="4"/>
  <c r="F5471" i="4" s="1"/>
  <c r="E5472" i="4"/>
  <c r="F5472" i="4" s="1"/>
  <c r="E5473" i="4"/>
  <c r="F5473" i="4" s="1"/>
  <c r="E5474" i="4"/>
  <c r="F5474" i="4" s="1"/>
  <c r="E5475" i="4"/>
  <c r="F5475" i="4" s="1"/>
  <c r="E5476" i="4"/>
  <c r="F5476" i="4" s="1"/>
  <c r="E5477" i="4"/>
  <c r="F5477" i="4" s="1"/>
  <c r="E5478" i="4"/>
  <c r="F5478" i="4" s="1"/>
  <c r="E5479" i="4"/>
  <c r="F5479" i="4" s="1"/>
  <c r="E5480" i="4"/>
  <c r="F5480" i="4" s="1"/>
  <c r="E5481" i="4"/>
  <c r="F5481" i="4" s="1"/>
  <c r="E5482" i="4"/>
  <c r="F5482" i="4" s="1"/>
  <c r="E5483" i="4"/>
  <c r="F5483" i="4" s="1"/>
  <c r="E5484" i="4"/>
  <c r="F5484" i="4" s="1"/>
  <c r="E5485" i="4"/>
  <c r="F5485" i="4" s="1"/>
  <c r="E5486" i="4"/>
  <c r="F5486" i="4" s="1"/>
  <c r="E5487" i="4"/>
  <c r="F5487" i="4" s="1"/>
  <c r="E5488" i="4"/>
  <c r="F5488" i="4" s="1"/>
  <c r="E5489" i="4"/>
  <c r="F5489" i="4" s="1"/>
  <c r="E5490" i="4"/>
  <c r="F5490" i="4" s="1"/>
  <c r="E5491" i="4"/>
  <c r="F5491" i="4" s="1"/>
  <c r="E5492" i="4"/>
  <c r="F5492" i="4" s="1"/>
  <c r="E5493" i="4"/>
  <c r="F5493" i="4" s="1"/>
  <c r="E5494" i="4"/>
  <c r="F5494" i="4" s="1"/>
  <c r="E5495" i="4"/>
  <c r="F5495" i="4" s="1"/>
  <c r="E5496" i="4"/>
  <c r="F5496" i="4" s="1"/>
  <c r="E5497" i="4"/>
  <c r="F5497" i="4" s="1"/>
  <c r="E5498" i="4"/>
  <c r="F5498" i="4" s="1"/>
  <c r="E5499" i="4"/>
  <c r="F5499" i="4" s="1"/>
  <c r="E5500" i="4"/>
  <c r="F5500" i="4" s="1"/>
  <c r="E5501" i="4"/>
  <c r="F5501" i="4" s="1"/>
  <c r="E5502" i="4"/>
  <c r="F5502" i="4" s="1"/>
  <c r="E5503" i="4"/>
  <c r="F5503" i="4" s="1"/>
  <c r="E5504" i="4"/>
  <c r="F5504" i="4" s="1"/>
  <c r="E5505" i="4"/>
  <c r="F5505" i="4" s="1"/>
  <c r="E5506" i="4"/>
  <c r="F5506" i="4" s="1"/>
  <c r="E5507" i="4"/>
  <c r="F5507" i="4" s="1"/>
  <c r="E5508" i="4"/>
  <c r="F5508" i="4" s="1"/>
  <c r="E5509" i="4"/>
  <c r="F5509" i="4" s="1"/>
  <c r="E5510" i="4"/>
  <c r="F5510" i="4" s="1"/>
  <c r="E5511" i="4"/>
  <c r="F5511" i="4" s="1"/>
  <c r="E5512" i="4"/>
  <c r="F5512" i="4" s="1"/>
  <c r="E5513" i="4"/>
  <c r="F5513" i="4" s="1"/>
  <c r="E5514" i="4"/>
  <c r="F5514" i="4" s="1"/>
  <c r="E5515" i="4"/>
  <c r="F5515" i="4" s="1"/>
  <c r="E5516" i="4"/>
  <c r="F5516" i="4" s="1"/>
  <c r="E5517" i="4"/>
  <c r="F5517" i="4" s="1"/>
  <c r="E5518" i="4"/>
  <c r="F5518" i="4" s="1"/>
  <c r="E5519" i="4"/>
  <c r="F5519" i="4" s="1"/>
  <c r="E5520" i="4"/>
  <c r="F5520" i="4" s="1"/>
  <c r="E5521" i="4"/>
  <c r="F5521" i="4" s="1"/>
  <c r="E5522" i="4"/>
  <c r="F5522" i="4" s="1"/>
  <c r="E5523" i="4"/>
  <c r="F5523" i="4" s="1"/>
  <c r="E5524" i="4"/>
  <c r="F5524" i="4" s="1"/>
  <c r="E5525" i="4"/>
  <c r="F5525" i="4" s="1"/>
  <c r="E5526" i="4"/>
  <c r="F5526" i="4" s="1"/>
  <c r="E5527" i="4"/>
  <c r="F5527" i="4" s="1"/>
  <c r="E5528" i="4"/>
  <c r="F5528" i="4" s="1"/>
  <c r="E5529" i="4"/>
  <c r="F5529" i="4" s="1"/>
  <c r="E5530" i="4"/>
  <c r="F5530" i="4" s="1"/>
  <c r="E5531" i="4"/>
  <c r="F5531" i="4" s="1"/>
  <c r="E5532" i="4"/>
  <c r="F5532" i="4" s="1"/>
  <c r="E5533" i="4"/>
  <c r="F5533" i="4" s="1"/>
  <c r="E5534" i="4"/>
  <c r="F5534" i="4" s="1"/>
  <c r="E5535" i="4"/>
  <c r="F5535" i="4" s="1"/>
  <c r="E5536" i="4"/>
  <c r="F5536" i="4" s="1"/>
  <c r="E5537" i="4"/>
  <c r="F5537" i="4" s="1"/>
  <c r="E5538" i="4"/>
  <c r="F5538" i="4" s="1"/>
  <c r="E5539" i="4"/>
  <c r="F5539" i="4" s="1"/>
  <c r="E5540" i="4"/>
  <c r="F5540" i="4" s="1"/>
  <c r="E5541" i="4"/>
  <c r="F5541" i="4" s="1"/>
  <c r="E5542" i="4"/>
  <c r="F5542" i="4" s="1"/>
  <c r="E5543" i="4"/>
  <c r="F5543" i="4" s="1"/>
  <c r="E5544" i="4"/>
  <c r="F5544" i="4" s="1"/>
  <c r="E5545" i="4"/>
  <c r="F5545" i="4" s="1"/>
  <c r="E5546" i="4"/>
  <c r="F5546" i="4" s="1"/>
  <c r="E5547" i="4"/>
  <c r="F5547" i="4" s="1"/>
  <c r="E5548" i="4"/>
  <c r="F5548" i="4" s="1"/>
  <c r="E5549" i="4"/>
  <c r="F5549" i="4" s="1"/>
  <c r="E5550" i="4"/>
  <c r="F5550" i="4" s="1"/>
  <c r="E5551" i="4"/>
  <c r="F5551" i="4" s="1"/>
  <c r="E5552" i="4"/>
  <c r="F5552" i="4" s="1"/>
  <c r="E5553" i="4"/>
  <c r="F5553" i="4" s="1"/>
  <c r="E5554" i="4"/>
  <c r="F5554" i="4" s="1"/>
  <c r="E5555" i="4"/>
  <c r="F5555" i="4" s="1"/>
  <c r="E5556" i="4"/>
  <c r="F5556" i="4" s="1"/>
  <c r="E5557" i="4"/>
  <c r="F5557" i="4" s="1"/>
  <c r="E5558" i="4"/>
  <c r="F5558" i="4" s="1"/>
  <c r="E5559" i="4"/>
  <c r="F5559" i="4" s="1"/>
  <c r="E5560" i="4"/>
  <c r="F5560" i="4" s="1"/>
  <c r="E5561" i="4"/>
  <c r="F5561" i="4" s="1"/>
  <c r="E5562" i="4"/>
  <c r="F5562" i="4" s="1"/>
  <c r="E5563" i="4"/>
  <c r="F5563" i="4" s="1"/>
  <c r="E5564" i="4"/>
  <c r="F5564" i="4" s="1"/>
  <c r="E5565" i="4"/>
  <c r="F5565" i="4" s="1"/>
  <c r="E5566" i="4"/>
  <c r="F5566" i="4" s="1"/>
  <c r="E5567" i="4"/>
  <c r="F5567" i="4" s="1"/>
  <c r="E5568" i="4"/>
  <c r="F5568" i="4" s="1"/>
  <c r="E5569" i="4"/>
  <c r="F5569" i="4" s="1"/>
  <c r="E5570" i="4"/>
  <c r="F5570" i="4" s="1"/>
  <c r="E5571" i="4"/>
  <c r="F5571" i="4" s="1"/>
  <c r="E5572" i="4"/>
  <c r="F5572" i="4" s="1"/>
  <c r="E5573" i="4"/>
  <c r="F5573" i="4" s="1"/>
  <c r="E5574" i="4"/>
  <c r="F5574" i="4" s="1"/>
  <c r="E5575" i="4"/>
  <c r="F5575" i="4" s="1"/>
  <c r="E5576" i="4"/>
  <c r="F5576" i="4" s="1"/>
  <c r="E5577" i="4"/>
  <c r="F5577" i="4" s="1"/>
  <c r="E5578" i="4"/>
  <c r="F5578" i="4" s="1"/>
  <c r="E5579" i="4"/>
  <c r="F5579" i="4" s="1"/>
  <c r="E5580" i="4"/>
  <c r="F5580" i="4" s="1"/>
  <c r="E5581" i="4"/>
  <c r="F5581" i="4" s="1"/>
  <c r="E5582" i="4"/>
  <c r="F5582" i="4" s="1"/>
  <c r="E5583" i="4"/>
  <c r="F5583" i="4" s="1"/>
  <c r="E5584" i="4"/>
  <c r="F5584" i="4" s="1"/>
  <c r="E5585" i="4"/>
  <c r="F5585" i="4" s="1"/>
  <c r="E5586" i="4"/>
  <c r="F5586" i="4" s="1"/>
  <c r="E5587" i="4"/>
  <c r="F5587" i="4" s="1"/>
  <c r="E5588" i="4"/>
  <c r="F5588" i="4" s="1"/>
  <c r="E5589" i="4"/>
  <c r="F5589" i="4" s="1"/>
  <c r="E5590" i="4"/>
  <c r="F5590" i="4" s="1"/>
  <c r="E5591" i="4"/>
  <c r="F5591" i="4" s="1"/>
  <c r="E5592" i="4"/>
  <c r="F5592" i="4" s="1"/>
  <c r="E5593" i="4"/>
  <c r="F5593" i="4" s="1"/>
  <c r="E5594" i="4"/>
  <c r="F5594" i="4" s="1"/>
  <c r="E5595" i="4"/>
  <c r="F5595" i="4" s="1"/>
  <c r="E5596" i="4"/>
  <c r="F5596" i="4" s="1"/>
  <c r="E5597" i="4"/>
  <c r="F5597" i="4" s="1"/>
  <c r="E5598" i="4"/>
  <c r="F5598" i="4" s="1"/>
  <c r="E5599" i="4"/>
  <c r="F5599" i="4" s="1"/>
  <c r="E5600" i="4"/>
  <c r="F5600" i="4" s="1"/>
  <c r="E5601" i="4"/>
  <c r="F5601" i="4" s="1"/>
  <c r="E5602" i="4"/>
  <c r="F5602" i="4" s="1"/>
  <c r="E5603" i="4"/>
  <c r="F5603" i="4" s="1"/>
  <c r="E5604" i="4"/>
  <c r="F5604" i="4" s="1"/>
  <c r="E5605" i="4"/>
  <c r="F5605" i="4" s="1"/>
  <c r="E5606" i="4"/>
  <c r="F5606" i="4" s="1"/>
  <c r="E5607" i="4"/>
  <c r="F5607" i="4" s="1"/>
  <c r="E5608" i="4"/>
  <c r="F5608" i="4" s="1"/>
  <c r="E5609" i="4"/>
  <c r="F5609" i="4" s="1"/>
  <c r="E5610" i="4"/>
  <c r="F5610" i="4" s="1"/>
  <c r="E5611" i="4"/>
  <c r="F5611" i="4" s="1"/>
  <c r="E5612" i="4"/>
  <c r="F5612" i="4" s="1"/>
  <c r="E5613" i="4"/>
  <c r="F5613" i="4" s="1"/>
  <c r="E5614" i="4"/>
  <c r="F5614" i="4" s="1"/>
  <c r="E5615" i="4"/>
  <c r="F5615" i="4" s="1"/>
  <c r="E5616" i="4"/>
  <c r="F5616" i="4" s="1"/>
  <c r="E5617" i="4"/>
  <c r="F5617" i="4" s="1"/>
  <c r="E5618" i="4"/>
  <c r="F5618" i="4" s="1"/>
  <c r="E5619" i="4"/>
  <c r="F5619" i="4" s="1"/>
  <c r="E5620" i="4"/>
  <c r="F5620" i="4" s="1"/>
  <c r="E5621" i="4"/>
  <c r="F5621" i="4" s="1"/>
  <c r="E5622" i="4"/>
  <c r="F5622" i="4" s="1"/>
  <c r="E5623" i="4"/>
  <c r="F5623" i="4" s="1"/>
  <c r="E5624" i="4"/>
  <c r="F5624" i="4" s="1"/>
  <c r="E5625" i="4"/>
  <c r="F5625" i="4" s="1"/>
  <c r="E5626" i="4"/>
  <c r="F5626" i="4" s="1"/>
  <c r="E5627" i="4"/>
  <c r="F5627" i="4" s="1"/>
  <c r="E5628" i="4"/>
  <c r="F5628" i="4" s="1"/>
  <c r="E5629" i="4"/>
  <c r="F5629" i="4" s="1"/>
  <c r="E5630" i="4"/>
  <c r="F5630" i="4" s="1"/>
  <c r="E5631" i="4"/>
  <c r="F5631" i="4" s="1"/>
  <c r="E5632" i="4"/>
  <c r="F5632" i="4" s="1"/>
  <c r="E5633" i="4"/>
  <c r="F5633" i="4" s="1"/>
  <c r="E5634" i="4"/>
  <c r="F5634" i="4" s="1"/>
  <c r="E5635" i="4"/>
  <c r="F5635" i="4" s="1"/>
  <c r="E5636" i="4"/>
  <c r="F5636" i="4" s="1"/>
  <c r="E5637" i="4"/>
  <c r="F5637" i="4" s="1"/>
  <c r="E5638" i="4"/>
  <c r="F5638" i="4" s="1"/>
  <c r="E5639" i="4"/>
  <c r="F5639" i="4" s="1"/>
  <c r="E5640" i="4"/>
  <c r="F5640" i="4" s="1"/>
  <c r="E5641" i="4"/>
  <c r="F5641" i="4" s="1"/>
  <c r="E5642" i="4"/>
  <c r="F5642" i="4" s="1"/>
  <c r="E5643" i="4"/>
  <c r="F5643" i="4" s="1"/>
  <c r="E5644" i="4"/>
  <c r="F5644" i="4" s="1"/>
  <c r="E5645" i="4"/>
  <c r="F5645" i="4" s="1"/>
  <c r="E5646" i="4"/>
  <c r="F5646" i="4" s="1"/>
  <c r="E5647" i="4"/>
  <c r="F5647" i="4" s="1"/>
  <c r="E5648" i="4"/>
  <c r="F5648" i="4" s="1"/>
  <c r="E5649" i="4"/>
  <c r="F5649" i="4" s="1"/>
  <c r="E5650" i="4"/>
  <c r="F5650" i="4" s="1"/>
  <c r="E5651" i="4"/>
  <c r="F5651" i="4" s="1"/>
  <c r="E5652" i="4"/>
  <c r="F5652" i="4" s="1"/>
  <c r="E5653" i="4"/>
  <c r="F5653" i="4" s="1"/>
  <c r="E5654" i="4"/>
  <c r="F5654" i="4" s="1"/>
  <c r="E5655" i="4"/>
  <c r="F5655" i="4" s="1"/>
  <c r="E5656" i="4"/>
  <c r="F5656" i="4" s="1"/>
  <c r="E5657" i="4"/>
  <c r="F5657" i="4" s="1"/>
  <c r="E5658" i="4"/>
  <c r="F5658" i="4" s="1"/>
  <c r="E5659" i="4"/>
  <c r="F5659" i="4" s="1"/>
  <c r="E5660" i="4"/>
  <c r="F5660" i="4" s="1"/>
  <c r="E5661" i="4"/>
  <c r="F5661" i="4" s="1"/>
  <c r="E5662" i="4"/>
  <c r="F5662" i="4" s="1"/>
  <c r="E5663" i="4"/>
  <c r="F5663" i="4" s="1"/>
  <c r="E5664" i="4"/>
  <c r="F5664" i="4" s="1"/>
  <c r="E5665" i="4"/>
  <c r="F5665" i="4" s="1"/>
  <c r="E5666" i="4"/>
  <c r="F5666" i="4" s="1"/>
  <c r="E5667" i="4"/>
  <c r="F5667" i="4" s="1"/>
  <c r="E5668" i="4"/>
  <c r="F5668" i="4" s="1"/>
  <c r="E5669" i="4"/>
  <c r="F5669" i="4" s="1"/>
  <c r="E5670" i="4"/>
  <c r="F5670" i="4" s="1"/>
  <c r="E5671" i="4"/>
  <c r="F5671" i="4" s="1"/>
  <c r="E5672" i="4"/>
  <c r="F5672" i="4" s="1"/>
  <c r="E5673" i="4"/>
  <c r="F5673" i="4" s="1"/>
  <c r="E5674" i="4"/>
  <c r="F5674" i="4" s="1"/>
  <c r="E5675" i="4"/>
  <c r="F5675" i="4" s="1"/>
  <c r="E5676" i="4"/>
  <c r="F5676" i="4" s="1"/>
  <c r="E5677" i="4"/>
  <c r="F5677" i="4" s="1"/>
  <c r="E5678" i="4"/>
  <c r="F5678" i="4" s="1"/>
  <c r="E5679" i="4"/>
  <c r="F5679" i="4" s="1"/>
  <c r="E5680" i="4"/>
  <c r="F5680" i="4" s="1"/>
  <c r="E5681" i="4"/>
  <c r="F5681" i="4" s="1"/>
  <c r="E5682" i="4"/>
  <c r="F5682" i="4" s="1"/>
  <c r="E5683" i="4"/>
  <c r="F5683" i="4" s="1"/>
  <c r="E5684" i="4"/>
  <c r="F5684" i="4" s="1"/>
  <c r="E5685" i="4"/>
  <c r="F5685" i="4" s="1"/>
  <c r="E5686" i="4"/>
  <c r="F5686" i="4" s="1"/>
  <c r="E5687" i="4"/>
  <c r="F5687" i="4" s="1"/>
  <c r="E5688" i="4"/>
  <c r="F5688" i="4" s="1"/>
  <c r="E5689" i="4"/>
  <c r="F5689" i="4" s="1"/>
  <c r="E5690" i="4"/>
  <c r="F5690" i="4" s="1"/>
  <c r="E5691" i="4"/>
  <c r="F5691" i="4" s="1"/>
  <c r="E5692" i="4"/>
  <c r="F5692" i="4" s="1"/>
  <c r="E5693" i="4"/>
  <c r="F5693" i="4" s="1"/>
  <c r="E5694" i="4"/>
  <c r="F5694" i="4" s="1"/>
  <c r="E5695" i="4"/>
  <c r="F5695" i="4" s="1"/>
  <c r="E5696" i="4"/>
  <c r="F5696" i="4" s="1"/>
  <c r="E5697" i="4"/>
  <c r="F5697" i="4" s="1"/>
  <c r="E5698" i="4"/>
  <c r="F5698" i="4" s="1"/>
  <c r="E5699" i="4"/>
  <c r="F5699" i="4" s="1"/>
  <c r="E5700" i="4"/>
  <c r="F5700" i="4" s="1"/>
  <c r="E5701" i="4"/>
  <c r="F5701" i="4" s="1"/>
  <c r="E5702" i="4"/>
  <c r="F5702" i="4" s="1"/>
  <c r="E5703" i="4"/>
  <c r="F5703" i="4" s="1"/>
  <c r="E5704" i="4"/>
  <c r="F5704" i="4" s="1"/>
  <c r="E5705" i="4"/>
  <c r="F5705" i="4" s="1"/>
  <c r="E5706" i="4"/>
  <c r="F5706" i="4" s="1"/>
  <c r="E5707" i="4"/>
  <c r="F5707" i="4" s="1"/>
  <c r="E5708" i="4"/>
  <c r="F5708" i="4" s="1"/>
  <c r="E5709" i="4"/>
  <c r="F5709" i="4" s="1"/>
  <c r="E5710" i="4"/>
  <c r="F5710" i="4" s="1"/>
  <c r="E5711" i="4"/>
  <c r="F5711" i="4" s="1"/>
  <c r="E5712" i="4"/>
  <c r="F5712" i="4" s="1"/>
  <c r="E5713" i="4"/>
  <c r="F5713" i="4" s="1"/>
  <c r="E5714" i="4"/>
  <c r="F5714" i="4" s="1"/>
  <c r="E5715" i="4"/>
  <c r="F5715" i="4" s="1"/>
  <c r="E5716" i="4"/>
  <c r="F5716" i="4" s="1"/>
  <c r="E5717" i="4"/>
  <c r="F5717" i="4" s="1"/>
  <c r="E5718" i="4"/>
  <c r="F5718" i="4" s="1"/>
  <c r="E5719" i="4"/>
  <c r="F5719" i="4" s="1"/>
  <c r="E5720" i="4"/>
  <c r="F5720" i="4" s="1"/>
  <c r="E5721" i="4"/>
  <c r="F5721" i="4" s="1"/>
  <c r="E5722" i="4"/>
  <c r="F5722" i="4" s="1"/>
  <c r="E5723" i="4"/>
  <c r="F5723" i="4" s="1"/>
  <c r="E5724" i="4"/>
  <c r="F5724" i="4" s="1"/>
  <c r="E5725" i="4"/>
  <c r="F5725" i="4" s="1"/>
  <c r="E5726" i="4"/>
  <c r="F5726" i="4" s="1"/>
  <c r="E5727" i="4"/>
  <c r="F5727" i="4" s="1"/>
  <c r="E5728" i="4"/>
  <c r="F5728" i="4" s="1"/>
  <c r="E5729" i="4"/>
  <c r="F5729" i="4" s="1"/>
  <c r="E5730" i="4"/>
  <c r="F5730" i="4" s="1"/>
  <c r="E5731" i="4"/>
  <c r="F5731" i="4" s="1"/>
  <c r="E5732" i="4"/>
  <c r="F5732" i="4" s="1"/>
  <c r="E5733" i="4"/>
  <c r="F5733" i="4" s="1"/>
  <c r="E5734" i="4"/>
  <c r="F5734" i="4" s="1"/>
  <c r="E5735" i="4"/>
  <c r="F5735" i="4" s="1"/>
  <c r="E5736" i="4"/>
  <c r="F5736" i="4" s="1"/>
  <c r="E5737" i="4"/>
  <c r="F5737" i="4" s="1"/>
  <c r="E5738" i="4"/>
  <c r="F5738" i="4" s="1"/>
  <c r="E5739" i="4"/>
  <c r="F5739" i="4" s="1"/>
  <c r="E5740" i="4"/>
  <c r="F5740" i="4" s="1"/>
  <c r="E5741" i="4"/>
  <c r="F5741" i="4" s="1"/>
  <c r="E5742" i="4"/>
  <c r="F5742" i="4" s="1"/>
  <c r="E5743" i="4"/>
  <c r="F5743" i="4" s="1"/>
  <c r="E5744" i="4"/>
  <c r="F5744" i="4" s="1"/>
  <c r="E5745" i="4"/>
  <c r="F5745" i="4" s="1"/>
  <c r="E5746" i="4"/>
  <c r="F5746" i="4" s="1"/>
  <c r="E5747" i="4"/>
  <c r="F5747" i="4" s="1"/>
  <c r="E5748" i="4"/>
  <c r="F5748" i="4" s="1"/>
  <c r="E5749" i="4"/>
  <c r="F5749" i="4" s="1"/>
  <c r="E5750" i="4"/>
  <c r="F5750" i="4" s="1"/>
  <c r="E5751" i="4"/>
  <c r="F5751" i="4" s="1"/>
  <c r="E5752" i="4"/>
  <c r="F5752" i="4" s="1"/>
  <c r="E5753" i="4"/>
  <c r="F5753" i="4" s="1"/>
  <c r="E5754" i="4"/>
  <c r="F5754" i="4" s="1"/>
  <c r="E5755" i="4"/>
  <c r="F5755" i="4" s="1"/>
  <c r="E5756" i="4"/>
  <c r="F5756" i="4" s="1"/>
  <c r="E5757" i="4"/>
  <c r="F5757" i="4" s="1"/>
  <c r="E5758" i="4"/>
  <c r="F5758" i="4" s="1"/>
  <c r="E5759" i="4"/>
  <c r="F5759" i="4" s="1"/>
  <c r="E5760" i="4"/>
  <c r="F5760" i="4" s="1"/>
  <c r="E5761" i="4"/>
  <c r="F5761" i="4" s="1"/>
  <c r="E5762" i="4"/>
  <c r="F5762" i="4" s="1"/>
  <c r="E5763" i="4"/>
  <c r="F5763" i="4" s="1"/>
  <c r="E5764" i="4"/>
  <c r="F5764" i="4" s="1"/>
  <c r="E5765" i="4"/>
  <c r="F5765" i="4" s="1"/>
  <c r="E5766" i="4"/>
  <c r="F5766" i="4" s="1"/>
  <c r="E5767" i="4"/>
  <c r="F5767" i="4" s="1"/>
  <c r="E5768" i="4"/>
  <c r="F5768" i="4" s="1"/>
  <c r="E5769" i="4"/>
  <c r="F5769" i="4" s="1"/>
  <c r="E5770" i="4"/>
  <c r="F5770" i="4" s="1"/>
  <c r="E5771" i="4"/>
  <c r="F5771" i="4" s="1"/>
  <c r="E5772" i="4"/>
  <c r="F5772" i="4" s="1"/>
  <c r="E5773" i="4"/>
  <c r="F5773" i="4" s="1"/>
  <c r="E5774" i="4"/>
  <c r="F5774" i="4" s="1"/>
  <c r="E5775" i="4"/>
  <c r="F5775" i="4" s="1"/>
  <c r="E5776" i="4"/>
  <c r="F5776" i="4" s="1"/>
  <c r="E5777" i="4"/>
  <c r="F5777" i="4" s="1"/>
  <c r="E5778" i="4"/>
  <c r="F5778" i="4" s="1"/>
  <c r="E5779" i="4"/>
  <c r="F5779" i="4" s="1"/>
  <c r="E5780" i="4"/>
  <c r="F5780" i="4" s="1"/>
  <c r="E5781" i="4"/>
  <c r="F5781" i="4" s="1"/>
  <c r="E5782" i="4"/>
  <c r="F5782" i="4" s="1"/>
  <c r="E5783" i="4"/>
  <c r="F5783" i="4" s="1"/>
  <c r="E5784" i="4"/>
  <c r="F5784" i="4" s="1"/>
  <c r="E5785" i="4"/>
  <c r="F5785" i="4" s="1"/>
  <c r="E5786" i="4"/>
  <c r="F5786" i="4" s="1"/>
  <c r="E5787" i="4"/>
  <c r="F5787" i="4" s="1"/>
  <c r="E5788" i="4"/>
  <c r="F5788" i="4" s="1"/>
  <c r="E5789" i="4"/>
  <c r="F5789" i="4" s="1"/>
  <c r="E5790" i="4"/>
  <c r="F5790" i="4" s="1"/>
  <c r="E5791" i="4"/>
  <c r="F5791" i="4" s="1"/>
  <c r="E5792" i="4"/>
  <c r="F5792" i="4" s="1"/>
  <c r="E5793" i="4"/>
  <c r="F5793" i="4" s="1"/>
  <c r="E5794" i="4"/>
  <c r="F5794" i="4" s="1"/>
  <c r="E5795" i="4"/>
  <c r="F5795" i="4" s="1"/>
  <c r="E5796" i="4"/>
  <c r="F5796" i="4" s="1"/>
  <c r="E5797" i="4"/>
  <c r="F5797" i="4" s="1"/>
  <c r="E5798" i="4"/>
  <c r="F5798" i="4" s="1"/>
  <c r="E5799" i="4"/>
  <c r="F5799" i="4" s="1"/>
  <c r="E5800" i="4"/>
  <c r="F5800" i="4" s="1"/>
  <c r="E5801" i="4"/>
  <c r="F5801" i="4" s="1"/>
  <c r="E5802" i="4"/>
  <c r="F5802" i="4" s="1"/>
  <c r="E5803" i="4"/>
  <c r="F5803" i="4" s="1"/>
  <c r="E5804" i="4"/>
  <c r="F5804" i="4" s="1"/>
  <c r="E5805" i="4"/>
  <c r="F5805" i="4" s="1"/>
  <c r="E5806" i="4"/>
  <c r="F5806" i="4" s="1"/>
  <c r="E5807" i="4"/>
  <c r="F5807" i="4" s="1"/>
  <c r="E5808" i="4"/>
  <c r="F5808" i="4" s="1"/>
  <c r="E5809" i="4"/>
  <c r="F5809" i="4" s="1"/>
  <c r="E5810" i="4"/>
  <c r="F5810" i="4" s="1"/>
  <c r="E5811" i="4"/>
  <c r="F5811" i="4" s="1"/>
  <c r="E5812" i="4"/>
  <c r="F5812" i="4" s="1"/>
  <c r="E5813" i="4"/>
  <c r="F5813" i="4" s="1"/>
  <c r="E5814" i="4"/>
  <c r="F5814" i="4" s="1"/>
  <c r="E5815" i="4"/>
  <c r="F5815" i="4" s="1"/>
  <c r="E5816" i="4"/>
  <c r="F5816" i="4" s="1"/>
  <c r="E5817" i="4"/>
  <c r="F5817" i="4" s="1"/>
  <c r="E5818" i="4"/>
  <c r="F5818" i="4" s="1"/>
  <c r="E5819" i="4"/>
  <c r="F5819" i="4" s="1"/>
  <c r="E5820" i="4"/>
  <c r="F5820" i="4" s="1"/>
  <c r="E5821" i="4"/>
  <c r="F5821" i="4" s="1"/>
  <c r="E5822" i="4"/>
  <c r="F5822" i="4" s="1"/>
  <c r="E5823" i="4"/>
  <c r="F5823" i="4" s="1"/>
  <c r="E5824" i="4"/>
  <c r="F5824" i="4" s="1"/>
  <c r="E5825" i="4"/>
  <c r="F5825" i="4" s="1"/>
  <c r="E5826" i="4"/>
  <c r="F5826" i="4" s="1"/>
  <c r="E5827" i="4"/>
  <c r="F5827" i="4" s="1"/>
  <c r="E5828" i="4"/>
  <c r="F5828" i="4" s="1"/>
  <c r="E5829" i="4"/>
  <c r="F5829" i="4" s="1"/>
  <c r="E5830" i="4"/>
  <c r="F5830" i="4" s="1"/>
  <c r="E5831" i="4"/>
  <c r="F5831" i="4" s="1"/>
  <c r="E5832" i="4"/>
  <c r="F5832" i="4" s="1"/>
  <c r="E5833" i="4"/>
  <c r="F5833" i="4" s="1"/>
  <c r="E5834" i="4"/>
  <c r="F5834" i="4" s="1"/>
  <c r="E5835" i="4"/>
  <c r="F5835" i="4" s="1"/>
  <c r="E5836" i="4"/>
  <c r="F5836" i="4" s="1"/>
  <c r="E5837" i="4"/>
  <c r="F5837" i="4" s="1"/>
  <c r="E5838" i="4"/>
  <c r="F5838" i="4" s="1"/>
  <c r="E5839" i="4"/>
  <c r="F5839" i="4" s="1"/>
  <c r="E5840" i="4"/>
  <c r="F5840" i="4" s="1"/>
  <c r="E5841" i="4"/>
  <c r="F5841" i="4" s="1"/>
  <c r="E5842" i="4"/>
  <c r="F5842" i="4" s="1"/>
  <c r="E5843" i="4"/>
  <c r="F5843" i="4" s="1"/>
  <c r="E5844" i="4"/>
  <c r="F5844" i="4" s="1"/>
  <c r="E5845" i="4"/>
  <c r="F5845" i="4" s="1"/>
  <c r="E5846" i="4"/>
  <c r="F5846" i="4" s="1"/>
  <c r="E5847" i="4"/>
  <c r="F5847" i="4" s="1"/>
  <c r="E5848" i="4"/>
  <c r="F5848" i="4" s="1"/>
  <c r="E5849" i="4"/>
  <c r="F5849" i="4" s="1"/>
  <c r="E5850" i="4"/>
  <c r="F5850" i="4" s="1"/>
  <c r="E5851" i="4"/>
  <c r="F5851" i="4" s="1"/>
  <c r="E5852" i="4"/>
  <c r="F5852" i="4" s="1"/>
  <c r="E5853" i="4"/>
  <c r="F5853" i="4" s="1"/>
  <c r="E5854" i="4"/>
  <c r="F5854" i="4" s="1"/>
  <c r="E5855" i="4"/>
  <c r="F5855" i="4" s="1"/>
  <c r="E5856" i="4"/>
  <c r="F5856" i="4" s="1"/>
  <c r="E5857" i="4"/>
  <c r="F5857" i="4" s="1"/>
  <c r="E5858" i="4"/>
  <c r="F5858" i="4" s="1"/>
  <c r="E5859" i="4"/>
  <c r="F5859" i="4" s="1"/>
  <c r="E5860" i="4"/>
  <c r="F5860" i="4" s="1"/>
  <c r="E5861" i="4"/>
  <c r="F5861" i="4" s="1"/>
  <c r="E5862" i="4"/>
  <c r="F5862" i="4" s="1"/>
  <c r="E5863" i="4"/>
  <c r="F5863" i="4" s="1"/>
  <c r="E5864" i="4"/>
  <c r="F5864" i="4" s="1"/>
  <c r="E5865" i="4"/>
  <c r="F5865" i="4" s="1"/>
  <c r="E5866" i="4"/>
  <c r="F5866" i="4" s="1"/>
  <c r="E5867" i="4"/>
  <c r="F5867" i="4" s="1"/>
  <c r="E5868" i="4"/>
  <c r="F5868" i="4" s="1"/>
  <c r="E5869" i="4"/>
  <c r="F5869" i="4" s="1"/>
  <c r="E5870" i="4"/>
  <c r="F5870" i="4" s="1"/>
  <c r="E5871" i="4"/>
  <c r="F5871" i="4" s="1"/>
  <c r="E5872" i="4"/>
  <c r="F5872" i="4" s="1"/>
  <c r="E5873" i="4"/>
  <c r="F5873" i="4" s="1"/>
  <c r="E5874" i="4"/>
  <c r="F5874" i="4" s="1"/>
  <c r="E5875" i="4"/>
  <c r="F5875" i="4" s="1"/>
  <c r="E5876" i="4"/>
  <c r="F5876" i="4" s="1"/>
  <c r="E5877" i="4"/>
  <c r="F5877" i="4" s="1"/>
  <c r="E5878" i="4"/>
  <c r="F5878" i="4" s="1"/>
  <c r="E5879" i="4"/>
  <c r="F5879" i="4" s="1"/>
  <c r="E5880" i="4"/>
  <c r="F5880" i="4" s="1"/>
  <c r="E5881" i="4"/>
  <c r="F5881" i="4" s="1"/>
  <c r="E5882" i="4"/>
  <c r="F5882" i="4" s="1"/>
  <c r="E5883" i="4"/>
  <c r="F5883" i="4" s="1"/>
  <c r="E5884" i="4"/>
  <c r="F5884" i="4" s="1"/>
  <c r="E5885" i="4"/>
  <c r="F5885" i="4" s="1"/>
  <c r="E5886" i="4"/>
  <c r="F5886" i="4" s="1"/>
  <c r="E5887" i="4"/>
  <c r="F5887" i="4" s="1"/>
  <c r="E5888" i="4"/>
  <c r="F5888" i="4" s="1"/>
  <c r="E5889" i="4"/>
  <c r="F5889" i="4" s="1"/>
  <c r="E5890" i="4"/>
  <c r="F5890" i="4" s="1"/>
  <c r="E5891" i="4"/>
  <c r="F5891" i="4" s="1"/>
  <c r="E5892" i="4"/>
  <c r="F5892" i="4" s="1"/>
  <c r="E5893" i="4"/>
  <c r="F5893" i="4" s="1"/>
  <c r="E5894" i="4"/>
  <c r="F5894" i="4" s="1"/>
  <c r="E5895" i="4"/>
  <c r="F5895" i="4" s="1"/>
  <c r="E5896" i="4"/>
  <c r="F5896" i="4" s="1"/>
  <c r="E5897" i="4"/>
  <c r="F5897" i="4" s="1"/>
  <c r="E5898" i="4"/>
  <c r="F5898" i="4" s="1"/>
  <c r="E5899" i="4"/>
  <c r="F5899" i="4" s="1"/>
  <c r="E5900" i="4"/>
  <c r="F5900" i="4" s="1"/>
  <c r="E5901" i="4"/>
  <c r="F5901" i="4" s="1"/>
  <c r="E5902" i="4"/>
  <c r="F5902" i="4" s="1"/>
  <c r="E5903" i="4"/>
  <c r="F5903" i="4" s="1"/>
  <c r="E5904" i="4"/>
  <c r="F5904" i="4" s="1"/>
  <c r="E5905" i="4"/>
  <c r="F5905" i="4" s="1"/>
  <c r="E5906" i="4"/>
  <c r="F5906" i="4" s="1"/>
  <c r="E5907" i="4"/>
  <c r="F5907" i="4" s="1"/>
  <c r="E5908" i="4"/>
  <c r="F5908" i="4" s="1"/>
  <c r="E5909" i="4"/>
  <c r="F5909" i="4" s="1"/>
  <c r="E5910" i="4"/>
  <c r="F5910" i="4" s="1"/>
  <c r="E5911" i="4"/>
  <c r="F5911" i="4" s="1"/>
  <c r="E5912" i="4"/>
  <c r="F5912" i="4" s="1"/>
  <c r="E5913" i="4"/>
  <c r="F5913" i="4" s="1"/>
  <c r="E5914" i="4"/>
  <c r="F5914" i="4" s="1"/>
  <c r="E5915" i="4"/>
  <c r="F5915" i="4" s="1"/>
  <c r="E5916" i="4"/>
  <c r="F5916" i="4" s="1"/>
  <c r="E5917" i="4"/>
  <c r="F5917" i="4" s="1"/>
  <c r="E5918" i="4"/>
  <c r="F5918" i="4" s="1"/>
  <c r="E5919" i="4"/>
  <c r="F5919" i="4" s="1"/>
  <c r="E5920" i="4"/>
  <c r="F5920" i="4" s="1"/>
  <c r="E5921" i="4"/>
  <c r="F5921" i="4" s="1"/>
  <c r="E5922" i="4"/>
  <c r="F5922" i="4" s="1"/>
  <c r="E5923" i="4"/>
  <c r="F5923" i="4" s="1"/>
  <c r="E5924" i="4"/>
  <c r="F5924" i="4" s="1"/>
  <c r="E5925" i="4"/>
  <c r="F5925" i="4" s="1"/>
  <c r="E5926" i="4"/>
  <c r="F5926" i="4" s="1"/>
  <c r="E5927" i="4"/>
  <c r="F5927" i="4" s="1"/>
  <c r="E5928" i="4"/>
  <c r="F5928" i="4" s="1"/>
  <c r="E5929" i="4"/>
  <c r="F5929" i="4" s="1"/>
  <c r="E5930" i="4"/>
  <c r="F5930" i="4" s="1"/>
  <c r="E5931" i="4"/>
  <c r="F5931" i="4" s="1"/>
  <c r="E5932" i="4"/>
  <c r="F5932" i="4" s="1"/>
  <c r="E5933" i="4"/>
  <c r="F5933" i="4" s="1"/>
  <c r="E5934" i="4"/>
  <c r="F5934" i="4" s="1"/>
  <c r="E5935" i="4"/>
  <c r="F5935" i="4" s="1"/>
  <c r="E5936" i="4"/>
  <c r="F5936" i="4" s="1"/>
  <c r="E5937" i="4"/>
  <c r="F5937" i="4" s="1"/>
  <c r="E5938" i="4"/>
  <c r="F5938" i="4" s="1"/>
  <c r="E5939" i="4"/>
  <c r="F5939" i="4" s="1"/>
  <c r="E5940" i="4"/>
  <c r="F5940" i="4" s="1"/>
  <c r="E5941" i="4"/>
  <c r="F5941" i="4" s="1"/>
  <c r="E5942" i="4"/>
  <c r="F5942" i="4" s="1"/>
  <c r="E5943" i="4"/>
  <c r="F5943" i="4" s="1"/>
  <c r="E5944" i="4"/>
  <c r="F5944" i="4" s="1"/>
  <c r="E5945" i="4"/>
  <c r="F5945" i="4" s="1"/>
  <c r="E5946" i="4"/>
  <c r="F5946" i="4" s="1"/>
  <c r="E5947" i="4"/>
  <c r="F5947" i="4" s="1"/>
  <c r="E5948" i="4"/>
  <c r="F5948" i="4" s="1"/>
  <c r="E5949" i="4"/>
  <c r="F5949" i="4" s="1"/>
  <c r="E5950" i="4"/>
  <c r="F5950" i="4" s="1"/>
  <c r="E5951" i="4"/>
  <c r="F5951" i="4" s="1"/>
  <c r="E5952" i="4"/>
  <c r="F5952" i="4" s="1"/>
  <c r="E5953" i="4"/>
  <c r="F5953" i="4" s="1"/>
  <c r="E5954" i="4"/>
  <c r="F5954" i="4" s="1"/>
  <c r="E5955" i="4"/>
  <c r="F5955" i="4" s="1"/>
  <c r="E5956" i="4"/>
  <c r="F5956" i="4" s="1"/>
  <c r="E5957" i="4"/>
  <c r="F5957" i="4" s="1"/>
  <c r="E5958" i="4"/>
  <c r="F5958" i="4" s="1"/>
  <c r="E5959" i="4"/>
  <c r="F5959" i="4" s="1"/>
  <c r="E5960" i="4"/>
  <c r="F5960" i="4" s="1"/>
  <c r="E5961" i="4"/>
  <c r="F5961" i="4" s="1"/>
  <c r="E5962" i="4"/>
  <c r="F5962" i="4" s="1"/>
  <c r="E5963" i="4"/>
  <c r="F5963" i="4" s="1"/>
  <c r="E5964" i="4"/>
  <c r="F5964" i="4" s="1"/>
  <c r="E5965" i="4"/>
  <c r="F5965" i="4" s="1"/>
  <c r="E5966" i="4"/>
  <c r="F5966" i="4" s="1"/>
  <c r="E5967" i="4"/>
  <c r="F5967" i="4" s="1"/>
  <c r="E5968" i="4"/>
  <c r="F5968" i="4" s="1"/>
  <c r="E5969" i="4"/>
  <c r="F5969" i="4" s="1"/>
  <c r="E5970" i="4"/>
  <c r="F5970" i="4" s="1"/>
  <c r="E5971" i="4"/>
  <c r="F5971" i="4" s="1"/>
  <c r="E5972" i="4"/>
  <c r="F5972" i="4" s="1"/>
  <c r="E5973" i="4"/>
  <c r="F5973" i="4" s="1"/>
  <c r="E5974" i="4"/>
  <c r="F5974" i="4" s="1"/>
  <c r="E5975" i="4"/>
  <c r="F5975" i="4" s="1"/>
  <c r="E5976" i="4"/>
  <c r="F5976" i="4" s="1"/>
  <c r="E5977" i="4"/>
  <c r="F5977" i="4" s="1"/>
  <c r="E5978" i="4"/>
  <c r="F5978" i="4" s="1"/>
  <c r="E5979" i="4"/>
  <c r="F5979" i="4" s="1"/>
  <c r="E5980" i="4"/>
  <c r="F5980" i="4" s="1"/>
  <c r="E5981" i="4"/>
  <c r="F5981" i="4" s="1"/>
  <c r="E5982" i="4"/>
  <c r="F5982" i="4" s="1"/>
  <c r="E5983" i="4"/>
  <c r="F5983" i="4" s="1"/>
  <c r="E5984" i="4"/>
  <c r="F5984" i="4" s="1"/>
  <c r="E5985" i="4"/>
  <c r="F5985" i="4" s="1"/>
  <c r="E5986" i="4"/>
  <c r="F5986" i="4" s="1"/>
  <c r="E5987" i="4"/>
  <c r="F5987" i="4" s="1"/>
  <c r="E5988" i="4"/>
  <c r="F5988" i="4" s="1"/>
  <c r="E5989" i="4"/>
  <c r="F5989" i="4" s="1"/>
  <c r="E5990" i="4"/>
  <c r="F5990" i="4" s="1"/>
  <c r="E5991" i="4"/>
  <c r="F5991" i="4" s="1"/>
  <c r="E5992" i="4"/>
  <c r="F5992" i="4" s="1"/>
  <c r="E5993" i="4"/>
  <c r="F5993" i="4" s="1"/>
  <c r="E5994" i="4"/>
  <c r="F5994" i="4" s="1"/>
  <c r="E5995" i="4"/>
  <c r="F5995" i="4" s="1"/>
  <c r="E5996" i="4"/>
  <c r="F5996" i="4" s="1"/>
  <c r="E5997" i="4"/>
  <c r="F5997" i="4" s="1"/>
  <c r="E5998" i="4"/>
  <c r="F5998" i="4" s="1"/>
  <c r="E5999" i="4"/>
  <c r="F5999" i="4" s="1"/>
  <c r="E6000" i="4"/>
  <c r="F6000" i="4" s="1"/>
  <c r="E6001" i="4"/>
  <c r="F6001" i="4" s="1"/>
  <c r="E6002" i="4"/>
  <c r="F6002" i="4" s="1"/>
  <c r="E6003" i="4"/>
  <c r="F6003" i="4" s="1"/>
  <c r="E6004" i="4"/>
  <c r="F6004" i="4" s="1"/>
  <c r="E6005" i="4"/>
  <c r="F6005" i="4" s="1"/>
  <c r="E6006" i="4"/>
  <c r="F6006" i="4" s="1"/>
  <c r="E6007" i="4"/>
  <c r="F6007" i="4" s="1"/>
  <c r="E6008" i="4"/>
  <c r="F6008" i="4" s="1"/>
  <c r="E6009" i="4"/>
  <c r="F6009" i="4" s="1"/>
  <c r="E6010" i="4"/>
  <c r="F6010" i="4" s="1"/>
  <c r="E6011" i="4"/>
  <c r="F6011" i="4" s="1"/>
  <c r="E6012" i="4"/>
  <c r="F6012" i="4" s="1"/>
  <c r="E6013" i="4"/>
  <c r="F6013" i="4" s="1"/>
  <c r="E6014" i="4"/>
  <c r="F6014" i="4" s="1"/>
  <c r="E6015" i="4"/>
  <c r="F6015" i="4" s="1"/>
  <c r="E6016" i="4"/>
  <c r="F6016" i="4" s="1"/>
  <c r="E6017" i="4"/>
  <c r="F6017" i="4" s="1"/>
  <c r="E6018" i="4"/>
  <c r="F6018" i="4" s="1"/>
  <c r="E6019" i="4"/>
  <c r="F6019" i="4" s="1"/>
  <c r="E6020" i="4"/>
  <c r="F6020" i="4" s="1"/>
  <c r="E6021" i="4"/>
  <c r="F6021" i="4" s="1"/>
  <c r="E6022" i="4"/>
  <c r="F6022" i="4" s="1"/>
  <c r="E6023" i="4"/>
  <c r="F6023" i="4" s="1"/>
  <c r="E6024" i="4"/>
  <c r="F6024" i="4" s="1"/>
  <c r="E6025" i="4"/>
  <c r="F6025" i="4" s="1"/>
  <c r="E6026" i="4"/>
  <c r="F6026" i="4" s="1"/>
  <c r="E6027" i="4"/>
  <c r="F6027" i="4" s="1"/>
  <c r="E6028" i="4"/>
  <c r="F6028" i="4" s="1"/>
  <c r="E6029" i="4"/>
  <c r="F6029" i="4" s="1"/>
  <c r="E6030" i="4"/>
  <c r="F6030" i="4" s="1"/>
  <c r="E6031" i="4"/>
  <c r="F6031" i="4" s="1"/>
  <c r="E6032" i="4"/>
  <c r="F6032" i="4" s="1"/>
  <c r="E6033" i="4"/>
  <c r="F6033" i="4" s="1"/>
  <c r="E6034" i="4"/>
  <c r="F6034" i="4" s="1"/>
  <c r="E6035" i="4"/>
  <c r="F6035" i="4" s="1"/>
  <c r="E6036" i="4"/>
  <c r="F6036" i="4" s="1"/>
  <c r="E6037" i="4"/>
  <c r="F6037" i="4" s="1"/>
  <c r="E6038" i="4"/>
  <c r="F6038" i="4" s="1"/>
  <c r="E6039" i="4"/>
  <c r="F6039" i="4" s="1"/>
  <c r="E6040" i="4"/>
  <c r="F6040" i="4" s="1"/>
  <c r="E6041" i="4"/>
  <c r="F6041" i="4" s="1"/>
  <c r="E6042" i="4"/>
  <c r="F6042" i="4" s="1"/>
  <c r="E6043" i="4"/>
  <c r="F6043" i="4" s="1"/>
  <c r="E6044" i="4"/>
  <c r="F6044" i="4" s="1"/>
  <c r="E6045" i="4"/>
  <c r="F6045" i="4" s="1"/>
  <c r="E6046" i="4"/>
  <c r="F6046" i="4" s="1"/>
  <c r="E6047" i="4"/>
  <c r="F6047" i="4" s="1"/>
  <c r="E6048" i="4"/>
  <c r="F6048" i="4" s="1"/>
  <c r="E6049" i="4"/>
  <c r="F6049" i="4" s="1"/>
  <c r="E6050" i="4"/>
  <c r="F6050" i="4" s="1"/>
  <c r="E6051" i="4"/>
  <c r="F6051" i="4" s="1"/>
  <c r="E6052" i="4"/>
  <c r="F6052" i="4" s="1"/>
  <c r="E6053" i="4"/>
  <c r="F6053" i="4" s="1"/>
  <c r="E6054" i="4"/>
  <c r="F6054" i="4" s="1"/>
  <c r="E6055" i="4"/>
  <c r="F6055" i="4" s="1"/>
  <c r="E6056" i="4"/>
  <c r="F6056" i="4" s="1"/>
  <c r="E6057" i="4"/>
  <c r="F6057" i="4" s="1"/>
  <c r="E6058" i="4"/>
  <c r="F6058" i="4" s="1"/>
  <c r="E6059" i="4"/>
  <c r="F6059" i="4" s="1"/>
  <c r="E6060" i="4"/>
  <c r="F6060" i="4" s="1"/>
  <c r="E6061" i="4"/>
  <c r="F6061" i="4" s="1"/>
  <c r="E6062" i="4"/>
  <c r="F6062" i="4" s="1"/>
  <c r="E6063" i="4"/>
  <c r="F6063" i="4" s="1"/>
  <c r="E6064" i="4"/>
  <c r="F6064" i="4" s="1"/>
  <c r="E6065" i="4"/>
  <c r="F6065" i="4" s="1"/>
  <c r="E6066" i="4"/>
  <c r="F6066" i="4" s="1"/>
  <c r="E6067" i="4"/>
  <c r="F6067" i="4" s="1"/>
  <c r="E6068" i="4"/>
  <c r="F6068" i="4" s="1"/>
  <c r="E6069" i="4"/>
  <c r="F6069" i="4" s="1"/>
  <c r="E6070" i="4"/>
  <c r="F6070" i="4" s="1"/>
  <c r="E6071" i="4"/>
  <c r="F6071" i="4" s="1"/>
  <c r="E6072" i="4"/>
  <c r="F6072" i="4" s="1"/>
  <c r="E6073" i="4"/>
  <c r="F6073" i="4" s="1"/>
  <c r="E6074" i="4"/>
  <c r="F6074" i="4" s="1"/>
  <c r="E6075" i="4"/>
  <c r="F6075" i="4" s="1"/>
  <c r="E6076" i="4"/>
  <c r="F6076" i="4" s="1"/>
  <c r="E6077" i="4"/>
  <c r="F6077" i="4" s="1"/>
  <c r="E6078" i="4"/>
  <c r="F6078" i="4" s="1"/>
  <c r="E6079" i="4"/>
  <c r="F6079" i="4" s="1"/>
  <c r="E6080" i="4"/>
  <c r="F6080" i="4" s="1"/>
  <c r="E6081" i="4"/>
  <c r="F6081" i="4" s="1"/>
  <c r="E6082" i="4"/>
  <c r="F6082" i="4" s="1"/>
  <c r="E6083" i="4"/>
  <c r="F6083" i="4" s="1"/>
  <c r="E6084" i="4"/>
  <c r="F6084" i="4" s="1"/>
  <c r="E6085" i="4"/>
  <c r="F6085" i="4" s="1"/>
  <c r="E6086" i="4"/>
  <c r="F6086" i="4" s="1"/>
  <c r="E6087" i="4"/>
  <c r="F6087" i="4" s="1"/>
  <c r="E6088" i="4"/>
  <c r="F6088" i="4" s="1"/>
  <c r="E6089" i="4"/>
  <c r="F6089" i="4" s="1"/>
  <c r="E6090" i="4"/>
  <c r="F6090" i="4" s="1"/>
  <c r="E6091" i="4"/>
  <c r="F6091" i="4" s="1"/>
  <c r="E6092" i="4"/>
  <c r="F6092" i="4" s="1"/>
  <c r="E6093" i="4"/>
  <c r="F6093" i="4" s="1"/>
  <c r="E6094" i="4"/>
  <c r="F6094" i="4" s="1"/>
  <c r="E6095" i="4"/>
  <c r="F6095" i="4" s="1"/>
  <c r="E6096" i="4"/>
  <c r="F6096" i="4" s="1"/>
  <c r="E6097" i="4"/>
  <c r="F6097" i="4" s="1"/>
  <c r="E6098" i="4"/>
  <c r="F6098" i="4" s="1"/>
  <c r="E6099" i="4"/>
  <c r="F6099" i="4" s="1"/>
  <c r="E6100" i="4"/>
  <c r="F6100" i="4" s="1"/>
  <c r="E6101" i="4"/>
  <c r="F6101" i="4" s="1"/>
  <c r="E6102" i="4"/>
  <c r="F6102" i="4" s="1"/>
  <c r="E6103" i="4"/>
  <c r="F6103" i="4" s="1"/>
  <c r="E6104" i="4"/>
  <c r="F6104" i="4" s="1"/>
  <c r="E6105" i="4"/>
  <c r="F6105" i="4" s="1"/>
  <c r="E6106" i="4"/>
  <c r="F6106" i="4" s="1"/>
  <c r="E6107" i="4"/>
  <c r="F6107" i="4" s="1"/>
  <c r="E6108" i="4"/>
  <c r="F6108" i="4" s="1"/>
  <c r="E6109" i="4"/>
  <c r="F6109" i="4" s="1"/>
  <c r="E6110" i="4"/>
  <c r="F6110" i="4" s="1"/>
  <c r="E6111" i="4"/>
  <c r="F6111" i="4" s="1"/>
  <c r="E6112" i="4"/>
  <c r="F6112" i="4" s="1"/>
  <c r="E6113" i="4"/>
  <c r="F6113" i="4" s="1"/>
  <c r="E6114" i="4"/>
  <c r="F6114" i="4" s="1"/>
  <c r="E6115" i="4"/>
  <c r="F6115" i="4" s="1"/>
  <c r="E6116" i="4"/>
  <c r="F6116" i="4" s="1"/>
  <c r="E6117" i="4"/>
  <c r="F6117" i="4" s="1"/>
  <c r="E6118" i="4"/>
  <c r="F6118" i="4" s="1"/>
  <c r="E6119" i="4"/>
  <c r="F6119" i="4" s="1"/>
  <c r="E6120" i="4"/>
  <c r="F6120" i="4" s="1"/>
  <c r="E6121" i="4"/>
  <c r="F6121" i="4" s="1"/>
  <c r="E6122" i="4"/>
  <c r="F6122" i="4" s="1"/>
  <c r="E6123" i="4"/>
  <c r="F6123" i="4" s="1"/>
  <c r="E6124" i="4"/>
  <c r="F6124" i="4" s="1"/>
  <c r="E6125" i="4"/>
  <c r="F6125" i="4" s="1"/>
  <c r="E6126" i="4"/>
  <c r="F6126" i="4" s="1"/>
  <c r="E6127" i="4"/>
  <c r="F6127" i="4" s="1"/>
  <c r="E6128" i="4"/>
  <c r="F6128" i="4" s="1"/>
  <c r="E6129" i="4"/>
  <c r="F6129" i="4" s="1"/>
  <c r="E6130" i="4"/>
  <c r="F6130" i="4" s="1"/>
  <c r="E6131" i="4"/>
  <c r="F6131" i="4" s="1"/>
  <c r="E6132" i="4"/>
  <c r="F6132" i="4" s="1"/>
  <c r="E6133" i="4"/>
  <c r="F6133" i="4" s="1"/>
  <c r="E6134" i="4"/>
  <c r="F6134" i="4" s="1"/>
  <c r="E6135" i="4"/>
  <c r="F6135" i="4" s="1"/>
  <c r="E6136" i="4"/>
  <c r="F6136" i="4" s="1"/>
  <c r="E6137" i="4"/>
  <c r="F6137" i="4" s="1"/>
  <c r="E6138" i="4"/>
  <c r="F6138" i="4" s="1"/>
  <c r="E6139" i="4"/>
  <c r="F6139" i="4" s="1"/>
  <c r="E6140" i="4"/>
  <c r="F6140" i="4" s="1"/>
  <c r="E6141" i="4"/>
  <c r="F6141" i="4" s="1"/>
  <c r="E6142" i="4"/>
  <c r="F6142" i="4" s="1"/>
  <c r="E6143" i="4"/>
  <c r="F6143" i="4" s="1"/>
  <c r="E6144" i="4"/>
  <c r="F6144" i="4" s="1"/>
  <c r="E6145" i="4"/>
  <c r="F6145" i="4" s="1"/>
  <c r="E6146" i="4"/>
  <c r="F6146" i="4" s="1"/>
  <c r="E6147" i="4"/>
  <c r="F6147" i="4" s="1"/>
  <c r="E6148" i="4"/>
  <c r="F6148" i="4" s="1"/>
  <c r="E6149" i="4"/>
  <c r="F6149" i="4" s="1"/>
  <c r="E6150" i="4"/>
  <c r="F6150" i="4" s="1"/>
  <c r="E6151" i="4"/>
  <c r="F6151" i="4" s="1"/>
  <c r="E6152" i="4"/>
  <c r="F6152" i="4" s="1"/>
  <c r="E6153" i="4"/>
  <c r="F6153" i="4" s="1"/>
  <c r="E6154" i="4"/>
  <c r="F6154" i="4" s="1"/>
  <c r="E6155" i="4"/>
  <c r="F6155" i="4" s="1"/>
  <c r="E6156" i="4"/>
  <c r="F6156" i="4" s="1"/>
  <c r="E6157" i="4"/>
  <c r="F6157" i="4" s="1"/>
  <c r="E6158" i="4"/>
  <c r="F6158" i="4" s="1"/>
  <c r="E6159" i="4"/>
  <c r="F6159" i="4" s="1"/>
  <c r="E6160" i="4"/>
  <c r="F6160" i="4" s="1"/>
  <c r="E6161" i="4"/>
  <c r="F6161" i="4" s="1"/>
  <c r="E6162" i="4"/>
  <c r="F6162" i="4" s="1"/>
  <c r="E6163" i="4"/>
  <c r="F6163" i="4" s="1"/>
  <c r="E6164" i="4"/>
  <c r="F6164" i="4" s="1"/>
  <c r="E6165" i="4"/>
  <c r="F6165" i="4" s="1"/>
  <c r="E6166" i="4"/>
  <c r="F6166" i="4" s="1"/>
  <c r="E6167" i="4"/>
  <c r="F6167" i="4" s="1"/>
  <c r="E6168" i="4"/>
  <c r="F6168" i="4" s="1"/>
  <c r="E6169" i="4"/>
  <c r="F6169" i="4" s="1"/>
  <c r="E6170" i="4"/>
  <c r="F6170" i="4" s="1"/>
  <c r="E6171" i="4"/>
  <c r="F6171" i="4" s="1"/>
  <c r="E6172" i="4"/>
  <c r="F6172" i="4" s="1"/>
  <c r="E6173" i="4"/>
  <c r="F6173" i="4" s="1"/>
  <c r="E6174" i="4"/>
  <c r="F6174" i="4" s="1"/>
  <c r="E6175" i="4"/>
  <c r="F6175" i="4" s="1"/>
  <c r="E6176" i="4"/>
  <c r="F6176" i="4" s="1"/>
  <c r="E6177" i="4"/>
  <c r="F6177" i="4" s="1"/>
  <c r="E6178" i="4"/>
  <c r="F6178" i="4" s="1"/>
  <c r="E6179" i="4"/>
  <c r="F6179" i="4" s="1"/>
  <c r="E6180" i="4"/>
  <c r="F6180" i="4" s="1"/>
  <c r="E6181" i="4"/>
  <c r="F6181" i="4" s="1"/>
  <c r="E6182" i="4"/>
  <c r="F6182" i="4" s="1"/>
  <c r="E6183" i="4"/>
  <c r="F6183" i="4" s="1"/>
  <c r="E6184" i="4"/>
  <c r="F6184" i="4" s="1"/>
  <c r="E6185" i="4"/>
  <c r="F6185" i="4" s="1"/>
  <c r="E6186" i="4"/>
  <c r="F6186" i="4" s="1"/>
  <c r="E6187" i="4"/>
  <c r="F6187" i="4" s="1"/>
  <c r="E6188" i="4"/>
  <c r="F6188" i="4" s="1"/>
  <c r="E6189" i="4"/>
  <c r="F6189" i="4" s="1"/>
  <c r="E6190" i="4"/>
  <c r="F6190" i="4" s="1"/>
  <c r="E6191" i="4"/>
  <c r="F6191" i="4" s="1"/>
  <c r="E6192" i="4"/>
  <c r="F6192" i="4" s="1"/>
  <c r="E6193" i="4"/>
  <c r="F6193" i="4" s="1"/>
  <c r="E6194" i="4"/>
  <c r="F6194" i="4" s="1"/>
  <c r="E6195" i="4"/>
  <c r="F6195" i="4" s="1"/>
  <c r="E6196" i="4"/>
  <c r="F6196" i="4" s="1"/>
  <c r="E6197" i="4"/>
  <c r="F6197" i="4" s="1"/>
  <c r="E6198" i="4"/>
  <c r="F6198" i="4" s="1"/>
  <c r="E6199" i="4"/>
  <c r="F6199" i="4" s="1"/>
  <c r="E6200" i="4"/>
  <c r="F6200" i="4" s="1"/>
  <c r="E6201" i="4"/>
  <c r="F6201" i="4" s="1"/>
  <c r="E6202" i="4"/>
  <c r="F6202" i="4" s="1"/>
  <c r="E6203" i="4"/>
  <c r="F6203" i="4" s="1"/>
  <c r="E6204" i="4"/>
  <c r="F6204" i="4" s="1"/>
  <c r="E6205" i="4"/>
  <c r="F6205" i="4" s="1"/>
  <c r="E6206" i="4"/>
  <c r="F6206" i="4" s="1"/>
  <c r="E6207" i="4"/>
  <c r="F6207" i="4" s="1"/>
  <c r="E6208" i="4"/>
  <c r="F6208" i="4" s="1"/>
  <c r="E6209" i="4"/>
  <c r="F6209" i="4" s="1"/>
  <c r="E6210" i="4"/>
  <c r="F6210" i="4" s="1"/>
  <c r="E6211" i="4"/>
  <c r="F6211" i="4" s="1"/>
  <c r="E6212" i="4"/>
  <c r="F6212" i="4" s="1"/>
  <c r="E6213" i="4"/>
  <c r="F6213" i="4" s="1"/>
  <c r="E6214" i="4"/>
  <c r="F6214" i="4" s="1"/>
  <c r="E6215" i="4"/>
  <c r="F6215" i="4" s="1"/>
  <c r="E6216" i="4"/>
  <c r="F6216" i="4" s="1"/>
  <c r="E6217" i="4"/>
  <c r="F6217" i="4" s="1"/>
  <c r="E6218" i="4"/>
  <c r="F6218" i="4" s="1"/>
  <c r="E6219" i="4"/>
  <c r="F6219" i="4" s="1"/>
  <c r="E6220" i="4"/>
  <c r="F6220" i="4" s="1"/>
  <c r="E6221" i="4"/>
  <c r="F6221" i="4" s="1"/>
  <c r="E6222" i="4"/>
  <c r="F6222" i="4" s="1"/>
  <c r="E6223" i="4"/>
  <c r="F6223" i="4" s="1"/>
  <c r="E6224" i="4"/>
  <c r="F6224" i="4" s="1"/>
  <c r="E6225" i="4"/>
  <c r="F6225" i="4" s="1"/>
  <c r="E6226" i="4"/>
  <c r="F6226" i="4" s="1"/>
  <c r="E6227" i="4"/>
  <c r="F6227" i="4" s="1"/>
  <c r="E6228" i="4"/>
  <c r="F6228" i="4" s="1"/>
  <c r="E6229" i="4"/>
  <c r="F6229" i="4" s="1"/>
  <c r="E6230" i="4"/>
  <c r="F6230" i="4" s="1"/>
  <c r="E6231" i="4"/>
  <c r="F6231" i="4" s="1"/>
  <c r="E6232" i="4"/>
  <c r="F6232" i="4" s="1"/>
  <c r="E6233" i="4"/>
  <c r="F6233" i="4" s="1"/>
  <c r="E6234" i="4"/>
  <c r="F6234" i="4" s="1"/>
  <c r="E6235" i="4"/>
  <c r="F6235" i="4" s="1"/>
  <c r="E6236" i="4"/>
  <c r="F6236" i="4" s="1"/>
  <c r="E6237" i="4"/>
  <c r="F6237" i="4" s="1"/>
  <c r="E6238" i="4"/>
  <c r="F6238" i="4" s="1"/>
  <c r="E6239" i="4"/>
  <c r="F6239" i="4" s="1"/>
  <c r="E6240" i="4"/>
  <c r="F6240" i="4" s="1"/>
  <c r="E6241" i="4"/>
  <c r="F6241" i="4" s="1"/>
  <c r="E6242" i="4"/>
  <c r="F6242" i="4" s="1"/>
  <c r="E6243" i="4"/>
  <c r="F6243" i="4" s="1"/>
  <c r="E6244" i="4"/>
  <c r="F6244" i="4" s="1"/>
  <c r="E6245" i="4"/>
  <c r="F6245" i="4" s="1"/>
  <c r="E6246" i="4"/>
  <c r="F6246" i="4" s="1"/>
  <c r="E6247" i="4"/>
  <c r="F6247" i="4" s="1"/>
  <c r="E6248" i="4"/>
  <c r="F6248" i="4" s="1"/>
  <c r="E6249" i="4"/>
  <c r="F6249" i="4" s="1"/>
  <c r="E6250" i="4"/>
  <c r="F6250" i="4" s="1"/>
  <c r="E6251" i="4"/>
  <c r="F6251" i="4" s="1"/>
  <c r="E6252" i="4"/>
  <c r="F6252" i="4" s="1"/>
  <c r="E6253" i="4"/>
  <c r="F6253" i="4" s="1"/>
  <c r="E6254" i="4"/>
  <c r="F6254" i="4" s="1"/>
  <c r="E6255" i="4"/>
  <c r="F6255" i="4" s="1"/>
  <c r="E6256" i="4"/>
  <c r="F6256" i="4" s="1"/>
  <c r="E6257" i="4"/>
  <c r="F6257" i="4" s="1"/>
  <c r="E6258" i="4"/>
  <c r="F6258" i="4" s="1"/>
  <c r="E6259" i="4"/>
  <c r="F6259" i="4" s="1"/>
  <c r="E6260" i="4"/>
  <c r="F6260" i="4" s="1"/>
  <c r="E6261" i="4"/>
  <c r="F6261" i="4" s="1"/>
  <c r="E6262" i="4"/>
  <c r="F6262" i="4" s="1"/>
  <c r="E6263" i="4"/>
  <c r="F6263" i="4" s="1"/>
  <c r="E6264" i="4"/>
  <c r="F6264" i="4" s="1"/>
  <c r="E6265" i="4"/>
  <c r="F6265" i="4" s="1"/>
  <c r="E6266" i="4"/>
  <c r="F6266" i="4" s="1"/>
  <c r="E6267" i="4"/>
  <c r="F6267" i="4" s="1"/>
  <c r="E6268" i="4"/>
  <c r="F6268" i="4" s="1"/>
  <c r="E6269" i="4"/>
  <c r="F6269" i="4" s="1"/>
  <c r="E6270" i="4"/>
  <c r="F6270" i="4" s="1"/>
  <c r="E6271" i="4"/>
  <c r="F6271" i="4" s="1"/>
  <c r="E6272" i="4"/>
  <c r="F6272" i="4" s="1"/>
  <c r="E6273" i="4"/>
  <c r="F6273" i="4" s="1"/>
  <c r="E6274" i="4"/>
  <c r="F6274" i="4" s="1"/>
  <c r="E6275" i="4"/>
  <c r="F6275" i="4" s="1"/>
  <c r="E6276" i="4"/>
  <c r="F6276" i="4" s="1"/>
  <c r="E6277" i="4"/>
  <c r="F6277" i="4" s="1"/>
  <c r="E6278" i="4"/>
  <c r="F6278" i="4" s="1"/>
  <c r="E6279" i="4"/>
  <c r="F6279" i="4" s="1"/>
  <c r="E6280" i="4"/>
  <c r="F6280" i="4" s="1"/>
  <c r="E6281" i="4"/>
  <c r="F6281" i="4" s="1"/>
  <c r="E6282" i="4"/>
  <c r="F6282" i="4" s="1"/>
  <c r="E6283" i="4"/>
  <c r="F6283" i="4" s="1"/>
  <c r="E6284" i="4"/>
  <c r="F6284" i="4" s="1"/>
  <c r="E6285" i="4"/>
  <c r="F6285" i="4" s="1"/>
  <c r="E6286" i="4"/>
  <c r="F6286" i="4" s="1"/>
  <c r="E6287" i="4"/>
  <c r="F6287" i="4" s="1"/>
  <c r="E6288" i="4"/>
  <c r="F6288" i="4" s="1"/>
  <c r="E6289" i="4"/>
  <c r="F6289" i="4" s="1"/>
  <c r="E6290" i="4"/>
  <c r="F6290" i="4" s="1"/>
  <c r="E6291" i="4"/>
  <c r="F6291" i="4" s="1"/>
  <c r="E6292" i="4"/>
  <c r="F6292" i="4" s="1"/>
  <c r="E6293" i="4"/>
  <c r="F6293" i="4" s="1"/>
  <c r="E6294" i="4"/>
  <c r="F6294" i="4" s="1"/>
  <c r="E6295" i="4"/>
  <c r="F6295" i="4" s="1"/>
  <c r="E6296" i="4"/>
  <c r="F6296" i="4" s="1"/>
  <c r="E6297" i="4"/>
  <c r="F6297" i="4" s="1"/>
  <c r="E6298" i="4"/>
  <c r="F6298" i="4" s="1"/>
  <c r="E6299" i="4"/>
  <c r="F6299" i="4" s="1"/>
  <c r="E6300" i="4"/>
  <c r="F6300" i="4" s="1"/>
  <c r="E6301" i="4"/>
  <c r="F6301" i="4" s="1"/>
  <c r="E6302" i="4"/>
  <c r="F6302" i="4" s="1"/>
  <c r="E6303" i="4"/>
  <c r="F6303" i="4" s="1"/>
  <c r="E6304" i="4"/>
  <c r="F6304" i="4" s="1"/>
  <c r="E6305" i="4"/>
  <c r="F6305" i="4" s="1"/>
  <c r="E6306" i="4"/>
  <c r="F6306" i="4" s="1"/>
  <c r="E6307" i="4"/>
  <c r="F6307" i="4" s="1"/>
  <c r="E6308" i="4"/>
  <c r="F6308" i="4" s="1"/>
  <c r="E6309" i="4"/>
  <c r="F6309" i="4" s="1"/>
  <c r="E6310" i="4"/>
  <c r="F6310" i="4" s="1"/>
  <c r="E6311" i="4"/>
  <c r="F6311" i="4" s="1"/>
  <c r="E6312" i="4"/>
  <c r="F6312" i="4" s="1"/>
  <c r="E6313" i="4"/>
  <c r="F6313" i="4" s="1"/>
  <c r="E6314" i="4"/>
  <c r="F6314" i="4" s="1"/>
  <c r="E6315" i="4"/>
  <c r="F6315" i="4" s="1"/>
  <c r="E6316" i="4"/>
  <c r="F6316" i="4" s="1"/>
  <c r="E6317" i="4"/>
  <c r="F6317" i="4" s="1"/>
  <c r="E6318" i="4"/>
  <c r="F6318" i="4" s="1"/>
  <c r="E6319" i="4"/>
  <c r="F6319" i="4" s="1"/>
  <c r="E6320" i="4"/>
  <c r="F6320" i="4" s="1"/>
  <c r="E6321" i="4"/>
  <c r="F6321" i="4" s="1"/>
  <c r="E6322" i="4"/>
  <c r="F6322" i="4" s="1"/>
  <c r="E6323" i="4"/>
  <c r="F6323" i="4" s="1"/>
  <c r="E6324" i="4"/>
  <c r="F6324" i="4" s="1"/>
  <c r="E6325" i="4"/>
  <c r="F6325" i="4" s="1"/>
  <c r="E6326" i="4"/>
  <c r="F6326" i="4" s="1"/>
  <c r="E6327" i="4"/>
  <c r="F6327" i="4" s="1"/>
  <c r="E6328" i="4"/>
  <c r="F6328" i="4" s="1"/>
  <c r="E6329" i="4"/>
  <c r="F6329" i="4" s="1"/>
  <c r="E6330" i="4"/>
  <c r="F6330" i="4" s="1"/>
  <c r="E6331" i="4"/>
  <c r="F6331" i="4" s="1"/>
  <c r="E6332" i="4"/>
  <c r="F6332" i="4" s="1"/>
  <c r="E6333" i="4"/>
  <c r="F6333" i="4" s="1"/>
  <c r="E6334" i="4"/>
  <c r="F6334" i="4" s="1"/>
  <c r="E6335" i="4"/>
  <c r="F6335" i="4" s="1"/>
  <c r="E6336" i="4"/>
  <c r="F6336" i="4" s="1"/>
  <c r="E6337" i="4"/>
  <c r="F6337" i="4" s="1"/>
  <c r="E6338" i="4"/>
  <c r="F6338" i="4" s="1"/>
  <c r="E6339" i="4"/>
  <c r="F6339" i="4" s="1"/>
  <c r="E6340" i="4"/>
  <c r="F6340" i="4" s="1"/>
  <c r="E6341" i="4"/>
  <c r="F6341" i="4" s="1"/>
  <c r="E6342" i="4"/>
  <c r="F6342" i="4" s="1"/>
  <c r="E6343" i="4"/>
  <c r="F6343" i="4" s="1"/>
  <c r="E6344" i="4"/>
  <c r="F6344" i="4" s="1"/>
  <c r="E6345" i="4"/>
  <c r="F6345" i="4" s="1"/>
  <c r="E6346" i="4"/>
  <c r="F6346" i="4" s="1"/>
  <c r="E6347" i="4"/>
  <c r="F6347" i="4" s="1"/>
  <c r="E6348" i="4"/>
  <c r="F6348" i="4" s="1"/>
  <c r="E6349" i="4"/>
  <c r="F6349" i="4" s="1"/>
  <c r="E6350" i="4"/>
  <c r="F6350" i="4" s="1"/>
  <c r="E6351" i="4"/>
  <c r="F6351" i="4" s="1"/>
  <c r="E6352" i="4"/>
  <c r="F6352" i="4" s="1"/>
  <c r="E6353" i="4"/>
  <c r="F6353" i="4" s="1"/>
  <c r="E6354" i="4"/>
  <c r="F6354" i="4" s="1"/>
  <c r="E6355" i="4"/>
  <c r="F6355" i="4" s="1"/>
  <c r="E6356" i="4"/>
  <c r="F6356" i="4" s="1"/>
  <c r="E6357" i="4"/>
  <c r="F6357" i="4" s="1"/>
  <c r="E6358" i="4"/>
  <c r="F6358" i="4" s="1"/>
  <c r="E6359" i="4"/>
  <c r="F6359" i="4" s="1"/>
  <c r="E6360" i="4"/>
  <c r="F6360" i="4" s="1"/>
  <c r="E6361" i="4"/>
  <c r="F6361" i="4" s="1"/>
  <c r="E6362" i="4"/>
  <c r="F6362" i="4" s="1"/>
  <c r="E6363" i="4"/>
  <c r="F6363" i="4" s="1"/>
  <c r="E6364" i="4"/>
  <c r="F6364" i="4" s="1"/>
  <c r="E6365" i="4"/>
  <c r="F6365" i="4" s="1"/>
  <c r="E6366" i="4"/>
  <c r="F6366" i="4" s="1"/>
  <c r="E6367" i="4"/>
  <c r="F6367" i="4" s="1"/>
  <c r="E6368" i="4"/>
  <c r="F6368" i="4" s="1"/>
  <c r="E6369" i="4"/>
  <c r="F6369" i="4" s="1"/>
  <c r="E6370" i="4"/>
  <c r="F6370" i="4" s="1"/>
  <c r="E6371" i="4"/>
  <c r="F6371" i="4" s="1"/>
  <c r="E6372" i="4"/>
  <c r="F6372" i="4" s="1"/>
  <c r="E6373" i="4"/>
  <c r="F6373" i="4" s="1"/>
  <c r="E6374" i="4"/>
  <c r="F6374" i="4" s="1"/>
  <c r="E6375" i="4"/>
  <c r="F6375" i="4" s="1"/>
  <c r="E6376" i="4"/>
  <c r="F6376" i="4" s="1"/>
  <c r="E6377" i="4"/>
  <c r="F6377" i="4" s="1"/>
  <c r="E6378" i="4"/>
  <c r="F6378" i="4" s="1"/>
  <c r="E6379" i="4"/>
  <c r="F6379" i="4" s="1"/>
  <c r="E6380" i="4"/>
  <c r="F6380" i="4" s="1"/>
  <c r="E6381" i="4"/>
  <c r="F6381" i="4" s="1"/>
  <c r="E6382" i="4"/>
  <c r="F6382" i="4" s="1"/>
  <c r="E6383" i="4"/>
  <c r="F6383" i="4" s="1"/>
  <c r="E6384" i="4"/>
  <c r="F6384" i="4" s="1"/>
  <c r="E6385" i="4"/>
  <c r="F6385" i="4" s="1"/>
  <c r="E6386" i="4"/>
  <c r="F6386" i="4" s="1"/>
  <c r="E6387" i="4"/>
  <c r="F6387" i="4" s="1"/>
  <c r="E6388" i="4"/>
  <c r="F6388" i="4" s="1"/>
  <c r="E6389" i="4"/>
  <c r="F6389" i="4" s="1"/>
  <c r="E6390" i="4"/>
  <c r="F6390" i="4" s="1"/>
  <c r="E6391" i="4"/>
  <c r="F6391" i="4" s="1"/>
  <c r="E6392" i="4"/>
  <c r="F6392" i="4" s="1"/>
  <c r="E6393" i="4"/>
  <c r="F6393" i="4" s="1"/>
  <c r="E6394" i="4"/>
  <c r="F6394" i="4" s="1"/>
  <c r="E6395" i="4"/>
  <c r="F6395" i="4" s="1"/>
  <c r="E6396" i="4"/>
  <c r="F6396" i="4" s="1"/>
  <c r="E6397" i="4"/>
  <c r="F6397" i="4" s="1"/>
  <c r="E6398" i="4"/>
  <c r="F6398" i="4" s="1"/>
  <c r="E6399" i="4"/>
  <c r="F6399" i="4" s="1"/>
  <c r="E6400" i="4"/>
  <c r="F6400" i="4" s="1"/>
  <c r="E6401" i="4"/>
  <c r="F6401" i="4" s="1"/>
  <c r="E6402" i="4"/>
  <c r="F6402" i="4" s="1"/>
  <c r="E6403" i="4"/>
  <c r="F6403" i="4" s="1"/>
  <c r="E6404" i="4"/>
  <c r="F6404" i="4" s="1"/>
  <c r="E6405" i="4"/>
  <c r="F6405" i="4" s="1"/>
  <c r="E6406" i="4"/>
  <c r="F6406" i="4" s="1"/>
  <c r="E6407" i="4"/>
  <c r="F6407" i="4" s="1"/>
  <c r="E6408" i="4"/>
  <c r="F6408" i="4" s="1"/>
  <c r="E6409" i="4"/>
  <c r="F6409" i="4" s="1"/>
  <c r="E6410" i="4"/>
  <c r="F6410" i="4" s="1"/>
  <c r="E6411" i="4"/>
  <c r="F6411" i="4" s="1"/>
  <c r="E6412" i="4"/>
  <c r="F6412" i="4" s="1"/>
  <c r="E6413" i="4"/>
  <c r="F6413" i="4" s="1"/>
  <c r="E6414" i="4"/>
  <c r="F6414" i="4" s="1"/>
  <c r="E6415" i="4"/>
  <c r="F6415" i="4" s="1"/>
  <c r="E6416" i="4"/>
  <c r="F6416" i="4" s="1"/>
  <c r="E6417" i="4"/>
  <c r="F6417" i="4" s="1"/>
  <c r="E6418" i="4"/>
  <c r="F6418" i="4" s="1"/>
  <c r="E6419" i="4"/>
  <c r="F6419" i="4" s="1"/>
  <c r="E6420" i="4"/>
  <c r="F6420" i="4" s="1"/>
  <c r="E6421" i="4"/>
  <c r="F6421" i="4" s="1"/>
  <c r="E6422" i="4"/>
  <c r="F6422" i="4" s="1"/>
  <c r="E6423" i="4"/>
  <c r="F6423" i="4" s="1"/>
  <c r="E6424" i="4"/>
  <c r="F6424" i="4" s="1"/>
  <c r="E6425" i="4"/>
  <c r="F6425" i="4" s="1"/>
  <c r="E6426" i="4"/>
  <c r="F6426" i="4" s="1"/>
  <c r="E6427" i="4"/>
  <c r="F6427" i="4" s="1"/>
  <c r="E6428" i="4"/>
  <c r="F6428" i="4" s="1"/>
  <c r="E6429" i="4"/>
  <c r="F6429" i="4" s="1"/>
  <c r="E6430" i="4"/>
  <c r="F6430" i="4" s="1"/>
  <c r="E6431" i="4"/>
  <c r="F6431" i="4" s="1"/>
  <c r="E6432" i="4"/>
  <c r="F6432" i="4" s="1"/>
  <c r="E6433" i="4"/>
  <c r="F6433" i="4" s="1"/>
  <c r="E6434" i="4"/>
  <c r="F6434" i="4" s="1"/>
  <c r="E6435" i="4"/>
  <c r="F6435" i="4" s="1"/>
  <c r="E6436" i="4"/>
  <c r="F6436" i="4" s="1"/>
  <c r="E6437" i="4"/>
  <c r="F6437" i="4" s="1"/>
  <c r="E6438" i="4"/>
  <c r="F6438" i="4" s="1"/>
  <c r="E6439" i="4"/>
  <c r="F6439" i="4" s="1"/>
  <c r="E6440" i="4"/>
  <c r="F6440" i="4" s="1"/>
  <c r="E6441" i="4"/>
  <c r="F6441" i="4" s="1"/>
  <c r="E6442" i="4"/>
  <c r="F6442" i="4" s="1"/>
  <c r="E6443" i="4"/>
  <c r="F6443" i="4" s="1"/>
  <c r="E6444" i="4"/>
  <c r="F6444" i="4" s="1"/>
  <c r="E6445" i="4"/>
  <c r="F6445" i="4" s="1"/>
  <c r="E6446" i="4"/>
  <c r="F6446" i="4" s="1"/>
  <c r="E6447" i="4"/>
  <c r="F6447" i="4" s="1"/>
  <c r="E6448" i="4"/>
  <c r="F6448" i="4" s="1"/>
  <c r="E6449" i="4"/>
  <c r="F6449" i="4" s="1"/>
  <c r="E6450" i="4"/>
  <c r="F6450" i="4" s="1"/>
  <c r="E6451" i="4"/>
  <c r="F6451" i="4" s="1"/>
  <c r="E6452" i="4"/>
  <c r="F6452" i="4" s="1"/>
  <c r="E6453" i="4"/>
  <c r="F6453" i="4" s="1"/>
  <c r="E6454" i="4"/>
  <c r="F6454" i="4" s="1"/>
  <c r="E6455" i="4"/>
  <c r="F6455" i="4" s="1"/>
  <c r="E6456" i="4"/>
  <c r="F6456" i="4" s="1"/>
  <c r="E6457" i="4"/>
  <c r="F6457" i="4" s="1"/>
  <c r="E6458" i="4"/>
  <c r="F6458" i="4" s="1"/>
  <c r="E6459" i="4"/>
  <c r="F6459" i="4" s="1"/>
  <c r="E6460" i="4"/>
  <c r="F6460" i="4" s="1"/>
  <c r="E6461" i="4"/>
  <c r="F6461" i="4" s="1"/>
  <c r="E6462" i="4"/>
  <c r="F6462" i="4" s="1"/>
  <c r="E6463" i="4"/>
  <c r="F6463" i="4" s="1"/>
  <c r="E6464" i="4"/>
  <c r="F6464" i="4" s="1"/>
  <c r="E6465" i="4"/>
  <c r="F6465" i="4" s="1"/>
  <c r="E6466" i="4"/>
  <c r="F6466" i="4" s="1"/>
  <c r="E6467" i="4"/>
  <c r="F6467" i="4" s="1"/>
  <c r="E6468" i="4"/>
  <c r="F6468" i="4" s="1"/>
  <c r="E6469" i="4"/>
  <c r="F6469" i="4" s="1"/>
  <c r="E6470" i="4"/>
  <c r="F6470" i="4" s="1"/>
  <c r="E6471" i="4"/>
  <c r="F6471" i="4" s="1"/>
  <c r="E6472" i="4"/>
  <c r="F6472" i="4" s="1"/>
  <c r="E6473" i="4"/>
  <c r="F6473" i="4" s="1"/>
  <c r="E6474" i="4"/>
  <c r="F6474" i="4" s="1"/>
  <c r="E6475" i="4"/>
  <c r="F6475" i="4" s="1"/>
  <c r="E6476" i="4"/>
  <c r="F6476" i="4" s="1"/>
  <c r="E6477" i="4"/>
  <c r="F6477" i="4" s="1"/>
  <c r="E6478" i="4"/>
  <c r="F6478" i="4" s="1"/>
  <c r="E6479" i="4"/>
  <c r="F6479" i="4" s="1"/>
  <c r="E6480" i="4"/>
  <c r="F6480" i="4" s="1"/>
  <c r="E6481" i="4"/>
  <c r="F6481" i="4" s="1"/>
  <c r="E6482" i="4"/>
  <c r="F6482" i="4" s="1"/>
  <c r="E6483" i="4"/>
  <c r="F6483" i="4" s="1"/>
  <c r="E6484" i="4"/>
  <c r="F6484" i="4" s="1"/>
  <c r="E6485" i="4"/>
  <c r="F6485" i="4" s="1"/>
  <c r="E6486" i="4"/>
  <c r="F6486" i="4" s="1"/>
  <c r="E6487" i="4"/>
  <c r="F6487" i="4" s="1"/>
  <c r="E6488" i="4"/>
  <c r="F6488" i="4" s="1"/>
  <c r="E6489" i="4"/>
  <c r="F6489" i="4" s="1"/>
  <c r="E6490" i="4"/>
  <c r="F6490" i="4" s="1"/>
  <c r="E6491" i="4"/>
  <c r="F6491" i="4" s="1"/>
  <c r="E6492" i="4"/>
  <c r="F6492" i="4" s="1"/>
  <c r="E6493" i="4"/>
  <c r="F6493" i="4" s="1"/>
  <c r="E6494" i="4"/>
  <c r="F6494" i="4" s="1"/>
  <c r="E6495" i="4"/>
  <c r="F6495" i="4" s="1"/>
  <c r="E6496" i="4"/>
  <c r="F6496" i="4" s="1"/>
  <c r="E6497" i="4"/>
  <c r="F6497" i="4" s="1"/>
  <c r="E6498" i="4"/>
  <c r="F6498" i="4" s="1"/>
  <c r="E6499" i="4"/>
  <c r="F6499" i="4" s="1"/>
  <c r="E6500" i="4"/>
  <c r="F6500" i="4" s="1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E258" i="4"/>
  <c r="F258" i="4" s="1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E275" i="4"/>
  <c r="F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E309" i="4"/>
  <c r="F309" i="4" s="1"/>
  <c r="E310" i="4"/>
  <c r="F310" i="4" s="1"/>
  <c r="E311" i="4"/>
  <c r="F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E342" i="4"/>
  <c r="F342" i="4" s="1"/>
  <c r="E343" i="4"/>
  <c r="F343" i="4" s="1"/>
  <c r="E344" i="4"/>
  <c r="F344" i="4" s="1"/>
  <c r="E345" i="4"/>
  <c r="F345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E352" i="4"/>
  <c r="F352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79" i="4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F385" i="4" s="1"/>
  <c r="E386" i="4"/>
  <c r="F386" i="4" s="1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F393" i="4" s="1"/>
  <c r="E394" i="4"/>
  <c r="E395" i="4"/>
  <c r="F395" i="4" s="1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E419" i="4"/>
  <c r="F419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6" i="4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7" i="4"/>
  <c r="F477" i="4" s="1"/>
  <c r="E478" i="4"/>
  <c r="F478" i="4" s="1"/>
  <c r="E479" i="4"/>
  <c r="F479" i="4" s="1"/>
  <c r="E480" i="4"/>
  <c r="F480" i="4" s="1"/>
  <c r="E481" i="4"/>
  <c r="F481" i="4" s="1"/>
  <c r="E482" i="4"/>
  <c r="E483" i="4"/>
  <c r="F483" i="4" s="1"/>
  <c r="E484" i="4"/>
  <c r="F484" i="4" s="1"/>
  <c r="E485" i="4"/>
  <c r="F485" i="4" s="1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F492" i="4" s="1"/>
  <c r="E493" i="4"/>
  <c r="F493" i="4" s="1"/>
  <c r="E494" i="4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F501" i="4" s="1"/>
  <c r="E502" i="4"/>
  <c r="F502" i="4" s="1"/>
  <c r="E503" i="4"/>
  <c r="F503" i="4" s="1"/>
  <c r="E504" i="4"/>
  <c r="F504" i="4" s="1"/>
  <c r="E505" i="4"/>
  <c r="F505" i="4" s="1"/>
  <c r="E506" i="4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522" i="4"/>
  <c r="F522" i="4" s="1"/>
  <c r="E523" i="4"/>
  <c r="F523" i="4" s="1"/>
  <c r="E524" i="4"/>
  <c r="F524" i="4" s="1"/>
  <c r="E525" i="4"/>
  <c r="F525" i="4" s="1"/>
  <c r="E526" i="4"/>
  <c r="F526" i="4" s="1"/>
  <c r="E527" i="4"/>
  <c r="F527" i="4" s="1"/>
  <c r="E528" i="4"/>
  <c r="F528" i="4" s="1"/>
  <c r="E529" i="4"/>
  <c r="F529" i="4" s="1"/>
  <c r="E530" i="4"/>
  <c r="E531" i="4"/>
  <c r="F531" i="4" s="1"/>
  <c r="E532" i="4"/>
  <c r="F532" i="4" s="1"/>
  <c r="E533" i="4"/>
  <c r="F533" i="4" s="1"/>
  <c r="E534" i="4"/>
  <c r="F534" i="4" s="1"/>
  <c r="E535" i="4"/>
  <c r="F535" i="4" s="1"/>
  <c r="E536" i="4"/>
  <c r="F536" i="4" s="1"/>
  <c r="E537" i="4"/>
  <c r="F537" i="4" s="1"/>
  <c r="E538" i="4"/>
  <c r="F538" i="4" s="1"/>
  <c r="E539" i="4"/>
  <c r="E540" i="4"/>
  <c r="F540" i="4" s="1"/>
  <c r="E541" i="4"/>
  <c r="F541" i="4" s="1"/>
  <c r="E542" i="4"/>
  <c r="F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E550" i="4"/>
  <c r="F550" i="4" s="1"/>
  <c r="E551" i="4"/>
  <c r="F551" i="4" s="1"/>
  <c r="E552" i="4"/>
  <c r="F552" i="4" s="1"/>
  <c r="E553" i="4"/>
  <c r="F553" i="4" s="1"/>
  <c r="E554" i="4"/>
  <c r="F554" i="4" s="1"/>
  <c r="E555" i="4"/>
  <c r="F555" i="4" s="1"/>
  <c r="E556" i="4"/>
  <c r="F556" i="4" s="1"/>
  <c r="E557" i="4"/>
  <c r="F557" i="4" s="1"/>
  <c r="E558" i="4"/>
  <c r="E559" i="4"/>
  <c r="F559" i="4" s="1"/>
  <c r="E560" i="4"/>
  <c r="E561" i="4"/>
  <c r="F561" i="4" s="1"/>
  <c r="E562" i="4"/>
  <c r="F562" i="4" s="1"/>
  <c r="E563" i="4"/>
  <c r="F563" i="4" s="1"/>
  <c r="E564" i="4"/>
  <c r="F564" i="4" s="1"/>
  <c r="E565" i="4"/>
  <c r="F565" i="4" s="1"/>
  <c r="E566" i="4"/>
  <c r="F566" i="4" s="1"/>
  <c r="E567" i="4"/>
  <c r="F567" i="4" s="1"/>
  <c r="E568" i="4"/>
  <c r="F568" i="4" s="1"/>
  <c r="E569" i="4"/>
  <c r="F569" i="4" s="1"/>
  <c r="E570" i="4"/>
  <c r="F570" i="4" s="1"/>
  <c r="E571" i="4"/>
  <c r="F571" i="4" s="1"/>
  <c r="E572" i="4"/>
  <c r="F572" i="4" s="1"/>
  <c r="E573" i="4"/>
  <c r="F573" i="4" s="1"/>
  <c r="E574" i="4"/>
  <c r="F574" i="4" s="1"/>
  <c r="E575" i="4"/>
  <c r="F575" i="4" s="1"/>
  <c r="E576" i="4"/>
  <c r="F576" i="4" s="1"/>
  <c r="E577" i="4"/>
  <c r="F577" i="4" s="1"/>
  <c r="E578" i="4"/>
  <c r="F578" i="4" s="1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8" i="4"/>
  <c r="F588" i="4" s="1"/>
  <c r="E589" i="4"/>
  <c r="F589" i="4" s="1"/>
  <c r="E590" i="4"/>
  <c r="F590" i="4" s="1"/>
  <c r="E591" i="4"/>
  <c r="F591" i="4" s="1"/>
  <c r="E592" i="4"/>
  <c r="F592" i="4" s="1"/>
  <c r="E593" i="4"/>
  <c r="F593" i="4" s="1"/>
  <c r="E594" i="4"/>
  <c r="F594" i="4" s="1"/>
  <c r="E595" i="4"/>
  <c r="F595" i="4" s="1"/>
  <c r="E596" i="4"/>
  <c r="F596" i="4" s="1"/>
  <c r="E597" i="4"/>
  <c r="F597" i="4" s="1"/>
  <c r="E598" i="4"/>
  <c r="F598" i="4" s="1"/>
  <c r="E599" i="4"/>
  <c r="F599" i="4" s="1"/>
  <c r="E600" i="4"/>
  <c r="F600" i="4" s="1"/>
  <c r="E601" i="4"/>
  <c r="F601" i="4" s="1"/>
  <c r="E602" i="4"/>
  <c r="F602" i="4" s="1"/>
  <c r="E603" i="4"/>
  <c r="F603" i="4" s="1"/>
  <c r="E604" i="4"/>
  <c r="F604" i="4" s="1"/>
  <c r="E605" i="4"/>
  <c r="F605" i="4" s="1"/>
  <c r="E606" i="4"/>
  <c r="F606" i="4" s="1"/>
  <c r="E607" i="4"/>
  <c r="F607" i="4" s="1"/>
  <c r="E608" i="4"/>
  <c r="F608" i="4" s="1"/>
  <c r="E609" i="4"/>
  <c r="F609" i="4" s="1"/>
  <c r="E610" i="4"/>
  <c r="F610" i="4" s="1"/>
  <c r="E611" i="4"/>
  <c r="F611" i="4" s="1"/>
  <c r="E612" i="4"/>
  <c r="F612" i="4" s="1"/>
  <c r="E613" i="4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E620" i="4"/>
  <c r="F620" i="4" s="1"/>
  <c r="E621" i="4"/>
  <c r="F621" i="4" s="1"/>
  <c r="E622" i="4"/>
  <c r="F622" i="4" s="1"/>
  <c r="E623" i="4"/>
  <c r="F623" i="4" s="1"/>
  <c r="E624" i="4"/>
  <c r="F624" i="4" s="1"/>
  <c r="E625" i="4"/>
  <c r="F625" i="4" s="1"/>
  <c r="E626" i="4"/>
  <c r="F626" i="4" s="1"/>
  <c r="E627" i="4"/>
  <c r="F627" i="4" s="1"/>
  <c r="E628" i="4"/>
  <c r="F628" i="4" s="1"/>
  <c r="E629" i="4"/>
  <c r="F629" i="4" s="1"/>
  <c r="E630" i="4"/>
  <c r="F630" i="4" s="1"/>
  <c r="E631" i="4"/>
  <c r="F631" i="4" s="1"/>
  <c r="E632" i="4"/>
  <c r="F632" i="4" s="1"/>
  <c r="E633" i="4"/>
  <c r="F633" i="4" s="1"/>
  <c r="E634" i="4"/>
  <c r="F634" i="4" s="1"/>
  <c r="E635" i="4"/>
  <c r="F635" i="4" s="1"/>
  <c r="E636" i="4"/>
  <c r="F636" i="4" s="1"/>
  <c r="E637" i="4"/>
  <c r="F637" i="4" s="1"/>
  <c r="E638" i="4"/>
  <c r="F638" i="4" s="1"/>
  <c r="E639" i="4"/>
  <c r="F639" i="4" s="1"/>
  <c r="E640" i="4"/>
  <c r="F640" i="4" s="1"/>
  <c r="E641" i="4"/>
  <c r="F641" i="4" s="1"/>
  <c r="E642" i="4"/>
  <c r="F642" i="4" s="1"/>
  <c r="E643" i="4"/>
  <c r="F643" i="4" s="1"/>
  <c r="E644" i="4"/>
  <c r="F644" i="4" s="1"/>
  <c r="E645" i="4"/>
  <c r="F645" i="4" s="1"/>
  <c r="E646" i="4"/>
  <c r="F646" i="4" s="1"/>
  <c r="E647" i="4"/>
  <c r="F647" i="4" s="1"/>
  <c r="E648" i="4"/>
  <c r="F648" i="4" s="1"/>
  <c r="E649" i="4"/>
  <c r="F649" i="4" s="1"/>
  <c r="E650" i="4"/>
  <c r="E651" i="4"/>
  <c r="F651" i="4" s="1"/>
  <c r="E652" i="4"/>
  <c r="F652" i="4" s="1"/>
  <c r="E653" i="4"/>
  <c r="F653" i="4" s="1"/>
  <c r="E654" i="4"/>
  <c r="F654" i="4" s="1"/>
  <c r="E655" i="4"/>
  <c r="F655" i="4" s="1"/>
  <c r="E656" i="4"/>
  <c r="F656" i="4" s="1"/>
  <c r="E657" i="4"/>
  <c r="F657" i="4" s="1"/>
  <c r="E658" i="4"/>
  <c r="F658" i="4" s="1"/>
  <c r="E659" i="4"/>
  <c r="F659" i="4" s="1"/>
  <c r="E660" i="4"/>
  <c r="F660" i="4" s="1"/>
  <c r="E661" i="4"/>
  <c r="F661" i="4" s="1"/>
  <c r="E662" i="4"/>
  <c r="F662" i="4" s="1"/>
  <c r="E663" i="4"/>
  <c r="F663" i="4" s="1"/>
  <c r="E664" i="4"/>
  <c r="F664" i="4" s="1"/>
  <c r="E665" i="4"/>
  <c r="F665" i="4" s="1"/>
  <c r="E666" i="4"/>
  <c r="F666" i="4" s="1"/>
  <c r="E667" i="4"/>
  <c r="F667" i="4" s="1"/>
  <c r="E668" i="4"/>
  <c r="F668" i="4" s="1"/>
  <c r="E669" i="4"/>
  <c r="F669" i="4" s="1"/>
  <c r="E670" i="4"/>
  <c r="F670" i="4" s="1"/>
  <c r="E671" i="4"/>
  <c r="E672" i="4"/>
  <c r="F672" i="4" s="1"/>
  <c r="E673" i="4"/>
  <c r="F673" i="4" s="1"/>
  <c r="E674" i="4"/>
  <c r="F674" i="4" s="1"/>
  <c r="E675" i="4"/>
  <c r="F675" i="4" s="1"/>
  <c r="E676" i="4"/>
  <c r="F676" i="4" s="1"/>
  <c r="E677" i="4"/>
  <c r="F677" i="4" s="1"/>
  <c r="E678" i="4"/>
  <c r="F678" i="4" s="1"/>
  <c r="E679" i="4"/>
  <c r="F679" i="4" s="1"/>
  <c r="E680" i="4"/>
  <c r="F680" i="4" s="1"/>
  <c r="E681" i="4"/>
  <c r="F681" i="4" s="1"/>
  <c r="E682" i="4"/>
  <c r="F682" i="4" s="1"/>
  <c r="E683" i="4"/>
  <c r="F683" i="4" s="1"/>
  <c r="E684" i="4"/>
  <c r="F684" i="4" s="1"/>
  <c r="E685" i="4"/>
  <c r="F685" i="4" s="1"/>
  <c r="E686" i="4"/>
  <c r="F686" i="4" s="1"/>
  <c r="E687" i="4"/>
  <c r="F687" i="4" s="1"/>
  <c r="E688" i="4"/>
  <c r="F688" i="4" s="1"/>
  <c r="E689" i="4"/>
  <c r="F689" i="4" s="1"/>
  <c r="E690" i="4"/>
  <c r="F690" i="4" s="1"/>
  <c r="E691" i="4"/>
  <c r="F691" i="4" s="1"/>
  <c r="E692" i="4"/>
  <c r="F692" i="4" s="1"/>
  <c r="E693" i="4"/>
  <c r="E694" i="4"/>
  <c r="F694" i="4" s="1"/>
  <c r="E695" i="4"/>
  <c r="F695" i="4" s="1"/>
  <c r="E696" i="4"/>
  <c r="F696" i="4" s="1"/>
  <c r="E697" i="4"/>
  <c r="F697" i="4" s="1"/>
  <c r="E698" i="4"/>
  <c r="F698" i="4" s="1"/>
  <c r="E699" i="4"/>
  <c r="F699" i="4" s="1"/>
  <c r="E700" i="4"/>
  <c r="F700" i="4" s="1"/>
  <c r="E701" i="4"/>
  <c r="F701" i="4" s="1"/>
  <c r="E702" i="4"/>
  <c r="F702" i="4" s="1"/>
  <c r="E703" i="4"/>
  <c r="F703" i="4" s="1"/>
  <c r="E704" i="4"/>
  <c r="F704" i="4" s="1"/>
  <c r="E705" i="4"/>
  <c r="F705" i="4" s="1"/>
  <c r="E706" i="4"/>
  <c r="F706" i="4" s="1"/>
  <c r="E707" i="4"/>
  <c r="F707" i="4" s="1"/>
  <c r="E708" i="4"/>
  <c r="F708" i="4" s="1"/>
  <c r="E709" i="4"/>
  <c r="F709" i="4" s="1"/>
  <c r="E710" i="4"/>
  <c r="F710" i="4" s="1"/>
  <c r="E711" i="4"/>
  <c r="F711" i="4" s="1"/>
  <c r="E712" i="4"/>
  <c r="F712" i="4" s="1"/>
  <c r="E713" i="4"/>
  <c r="F713" i="4" s="1"/>
  <c r="E714" i="4"/>
  <c r="F714" i="4" s="1"/>
  <c r="E715" i="4"/>
  <c r="F715" i="4" s="1"/>
  <c r="E716" i="4"/>
  <c r="F716" i="4" s="1"/>
  <c r="E717" i="4"/>
  <c r="F717" i="4" s="1"/>
  <c r="E718" i="4"/>
  <c r="F718" i="4" s="1"/>
  <c r="E719" i="4"/>
  <c r="F719" i="4" s="1"/>
  <c r="E720" i="4"/>
  <c r="F720" i="4" s="1"/>
  <c r="E721" i="4"/>
  <c r="F721" i="4" s="1"/>
  <c r="E722" i="4"/>
  <c r="F722" i="4" s="1"/>
  <c r="E723" i="4"/>
  <c r="F723" i="4" s="1"/>
  <c r="E724" i="4"/>
  <c r="F724" i="4" s="1"/>
  <c r="E725" i="4"/>
  <c r="F725" i="4" s="1"/>
  <c r="E726" i="4"/>
  <c r="F726" i="4" s="1"/>
  <c r="E727" i="4"/>
  <c r="F727" i="4" s="1"/>
  <c r="E728" i="4"/>
  <c r="F728" i="4" s="1"/>
  <c r="E729" i="4"/>
  <c r="F729" i="4" s="1"/>
  <c r="E730" i="4"/>
  <c r="F730" i="4" s="1"/>
  <c r="E731" i="4"/>
  <c r="F731" i="4" s="1"/>
  <c r="E732" i="4"/>
  <c r="F732" i="4" s="1"/>
  <c r="E733" i="4"/>
  <c r="F733" i="4" s="1"/>
  <c r="E734" i="4"/>
  <c r="F734" i="4" s="1"/>
  <c r="E735" i="4"/>
  <c r="F735" i="4" s="1"/>
  <c r="E736" i="4"/>
  <c r="F736" i="4" s="1"/>
  <c r="E737" i="4"/>
  <c r="F737" i="4" s="1"/>
  <c r="E738" i="4"/>
  <c r="F738" i="4" s="1"/>
  <c r="E739" i="4"/>
  <c r="F739" i="4" s="1"/>
  <c r="E740" i="4"/>
  <c r="F740" i="4" s="1"/>
  <c r="E741" i="4"/>
  <c r="F741" i="4" s="1"/>
  <c r="E742" i="4"/>
  <c r="F742" i="4" s="1"/>
  <c r="E743" i="4"/>
  <c r="F743" i="4" s="1"/>
  <c r="E744" i="4"/>
  <c r="F744" i="4" s="1"/>
  <c r="E745" i="4"/>
  <c r="F745" i="4" s="1"/>
  <c r="E746" i="4"/>
  <c r="E747" i="4"/>
  <c r="F747" i="4" s="1"/>
  <c r="E748" i="4"/>
  <c r="F748" i="4" s="1"/>
  <c r="E749" i="4"/>
  <c r="F749" i="4" s="1"/>
  <c r="E750" i="4"/>
  <c r="F750" i="4" s="1"/>
  <c r="E751" i="4"/>
  <c r="F751" i="4" s="1"/>
  <c r="E752" i="4"/>
  <c r="F752" i="4" s="1"/>
  <c r="E753" i="4"/>
  <c r="F753" i="4" s="1"/>
  <c r="E754" i="4"/>
  <c r="F754" i="4" s="1"/>
  <c r="E755" i="4"/>
  <c r="F755" i="4" s="1"/>
  <c r="E756" i="4"/>
  <c r="F756" i="4" s="1"/>
  <c r="E757" i="4"/>
  <c r="F757" i="4" s="1"/>
  <c r="E758" i="4"/>
  <c r="F758" i="4" s="1"/>
  <c r="E759" i="4"/>
  <c r="F759" i="4" s="1"/>
  <c r="E760" i="4"/>
  <c r="F760" i="4" s="1"/>
  <c r="E761" i="4"/>
  <c r="F761" i="4" s="1"/>
  <c r="E762" i="4"/>
  <c r="F762" i="4" s="1"/>
  <c r="E763" i="4"/>
  <c r="F763" i="4" s="1"/>
  <c r="E764" i="4"/>
  <c r="F764" i="4" s="1"/>
  <c r="E765" i="4"/>
  <c r="F765" i="4" s="1"/>
  <c r="E766" i="4"/>
  <c r="F766" i="4" s="1"/>
  <c r="E767" i="4"/>
  <c r="F767" i="4" s="1"/>
  <c r="E768" i="4"/>
  <c r="F768" i="4" s="1"/>
  <c r="E769" i="4"/>
  <c r="F769" i="4" s="1"/>
  <c r="E770" i="4"/>
  <c r="F770" i="4" s="1"/>
  <c r="E771" i="4"/>
  <c r="F771" i="4" s="1"/>
  <c r="E772" i="4"/>
  <c r="F772" i="4" s="1"/>
  <c r="E773" i="4"/>
  <c r="F773" i="4" s="1"/>
  <c r="E774" i="4"/>
  <c r="F774" i="4" s="1"/>
  <c r="E775" i="4"/>
  <c r="F775" i="4" s="1"/>
  <c r="E776" i="4"/>
  <c r="F776" i="4" s="1"/>
  <c r="E777" i="4"/>
  <c r="F777" i="4" s="1"/>
  <c r="E778" i="4"/>
  <c r="F778" i="4" s="1"/>
  <c r="E779" i="4"/>
  <c r="F779" i="4" s="1"/>
  <c r="E780" i="4"/>
  <c r="F780" i="4" s="1"/>
  <c r="E781" i="4"/>
  <c r="F781" i="4" s="1"/>
  <c r="E782" i="4"/>
  <c r="F782" i="4" s="1"/>
  <c r="E783" i="4"/>
  <c r="F783" i="4" s="1"/>
  <c r="E784" i="4"/>
  <c r="F784" i="4" s="1"/>
  <c r="E785" i="4"/>
  <c r="F785" i="4" s="1"/>
  <c r="E786" i="4"/>
  <c r="F786" i="4" s="1"/>
  <c r="E787" i="4"/>
  <c r="F787" i="4" s="1"/>
  <c r="E788" i="4"/>
  <c r="F788" i="4" s="1"/>
  <c r="E789" i="4"/>
  <c r="F789" i="4" s="1"/>
  <c r="E790" i="4"/>
  <c r="F790" i="4" s="1"/>
  <c r="E791" i="4"/>
  <c r="F791" i="4" s="1"/>
  <c r="E792" i="4"/>
  <c r="F792" i="4" s="1"/>
  <c r="E793" i="4"/>
  <c r="F793" i="4" s="1"/>
  <c r="E794" i="4"/>
  <c r="F794" i="4" s="1"/>
  <c r="E795" i="4"/>
  <c r="E796" i="4"/>
  <c r="F796" i="4" s="1"/>
  <c r="E797" i="4"/>
  <c r="F797" i="4" s="1"/>
  <c r="E798" i="4"/>
  <c r="F798" i="4" s="1"/>
  <c r="E799" i="4"/>
  <c r="F799" i="4" s="1"/>
  <c r="E800" i="4"/>
  <c r="F800" i="4" s="1"/>
  <c r="E801" i="4"/>
  <c r="F801" i="4" s="1"/>
  <c r="E802" i="4"/>
  <c r="F802" i="4" s="1"/>
  <c r="E803" i="4"/>
  <c r="F803" i="4" s="1"/>
  <c r="E804" i="4"/>
  <c r="F804" i="4" s="1"/>
  <c r="E805" i="4"/>
  <c r="F805" i="4" s="1"/>
  <c r="E806" i="4"/>
  <c r="F806" i="4" s="1"/>
  <c r="E807" i="4"/>
  <c r="F807" i="4" s="1"/>
  <c r="E808" i="4"/>
  <c r="E809" i="4"/>
  <c r="F809" i="4" s="1"/>
  <c r="E810" i="4"/>
  <c r="F810" i="4" s="1"/>
  <c r="E811" i="4"/>
  <c r="F811" i="4" s="1"/>
  <c r="E812" i="4"/>
  <c r="F812" i="4" s="1"/>
  <c r="E813" i="4"/>
  <c r="F813" i="4" s="1"/>
  <c r="E814" i="4"/>
  <c r="F814" i="4" s="1"/>
  <c r="E815" i="4"/>
  <c r="F815" i="4" s="1"/>
  <c r="E816" i="4"/>
  <c r="F816" i="4" s="1"/>
  <c r="E817" i="4"/>
  <c r="F817" i="4" s="1"/>
  <c r="E818" i="4"/>
  <c r="F818" i="4" s="1"/>
  <c r="E819" i="4"/>
  <c r="F819" i="4" s="1"/>
  <c r="E820" i="4"/>
  <c r="F820" i="4" s="1"/>
  <c r="E821" i="4"/>
  <c r="F821" i="4" s="1"/>
  <c r="E822" i="4"/>
  <c r="F822" i="4" s="1"/>
  <c r="E823" i="4"/>
  <c r="F823" i="4" s="1"/>
  <c r="E824" i="4"/>
  <c r="F824" i="4" s="1"/>
  <c r="E825" i="4"/>
  <c r="F825" i="4" s="1"/>
  <c r="E826" i="4"/>
  <c r="F826" i="4" s="1"/>
  <c r="E827" i="4"/>
  <c r="F827" i="4" s="1"/>
  <c r="E828" i="4"/>
  <c r="F828" i="4" s="1"/>
  <c r="E829" i="4"/>
  <c r="F829" i="4" s="1"/>
  <c r="E830" i="4"/>
  <c r="F830" i="4" s="1"/>
  <c r="E831" i="4"/>
  <c r="F831" i="4" s="1"/>
  <c r="E832" i="4"/>
  <c r="F832" i="4" s="1"/>
  <c r="E833" i="4"/>
  <c r="F833" i="4" s="1"/>
  <c r="E834" i="4"/>
  <c r="F834" i="4" s="1"/>
  <c r="E835" i="4"/>
  <c r="F835" i="4" s="1"/>
  <c r="E836" i="4"/>
  <c r="F836" i="4" s="1"/>
  <c r="E837" i="4"/>
  <c r="F837" i="4" s="1"/>
  <c r="E838" i="4"/>
  <c r="F838" i="4" s="1"/>
  <c r="E839" i="4"/>
  <c r="F839" i="4" s="1"/>
  <c r="E840" i="4"/>
  <c r="F840" i="4" s="1"/>
  <c r="E841" i="4"/>
  <c r="F841" i="4" s="1"/>
  <c r="E842" i="4"/>
  <c r="F842" i="4" s="1"/>
  <c r="E843" i="4"/>
  <c r="F843" i="4" s="1"/>
  <c r="E844" i="4"/>
  <c r="F844" i="4" s="1"/>
  <c r="E845" i="4"/>
  <c r="E846" i="4"/>
  <c r="F846" i="4" s="1"/>
  <c r="E847" i="4"/>
  <c r="F847" i="4" s="1"/>
  <c r="E848" i="4"/>
  <c r="F848" i="4" s="1"/>
  <c r="E849" i="4"/>
  <c r="F849" i="4" s="1"/>
  <c r="E850" i="4"/>
  <c r="F850" i="4" s="1"/>
  <c r="E851" i="4"/>
  <c r="F851" i="4" s="1"/>
  <c r="E852" i="4"/>
  <c r="F852" i="4" s="1"/>
  <c r="E853" i="4"/>
  <c r="F853" i="4" s="1"/>
  <c r="E854" i="4"/>
  <c r="F854" i="4" s="1"/>
  <c r="E855" i="4"/>
  <c r="F855" i="4" s="1"/>
  <c r="E856" i="4"/>
  <c r="F856" i="4" s="1"/>
  <c r="E857" i="4"/>
  <c r="F857" i="4" s="1"/>
  <c r="E858" i="4"/>
  <c r="F858" i="4" s="1"/>
  <c r="E859" i="4"/>
  <c r="F859" i="4" s="1"/>
  <c r="E860" i="4"/>
  <c r="F860" i="4" s="1"/>
  <c r="E861" i="4"/>
  <c r="F861" i="4" s="1"/>
  <c r="E862" i="4"/>
  <c r="F862" i="4" s="1"/>
  <c r="E863" i="4"/>
  <c r="F863" i="4" s="1"/>
  <c r="E864" i="4"/>
  <c r="F864" i="4" s="1"/>
  <c r="E865" i="4"/>
  <c r="F865" i="4" s="1"/>
  <c r="E866" i="4"/>
  <c r="F866" i="4" s="1"/>
  <c r="E867" i="4"/>
  <c r="F867" i="4" s="1"/>
  <c r="E868" i="4"/>
  <c r="F868" i="4" s="1"/>
  <c r="E869" i="4"/>
  <c r="F869" i="4" s="1"/>
  <c r="E870" i="4"/>
  <c r="F870" i="4" s="1"/>
  <c r="E871" i="4"/>
  <c r="F871" i="4" s="1"/>
  <c r="E872" i="4"/>
  <c r="F872" i="4" s="1"/>
  <c r="E873" i="4"/>
  <c r="F873" i="4" s="1"/>
  <c r="E874" i="4"/>
  <c r="E875" i="4"/>
  <c r="F875" i="4" s="1"/>
  <c r="E876" i="4"/>
  <c r="F876" i="4" s="1"/>
  <c r="E877" i="4"/>
  <c r="F877" i="4" s="1"/>
  <c r="E878" i="4"/>
  <c r="F878" i="4" s="1"/>
  <c r="E879" i="4"/>
  <c r="F879" i="4" s="1"/>
  <c r="E880" i="4"/>
  <c r="F880" i="4" s="1"/>
  <c r="E881" i="4"/>
  <c r="F881" i="4" s="1"/>
  <c r="E882" i="4"/>
  <c r="F882" i="4" s="1"/>
  <c r="E883" i="4"/>
  <c r="F883" i="4" s="1"/>
  <c r="E884" i="4"/>
  <c r="F884" i="4" s="1"/>
  <c r="E885" i="4"/>
  <c r="F885" i="4" s="1"/>
  <c r="E886" i="4"/>
  <c r="F886" i="4" s="1"/>
  <c r="E887" i="4"/>
  <c r="F887" i="4" s="1"/>
  <c r="E888" i="4"/>
  <c r="E889" i="4"/>
  <c r="F889" i="4" s="1"/>
  <c r="E890" i="4"/>
  <c r="F890" i="4" s="1"/>
  <c r="E891" i="4"/>
  <c r="F891" i="4" s="1"/>
  <c r="E892" i="4"/>
  <c r="F892" i="4" s="1"/>
  <c r="E893" i="4"/>
  <c r="F893" i="4" s="1"/>
  <c r="E894" i="4"/>
  <c r="F894" i="4" s="1"/>
  <c r="E895" i="4"/>
  <c r="F895" i="4" s="1"/>
  <c r="E896" i="4"/>
  <c r="F896" i="4" s="1"/>
  <c r="E897" i="4"/>
  <c r="F897" i="4" s="1"/>
  <c r="E898" i="4"/>
  <c r="F898" i="4" s="1"/>
  <c r="E899" i="4"/>
  <c r="F899" i="4" s="1"/>
  <c r="E900" i="4"/>
  <c r="F900" i="4" s="1"/>
  <c r="E901" i="4"/>
  <c r="E902" i="4"/>
  <c r="F902" i="4" s="1"/>
  <c r="E903" i="4"/>
  <c r="F903" i="4" s="1"/>
  <c r="E904" i="4"/>
  <c r="F904" i="4" s="1"/>
  <c r="E905" i="4"/>
  <c r="F905" i="4" s="1"/>
  <c r="E906" i="4"/>
  <c r="F906" i="4" s="1"/>
  <c r="E907" i="4"/>
  <c r="F907" i="4" s="1"/>
  <c r="E908" i="4"/>
  <c r="F908" i="4" s="1"/>
  <c r="E909" i="4"/>
  <c r="F909" i="4" s="1"/>
  <c r="E910" i="4"/>
  <c r="F910" i="4" s="1"/>
  <c r="E911" i="4"/>
  <c r="F911" i="4" s="1"/>
  <c r="E912" i="4"/>
  <c r="F912" i="4" s="1"/>
  <c r="E913" i="4"/>
  <c r="F913" i="4" s="1"/>
  <c r="E914" i="4"/>
  <c r="F914" i="4" s="1"/>
  <c r="E915" i="4"/>
  <c r="F915" i="4" s="1"/>
  <c r="E916" i="4"/>
  <c r="F916" i="4" s="1"/>
  <c r="E917" i="4"/>
  <c r="F917" i="4" s="1"/>
  <c r="E918" i="4"/>
  <c r="E919" i="4"/>
  <c r="F919" i="4" s="1"/>
  <c r="E920" i="4"/>
  <c r="F920" i="4" s="1"/>
  <c r="E921" i="4"/>
  <c r="F921" i="4" s="1"/>
  <c r="E922" i="4"/>
  <c r="F922" i="4" s="1"/>
  <c r="E923" i="4"/>
  <c r="F923" i="4" s="1"/>
  <c r="E924" i="4"/>
  <c r="F924" i="4" s="1"/>
  <c r="E925" i="4"/>
  <c r="F925" i="4" s="1"/>
  <c r="E926" i="4"/>
  <c r="F926" i="4" s="1"/>
  <c r="E927" i="4"/>
  <c r="F927" i="4" s="1"/>
  <c r="E928" i="4"/>
  <c r="F928" i="4" s="1"/>
  <c r="E929" i="4"/>
  <c r="F929" i="4" s="1"/>
  <c r="E930" i="4"/>
  <c r="F930" i="4" s="1"/>
  <c r="E931" i="4"/>
  <c r="F931" i="4" s="1"/>
  <c r="E932" i="4"/>
  <c r="F932" i="4" s="1"/>
  <c r="E933" i="4"/>
  <c r="F933" i="4" s="1"/>
  <c r="E934" i="4"/>
  <c r="F934" i="4" s="1"/>
  <c r="E935" i="4"/>
  <c r="E936" i="4"/>
  <c r="F936" i="4" s="1"/>
  <c r="E937" i="4"/>
  <c r="F937" i="4" s="1"/>
  <c r="E938" i="4"/>
  <c r="F938" i="4" s="1"/>
  <c r="E939" i="4"/>
  <c r="F939" i="4" s="1"/>
  <c r="E940" i="4"/>
  <c r="F940" i="4" s="1"/>
  <c r="E941" i="4"/>
  <c r="F941" i="4" s="1"/>
  <c r="E942" i="4"/>
  <c r="F942" i="4" s="1"/>
  <c r="E943" i="4"/>
  <c r="F943" i="4" s="1"/>
  <c r="E944" i="4"/>
  <c r="F944" i="4" s="1"/>
  <c r="E945" i="4"/>
  <c r="F945" i="4" s="1"/>
  <c r="E946" i="4"/>
  <c r="F946" i="4" s="1"/>
  <c r="E947" i="4"/>
  <c r="F947" i="4" s="1"/>
  <c r="E948" i="4"/>
  <c r="F948" i="4" s="1"/>
  <c r="E949" i="4"/>
  <c r="F949" i="4" s="1"/>
  <c r="E950" i="4"/>
  <c r="E951" i="4"/>
  <c r="F951" i="4" s="1"/>
  <c r="E952" i="4"/>
  <c r="F952" i="4" s="1"/>
  <c r="E953" i="4"/>
  <c r="F953" i="4" s="1"/>
  <c r="E954" i="4"/>
  <c r="F954" i="4" s="1"/>
  <c r="E955" i="4"/>
  <c r="F955" i="4" s="1"/>
  <c r="E956" i="4"/>
  <c r="F956" i="4" s="1"/>
  <c r="E957" i="4"/>
  <c r="F957" i="4" s="1"/>
  <c r="E958" i="4"/>
  <c r="F958" i="4" s="1"/>
  <c r="E959" i="4"/>
  <c r="F959" i="4" s="1"/>
  <c r="E960" i="4"/>
  <c r="F960" i="4" s="1"/>
  <c r="E961" i="4"/>
  <c r="F961" i="4" s="1"/>
  <c r="E962" i="4"/>
  <c r="F962" i="4" s="1"/>
  <c r="E963" i="4"/>
  <c r="F963" i="4" s="1"/>
  <c r="E964" i="4"/>
  <c r="F964" i="4" s="1"/>
  <c r="E965" i="4"/>
  <c r="F965" i="4" s="1"/>
  <c r="E966" i="4"/>
  <c r="F966" i="4" s="1"/>
  <c r="E967" i="4"/>
  <c r="F967" i="4" s="1"/>
  <c r="E968" i="4"/>
  <c r="F968" i="4" s="1"/>
  <c r="E969" i="4"/>
  <c r="F969" i="4" s="1"/>
  <c r="E970" i="4"/>
  <c r="F970" i="4" s="1"/>
  <c r="E971" i="4"/>
  <c r="F971" i="4" s="1"/>
  <c r="E972" i="4"/>
  <c r="F972" i="4" s="1"/>
  <c r="E973" i="4"/>
  <c r="F973" i="4" s="1"/>
  <c r="E974" i="4"/>
  <c r="F974" i="4" s="1"/>
  <c r="E975" i="4"/>
  <c r="F975" i="4" s="1"/>
  <c r="E976" i="4"/>
  <c r="E977" i="4"/>
  <c r="F977" i="4" s="1"/>
  <c r="E978" i="4"/>
  <c r="F978" i="4" s="1"/>
  <c r="E979" i="4"/>
  <c r="F979" i="4" s="1"/>
  <c r="E980" i="4"/>
  <c r="F980" i="4" s="1"/>
  <c r="E981" i="4"/>
  <c r="F981" i="4" s="1"/>
  <c r="E982" i="4"/>
  <c r="F982" i="4" s="1"/>
  <c r="E983" i="4"/>
  <c r="F983" i="4" s="1"/>
  <c r="E984" i="4"/>
  <c r="F984" i="4" s="1"/>
  <c r="E985" i="4"/>
  <c r="E986" i="4"/>
  <c r="F986" i="4" s="1"/>
  <c r="E987" i="4"/>
  <c r="F987" i="4" s="1"/>
  <c r="E988" i="4"/>
  <c r="F988" i="4" s="1"/>
  <c r="E989" i="4"/>
  <c r="F989" i="4" s="1"/>
  <c r="E990" i="4"/>
  <c r="F990" i="4" s="1"/>
  <c r="E991" i="4"/>
  <c r="F991" i="4" s="1"/>
  <c r="E992" i="4"/>
  <c r="F992" i="4" s="1"/>
  <c r="E993" i="4"/>
  <c r="F993" i="4" s="1"/>
  <c r="E994" i="4"/>
  <c r="E995" i="4"/>
  <c r="F995" i="4" s="1"/>
  <c r="E996" i="4"/>
  <c r="F996" i="4" s="1"/>
  <c r="E997" i="4"/>
  <c r="F997" i="4" s="1"/>
  <c r="E998" i="4"/>
  <c r="F998" i="4" s="1"/>
  <c r="E999" i="4"/>
  <c r="F999" i="4" s="1"/>
  <c r="E1000" i="4"/>
  <c r="F1000" i="4" s="1"/>
  <c r="E1001" i="4"/>
  <c r="F1001" i="4" s="1"/>
  <c r="E1002" i="4"/>
  <c r="F1002" i="4" s="1"/>
  <c r="E1003" i="4"/>
  <c r="F1003" i="4" s="1"/>
  <c r="E1004" i="4"/>
  <c r="F1004" i="4" s="1"/>
  <c r="E1005" i="4"/>
  <c r="F1005" i="4" s="1"/>
  <c r="E1006" i="4"/>
  <c r="F1006" i="4" s="1"/>
  <c r="E1007" i="4"/>
  <c r="F1007" i="4" s="1"/>
  <c r="E1008" i="4"/>
  <c r="F1008" i="4" s="1"/>
  <c r="E1009" i="4"/>
  <c r="F1009" i="4" s="1"/>
  <c r="E1010" i="4"/>
  <c r="F1010" i="4" s="1"/>
  <c r="E1011" i="4"/>
  <c r="E1012" i="4"/>
  <c r="F1012" i="4" s="1"/>
  <c r="E1013" i="4"/>
  <c r="F1013" i="4" s="1"/>
  <c r="E1014" i="4"/>
  <c r="F1014" i="4" s="1"/>
  <c r="E1015" i="4"/>
  <c r="F1015" i="4" s="1"/>
  <c r="E1016" i="4"/>
  <c r="F1016" i="4" s="1"/>
  <c r="E1017" i="4"/>
  <c r="F1017" i="4" s="1"/>
  <c r="E1018" i="4"/>
  <c r="F1018" i="4" s="1"/>
  <c r="E1019" i="4"/>
  <c r="F1019" i="4" s="1"/>
  <c r="E1020" i="4"/>
  <c r="E1021" i="4"/>
  <c r="F1021" i="4" s="1"/>
  <c r="E1022" i="4"/>
  <c r="F1022" i="4" s="1"/>
  <c r="E1023" i="4"/>
  <c r="F1023" i="4" s="1"/>
  <c r="E1024" i="4"/>
  <c r="F1024" i="4" s="1"/>
  <c r="E1025" i="4"/>
  <c r="F1025" i="4" s="1"/>
  <c r="E1026" i="4"/>
  <c r="F1026" i="4" s="1"/>
  <c r="E1027" i="4"/>
  <c r="F1027" i="4" s="1"/>
  <c r="E1028" i="4"/>
  <c r="F1028" i="4" s="1"/>
  <c r="E1029" i="4"/>
  <c r="F1029" i="4" s="1"/>
  <c r="E1030" i="4"/>
  <c r="F1030" i="4" s="1"/>
  <c r="E1031" i="4"/>
  <c r="F1031" i="4" s="1"/>
  <c r="E1032" i="4"/>
  <c r="E1033" i="4"/>
  <c r="F1033" i="4" s="1"/>
  <c r="E1034" i="4"/>
  <c r="F1034" i="4" s="1"/>
  <c r="E1035" i="4"/>
  <c r="F1035" i="4" s="1"/>
  <c r="E1036" i="4"/>
  <c r="F1036" i="4" s="1"/>
  <c r="E1037" i="4"/>
  <c r="F1037" i="4" s="1"/>
  <c r="E1038" i="4"/>
  <c r="F1038" i="4" s="1"/>
  <c r="E1039" i="4"/>
  <c r="F1039" i="4" s="1"/>
  <c r="E1040" i="4"/>
  <c r="F1040" i="4" s="1"/>
  <c r="E1041" i="4"/>
  <c r="F1041" i="4" s="1"/>
  <c r="E1042" i="4"/>
  <c r="F1042" i="4" s="1"/>
  <c r="E1043" i="4"/>
  <c r="F1043" i="4" s="1"/>
  <c r="E1044" i="4"/>
  <c r="E1045" i="4"/>
  <c r="F1045" i="4" s="1"/>
  <c r="E1046" i="4"/>
  <c r="F1046" i="4" s="1"/>
  <c r="E1047" i="4"/>
  <c r="F1047" i="4" s="1"/>
  <c r="E1048" i="4"/>
  <c r="F1048" i="4" s="1"/>
  <c r="E1049" i="4"/>
  <c r="F1049" i="4" s="1"/>
  <c r="E1050" i="4"/>
  <c r="F1050" i="4" s="1"/>
  <c r="E1051" i="4"/>
  <c r="F1051" i="4" s="1"/>
  <c r="E1052" i="4"/>
  <c r="F1052" i="4" s="1"/>
  <c r="E1053" i="4"/>
  <c r="F1053" i="4" s="1"/>
  <c r="E1054" i="4"/>
  <c r="F1054" i="4" s="1"/>
  <c r="E1055" i="4"/>
  <c r="F1055" i="4" s="1"/>
  <c r="E1056" i="4"/>
  <c r="F1056" i="4" s="1"/>
  <c r="E1057" i="4"/>
  <c r="F1057" i="4" s="1"/>
  <c r="E1058" i="4"/>
  <c r="F1058" i="4" s="1"/>
  <c r="E1059" i="4"/>
  <c r="F1059" i="4" s="1"/>
  <c r="E1060" i="4"/>
  <c r="F1060" i="4" s="1"/>
  <c r="E1061" i="4"/>
  <c r="F1061" i="4" s="1"/>
  <c r="E1062" i="4"/>
  <c r="F1062" i="4" s="1"/>
  <c r="E1063" i="4"/>
  <c r="F1063" i="4" s="1"/>
  <c r="E1064" i="4"/>
  <c r="F1064" i="4" s="1"/>
  <c r="E1065" i="4"/>
  <c r="F1065" i="4" s="1"/>
  <c r="E1066" i="4"/>
  <c r="F1066" i="4" s="1"/>
  <c r="E1067" i="4"/>
  <c r="E1068" i="4"/>
  <c r="F1068" i="4" s="1"/>
  <c r="E1069" i="4"/>
  <c r="F1069" i="4" s="1"/>
  <c r="E1070" i="4"/>
  <c r="F1070" i="4" s="1"/>
  <c r="E1071" i="4"/>
  <c r="F1071" i="4" s="1"/>
  <c r="E1072" i="4"/>
  <c r="F1072" i="4" s="1"/>
  <c r="E1073" i="4"/>
  <c r="F1073" i="4" s="1"/>
  <c r="E1074" i="4"/>
  <c r="F1074" i="4" s="1"/>
  <c r="E1075" i="4"/>
  <c r="F1075" i="4" s="1"/>
  <c r="E1076" i="4"/>
  <c r="F1076" i="4" s="1"/>
  <c r="E1077" i="4"/>
  <c r="F1077" i="4" s="1"/>
  <c r="E1078" i="4"/>
  <c r="F1078" i="4" s="1"/>
  <c r="E1079" i="4"/>
  <c r="F1079" i="4" s="1"/>
  <c r="E1080" i="4"/>
  <c r="F1080" i="4" s="1"/>
  <c r="E1081" i="4"/>
  <c r="F1081" i="4" s="1"/>
  <c r="E1082" i="4"/>
  <c r="F1082" i="4" s="1"/>
  <c r="E1083" i="4"/>
  <c r="F1083" i="4" s="1"/>
  <c r="E1084" i="4"/>
  <c r="E1085" i="4"/>
  <c r="F1085" i="4" s="1"/>
  <c r="E1086" i="4"/>
  <c r="F1086" i="4" s="1"/>
  <c r="E1087" i="4"/>
  <c r="F1087" i="4" s="1"/>
  <c r="E1088" i="4"/>
  <c r="F1088" i="4" s="1"/>
  <c r="E1089" i="4"/>
  <c r="F1089" i="4" s="1"/>
  <c r="E1090" i="4"/>
  <c r="F1090" i="4" s="1"/>
  <c r="E1091" i="4"/>
  <c r="F1091" i="4" s="1"/>
  <c r="E1092" i="4"/>
  <c r="F1092" i="4" s="1"/>
  <c r="E1093" i="4"/>
  <c r="F1093" i="4" s="1"/>
  <c r="E1094" i="4"/>
  <c r="F1094" i="4" s="1"/>
  <c r="E1095" i="4"/>
  <c r="E1096" i="4"/>
  <c r="E1097" i="4"/>
  <c r="F1097" i="4" s="1"/>
  <c r="E1098" i="4"/>
  <c r="F1098" i="4" s="1"/>
  <c r="E1099" i="4"/>
  <c r="F1099" i="4" s="1"/>
  <c r="E1100" i="4"/>
  <c r="F1100" i="4" s="1"/>
  <c r="E1101" i="4"/>
  <c r="F1101" i="4" s="1"/>
  <c r="E1102" i="4"/>
  <c r="F1102" i="4" s="1"/>
  <c r="E1103" i="4"/>
  <c r="F1103" i="4" s="1"/>
  <c r="E1104" i="4"/>
  <c r="F1104" i="4" s="1"/>
  <c r="E1105" i="4"/>
  <c r="E1106" i="4"/>
  <c r="F1106" i="4" s="1"/>
  <c r="E1107" i="4"/>
  <c r="F1107" i="4" s="1"/>
  <c r="E1108" i="4"/>
  <c r="F1108" i="4" s="1"/>
  <c r="E1109" i="4"/>
  <c r="F1109" i="4" s="1"/>
  <c r="E1110" i="4"/>
  <c r="F1110" i="4" s="1"/>
  <c r="E1111" i="4"/>
  <c r="F1111" i="4" s="1"/>
  <c r="E1112" i="4"/>
  <c r="F1112" i="4" s="1"/>
  <c r="E1113" i="4"/>
  <c r="F1113" i="4" s="1"/>
  <c r="E1114" i="4"/>
  <c r="F1114" i="4" s="1"/>
  <c r="E1115" i="4"/>
  <c r="E1116" i="4"/>
  <c r="F1116" i="4" s="1"/>
  <c r="E1117" i="4"/>
  <c r="F1117" i="4" s="1"/>
  <c r="E1118" i="4"/>
  <c r="F1118" i="4" s="1"/>
  <c r="E1119" i="4"/>
  <c r="F1119" i="4" s="1"/>
  <c r="E1120" i="4"/>
  <c r="F1120" i="4" s="1"/>
  <c r="E1121" i="4"/>
  <c r="F1121" i="4" s="1"/>
  <c r="E1122" i="4"/>
  <c r="F1122" i="4" s="1"/>
  <c r="E1123" i="4"/>
  <c r="F1123" i="4" s="1"/>
  <c r="E1124" i="4"/>
  <c r="F1124" i="4" s="1"/>
  <c r="E1125" i="4"/>
  <c r="F1125" i="4" s="1"/>
  <c r="E1126" i="4"/>
  <c r="F1126" i="4" s="1"/>
  <c r="E1127" i="4"/>
  <c r="F1127" i="4" s="1"/>
  <c r="E1128" i="4"/>
  <c r="E1129" i="4"/>
  <c r="F1129" i="4" s="1"/>
  <c r="E1130" i="4"/>
  <c r="F1130" i="4" s="1"/>
  <c r="E1131" i="4"/>
  <c r="F1131" i="4" s="1"/>
  <c r="E1132" i="4"/>
  <c r="F1132" i="4" s="1"/>
  <c r="E1133" i="4"/>
  <c r="F1133" i="4" s="1"/>
  <c r="E1134" i="4"/>
  <c r="F1134" i="4" s="1"/>
  <c r="E1135" i="4"/>
  <c r="F1135" i="4" s="1"/>
  <c r="E1136" i="4"/>
  <c r="F1136" i="4" s="1"/>
  <c r="E1137" i="4"/>
  <c r="F1137" i="4" s="1"/>
  <c r="E1138" i="4"/>
  <c r="F1138" i="4" s="1"/>
  <c r="E1139" i="4"/>
  <c r="F1139" i="4" s="1"/>
  <c r="E1140" i="4"/>
  <c r="F1140" i="4" s="1"/>
  <c r="E1141" i="4"/>
  <c r="F1141" i="4" s="1"/>
  <c r="E1142" i="4"/>
  <c r="F1142" i="4" s="1"/>
  <c r="E1143" i="4"/>
  <c r="F1143" i="4" s="1"/>
  <c r="E1144" i="4"/>
  <c r="F1144" i="4" s="1"/>
  <c r="E1145" i="4"/>
  <c r="E1146" i="4"/>
  <c r="F1146" i="4" s="1"/>
  <c r="E1147" i="4"/>
  <c r="F1147" i="4" s="1"/>
  <c r="E1148" i="4"/>
  <c r="F1148" i="4" s="1"/>
  <c r="E1149" i="4"/>
  <c r="E1150" i="4"/>
  <c r="F1150" i="4" s="1"/>
  <c r="E1151" i="4"/>
  <c r="F1151" i="4" s="1"/>
  <c r="E1152" i="4"/>
  <c r="F1152" i="4" s="1"/>
  <c r="E1153" i="4"/>
  <c r="F1153" i="4" s="1"/>
  <c r="E1154" i="4"/>
  <c r="F1154" i="4" s="1"/>
  <c r="E1155" i="4"/>
  <c r="F1155" i="4" s="1"/>
  <c r="E1156" i="4"/>
  <c r="F1156" i="4" s="1"/>
  <c r="E1157" i="4"/>
  <c r="F1157" i="4" s="1"/>
  <c r="E1158" i="4"/>
  <c r="F1158" i="4" s="1"/>
  <c r="E1159" i="4"/>
  <c r="F1159" i="4" s="1"/>
  <c r="E1160" i="4"/>
  <c r="F1160" i="4" s="1"/>
  <c r="E1161" i="4"/>
  <c r="F1161" i="4" s="1"/>
  <c r="E1162" i="4"/>
  <c r="F1162" i="4" s="1"/>
  <c r="E1163" i="4"/>
  <c r="F1163" i="4" s="1"/>
  <c r="E1164" i="4"/>
  <c r="F1164" i="4" s="1"/>
  <c r="E1165" i="4"/>
  <c r="F1165" i="4" s="1"/>
  <c r="E1166" i="4"/>
  <c r="E1167" i="4"/>
  <c r="F1167" i="4" s="1"/>
  <c r="E1168" i="4"/>
  <c r="F1168" i="4" s="1"/>
  <c r="E1169" i="4"/>
  <c r="F1169" i="4" s="1"/>
  <c r="E1170" i="4"/>
  <c r="F1170" i="4" s="1"/>
  <c r="E1171" i="4"/>
  <c r="F1171" i="4" s="1"/>
  <c r="E1172" i="4"/>
  <c r="F1172" i="4" s="1"/>
  <c r="E1173" i="4"/>
  <c r="F1173" i="4" s="1"/>
  <c r="E1174" i="4"/>
  <c r="F1174" i="4" s="1"/>
  <c r="E1175" i="4"/>
  <c r="F1175" i="4" s="1"/>
  <c r="E1176" i="4"/>
  <c r="F1176" i="4" s="1"/>
  <c r="E1177" i="4"/>
  <c r="F1177" i="4" s="1"/>
  <c r="E1178" i="4"/>
  <c r="F1178" i="4" s="1"/>
  <c r="E1179" i="4"/>
  <c r="F1179" i="4" s="1"/>
  <c r="E1180" i="4"/>
  <c r="F1180" i="4" s="1"/>
  <c r="E1181" i="4"/>
  <c r="E1182" i="4"/>
  <c r="F1182" i="4" s="1"/>
  <c r="E1183" i="4"/>
  <c r="F1183" i="4" s="1"/>
  <c r="E1184" i="4"/>
  <c r="F1184" i="4" s="1"/>
  <c r="E1185" i="4"/>
  <c r="F1185" i="4" s="1"/>
  <c r="E1186" i="4"/>
  <c r="F1186" i="4" s="1"/>
  <c r="E1187" i="4"/>
  <c r="F1187" i="4" s="1"/>
  <c r="E1188" i="4"/>
  <c r="F1188" i="4" s="1"/>
  <c r="E1189" i="4"/>
  <c r="F1189" i="4" s="1"/>
  <c r="E1190" i="4"/>
  <c r="F1190" i="4" s="1"/>
  <c r="E1191" i="4"/>
  <c r="F1191" i="4" s="1"/>
  <c r="E1192" i="4"/>
  <c r="F1192" i="4" s="1"/>
  <c r="E1193" i="4"/>
  <c r="F1193" i="4" s="1"/>
  <c r="E1194" i="4"/>
  <c r="F1194" i="4" s="1"/>
  <c r="E1195" i="4"/>
  <c r="E1196" i="4"/>
  <c r="F1196" i="4" s="1"/>
  <c r="E1197" i="4"/>
  <c r="F1197" i="4" s="1"/>
  <c r="E1198" i="4"/>
  <c r="F1198" i="4" s="1"/>
  <c r="E1199" i="4"/>
  <c r="F1199" i="4" s="1"/>
  <c r="E1200" i="4"/>
  <c r="F1200" i="4" s="1"/>
  <c r="E1201" i="4"/>
  <c r="F1201" i="4" s="1"/>
  <c r="E1202" i="4"/>
  <c r="F1202" i="4" s="1"/>
  <c r="E1203" i="4"/>
  <c r="F1203" i="4" s="1"/>
  <c r="E1204" i="4"/>
  <c r="F1204" i="4" s="1"/>
  <c r="E1205" i="4"/>
  <c r="F1205" i="4" s="1"/>
  <c r="E1206" i="4"/>
  <c r="F1206" i="4" s="1"/>
  <c r="E1207" i="4"/>
  <c r="F1207" i="4" s="1"/>
  <c r="E1208" i="4"/>
  <c r="F1208" i="4" s="1"/>
  <c r="E1209" i="4"/>
  <c r="F1209" i="4" s="1"/>
  <c r="E1210" i="4"/>
  <c r="E1211" i="4"/>
  <c r="F1211" i="4" s="1"/>
  <c r="E1212" i="4"/>
  <c r="F1212" i="4" s="1"/>
  <c r="E1213" i="4"/>
  <c r="F1213" i="4" s="1"/>
  <c r="E1214" i="4"/>
  <c r="F1214" i="4" s="1"/>
  <c r="E1215" i="4"/>
  <c r="F1215" i="4" s="1"/>
  <c r="E1216" i="4"/>
  <c r="F1216" i="4" s="1"/>
  <c r="E1217" i="4"/>
  <c r="F1217" i="4" s="1"/>
  <c r="E1218" i="4"/>
  <c r="F1218" i="4" s="1"/>
  <c r="E1219" i="4"/>
  <c r="F1219" i="4" s="1"/>
  <c r="E1220" i="4"/>
  <c r="E1221" i="4"/>
  <c r="F1221" i="4" s="1"/>
  <c r="E1222" i="4"/>
  <c r="F1222" i="4" s="1"/>
  <c r="E1223" i="4"/>
  <c r="F1223" i="4" s="1"/>
  <c r="E1224" i="4"/>
  <c r="F1224" i="4" s="1"/>
  <c r="E1225" i="4"/>
  <c r="F1225" i="4" s="1"/>
  <c r="E1226" i="4"/>
  <c r="F1226" i="4" s="1"/>
  <c r="E1227" i="4"/>
  <c r="F1227" i="4" s="1"/>
  <c r="E1228" i="4"/>
  <c r="F1228" i="4" s="1"/>
  <c r="E1229" i="4"/>
  <c r="F1229" i="4" s="1"/>
  <c r="E1230" i="4"/>
  <c r="F1230" i="4" s="1"/>
  <c r="E1231" i="4"/>
  <c r="F1231" i="4" s="1"/>
  <c r="E1232" i="4"/>
  <c r="F1232" i="4" s="1"/>
  <c r="E1233" i="4"/>
  <c r="F1233" i="4" s="1"/>
  <c r="E1234" i="4"/>
  <c r="E1235" i="4"/>
  <c r="F1235" i="4" s="1"/>
  <c r="E1236" i="4"/>
  <c r="F1236" i="4" s="1"/>
  <c r="E1237" i="4"/>
  <c r="F1237" i="4" s="1"/>
  <c r="E1238" i="4"/>
  <c r="F1238" i="4" s="1"/>
  <c r="E1239" i="4"/>
  <c r="F1239" i="4" s="1"/>
  <c r="E1240" i="4"/>
  <c r="F1240" i="4" s="1"/>
  <c r="E1241" i="4"/>
  <c r="F1241" i="4" s="1"/>
  <c r="E1242" i="4"/>
  <c r="F1242" i="4" s="1"/>
  <c r="E1243" i="4"/>
  <c r="F1243" i="4" s="1"/>
  <c r="E1244" i="4"/>
  <c r="F1244" i="4" s="1"/>
  <c r="E1245" i="4"/>
  <c r="F1245" i="4" s="1"/>
  <c r="E1246" i="4"/>
  <c r="F1246" i="4" s="1"/>
  <c r="E1247" i="4"/>
  <c r="E1248" i="4"/>
  <c r="F1248" i="4" s="1"/>
  <c r="E1249" i="4"/>
  <c r="F1249" i="4" s="1"/>
  <c r="E1250" i="4"/>
  <c r="F1250" i="4" s="1"/>
  <c r="E1251" i="4"/>
  <c r="F1251" i="4" s="1"/>
  <c r="E1252" i="4"/>
  <c r="F1252" i="4" s="1"/>
  <c r="E1253" i="4"/>
  <c r="F1253" i="4" s="1"/>
  <c r="E1254" i="4"/>
  <c r="F1254" i="4" s="1"/>
  <c r="E1255" i="4"/>
  <c r="F1255" i="4" s="1"/>
  <c r="E1256" i="4"/>
  <c r="F1256" i="4" s="1"/>
  <c r="E1257" i="4"/>
  <c r="F1257" i="4" s="1"/>
  <c r="E1258" i="4"/>
  <c r="F1258" i="4" s="1"/>
  <c r="E1259" i="4"/>
  <c r="F1259" i="4" s="1"/>
  <c r="E1260" i="4"/>
  <c r="F1260" i="4" s="1"/>
  <c r="E1261" i="4"/>
  <c r="F1261" i="4" s="1"/>
  <c r="E1262" i="4"/>
  <c r="F1262" i="4" s="1"/>
  <c r="E1263" i="4"/>
  <c r="F1263" i="4" s="1"/>
  <c r="E1264" i="4"/>
  <c r="F1264" i="4" s="1"/>
  <c r="E1265" i="4"/>
  <c r="F1265" i="4" s="1"/>
  <c r="E1266" i="4"/>
  <c r="F1266" i="4" s="1"/>
  <c r="E1267" i="4"/>
  <c r="F1267" i="4" s="1"/>
  <c r="E1268" i="4"/>
  <c r="F1268" i="4" s="1"/>
  <c r="E1269" i="4"/>
  <c r="F1269" i="4" s="1"/>
  <c r="E1270" i="4"/>
  <c r="F1270" i="4" s="1"/>
  <c r="E1271" i="4"/>
  <c r="F1271" i="4" s="1"/>
  <c r="E1272" i="4"/>
  <c r="F1272" i="4" s="1"/>
  <c r="E1273" i="4"/>
  <c r="F1273" i="4" s="1"/>
  <c r="E1274" i="4"/>
  <c r="F1274" i="4" s="1"/>
  <c r="E1275" i="4"/>
  <c r="F1275" i="4" s="1"/>
  <c r="E1276" i="4"/>
  <c r="F1276" i="4" s="1"/>
  <c r="E1277" i="4"/>
  <c r="E1278" i="4"/>
  <c r="F1278" i="4" s="1"/>
  <c r="E1279" i="4"/>
  <c r="F1279" i="4" s="1"/>
  <c r="E1280" i="4"/>
  <c r="F1280" i="4" s="1"/>
  <c r="E1281" i="4"/>
  <c r="F1281" i="4" s="1"/>
  <c r="E1282" i="4"/>
  <c r="F1282" i="4" s="1"/>
  <c r="E1283" i="4"/>
  <c r="F1283" i="4" s="1"/>
  <c r="E1284" i="4"/>
  <c r="F1284" i="4" s="1"/>
  <c r="E1285" i="4"/>
  <c r="F1285" i="4" s="1"/>
  <c r="E1286" i="4"/>
  <c r="F1286" i="4" s="1"/>
  <c r="E1287" i="4"/>
  <c r="F1287" i="4" s="1"/>
  <c r="E1288" i="4"/>
  <c r="F1288" i="4" s="1"/>
  <c r="E1289" i="4"/>
  <c r="E1290" i="4"/>
  <c r="F1290" i="4" s="1"/>
  <c r="E1291" i="4"/>
  <c r="F1291" i="4" s="1"/>
  <c r="E1292" i="4"/>
  <c r="F1292" i="4" s="1"/>
  <c r="E1293" i="4"/>
  <c r="F1293" i="4" s="1"/>
  <c r="E1294" i="4"/>
  <c r="F1294" i="4" s="1"/>
  <c r="E1295" i="4"/>
  <c r="F1295" i="4" s="1"/>
  <c r="E1296" i="4"/>
  <c r="F1296" i="4" s="1"/>
  <c r="E1297" i="4"/>
  <c r="F1297" i="4" s="1"/>
  <c r="E1298" i="4"/>
  <c r="F1298" i="4" s="1"/>
  <c r="E1299" i="4"/>
  <c r="F1299" i="4" s="1"/>
  <c r="E1300" i="4"/>
  <c r="F1300" i="4" s="1"/>
  <c r="E1301" i="4"/>
  <c r="F1301" i="4" s="1"/>
  <c r="E1302" i="4"/>
  <c r="F1302" i="4" s="1"/>
  <c r="E1303" i="4"/>
  <c r="F1303" i="4" s="1"/>
  <c r="E1304" i="4"/>
  <c r="F1304" i="4" s="1"/>
  <c r="E1305" i="4"/>
  <c r="F1305" i="4" s="1"/>
  <c r="E1306" i="4"/>
  <c r="F1306" i="4" s="1"/>
  <c r="E1307" i="4"/>
  <c r="F1307" i="4" s="1"/>
  <c r="E1308" i="4"/>
  <c r="F1308" i="4" s="1"/>
  <c r="E1309" i="4"/>
  <c r="E1310" i="4"/>
  <c r="F1310" i="4" s="1"/>
  <c r="E1311" i="4"/>
  <c r="F1311" i="4" s="1"/>
  <c r="E1312" i="4"/>
  <c r="F1312" i="4" s="1"/>
  <c r="E1313" i="4"/>
  <c r="F1313" i="4" s="1"/>
  <c r="E1314" i="4"/>
  <c r="E1315" i="4"/>
  <c r="F1315" i="4" s="1"/>
  <c r="E1316" i="4"/>
  <c r="F1316" i="4" s="1"/>
  <c r="E1317" i="4"/>
  <c r="F1317" i="4" s="1"/>
  <c r="E1318" i="4"/>
  <c r="F1318" i="4" s="1"/>
  <c r="E1319" i="4"/>
  <c r="F1319" i="4" s="1"/>
  <c r="E1320" i="4"/>
  <c r="F1320" i="4" s="1"/>
  <c r="E1321" i="4"/>
  <c r="F1321" i="4" s="1"/>
  <c r="E1322" i="4"/>
  <c r="F1322" i="4" s="1"/>
  <c r="E1323" i="4"/>
  <c r="F1323" i="4" s="1"/>
  <c r="E1324" i="4"/>
  <c r="F1324" i="4" s="1"/>
  <c r="E1325" i="4"/>
  <c r="F1325" i="4" s="1"/>
  <c r="E1326" i="4"/>
  <c r="F1326" i="4" s="1"/>
  <c r="E1327" i="4"/>
  <c r="F1327" i="4" s="1"/>
  <c r="E1328" i="4"/>
  <c r="F1328" i="4" s="1"/>
  <c r="E1329" i="4"/>
  <c r="F1329" i="4" s="1"/>
  <c r="E1330" i="4"/>
  <c r="F1330" i="4" s="1"/>
  <c r="E1331" i="4"/>
  <c r="F1331" i="4" s="1"/>
  <c r="E1332" i="4"/>
  <c r="F1332" i="4" s="1"/>
  <c r="E1333" i="4"/>
  <c r="F1333" i="4" s="1"/>
  <c r="E1334" i="4"/>
  <c r="F1334" i="4" s="1"/>
  <c r="E1335" i="4"/>
  <c r="F1335" i="4" s="1"/>
  <c r="E1336" i="4"/>
  <c r="F1336" i="4" s="1"/>
  <c r="E1337" i="4"/>
  <c r="F1337" i="4" s="1"/>
  <c r="E1338" i="4"/>
  <c r="F1338" i="4" s="1"/>
  <c r="E1339" i="4"/>
  <c r="F1339" i="4" s="1"/>
  <c r="E1340" i="4"/>
  <c r="F1340" i="4" s="1"/>
  <c r="E1341" i="4"/>
  <c r="E1342" i="4"/>
  <c r="F1342" i="4" s="1"/>
  <c r="E1343" i="4"/>
  <c r="F1343" i="4" s="1"/>
  <c r="E1344" i="4"/>
  <c r="F1344" i="4" s="1"/>
  <c r="E1345" i="4"/>
  <c r="F1345" i="4" s="1"/>
  <c r="E1346" i="4"/>
  <c r="F1346" i="4" s="1"/>
  <c r="E1347" i="4"/>
  <c r="F1347" i="4" s="1"/>
  <c r="E1348" i="4"/>
  <c r="F1348" i="4" s="1"/>
  <c r="E1349" i="4"/>
  <c r="F1349" i="4" s="1"/>
  <c r="E1350" i="4"/>
  <c r="F1350" i="4" s="1"/>
  <c r="E1351" i="4"/>
  <c r="F1351" i="4" s="1"/>
  <c r="E1352" i="4"/>
  <c r="F1352" i="4" s="1"/>
  <c r="E1353" i="4"/>
  <c r="F1353" i="4" s="1"/>
  <c r="E1354" i="4"/>
  <c r="F1354" i="4" s="1"/>
  <c r="E1355" i="4"/>
  <c r="F1355" i="4" s="1"/>
  <c r="E1356" i="4"/>
  <c r="F1356" i="4" s="1"/>
  <c r="E1357" i="4"/>
  <c r="F1357" i="4" s="1"/>
  <c r="E1358" i="4"/>
  <c r="E1359" i="4"/>
  <c r="F1359" i="4" s="1"/>
  <c r="E1360" i="4"/>
  <c r="F1360" i="4" s="1"/>
  <c r="E1361" i="4"/>
  <c r="F1361" i="4" s="1"/>
  <c r="E1362" i="4"/>
  <c r="F1362" i="4" s="1"/>
  <c r="E1363" i="4"/>
  <c r="F1363" i="4" s="1"/>
  <c r="E1364" i="4"/>
  <c r="F1364" i="4" s="1"/>
  <c r="E1365" i="4"/>
  <c r="F1365" i="4" s="1"/>
  <c r="E1366" i="4"/>
  <c r="F1366" i="4" s="1"/>
  <c r="E1367" i="4"/>
  <c r="F1367" i="4" s="1"/>
  <c r="E1368" i="4"/>
  <c r="F1368" i="4" s="1"/>
  <c r="E1369" i="4"/>
  <c r="F1369" i="4" s="1"/>
  <c r="E1370" i="4"/>
  <c r="F1370" i="4" s="1"/>
  <c r="E1371" i="4"/>
  <c r="F1371" i="4" s="1"/>
  <c r="E1372" i="4"/>
  <c r="F1372" i="4" s="1"/>
  <c r="E1373" i="4"/>
  <c r="F1373" i="4" s="1"/>
  <c r="E1374" i="4"/>
  <c r="F1374" i="4" s="1"/>
  <c r="E1375" i="4"/>
  <c r="F1375" i="4" s="1"/>
  <c r="E1376" i="4"/>
  <c r="F1376" i="4" s="1"/>
  <c r="E1377" i="4"/>
  <c r="F1377" i="4" s="1"/>
  <c r="E1378" i="4"/>
  <c r="F1378" i="4" s="1"/>
  <c r="E1379" i="4"/>
  <c r="F1379" i="4" s="1"/>
  <c r="E1380" i="4"/>
  <c r="F1380" i="4" s="1"/>
  <c r="E1381" i="4"/>
  <c r="F1381" i="4" s="1"/>
  <c r="E1382" i="4"/>
  <c r="F1382" i="4" s="1"/>
  <c r="E1383" i="4"/>
  <c r="F1383" i="4" s="1"/>
  <c r="E1384" i="4"/>
  <c r="F1384" i="4" s="1"/>
  <c r="E1385" i="4"/>
  <c r="F1385" i="4" s="1"/>
  <c r="E1386" i="4"/>
  <c r="F1386" i="4" s="1"/>
  <c r="E1387" i="4"/>
  <c r="F1387" i="4" s="1"/>
  <c r="E1388" i="4"/>
  <c r="F1388" i="4" s="1"/>
  <c r="E1389" i="4"/>
  <c r="F1389" i="4" s="1"/>
  <c r="E1390" i="4"/>
  <c r="F1390" i="4" s="1"/>
  <c r="E1391" i="4"/>
  <c r="F1391" i="4" s="1"/>
  <c r="E1392" i="4"/>
  <c r="F1392" i="4" s="1"/>
  <c r="E1393" i="4"/>
  <c r="F1393" i="4" s="1"/>
  <c r="E1394" i="4"/>
  <c r="F1394" i="4" s="1"/>
  <c r="E1395" i="4"/>
  <c r="F1395" i="4" s="1"/>
  <c r="E1396" i="4"/>
  <c r="F1396" i="4" s="1"/>
  <c r="E1397" i="4"/>
  <c r="F1397" i="4" s="1"/>
  <c r="E1398" i="4"/>
  <c r="F1398" i="4" s="1"/>
  <c r="E1399" i="4"/>
  <c r="F1399" i="4" s="1"/>
  <c r="E1400" i="4"/>
  <c r="F1400" i="4" s="1"/>
  <c r="E1401" i="4"/>
  <c r="F1401" i="4" s="1"/>
  <c r="E1402" i="4"/>
  <c r="F1402" i="4" s="1"/>
  <c r="E1403" i="4"/>
  <c r="F1403" i="4" s="1"/>
  <c r="E1404" i="4"/>
  <c r="F1404" i="4" s="1"/>
  <c r="E1405" i="4"/>
  <c r="F1405" i="4" s="1"/>
  <c r="E1406" i="4"/>
  <c r="F1406" i="4" s="1"/>
  <c r="E1407" i="4"/>
  <c r="F1407" i="4" s="1"/>
  <c r="E1408" i="4"/>
  <c r="F1408" i="4" s="1"/>
  <c r="E1409" i="4"/>
  <c r="F1409" i="4" s="1"/>
  <c r="E1410" i="4"/>
  <c r="F1410" i="4" s="1"/>
  <c r="E1411" i="4"/>
  <c r="E1412" i="4"/>
  <c r="F1412" i="4" s="1"/>
  <c r="E1413" i="4"/>
  <c r="F1413" i="4" s="1"/>
  <c r="E1414" i="4"/>
  <c r="F1414" i="4" s="1"/>
  <c r="E1415" i="4"/>
  <c r="F1415" i="4" s="1"/>
  <c r="E1416" i="4"/>
  <c r="F1416" i="4" s="1"/>
  <c r="E1417" i="4"/>
  <c r="F1417" i="4" s="1"/>
  <c r="E1418" i="4"/>
  <c r="F1418" i="4" s="1"/>
  <c r="E1419" i="4"/>
  <c r="F1419" i="4" s="1"/>
  <c r="E1420" i="4"/>
  <c r="F1420" i="4" s="1"/>
  <c r="E1421" i="4"/>
  <c r="F1421" i="4" s="1"/>
  <c r="E1422" i="4"/>
  <c r="F1422" i="4" s="1"/>
  <c r="E1423" i="4"/>
  <c r="F1423" i="4" s="1"/>
  <c r="E1424" i="4"/>
  <c r="F1424" i="4" s="1"/>
  <c r="E1425" i="4"/>
  <c r="F1425" i="4" s="1"/>
  <c r="E1426" i="4"/>
  <c r="F1426" i="4" s="1"/>
  <c r="E1427" i="4"/>
  <c r="F1427" i="4" s="1"/>
  <c r="E1428" i="4"/>
  <c r="F1428" i="4" s="1"/>
  <c r="E1429" i="4"/>
  <c r="F1429" i="4" s="1"/>
  <c r="E1430" i="4"/>
  <c r="F1430" i="4" s="1"/>
  <c r="E1431" i="4"/>
  <c r="F1431" i="4" s="1"/>
  <c r="E1432" i="4"/>
  <c r="F1432" i="4" s="1"/>
  <c r="E1433" i="4"/>
  <c r="F1433" i="4" s="1"/>
  <c r="E1434" i="4"/>
  <c r="F1434" i="4" s="1"/>
  <c r="E1435" i="4"/>
  <c r="F1435" i="4" s="1"/>
  <c r="E1436" i="4"/>
  <c r="F1436" i="4" s="1"/>
  <c r="E1437" i="4"/>
  <c r="F1437" i="4" s="1"/>
  <c r="E1438" i="4"/>
  <c r="F1438" i="4" s="1"/>
  <c r="E1439" i="4"/>
  <c r="F1439" i="4" s="1"/>
  <c r="E1440" i="4"/>
  <c r="F1440" i="4" s="1"/>
  <c r="E1441" i="4"/>
  <c r="F1441" i="4" s="1"/>
  <c r="E1442" i="4"/>
  <c r="F1442" i="4" s="1"/>
  <c r="E1443" i="4"/>
  <c r="F1443" i="4" s="1"/>
  <c r="E1444" i="4"/>
  <c r="F1444" i="4" s="1"/>
  <c r="E1445" i="4"/>
  <c r="F1445" i="4" s="1"/>
  <c r="E1446" i="4"/>
  <c r="E1447" i="4"/>
  <c r="F1447" i="4" s="1"/>
  <c r="E1448" i="4"/>
  <c r="F1448" i="4" s="1"/>
  <c r="E1449" i="4"/>
  <c r="F1449" i="4" s="1"/>
  <c r="E1450" i="4"/>
  <c r="F1450" i="4" s="1"/>
  <c r="E1451" i="4"/>
  <c r="F1451" i="4" s="1"/>
  <c r="E1452" i="4"/>
  <c r="F1452" i="4" s="1"/>
  <c r="E1453" i="4"/>
  <c r="F1453" i="4" s="1"/>
  <c r="E1454" i="4"/>
  <c r="F1454" i="4" s="1"/>
  <c r="E1455" i="4"/>
  <c r="E1456" i="4"/>
  <c r="F1456" i="4" s="1"/>
  <c r="E1457" i="4"/>
  <c r="F1457" i="4" s="1"/>
  <c r="E1458" i="4"/>
  <c r="F1458" i="4" s="1"/>
  <c r="E1459" i="4"/>
  <c r="F1459" i="4" s="1"/>
  <c r="E1460" i="4"/>
  <c r="F1460" i="4" s="1"/>
  <c r="E1461" i="4"/>
  <c r="F1461" i="4" s="1"/>
  <c r="E1462" i="4"/>
  <c r="F1462" i="4" s="1"/>
  <c r="E1463" i="4"/>
  <c r="F1463" i="4" s="1"/>
  <c r="E1464" i="4"/>
  <c r="F1464" i="4" s="1"/>
  <c r="E1465" i="4"/>
  <c r="F1465" i="4" s="1"/>
  <c r="E1466" i="4"/>
  <c r="F1466" i="4" s="1"/>
  <c r="E1467" i="4"/>
  <c r="F1467" i="4" s="1"/>
  <c r="E1468" i="4"/>
  <c r="F1468" i="4" s="1"/>
  <c r="E1469" i="4"/>
  <c r="F1469" i="4" s="1"/>
  <c r="E1470" i="4"/>
  <c r="F1470" i="4" s="1"/>
  <c r="E1471" i="4"/>
  <c r="F1471" i="4" s="1"/>
  <c r="E1472" i="4"/>
  <c r="F1472" i="4" s="1"/>
  <c r="E1473" i="4"/>
  <c r="F1473" i="4" s="1"/>
  <c r="E1474" i="4"/>
  <c r="F1474" i="4" s="1"/>
  <c r="E1475" i="4"/>
  <c r="F1475" i="4" s="1"/>
  <c r="E1476" i="4"/>
  <c r="F1476" i="4" s="1"/>
  <c r="E1477" i="4"/>
  <c r="F1477" i="4" s="1"/>
  <c r="E1478" i="4"/>
  <c r="E1479" i="4"/>
  <c r="F1479" i="4" s="1"/>
  <c r="E1480" i="4"/>
  <c r="F1480" i="4" s="1"/>
  <c r="E1481" i="4"/>
  <c r="F1481" i="4" s="1"/>
  <c r="E1482" i="4"/>
  <c r="F1482" i="4" s="1"/>
  <c r="E1483" i="4"/>
  <c r="F1483" i="4" s="1"/>
  <c r="E1484" i="4"/>
  <c r="F1484" i="4" s="1"/>
  <c r="E1485" i="4"/>
  <c r="F1485" i="4" s="1"/>
  <c r="E1486" i="4"/>
  <c r="F1486" i="4" s="1"/>
  <c r="E1487" i="4"/>
  <c r="E1488" i="4"/>
  <c r="F1488" i="4" s="1"/>
  <c r="E1489" i="4"/>
  <c r="F1489" i="4" s="1"/>
  <c r="E1490" i="4"/>
  <c r="F1490" i="4" s="1"/>
  <c r="E1491" i="4"/>
  <c r="F1491" i="4" s="1"/>
  <c r="E1492" i="4"/>
  <c r="F1492" i="4" s="1"/>
  <c r="E1493" i="4"/>
  <c r="F1493" i="4" s="1"/>
  <c r="E1494" i="4"/>
  <c r="F1494" i="4" s="1"/>
  <c r="E1495" i="4"/>
  <c r="F1495" i="4" s="1"/>
  <c r="E1496" i="4"/>
  <c r="F1496" i="4" s="1"/>
  <c r="E1497" i="4"/>
  <c r="F1497" i="4" s="1"/>
  <c r="E1498" i="4"/>
  <c r="F1498" i="4" s="1"/>
  <c r="E1499" i="4"/>
  <c r="F1499" i="4" s="1"/>
  <c r="E1500" i="4"/>
  <c r="F1500" i="4" s="1"/>
  <c r="E1501" i="4"/>
  <c r="F1501" i="4" s="1"/>
  <c r="E1502" i="4"/>
  <c r="F1502" i="4" s="1"/>
  <c r="E1503" i="4"/>
  <c r="F1503" i="4" s="1"/>
  <c r="E1504" i="4"/>
  <c r="F1504" i="4" s="1"/>
  <c r="E1505" i="4"/>
  <c r="E1506" i="4"/>
  <c r="F1506" i="4" s="1"/>
  <c r="E1507" i="4"/>
  <c r="F1507" i="4" s="1"/>
  <c r="E1508" i="4"/>
  <c r="F1508" i="4" s="1"/>
  <c r="E1509" i="4"/>
  <c r="F1509" i="4" s="1"/>
  <c r="E1510" i="4"/>
  <c r="F1510" i="4" s="1"/>
  <c r="E1511" i="4"/>
  <c r="F1511" i="4" s="1"/>
  <c r="E1512" i="4"/>
  <c r="F1512" i="4" s="1"/>
  <c r="E1513" i="4"/>
  <c r="F1513" i="4" s="1"/>
  <c r="E1514" i="4"/>
  <c r="F1514" i="4" s="1"/>
  <c r="E1515" i="4"/>
  <c r="F1515" i="4" s="1"/>
  <c r="E1516" i="4"/>
  <c r="F1516" i="4" s="1"/>
  <c r="E1517" i="4"/>
  <c r="F1517" i="4" s="1"/>
  <c r="E1518" i="4"/>
  <c r="F1518" i="4" s="1"/>
  <c r="E1519" i="4"/>
  <c r="F1519" i="4" s="1"/>
  <c r="E1520" i="4"/>
  <c r="F1520" i="4" s="1"/>
  <c r="E1521" i="4"/>
  <c r="F1521" i="4" s="1"/>
  <c r="E1522" i="4"/>
  <c r="F1522" i="4" s="1"/>
  <c r="E1523" i="4"/>
  <c r="F1523" i="4" s="1"/>
  <c r="E1524" i="4"/>
  <c r="F1524" i="4" s="1"/>
  <c r="E1525" i="4"/>
  <c r="F1525" i="4" s="1"/>
  <c r="E1526" i="4"/>
  <c r="F1526" i="4" s="1"/>
  <c r="E1527" i="4"/>
  <c r="F1527" i="4" s="1"/>
  <c r="E1528" i="4"/>
  <c r="F1528" i="4" s="1"/>
  <c r="E1529" i="4"/>
  <c r="F1529" i="4" s="1"/>
  <c r="E1530" i="4"/>
  <c r="F1530" i="4" s="1"/>
  <c r="E1531" i="4"/>
  <c r="F1531" i="4" s="1"/>
  <c r="E1532" i="4"/>
  <c r="F1532" i="4" s="1"/>
  <c r="E1533" i="4"/>
  <c r="F1533" i="4" s="1"/>
  <c r="E1534" i="4"/>
  <c r="F1534" i="4" s="1"/>
  <c r="E1535" i="4"/>
  <c r="F1535" i="4" s="1"/>
  <c r="E1536" i="4"/>
  <c r="F1536" i="4" s="1"/>
  <c r="E1537" i="4"/>
  <c r="F1537" i="4" s="1"/>
  <c r="E1538" i="4"/>
  <c r="F1538" i="4" s="1"/>
  <c r="E1539" i="4"/>
  <c r="F1539" i="4" s="1"/>
  <c r="E1540" i="4"/>
  <c r="F1540" i="4" s="1"/>
  <c r="E1541" i="4"/>
  <c r="F1541" i="4" s="1"/>
  <c r="E1542" i="4"/>
  <c r="F1542" i="4" s="1"/>
  <c r="E1543" i="4"/>
  <c r="F1543" i="4" s="1"/>
  <c r="E1544" i="4"/>
  <c r="F1544" i="4" s="1"/>
  <c r="E1545" i="4"/>
  <c r="F1545" i="4" s="1"/>
  <c r="E1546" i="4"/>
  <c r="F1546" i="4" s="1"/>
  <c r="E1547" i="4"/>
  <c r="F1547" i="4" s="1"/>
  <c r="E1548" i="4"/>
  <c r="F1548" i="4" s="1"/>
  <c r="E1549" i="4"/>
  <c r="F1549" i="4" s="1"/>
  <c r="E1550" i="4"/>
  <c r="F1550" i="4" s="1"/>
  <c r="E1551" i="4"/>
  <c r="F1551" i="4" s="1"/>
  <c r="E1552" i="4"/>
  <c r="F1552" i="4" s="1"/>
  <c r="E1553" i="4"/>
  <c r="F1553" i="4" s="1"/>
  <c r="E1554" i="4"/>
  <c r="F1554" i="4" s="1"/>
  <c r="E1555" i="4"/>
  <c r="E1556" i="4"/>
  <c r="F1556" i="4" s="1"/>
  <c r="E1557" i="4"/>
  <c r="F1557" i="4" s="1"/>
  <c r="E1558" i="4"/>
  <c r="F1558" i="4" s="1"/>
  <c r="E1559" i="4"/>
  <c r="F1559" i="4" s="1"/>
  <c r="E1560" i="4"/>
  <c r="F1560" i="4" s="1"/>
  <c r="E1561" i="4"/>
  <c r="F1561" i="4" s="1"/>
  <c r="E1562" i="4"/>
  <c r="E1563" i="4"/>
  <c r="F1563" i="4" s="1"/>
  <c r="E1564" i="4"/>
  <c r="F1564" i="4" s="1"/>
  <c r="E1565" i="4"/>
  <c r="F1565" i="4" s="1"/>
  <c r="E1566" i="4"/>
  <c r="F1566" i="4" s="1"/>
  <c r="E1567" i="4"/>
  <c r="F1567" i="4" s="1"/>
  <c r="E1568" i="4"/>
  <c r="F1568" i="4" s="1"/>
  <c r="E1569" i="4"/>
  <c r="F1569" i="4" s="1"/>
  <c r="E1570" i="4"/>
  <c r="F1570" i="4" s="1"/>
  <c r="E1571" i="4"/>
  <c r="F1571" i="4" s="1"/>
  <c r="E1572" i="4"/>
  <c r="F1572" i="4" s="1"/>
  <c r="E1573" i="4"/>
  <c r="F1573" i="4" s="1"/>
  <c r="E1574" i="4"/>
  <c r="F1574" i="4" s="1"/>
  <c r="E1575" i="4"/>
  <c r="F1575" i="4" s="1"/>
  <c r="E1576" i="4"/>
  <c r="F1576" i="4" s="1"/>
  <c r="E1577" i="4"/>
  <c r="F1577" i="4" s="1"/>
  <c r="E1578" i="4"/>
  <c r="F1578" i="4" s="1"/>
  <c r="E1579" i="4"/>
  <c r="F1579" i="4" s="1"/>
  <c r="E1580" i="4"/>
  <c r="F1580" i="4" s="1"/>
  <c r="E1581" i="4"/>
  <c r="F1581" i="4" s="1"/>
  <c r="E1582" i="4"/>
  <c r="F1582" i="4" s="1"/>
  <c r="E1583" i="4"/>
  <c r="E1584" i="4"/>
  <c r="F1584" i="4" s="1"/>
  <c r="E1585" i="4"/>
  <c r="F1585" i="4" s="1"/>
  <c r="E1586" i="4"/>
  <c r="F1586" i="4" s="1"/>
  <c r="E1587" i="4"/>
  <c r="F1587" i="4" s="1"/>
  <c r="E1588" i="4"/>
  <c r="F1588" i="4" s="1"/>
  <c r="E1589" i="4"/>
  <c r="F1589" i="4" s="1"/>
  <c r="E1590" i="4"/>
  <c r="F1590" i="4" s="1"/>
  <c r="E1591" i="4"/>
  <c r="F1591" i="4" s="1"/>
  <c r="E1592" i="4"/>
  <c r="F1592" i="4" s="1"/>
  <c r="E1593" i="4"/>
  <c r="F1593" i="4" s="1"/>
  <c r="E1594" i="4"/>
  <c r="F1594" i="4" s="1"/>
  <c r="E1595" i="4"/>
  <c r="F1595" i="4" s="1"/>
  <c r="E1596" i="4"/>
  <c r="F1596" i="4" s="1"/>
  <c r="E1597" i="4"/>
  <c r="F1597" i="4" s="1"/>
  <c r="E1598" i="4"/>
  <c r="F1598" i="4" s="1"/>
  <c r="E1599" i="4"/>
  <c r="F1599" i="4" s="1"/>
  <c r="E1600" i="4"/>
  <c r="F1600" i="4" s="1"/>
  <c r="E1601" i="4"/>
  <c r="F1601" i="4" s="1"/>
  <c r="E1602" i="4"/>
  <c r="F1602" i="4" s="1"/>
  <c r="E1603" i="4"/>
  <c r="F1603" i="4" s="1"/>
  <c r="E1604" i="4"/>
  <c r="F1604" i="4" s="1"/>
  <c r="E1605" i="4"/>
  <c r="F1605" i="4" s="1"/>
  <c r="E1606" i="4"/>
  <c r="F1606" i="4" s="1"/>
  <c r="E1607" i="4"/>
  <c r="F1607" i="4" s="1"/>
  <c r="E1608" i="4"/>
  <c r="F1608" i="4" s="1"/>
  <c r="E1609" i="4"/>
  <c r="F1609" i="4" s="1"/>
  <c r="E1610" i="4"/>
  <c r="F1610" i="4" s="1"/>
  <c r="E1611" i="4"/>
  <c r="F1611" i="4" s="1"/>
  <c r="E1612" i="4"/>
  <c r="F1612" i="4" s="1"/>
  <c r="E1613" i="4"/>
  <c r="F1613" i="4" s="1"/>
  <c r="E1614" i="4"/>
  <c r="F1614" i="4" s="1"/>
  <c r="E1615" i="4"/>
  <c r="F1615" i="4" s="1"/>
  <c r="E1616" i="4"/>
  <c r="F1616" i="4" s="1"/>
  <c r="E1617" i="4"/>
  <c r="F1617" i="4" s="1"/>
  <c r="E1618" i="4"/>
  <c r="F1618" i="4" s="1"/>
  <c r="E1619" i="4"/>
  <c r="F1619" i="4" s="1"/>
  <c r="E1620" i="4"/>
  <c r="F1620" i="4" s="1"/>
  <c r="E1621" i="4"/>
  <c r="E1622" i="4"/>
  <c r="F1622" i="4" s="1"/>
  <c r="E1623" i="4"/>
  <c r="F1623" i="4" s="1"/>
  <c r="E1624" i="4"/>
  <c r="F1624" i="4" s="1"/>
  <c r="E1625" i="4"/>
  <c r="F1625" i="4" s="1"/>
  <c r="E1626" i="4"/>
  <c r="F1626" i="4" s="1"/>
  <c r="E1627" i="4"/>
  <c r="F1627" i="4" s="1"/>
  <c r="E1628" i="4"/>
  <c r="F1628" i="4" s="1"/>
  <c r="E1629" i="4"/>
  <c r="F1629" i="4" s="1"/>
  <c r="E1630" i="4"/>
  <c r="F1630" i="4" s="1"/>
  <c r="E1631" i="4"/>
  <c r="F1631" i="4" s="1"/>
  <c r="E1632" i="4"/>
  <c r="E1633" i="4"/>
  <c r="F1633" i="4" s="1"/>
  <c r="E1634" i="4"/>
  <c r="F1634" i="4" s="1"/>
  <c r="E1635" i="4"/>
  <c r="F1635" i="4" s="1"/>
  <c r="E1636" i="4"/>
  <c r="F1636" i="4" s="1"/>
  <c r="E1637" i="4"/>
  <c r="F1637" i="4" s="1"/>
  <c r="E1638" i="4"/>
  <c r="F1638" i="4" s="1"/>
  <c r="E1639" i="4"/>
  <c r="F1639" i="4" s="1"/>
  <c r="E1640" i="4"/>
  <c r="F1640" i="4" s="1"/>
  <c r="E1641" i="4"/>
  <c r="F1641" i="4" s="1"/>
  <c r="E1642" i="4"/>
  <c r="F1642" i="4" s="1"/>
  <c r="E1643" i="4"/>
  <c r="E1644" i="4"/>
  <c r="F1644" i="4" s="1"/>
  <c r="E1645" i="4"/>
  <c r="F1645" i="4" s="1"/>
  <c r="E1646" i="4"/>
  <c r="F1646" i="4" s="1"/>
  <c r="E1647" i="4"/>
  <c r="F1647" i="4" s="1"/>
  <c r="E1648" i="4"/>
  <c r="F1648" i="4" s="1"/>
  <c r="E1649" i="4"/>
  <c r="F1649" i="4" s="1"/>
  <c r="E1650" i="4"/>
  <c r="F1650" i="4" s="1"/>
  <c r="E1651" i="4"/>
  <c r="F1651" i="4" s="1"/>
  <c r="E1652" i="4"/>
  <c r="F1652" i="4" s="1"/>
  <c r="E1653" i="4"/>
  <c r="F1653" i="4" s="1"/>
  <c r="E1654" i="4"/>
  <c r="F1654" i="4" s="1"/>
  <c r="E1655" i="4"/>
  <c r="F1655" i="4" s="1"/>
  <c r="E1656" i="4"/>
  <c r="F1656" i="4" s="1"/>
  <c r="E1657" i="4"/>
  <c r="F1657" i="4" s="1"/>
  <c r="E1658" i="4"/>
  <c r="F1658" i="4" s="1"/>
  <c r="E1659" i="4"/>
  <c r="F1659" i="4" s="1"/>
  <c r="E1660" i="4"/>
  <c r="F1660" i="4" s="1"/>
  <c r="E1661" i="4"/>
  <c r="F1661" i="4" s="1"/>
  <c r="E1662" i="4"/>
  <c r="E1663" i="4"/>
  <c r="F1663" i="4" s="1"/>
  <c r="E1664" i="4"/>
  <c r="F1664" i="4" s="1"/>
  <c r="E1665" i="4"/>
  <c r="F1665" i="4" s="1"/>
  <c r="E1666" i="4"/>
  <c r="F1666" i="4" s="1"/>
  <c r="E1667" i="4"/>
  <c r="F1667" i="4" s="1"/>
  <c r="E1668" i="4"/>
  <c r="F1668" i="4" s="1"/>
  <c r="E1669" i="4"/>
  <c r="F1669" i="4" s="1"/>
  <c r="E1670" i="4"/>
  <c r="F1670" i="4" s="1"/>
  <c r="E1671" i="4"/>
  <c r="F1671" i="4" s="1"/>
  <c r="E1672" i="4"/>
  <c r="F1672" i="4" s="1"/>
  <c r="E1673" i="4"/>
  <c r="F1673" i="4" s="1"/>
  <c r="E1674" i="4"/>
  <c r="F1674" i="4" s="1"/>
  <c r="E1675" i="4"/>
  <c r="F1675" i="4" s="1"/>
  <c r="E1676" i="4"/>
  <c r="F1676" i="4" s="1"/>
  <c r="E1677" i="4"/>
  <c r="F1677" i="4" s="1"/>
  <c r="E1678" i="4"/>
  <c r="F1678" i="4" s="1"/>
  <c r="E1679" i="4"/>
  <c r="F1679" i="4" s="1"/>
  <c r="E1680" i="4"/>
  <c r="F1680" i="4" s="1"/>
  <c r="E1681" i="4"/>
  <c r="F1681" i="4" s="1"/>
  <c r="E1682" i="4"/>
  <c r="F1682" i="4" s="1"/>
  <c r="E1683" i="4"/>
  <c r="F1683" i="4" s="1"/>
  <c r="E1684" i="4"/>
  <c r="F1684" i="4" s="1"/>
  <c r="E1685" i="4"/>
  <c r="F1685" i="4" s="1"/>
  <c r="E1686" i="4"/>
  <c r="F1686" i="4" s="1"/>
  <c r="E1687" i="4"/>
  <c r="F1687" i="4" s="1"/>
  <c r="E1688" i="4"/>
  <c r="F1688" i="4" s="1"/>
  <c r="E1689" i="4"/>
  <c r="F1689" i="4" s="1"/>
  <c r="E1690" i="4"/>
  <c r="F1690" i="4" s="1"/>
  <c r="E1691" i="4"/>
  <c r="F1691" i="4" s="1"/>
  <c r="E1692" i="4"/>
  <c r="F1692" i="4" s="1"/>
  <c r="E1693" i="4"/>
  <c r="F1693" i="4" s="1"/>
  <c r="E1694" i="4"/>
  <c r="F1694" i="4" s="1"/>
  <c r="E1695" i="4"/>
  <c r="F1695" i="4" s="1"/>
  <c r="E1696" i="4"/>
  <c r="F1696" i="4" s="1"/>
  <c r="E1697" i="4"/>
  <c r="F1697" i="4" s="1"/>
  <c r="E1698" i="4"/>
  <c r="F1698" i="4" s="1"/>
  <c r="E1699" i="4"/>
  <c r="F1699" i="4" s="1"/>
  <c r="E1700" i="4"/>
  <c r="F1700" i="4" s="1"/>
  <c r="E1701" i="4"/>
  <c r="F1701" i="4" s="1"/>
  <c r="E1702" i="4"/>
  <c r="F1702" i="4" s="1"/>
  <c r="E1703" i="4"/>
  <c r="F1703" i="4" s="1"/>
  <c r="E1704" i="4"/>
  <c r="F1704" i="4" s="1"/>
  <c r="E1705" i="4"/>
  <c r="F1705" i="4" s="1"/>
  <c r="E1706" i="4"/>
  <c r="F1706" i="4" s="1"/>
  <c r="E1707" i="4"/>
  <c r="F1707" i="4" s="1"/>
  <c r="E1708" i="4"/>
  <c r="F1708" i="4" s="1"/>
  <c r="E1709" i="4"/>
  <c r="F1709" i="4" s="1"/>
  <c r="E1710" i="4"/>
  <c r="F1710" i="4" s="1"/>
  <c r="E1711" i="4"/>
  <c r="E1712" i="4"/>
  <c r="F1712" i="4" s="1"/>
  <c r="E1713" i="4"/>
  <c r="F1713" i="4" s="1"/>
  <c r="E1714" i="4"/>
  <c r="F1714" i="4" s="1"/>
  <c r="E1715" i="4"/>
  <c r="F1715" i="4" s="1"/>
  <c r="E1716" i="4"/>
  <c r="F1716" i="4" s="1"/>
  <c r="E1717" i="4"/>
  <c r="F1717" i="4" s="1"/>
  <c r="E1718" i="4"/>
  <c r="F1718" i="4" s="1"/>
  <c r="E1719" i="4"/>
  <c r="F1719" i="4" s="1"/>
  <c r="E1720" i="4"/>
  <c r="F1720" i="4" s="1"/>
  <c r="E1721" i="4"/>
  <c r="F1721" i="4" s="1"/>
  <c r="E1722" i="4"/>
  <c r="F1722" i="4" s="1"/>
  <c r="E1723" i="4"/>
  <c r="F1723" i="4" s="1"/>
  <c r="E1724" i="4"/>
  <c r="F1724" i="4" s="1"/>
  <c r="E1725" i="4"/>
  <c r="F1725" i="4" s="1"/>
  <c r="E1726" i="4"/>
  <c r="F1726" i="4" s="1"/>
  <c r="E1727" i="4"/>
  <c r="E1728" i="4"/>
  <c r="F1728" i="4" s="1"/>
  <c r="E1729" i="4"/>
  <c r="F1729" i="4" s="1"/>
  <c r="E1730" i="4"/>
  <c r="F1730" i="4" s="1"/>
  <c r="E1731" i="4"/>
  <c r="F1731" i="4" s="1"/>
  <c r="E1732" i="4"/>
  <c r="F1732" i="4" s="1"/>
  <c r="E1733" i="4"/>
  <c r="F1733" i="4" s="1"/>
  <c r="E1734" i="4"/>
  <c r="F1734" i="4" s="1"/>
  <c r="E1735" i="4"/>
  <c r="F1735" i="4" s="1"/>
  <c r="E1736" i="4"/>
  <c r="E1737" i="4"/>
  <c r="F1737" i="4" s="1"/>
  <c r="E1738" i="4"/>
  <c r="F1738" i="4" s="1"/>
  <c r="E1739" i="4"/>
  <c r="F1739" i="4" s="1"/>
  <c r="E1740" i="4"/>
  <c r="F1740" i="4" s="1"/>
  <c r="E1741" i="4"/>
  <c r="F1741" i="4" s="1"/>
  <c r="E1742" i="4"/>
  <c r="F1742" i="4" s="1"/>
  <c r="E1743" i="4"/>
  <c r="F1743" i="4" s="1"/>
  <c r="E1744" i="4"/>
  <c r="F1744" i="4" s="1"/>
  <c r="E1745" i="4"/>
  <c r="F1745" i="4" s="1"/>
  <c r="E1746" i="4"/>
  <c r="F1746" i="4" s="1"/>
  <c r="E1747" i="4"/>
  <c r="F1747" i="4" s="1"/>
  <c r="E1748" i="4"/>
  <c r="F1748" i="4" s="1"/>
  <c r="E1749" i="4"/>
  <c r="F1749" i="4" s="1"/>
  <c r="E1750" i="4"/>
  <c r="F1750" i="4" s="1"/>
  <c r="E1751" i="4"/>
  <c r="F1751" i="4" s="1"/>
  <c r="E1752" i="4"/>
  <c r="F1752" i="4" s="1"/>
  <c r="E1753" i="4"/>
  <c r="F1753" i="4" s="1"/>
  <c r="E1754" i="4"/>
  <c r="F1754" i="4" s="1"/>
  <c r="E1755" i="4"/>
  <c r="F1755" i="4" s="1"/>
  <c r="E1756" i="4"/>
  <c r="F1756" i="4" s="1"/>
  <c r="E1757" i="4"/>
  <c r="F1757" i="4" s="1"/>
  <c r="E1758" i="4"/>
  <c r="F1758" i="4" s="1"/>
  <c r="E1759" i="4"/>
  <c r="F1759" i="4" s="1"/>
  <c r="E1760" i="4"/>
  <c r="F1760" i="4" s="1"/>
  <c r="E1761" i="4"/>
  <c r="F1761" i="4" s="1"/>
  <c r="E1762" i="4"/>
  <c r="F1762" i="4" s="1"/>
  <c r="E1763" i="4"/>
  <c r="F1763" i="4" s="1"/>
  <c r="E1764" i="4"/>
  <c r="E1765" i="4"/>
  <c r="F1765" i="4" s="1"/>
  <c r="E1766" i="4"/>
  <c r="F1766" i="4" s="1"/>
  <c r="E1767" i="4"/>
  <c r="F1767" i="4" s="1"/>
  <c r="E1768" i="4"/>
  <c r="F1768" i="4" s="1"/>
  <c r="E1769" i="4"/>
  <c r="F1769" i="4" s="1"/>
  <c r="E1770" i="4"/>
  <c r="F1770" i="4" s="1"/>
  <c r="E1771" i="4"/>
  <c r="F1771" i="4" s="1"/>
  <c r="E1772" i="4"/>
  <c r="F1772" i="4" s="1"/>
  <c r="E1773" i="4"/>
  <c r="F1773" i="4" s="1"/>
  <c r="E1774" i="4"/>
  <c r="F1774" i="4" s="1"/>
  <c r="E1775" i="4"/>
  <c r="F1775" i="4" s="1"/>
  <c r="E1776" i="4"/>
  <c r="F1776" i="4" s="1"/>
  <c r="E1777" i="4"/>
  <c r="F1777" i="4" s="1"/>
  <c r="E1778" i="4"/>
  <c r="F1778" i="4" s="1"/>
  <c r="E1779" i="4"/>
  <c r="F1779" i="4" s="1"/>
  <c r="E1780" i="4"/>
  <c r="E1781" i="4"/>
  <c r="F1781" i="4" s="1"/>
  <c r="E1782" i="4"/>
  <c r="F1782" i="4" s="1"/>
  <c r="E1783" i="4"/>
  <c r="F1783" i="4" s="1"/>
  <c r="E1784" i="4"/>
  <c r="F1784" i="4" s="1"/>
  <c r="E1785" i="4"/>
  <c r="F1785" i="4" s="1"/>
  <c r="E1786" i="4"/>
  <c r="F1786" i="4" s="1"/>
  <c r="E1787" i="4"/>
  <c r="F1787" i="4" s="1"/>
  <c r="E1788" i="4"/>
  <c r="F1788" i="4" s="1"/>
  <c r="E1789" i="4"/>
  <c r="F1789" i="4" s="1"/>
  <c r="E1790" i="4"/>
  <c r="F1790" i="4" s="1"/>
  <c r="E1791" i="4"/>
  <c r="E1792" i="4"/>
  <c r="F1792" i="4" s="1"/>
  <c r="E1793" i="4"/>
  <c r="F1793" i="4" s="1"/>
  <c r="E1794" i="4"/>
  <c r="F1794" i="4" s="1"/>
  <c r="E1795" i="4"/>
  <c r="F1795" i="4" s="1"/>
  <c r="E1796" i="4"/>
  <c r="F1796" i="4" s="1"/>
  <c r="E1797" i="4"/>
  <c r="F1797" i="4" s="1"/>
  <c r="E1798" i="4"/>
  <c r="F1798" i="4" s="1"/>
  <c r="E1799" i="4"/>
  <c r="F1799" i="4" s="1"/>
  <c r="E1800" i="4"/>
  <c r="F1800" i="4" s="1"/>
  <c r="E1801" i="4"/>
  <c r="F1801" i="4" s="1"/>
  <c r="E1802" i="4"/>
  <c r="F1802" i="4" s="1"/>
  <c r="E1803" i="4"/>
  <c r="F1803" i="4" s="1"/>
  <c r="E1804" i="4"/>
  <c r="F1804" i="4" s="1"/>
  <c r="E1805" i="4"/>
  <c r="F1805" i="4" s="1"/>
  <c r="E1806" i="4"/>
  <c r="F1806" i="4" s="1"/>
  <c r="E1807" i="4"/>
  <c r="F1807" i="4" s="1"/>
  <c r="E1808" i="4"/>
  <c r="F1808" i="4" s="1"/>
  <c r="E1809" i="4"/>
  <c r="F1809" i="4" s="1"/>
  <c r="E1810" i="4"/>
  <c r="F1810" i="4" s="1"/>
  <c r="E1811" i="4"/>
  <c r="F1811" i="4" s="1"/>
  <c r="E1812" i="4"/>
  <c r="F1812" i="4" s="1"/>
  <c r="E1813" i="4"/>
  <c r="E1814" i="4"/>
  <c r="F1814" i="4" s="1"/>
  <c r="E1815" i="4"/>
  <c r="F1815" i="4" s="1"/>
  <c r="E1816" i="4"/>
  <c r="F1816" i="4" s="1"/>
  <c r="E1817" i="4"/>
  <c r="F1817" i="4" s="1"/>
  <c r="E1818" i="4"/>
  <c r="F1818" i="4" s="1"/>
  <c r="E1819" i="4"/>
  <c r="F1819" i="4" s="1"/>
  <c r="E1820" i="4"/>
  <c r="F1820" i="4" s="1"/>
  <c r="E1821" i="4"/>
  <c r="F1821" i="4" s="1"/>
  <c r="E1822" i="4"/>
  <c r="F1822" i="4" s="1"/>
  <c r="E1823" i="4"/>
  <c r="F1823" i="4" s="1"/>
  <c r="E1824" i="4"/>
  <c r="F1824" i="4" s="1"/>
  <c r="E1825" i="4"/>
  <c r="F1825" i="4" s="1"/>
  <c r="E1826" i="4"/>
  <c r="F1826" i="4" s="1"/>
  <c r="E1827" i="4"/>
  <c r="F1827" i="4" s="1"/>
  <c r="E1828" i="4"/>
  <c r="F1828" i="4" s="1"/>
  <c r="E1829" i="4"/>
  <c r="F1829" i="4" s="1"/>
  <c r="E1830" i="4"/>
  <c r="F1830" i="4" s="1"/>
  <c r="E1831" i="4"/>
  <c r="F1831" i="4" s="1"/>
  <c r="E1832" i="4"/>
  <c r="F1832" i="4" s="1"/>
  <c r="E1833" i="4"/>
  <c r="F1833" i="4" s="1"/>
  <c r="E1834" i="4"/>
  <c r="F1834" i="4" s="1"/>
  <c r="E1835" i="4"/>
  <c r="F1835" i="4" s="1"/>
  <c r="E1836" i="4"/>
  <c r="F1836" i="4" s="1"/>
  <c r="E1837" i="4"/>
  <c r="F1837" i="4" s="1"/>
  <c r="E1838" i="4"/>
  <c r="F1838" i="4" s="1"/>
  <c r="E1839" i="4"/>
  <c r="F1839" i="4" s="1"/>
  <c r="E1840" i="4"/>
  <c r="F1840" i="4" s="1"/>
  <c r="E1841" i="4"/>
  <c r="E1842" i="4"/>
  <c r="F1842" i="4" s="1"/>
  <c r="E1843" i="4"/>
  <c r="F1843" i="4" s="1"/>
  <c r="E1844" i="4"/>
  <c r="F1844" i="4" s="1"/>
  <c r="E1845" i="4"/>
  <c r="F1845" i="4" s="1"/>
  <c r="E1846" i="4"/>
  <c r="F1846" i="4" s="1"/>
  <c r="E1847" i="4"/>
  <c r="F1847" i="4" s="1"/>
  <c r="E1848" i="4"/>
  <c r="F1848" i="4" s="1"/>
  <c r="E1849" i="4"/>
  <c r="F1849" i="4" s="1"/>
  <c r="E1850" i="4"/>
  <c r="F1850" i="4" s="1"/>
  <c r="E1851" i="4"/>
  <c r="F1851" i="4" s="1"/>
  <c r="E1852" i="4"/>
  <c r="E1853" i="4"/>
  <c r="F1853" i="4" s="1"/>
  <c r="E1854" i="4"/>
  <c r="F1854" i="4" s="1"/>
  <c r="E1855" i="4"/>
  <c r="F1855" i="4" s="1"/>
  <c r="E1856" i="4"/>
  <c r="F1856" i="4" s="1"/>
  <c r="E1857" i="4"/>
  <c r="F1857" i="4" s="1"/>
  <c r="E1858" i="4"/>
  <c r="F1858" i="4" s="1"/>
  <c r="E1859" i="4"/>
  <c r="F1859" i="4" s="1"/>
  <c r="E1860" i="4"/>
  <c r="F1860" i="4" s="1"/>
  <c r="E1861" i="4"/>
  <c r="E1862" i="4"/>
  <c r="F1862" i="4" s="1"/>
  <c r="E1863" i="4"/>
  <c r="F1863" i="4" s="1"/>
  <c r="E1864" i="4"/>
  <c r="F1864" i="4" s="1"/>
  <c r="E1865" i="4"/>
  <c r="F1865" i="4" s="1"/>
  <c r="E1866" i="4"/>
  <c r="F1866" i="4" s="1"/>
  <c r="E1867" i="4"/>
  <c r="F1867" i="4" s="1"/>
  <c r="E1868" i="4"/>
  <c r="F1868" i="4" s="1"/>
  <c r="E1869" i="4"/>
  <c r="F1869" i="4" s="1"/>
  <c r="E1870" i="4"/>
  <c r="F1870" i="4" s="1"/>
  <c r="E1871" i="4"/>
  <c r="F1871" i="4" s="1"/>
  <c r="E1872" i="4"/>
  <c r="F1872" i="4" s="1"/>
  <c r="E1873" i="4"/>
  <c r="F1873" i="4" s="1"/>
  <c r="E1874" i="4"/>
  <c r="F1874" i="4" s="1"/>
  <c r="E1875" i="4"/>
  <c r="F1875" i="4" s="1"/>
  <c r="E1876" i="4"/>
  <c r="F1876" i="4" s="1"/>
  <c r="E1877" i="4"/>
  <c r="E1878" i="4"/>
  <c r="F1878" i="4" s="1"/>
  <c r="E1879" i="4"/>
  <c r="F1879" i="4" s="1"/>
  <c r="E1880" i="4"/>
  <c r="F1880" i="4" s="1"/>
  <c r="E1881" i="4"/>
  <c r="F1881" i="4" s="1"/>
  <c r="E1882" i="4"/>
  <c r="F1882" i="4" s="1"/>
  <c r="E1883" i="4"/>
  <c r="F1883" i="4" s="1"/>
  <c r="E1884" i="4"/>
  <c r="F1884" i="4" s="1"/>
  <c r="E1885" i="4"/>
  <c r="F1885" i="4" s="1"/>
  <c r="E1886" i="4"/>
  <c r="F1886" i="4" s="1"/>
  <c r="E1887" i="4"/>
  <c r="F1887" i="4" s="1"/>
  <c r="E1888" i="4"/>
  <c r="F1888" i="4" s="1"/>
  <c r="E1889" i="4"/>
  <c r="F1889" i="4" s="1"/>
  <c r="E1890" i="4"/>
  <c r="F1890" i="4" s="1"/>
  <c r="E1891" i="4"/>
  <c r="F1891" i="4" s="1"/>
  <c r="E1892" i="4"/>
  <c r="F1892" i="4" s="1"/>
  <c r="E1893" i="4"/>
  <c r="F1893" i="4" s="1"/>
  <c r="E1894" i="4"/>
  <c r="E1895" i="4"/>
  <c r="F1895" i="4" s="1"/>
  <c r="E1896" i="4"/>
  <c r="F1896" i="4" s="1"/>
  <c r="E1897" i="4"/>
  <c r="F1897" i="4" s="1"/>
  <c r="E1898" i="4"/>
  <c r="F1898" i="4" s="1"/>
  <c r="E1899" i="4"/>
  <c r="F1899" i="4" s="1"/>
  <c r="E1900" i="4"/>
  <c r="F1900" i="4" s="1"/>
  <c r="E1901" i="4"/>
  <c r="F1901" i="4" s="1"/>
  <c r="E1902" i="4"/>
  <c r="F1902" i="4" s="1"/>
  <c r="E1903" i="4"/>
  <c r="F1903" i="4" s="1"/>
  <c r="E1904" i="4"/>
  <c r="F1904" i="4" s="1"/>
  <c r="E1905" i="4"/>
  <c r="F1905" i="4" s="1"/>
  <c r="E1906" i="4"/>
  <c r="E1907" i="4"/>
  <c r="F1907" i="4" s="1"/>
  <c r="E1908" i="4"/>
  <c r="F1908" i="4" s="1"/>
  <c r="E1909" i="4"/>
  <c r="F1909" i="4" s="1"/>
  <c r="E1910" i="4"/>
  <c r="F1910" i="4" s="1"/>
  <c r="E1911" i="4"/>
  <c r="F1911" i="4" s="1"/>
  <c r="E1912" i="4"/>
  <c r="F1912" i="4" s="1"/>
  <c r="E1913" i="4"/>
  <c r="E1914" i="4"/>
  <c r="F1914" i="4" s="1"/>
  <c r="E1915" i="4"/>
  <c r="F1915" i="4" s="1"/>
  <c r="E1916" i="4"/>
  <c r="F1916" i="4" s="1"/>
  <c r="E1917" i="4"/>
  <c r="F1917" i="4" s="1"/>
  <c r="E1918" i="4"/>
  <c r="F1918" i="4" s="1"/>
  <c r="E1919" i="4"/>
  <c r="F1919" i="4" s="1"/>
  <c r="E1920" i="4"/>
  <c r="F1920" i="4" s="1"/>
  <c r="E1921" i="4"/>
  <c r="F1921" i="4" s="1"/>
  <c r="E1922" i="4"/>
  <c r="F1922" i="4" s="1"/>
  <c r="E1923" i="4"/>
  <c r="F1923" i="4" s="1"/>
  <c r="E1924" i="4"/>
  <c r="F1924" i="4" s="1"/>
  <c r="E1925" i="4"/>
  <c r="F1925" i="4" s="1"/>
  <c r="E1926" i="4"/>
  <c r="F1926" i="4" s="1"/>
  <c r="E1927" i="4"/>
  <c r="F1927" i="4" s="1"/>
  <c r="E1928" i="4"/>
  <c r="E1929" i="4"/>
  <c r="F1929" i="4" s="1"/>
  <c r="E1930" i="4"/>
  <c r="F1930" i="4" s="1"/>
  <c r="E1931" i="4"/>
  <c r="F1931" i="4" s="1"/>
  <c r="E1932" i="4"/>
  <c r="F1932" i="4" s="1"/>
  <c r="E1933" i="4"/>
  <c r="F1933" i="4" s="1"/>
  <c r="E1934" i="4"/>
  <c r="E1935" i="4"/>
  <c r="F1935" i="4" s="1"/>
  <c r="E1936" i="4"/>
  <c r="F1936" i="4" s="1"/>
  <c r="E1937" i="4"/>
  <c r="F1937" i="4" s="1"/>
  <c r="E1938" i="4"/>
  <c r="F1938" i="4" s="1"/>
  <c r="E1939" i="4"/>
  <c r="F1939" i="4" s="1"/>
  <c r="E1940" i="4"/>
  <c r="F1940" i="4" s="1"/>
  <c r="E1941" i="4"/>
  <c r="F1941" i="4" s="1"/>
  <c r="E1942" i="4"/>
  <c r="F1942" i="4" s="1"/>
  <c r="E1943" i="4"/>
  <c r="F1943" i="4" s="1"/>
  <c r="E1944" i="4"/>
  <c r="F1944" i="4" s="1"/>
  <c r="E1945" i="4"/>
  <c r="F1945" i="4" s="1"/>
  <c r="E1946" i="4"/>
  <c r="E1947" i="4"/>
  <c r="F1947" i="4" s="1"/>
  <c r="E1948" i="4"/>
  <c r="F1948" i="4" s="1"/>
  <c r="E1949" i="4"/>
  <c r="F1949" i="4" s="1"/>
  <c r="E1950" i="4"/>
  <c r="F1950" i="4" s="1"/>
  <c r="E1951" i="4"/>
  <c r="F1951" i="4" s="1"/>
  <c r="E1952" i="4"/>
  <c r="F1952" i="4" s="1"/>
  <c r="E1953" i="4"/>
  <c r="F1953" i="4" s="1"/>
  <c r="E1954" i="4"/>
  <c r="F1954" i="4" s="1"/>
  <c r="E1955" i="4"/>
  <c r="F1955" i="4" s="1"/>
  <c r="E1956" i="4"/>
  <c r="F1956" i="4" s="1"/>
  <c r="E1957" i="4"/>
  <c r="F1957" i="4" s="1"/>
  <c r="E1958" i="4"/>
  <c r="F1958" i="4" s="1"/>
  <c r="E1959" i="4"/>
  <c r="E1960" i="4"/>
  <c r="F1960" i="4" s="1"/>
  <c r="E1961" i="4"/>
  <c r="F1961" i="4" s="1"/>
  <c r="E1962" i="4"/>
  <c r="F1962" i="4" s="1"/>
  <c r="E1963" i="4"/>
  <c r="F1963" i="4" s="1"/>
  <c r="E1964" i="4"/>
  <c r="F1964" i="4" s="1"/>
  <c r="E1965" i="4"/>
  <c r="F1965" i="4" s="1"/>
  <c r="E1966" i="4"/>
  <c r="F1966" i="4" s="1"/>
  <c r="E1967" i="4"/>
  <c r="F1967" i="4" s="1"/>
  <c r="E1968" i="4"/>
  <c r="F1968" i="4" s="1"/>
  <c r="E1969" i="4"/>
  <c r="F1969" i="4" s="1"/>
  <c r="E1970" i="4"/>
  <c r="F1970" i="4" s="1"/>
  <c r="E1971" i="4"/>
  <c r="F1971" i="4" s="1"/>
  <c r="E1972" i="4"/>
  <c r="F1972" i="4" s="1"/>
  <c r="E1973" i="4"/>
  <c r="F1973" i="4" s="1"/>
  <c r="E1974" i="4"/>
  <c r="F1974" i="4" s="1"/>
  <c r="E1975" i="4"/>
  <c r="F1975" i="4" s="1"/>
  <c r="E1976" i="4"/>
  <c r="F1976" i="4" s="1"/>
  <c r="E1977" i="4"/>
  <c r="F1977" i="4" s="1"/>
  <c r="E1978" i="4"/>
  <c r="E1979" i="4"/>
  <c r="F1979" i="4" s="1"/>
  <c r="E1980" i="4"/>
  <c r="F1980" i="4" s="1"/>
  <c r="E1981" i="4"/>
  <c r="F1981" i="4" s="1"/>
  <c r="E1982" i="4"/>
  <c r="F1982" i="4" s="1"/>
  <c r="E1983" i="4"/>
  <c r="F1983" i="4" s="1"/>
  <c r="E1984" i="4"/>
  <c r="F1984" i="4" s="1"/>
  <c r="E1985" i="4"/>
  <c r="F1985" i="4" s="1"/>
  <c r="E1986" i="4"/>
  <c r="F1986" i="4" s="1"/>
  <c r="E1987" i="4"/>
  <c r="F1987" i="4" s="1"/>
  <c r="E1988" i="4"/>
  <c r="F1988" i="4" s="1"/>
  <c r="E1989" i="4"/>
  <c r="F1989" i="4" s="1"/>
  <c r="E1990" i="4"/>
  <c r="F1990" i="4" s="1"/>
  <c r="E1991" i="4"/>
  <c r="F1991" i="4" s="1"/>
  <c r="E1992" i="4"/>
  <c r="F1992" i="4" s="1"/>
  <c r="E1993" i="4"/>
  <c r="F1993" i="4" s="1"/>
  <c r="E1994" i="4"/>
  <c r="F1994" i="4" s="1"/>
  <c r="E1995" i="4"/>
  <c r="F1995" i="4" s="1"/>
  <c r="E1996" i="4"/>
  <c r="E1997" i="4"/>
  <c r="F1997" i="4" s="1"/>
  <c r="E1998" i="4"/>
  <c r="F1998" i="4" s="1"/>
  <c r="E1999" i="4"/>
  <c r="F1999" i="4" s="1"/>
  <c r="E2000" i="4"/>
  <c r="F2000" i="4" s="1"/>
  <c r="E2001" i="4"/>
  <c r="F2001" i="4" s="1"/>
  <c r="E2002" i="4"/>
  <c r="F2002" i="4" s="1"/>
  <c r="E2003" i="4"/>
  <c r="F2003" i="4" s="1"/>
  <c r="E2004" i="4"/>
  <c r="E2005" i="4"/>
  <c r="F2005" i="4" s="1"/>
  <c r="E2006" i="4"/>
  <c r="F2006" i="4" s="1"/>
  <c r="E2007" i="4"/>
  <c r="E2008" i="4"/>
  <c r="F2008" i="4" s="1"/>
  <c r="E2009" i="4"/>
  <c r="F2009" i="4" s="1"/>
  <c r="E2010" i="4"/>
  <c r="F2010" i="4" s="1"/>
  <c r="E2011" i="4"/>
  <c r="F2011" i="4" s="1"/>
  <c r="E2012" i="4"/>
  <c r="F2012" i="4" s="1"/>
  <c r="E2013" i="4"/>
  <c r="F2013" i="4" s="1"/>
  <c r="E2014" i="4"/>
  <c r="F2014" i="4" s="1"/>
  <c r="E2015" i="4"/>
  <c r="F2015" i="4" s="1"/>
  <c r="E2016" i="4"/>
  <c r="F2016" i="4" s="1"/>
  <c r="E2017" i="4"/>
  <c r="F2017" i="4" s="1"/>
  <c r="E2018" i="4"/>
  <c r="F2018" i="4" s="1"/>
  <c r="E2019" i="4"/>
  <c r="F2019" i="4" s="1"/>
  <c r="E2020" i="4"/>
  <c r="F2020" i="4" s="1"/>
  <c r="E2021" i="4"/>
  <c r="F2021" i="4" s="1"/>
  <c r="E2022" i="4"/>
  <c r="F2022" i="4" s="1"/>
  <c r="E2023" i="4"/>
  <c r="F2023" i="4" s="1"/>
  <c r="E2024" i="4"/>
  <c r="E2025" i="4"/>
  <c r="F2025" i="4" s="1"/>
  <c r="E2026" i="4"/>
  <c r="F2026" i="4" s="1"/>
  <c r="E2027" i="4"/>
  <c r="F2027" i="4" s="1"/>
  <c r="E2028" i="4"/>
  <c r="F2028" i="4" s="1"/>
  <c r="E2029" i="4"/>
  <c r="F2029" i="4" s="1"/>
  <c r="E2030" i="4"/>
  <c r="F2030" i="4" s="1"/>
  <c r="E2031" i="4"/>
  <c r="F2031" i="4" s="1"/>
  <c r="E2032" i="4"/>
  <c r="F2032" i="4" s="1"/>
  <c r="E2033" i="4"/>
  <c r="F2033" i="4" s="1"/>
  <c r="E2034" i="4"/>
  <c r="E2035" i="4"/>
  <c r="F2035" i="4" s="1"/>
  <c r="E2036" i="4"/>
  <c r="F2036" i="4" s="1"/>
  <c r="E2037" i="4"/>
  <c r="F2037" i="4" s="1"/>
  <c r="E2038" i="4"/>
  <c r="F2038" i="4" s="1"/>
  <c r="E2039" i="4"/>
  <c r="F2039" i="4" s="1"/>
  <c r="E2040" i="4"/>
  <c r="F2040" i="4" s="1"/>
  <c r="E2041" i="4"/>
  <c r="F2041" i="4" s="1"/>
  <c r="E2042" i="4"/>
  <c r="F2042" i="4" s="1"/>
  <c r="E2043" i="4"/>
  <c r="F2043" i="4" s="1"/>
  <c r="E2044" i="4"/>
  <c r="E2045" i="4"/>
  <c r="F2045" i="4" s="1"/>
  <c r="E2046" i="4"/>
  <c r="F2046" i="4" s="1"/>
  <c r="E2047" i="4"/>
  <c r="F2047" i="4" s="1"/>
  <c r="E2048" i="4"/>
  <c r="F2048" i="4" s="1"/>
  <c r="E2049" i="4"/>
  <c r="F2049" i="4" s="1"/>
  <c r="E2050" i="4"/>
  <c r="F2050" i="4" s="1"/>
  <c r="E2051" i="4"/>
  <c r="E2052" i="4"/>
  <c r="F2052" i="4" s="1"/>
  <c r="E2053" i="4"/>
  <c r="F2053" i="4" s="1"/>
  <c r="E2054" i="4"/>
  <c r="F2054" i="4" s="1"/>
  <c r="E2055" i="4"/>
  <c r="F2055" i="4" s="1"/>
  <c r="E2056" i="4"/>
  <c r="F2056" i="4" s="1"/>
  <c r="E2057" i="4"/>
  <c r="F2057" i="4" s="1"/>
  <c r="E2058" i="4"/>
  <c r="F2058" i="4" s="1"/>
  <c r="E2059" i="4"/>
  <c r="F2059" i="4" s="1"/>
  <c r="E2060" i="4"/>
  <c r="F2060" i="4" s="1"/>
  <c r="E2061" i="4"/>
  <c r="F2061" i="4" s="1"/>
  <c r="E2062" i="4"/>
  <c r="F2062" i="4" s="1"/>
  <c r="E2063" i="4"/>
  <c r="F2063" i="4" s="1"/>
  <c r="E2064" i="4"/>
  <c r="F2064" i="4" s="1"/>
  <c r="E2065" i="4"/>
  <c r="F2065" i="4" s="1"/>
  <c r="E2066" i="4"/>
  <c r="E2067" i="4"/>
  <c r="F2067" i="4" s="1"/>
  <c r="E2068" i="4"/>
  <c r="F2068" i="4" s="1"/>
  <c r="E2069" i="4"/>
  <c r="F2069" i="4" s="1"/>
  <c r="E2070" i="4"/>
  <c r="F2070" i="4" s="1"/>
  <c r="E2071" i="4"/>
  <c r="F2071" i="4" s="1"/>
  <c r="E2072" i="4"/>
  <c r="F2072" i="4" s="1"/>
  <c r="E2073" i="4"/>
  <c r="F2073" i="4" s="1"/>
  <c r="E2074" i="4"/>
  <c r="F2074" i="4" s="1"/>
  <c r="E2075" i="4"/>
  <c r="F2075" i="4" s="1"/>
  <c r="E2076" i="4"/>
  <c r="F2076" i="4" s="1"/>
  <c r="E2077" i="4"/>
  <c r="F2077" i="4" s="1"/>
  <c r="E2078" i="4"/>
  <c r="F2078" i="4" s="1"/>
  <c r="E2079" i="4"/>
  <c r="F2079" i="4" s="1"/>
  <c r="E2080" i="4"/>
  <c r="F2080" i="4" s="1"/>
  <c r="E2081" i="4"/>
  <c r="F2081" i="4" s="1"/>
  <c r="E2082" i="4"/>
  <c r="E2083" i="4"/>
  <c r="F2083" i="4" s="1"/>
  <c r="E2084" i="4"/>
  <c r="F2084" i="4" s="1"/>
  <c r="E2085" i="4"/>
  <c r="F2085" i="4" s="1"/>
  <c r="E2086" i="4"/>
  <c r="F2086" i="4" s="1"/>
  <c r="E2087" i="4"/>
  <c r="F2087" i="4" s="1"/>
  <c r="E2088" i="4"/>
  <c r="F2088" i="4" s="1"/>
  <c r="E2089" i="4"/>
  <c r="F2089" i="4" s="1"/>
  <c r="E2090" i="4"/>
  <c r="E2091" i="4"/>
  <c r="F2091" i="4" s="1"/>
  <c r="E2092" i="4"/>
  <c r="F2092" i="4" s="1"/>
  <c r="E2093" i="4"/>
  <c r="F2093" i="4" s="1"/>
  <c r="E2094" i="4"/>
  <c r="F2094" i="4" s="1"/>
  <c r="E2095" i="4"/>
  <c r="E2096" i="4"/>
  <c r="F2096" i="4" s="1"/>
  <c r="E2097" i="4"/>
  <c r="F2097" i="4" s="1"/>
  <c r="E2098" i="4"/>
  <c r="F2098" i="4" s="1"/>
  <c r="E2099" i="4"/>
  <c r="F2099" i="4" s="1"/>
  <c r="E2100" i="4"/>
  <c r="F2100" i="4" s="1"/>
  <c r="E2101" i="4"/>
  <c r="F2101" i="4" s="1"/>
  <c r="E2102" i="4"/>
  <c r="F2102" i="4" s="1"/>
  <c r="E2103" i="4"/>
  <c r="F2103" i="4" s="1"/>
  <c r="E2104" i="4"/>
  <c r="F2104" i="4" s="1"/>
  <c r="E2105" i="4"/>
  <c r="F2105" i="4" s="1"/>
  <c r="E2106" i="4"/>
  <c r="F2106" i="4" s="1"/>
  <c r="E2107" i="4"/>
  <c r="F2107" i="4" s="1"/>
  <c r="E2108" i="4"/>
  <c r="F2108" i="4" s="1"/>
  <c r="E2109" i="4"/>
  <c r="F2109" i="4" s="1"/>
  <c r="E2110" i="4"/>
  <c r="F2110" i="4" s="1"/>
  <c r="E2111" i="4"/>
  <c r="F2111" i="4" s="1"/>
  <c r="E2112" i="4"/>
  <c r="F2112" i="4" s="1"/>
  <c r="E2113" i="4"/>
  <c r="F2113" i="4" s="1"/>
  <c r="E2114" i="4"/>
  <c r="F2114" i="4" s="1"/>
  <c r="E2115" i="4"/>
  <c r="F2115" i="4" s="1"/>
  <c r="E2116" i="4"/>
  <c r="F2116" i="4" s="1"/>
  <c r="E2117" i="4"/>
  <c r="F2117" i="4" s="1"/>
  <c r="E2118" i="4"/>
  <c r="F2118" i="4" s="1"/>
  <c r="E2119" i="4"/>
  <c r="F2119" i="4" s="1"/>
  <c r="E2120" i="4"/>
  <c r="E2121" i="4"/>
  <c r="E2122" i="4"/>
  <c r="F2122" i="4" s="1"/>
  <c r="E2123" i="4"/>
  <c r="F2123" i="4" s="1"/>
  <c r="E2124" i="4"/>
  <c r="F2124" i="4" s="1"/>
  <c r="E2125" i="4"/>
  <c r="F2125" i="4" s="1"/>
  <c r="E2126" i="4"/>
  <c r="F2126" i="4" s="1"/>
  <c r="E2127" i="4"/>
  <c r="F2127" i="4" s="1"/>
  <c r="E2128" i="4"/>
  <c r="F2128" i="4" s="1"/>
  <c r="E2129" i="4"/>
  <c r="F2129" i="4" s="1"/>
  <c r="E2130" i="4"/>
  <c r="E2131" i="4"/>
  <c r="F2131" i="4" s="1"/>
  <c r="E2132" i="4"/>
  <c r="F2132" i="4" s="1"/>
  <c r="E2133" i="4"/>
  <c r="F2133" i="4" s="1"/>
  <c r="E2134" i="4"/>
  <c r="F2134" i="4" s="1"/>
  <c r="E2135" i="4"/>
  <c r="F2135" i="4" s="1"/>
  <c r="E2136" i="4"/>
  <c r="F2136" i="4" s="1"/>
  <c r="E2137" i="4"/>
  <c r="F2137" i="4" s="1"/>
  <c r="E2138" i="4"/>
  <c r="F2138" i="4" s="1"/>
  <c r="E2139" i="4"/>
  <c r="E2140" i="4"/>
  <c r="F2140" i="4" s="1"/>
  <c r="E2141" i="4"/>
  <c r="F2141" i="4" s="1"/>
  <c r="E2142" i="4"/>
  <c r="F2142" i="4" s="1"/>
  <c r="E2143" i="4"/>
  <c r="F2143" i="4" s="1"/>
  <c r="E2144" i="4"/>
  <c r="F2144" i="4" s="1"/>
  <c r="E2145" i="4"/>
  <c r="F2145" i="4" s="1"/>
  <c r="E2146" i="4"/>
  <c r="E2147" i="4"/>
  <c r="F2147" i="4" s="1"/>
  <c r="E2148" i="4"/>
  <c r="F2148" i="4" s="1"/>
  <c r="E2149" i="4"/>
  <c r="F2149" i="4" s="1"/>
  <c r="E2150" i="4"/>
  <c r="F2150" i="4" s="1"/>
  <c r="E2151" i="4"/>
  <c r="F2151" i="4" s="1"/>
  <c r="E2152" i="4"/>
  <c r="F2152" i="4" s="1"/>
  <c r="E2153" i="4"/>
  <c r="F2153" i="4" s="1"/>
  <c r="E2154" i="4"/>
  <c r="F2154" i="4" s="1"/>
  <c r="E2155" i="4"/>
  <c r="F2155" i="4" s="1"/>
  <c r="E2156" i="4"/>
  <c r="F2156" i="4" s="1"/>
  <c r="E2157" i="4"/>
  <c r="F2157" i="4" s="1"/>
  <c r="E2158" i="4"/>
  <c r="F2158" i="4" s="1"/>
  <c r="E2159" i="4"/>
  <c r="F2159" i="4" s="1"/>
  <c r="E2160" i="4"/>
  <c r="E2161" i="4"/>
  <c r="F2161" i="4" s="1"/>
  <c r="E2162" i="4"/>
  <c r="F2162" i="4" s="1"/>
  <c r="E2163" i="4"/>
  <c r="F2163" i="4" s="1"/>
  <c r="E2164" i="4"/>
  <c r="F2164" i="4" s="1"/>
  <c r="E2165" i="4"/>
  <c r="F2165" i="4" s="1"/>
  <c r="E2166" i="4"/>
  <c r="F2166" i="4" s="1"/>
  <c r="E2167" i="4"/>
  <c r="F2167" i="4" s="1"/>
  <c r="E2168" i="4"/>
  <c r="F2168" i="4" s="1"/>
  <c r="E2169" i="4"/>
  <c r="F2169" i="4" s="1"/>
  <c r="E2170" i="4"/>
  <c r="F2170" i="4" s="1"/>
  <c r="E2171" i="4"/>
  <c r="F2171" i="4" s="1"/>
  <c r="E2172" i="4"/>
  <c r="F2172" i="4" s="1"/>
  <c r="E2173" i="4"/>
  <c r="E2174" i="4"/>
  <c r="F2174" i="4" s="1"/>
  <c r="E2175" i="4"/>
  <c r="F2175" i="4" s="1"/>
  <c r="E2176" i="4"/>
  <c r="F2176" i="4" s="1"/>
  <c r="E2177" i="4"/>
  <c r="F2177" i="4" s="1"/>
  <c r="E2178" i="4"/>
  <c r="F2178" i="4" s="1"/>
  <c r="E2179" i="4"/>
  <c r="F2179" i="4" s="1"/>
  <c r="E2180" i="4"/>
  <c r="F2180" i="4" s="1"/>
  <c r="E2181" i="4"/>
  <c r="F2181" i="4" s="1"/>
  <c r="E2182" i="4"/>
  <c r="F2182" i="4" s="1"/>
  <c r="E2183" i="4"/>
  <c r="E2184" i="4"/>
  <c r="F2184" i="4" s="1"/>
  <c r="E2185" i="4"/>
  <c r="F2185" i="4" s="1"/>
  <c r="E2186" i="4"/>
  <c r="F2186" i="4" s="1"/>
  <c r="E2187" i="4"/>
  <c r="F2187" i="4" s="1"/>
  <c r="E2188" i="4"/>
  <c r="F2188" i="4" s="1"/>
  <c r="E2189" i="4"/>
  <c r="F2189" i="4" s="1"/>
  <c r="E2190" i="4"/>
  <c r="F2190" i="4" s="1"/>
  <c r="E2191" i="4"/>
  <c r="F2191" i="4" s="1"/>
  <c r="E2192" i="4"/>
  <c r="F2192" i="4" s="1"/>
  <c r="E2193" i="4"/>
  <c r="F2193" i="4" s="1"/>
  <c r="E2194" i="4"/>
  <c r="E2195" i="4"/>
  <c r="F2195" i="4" s="1"/>
  <c r="E2196" i="4"/>
  <c r="F2196" i="4" s="1"/>
  <c r="E2197" i="4"/>
  <c r="F2197" i="4" s="1"/>
  <c r="E2198" i="4"/>
  <c r="F2198" i="4" s="1"/>
  <c r="E2199" i="4"/>
  <c r="F2199" i="4" s="1"/>
  <c r="E2200" i="4"/>
  <c r="F2200" i="4" s="1"/>
  <c r="E2201" i="4"/>
  <c r="F2201" i="4" s="1"/>
  <c r="E2202" i="4"/>
  <c r="F2202" i="4" s="1"/>
  <c r="E2203" i="4"/>
  <c r="F2203" i="4" s="1"/>
  <c r="E2204" i="4"/>
  <c r="F2204" i="4" s="1"/>
  <c r="E2205" i="4"/>
  <c r="F2205" i="4" s="1"/>
  <c r="E2206" i="4"/>
  <c r="F2206" i="4" s="1"/>
  <c r="E2207" i="4"/>
  <c r="F2207" i="4" s="1"/>
  <c r="E2208" i="4"/>
  <c r="F2208" i="4" s="1"/>
  <c r="E2209" i="4"/>
  <c r="F2209" i="4" s="1"/>
  <c r="E2210" i="4"/>
  <c r="F2210" i="4" s="1"/>
  <c r="E2211" i="4"/>
  <c r="E2212" i="4"/>
  <c r="F2212" i="4" s="1"/>
  <c r="E2213" i="4"/>
  <c r="F2213" i="4" s="1"/>
  <c r="E2214" i="4"/>
  <c r="F2214" i="4" s="1"/>
  <c r="E2215" i="4"/>
  <c r="F2215" i="4" s="1"/>
  <c r="E2216" i="4"/>
  <c r="F2216" i="4" s="1"/>
  <c r="E2217" i="4"/>
  <c r="F2217" i="4" s="1"/>
  <c r="E2218" i="4"/>
  <c r="F2218" i="4" s="1"/>
  <c r="E2219" i="4"/>
  <c r="F2219" i="4" s="1"/>
  <c r="E2220" i="4"/>
  <c r="F2220" i="4" s="1"/>
  <c r="E2221" i="4"/>
  <c r="E2222" i="4"/>
  <c r="F2222" i="4" s="1"/>
  <c r="E2223" i="4"/>
  <c r="F2223" i="4" s="1"/>
  <c r="E2224" i="4"/>
  <c r="F2224" i="4" s="1"/>
  <c r="E2225" i="4"/>
  <c r="F2225" i="4" s="1"/>
  <c r="E2226" i="4"/>
  <c r="F2226" i="4" s="1"/>
  <c r="E2227" i="4"/>
  <c r="F2227" i="4" s="1"/>
  <c r="E2228" i="4"/>
  <c r="F2228" i="4" s="1"/>
  <c r="E2229" i="4"/>
  <c r="F2229" i="4" s="1"/>
  <c r="E2230" i="4"/>
  <c r="F2230" i="4" s="1"/>
  <c r="E2231" i="4"/>
  <c r="F2231" i="4" s="1"/>
  <c r="E2232" i="4"/>
  <c r="F2232" i="4" s="1"/>
  <c r="E2233" i="4"/>
  <c r="F2233" i="4" s="1"/>
  <c r="E2234" i="4"/>
  <c r="F2234" i="4" s="1"/>
  <c r="E2235" i="4"/>
  <c r="F2235" i="4" s="1"/>
  <c r="E2236" i="4"/>
  <c r="E2237" i="4"/>
  <c r="F2237" i="4" s="1"/>
  <c r="E2238" i="4"/>
  <c r="F2238" i="4" s="1"/>
  <c r="E2239" i="4"/>
  <c r="F2239" i="4" s="1"/>
  <c r="E2240" i="4"/>
  <c r="F2240" i="4" s="1"/>
  <c r="E2241" i="4"/>
  <c r="F2241" i="4" s="1"/>
  <c r="E2242" i="4"/>
  <c r="F2242" i="4" s="1"/>
  <c r="E2243" i="4"/>
  <c r="F2243" i="4" s="1"/>
  <c r="E2244" i="4"/>
  <c r="F2244" i="4" s="1"/>
  <c r="E2245" i="4"/>
  <c r="F2245" i="4" s="1"/>
  <c r="E2246" i="4"/>
  <c r="E2247" i="4"/>
  <c r="F2247" i="4" s="1"/>
  <c r="E2248" i="4"/>
  <c r="F2248" i="4" s="1"/>
  <c r="E2249" i="4"/>
  <c r="F2249" i="4" s="1"/>
  <c r="E2250" i="4"/>
  <c r="F2250" i="4" s="1"/>
  <c r="E2251" i="4"/>
  <c r="F2251" i="4" s="1"/>
  <c r="E2252" i="4"/>
  <c r="F2252" i="4" s="1"/>
  <c r="E2253" i="4"/>
  <c r="F2253" i="4" s="1"/>
  <c r="E2254" i="4"/>
  <c r="F2254" i="4" s="1"/>
  <c r="E2255" i="4"/>
  <c r="F2255" i="4" s="1"/>
  <c r="E2256" i="4"/>
  <c r="F2256" i="4" s="1"/>
  <c r="E2257" i="4"/>
  <c r="F2257" i="4" s="1"/>
  <c r="E2258" i="4"/>
  <c r="F2258" i="4" s="1"/>
  <c r="E2259" i="4"/>
  <c r="F2259" i="4" s="1"/>
  <c r="E2260" i="4"/>
  <c r="F2260" i="4" s="1"/>
  <c r="E2261" i="4"/>
  <c r="E2262" i="4"/>
  <c r="F2262" i="4" s="1"/>
  <c r="E2263" i="4"/>
  <c r="F2263" i="4" s="1"/>
  <c r="E2264" i="4"/>
  <c r="F2264" i="4" s="1"/>
  <c r="E2265" i="4"/>
  <c r="F2265" i="4" s="1"/>
  <c r="E2266" i="4"/>
  <c r="F2266" i="4" s="1"/>
  <c r="E2267" i="4"/>
  <c r="F2267" i="4" s="1"/>
  <c r="E2268" i="4"/>
  <c r="F2268" i="4" s="1"/>
  <c r="E2269" i="4"/>
  <c r="F2269" i="4" s="1"/>
  <c r="E2270" i="4"/>
  <c r="F2270" i="4" s="1"/>
  <c r="E2271" i="4"/>
  <c r="F2271" i="4" s="1"/>
  <c r="E2272" i="4"/>
  <c r="F2272" i="4" s="1"/>
  <c r="E2273" i="4"/>
  <c r="E2274" i="4"/>
  <c r="F2274" i="4" s="1"/>
  <c r="E2275" i="4"/>
  <c r="F2275" i="4" s="1"/>
  <c r="E2276" i="4"/>
  <c r="F2276" i="4" s="1"/>
  <c r="E2277" i="4"/>
  <c r="F2277" i="4" s="1"/>
  <c r="E2278" i="4"/>
  <c r="F2278" i="4" s="1"/>
  <c r="E2279" i="4"/>
  <c r="F2279" i="4" s="1"/>
  <c r="E2280" i="4"/>
  <c r="F2280" i="4" s="1"/>
  <c r="E2281" i="4"/>
  <c r="F2281" i="4" s="1"/>
  <c r="E2282" i="4"/>
  <c r="F2282" i="4" s="1"/>
  <c r="E2283" i="4"/>
  <c r="F2283" i="4" s="1"/>
  <c r="E2284" i="4"/>
  <c r="F2284" i="4" s="1"/>
  <c r="E2285" i="4"/>
  <c r="F2285" i="4" s="1"/>
  <c r="E2286" i="4"/>
  <c r="F2286" i="4" s="1"/>
  <c r="E2287" i="4"/>
  <c r="E2288" i="4"/>
  <c r="F2288" i="4" s="1"/>
  <c r="E2289" i="4"/>
  <c r="F2289" i="4" s="1"/>
  <c r="E2290" i="4"/>
  <c r="F2290" i="4" s="1"/>
  <c r="E2291" i="4"/>
  <c r="F2291" i="4" s="1"/>
  <c r="E2292" i="4"/>
  <c r="F2292" i="4" s="1"/>
  <c r="E2293" i="4"/>
  <c r="F2293" i="4" s="1"/>
  <c r="E2294" i="4"/>
  <c r="F2294" i="4" s="1"/>
  <c r="E2295" i="4"/>
  <c r="F2295" i="4" s="1"/>
  <c r="E2296" i="4"/>
  <c r="F2296" i="4" s="1"/>
  <c r="E2297" i="4"/>
  <c r="E2298" i="4"/>
  <c r="F2298" i="4" s="1"/>
  <c r="E2299" i="4"/>
  <c r="F2299" i="4" s="1"/>
  <c r="E2300" i="4"/>
  <c r="F2300" i="4" s="1"/>
  <c r="E2301" i="4"/>
  <c r="F2301" i="4" s="1"/>
  <c r="E2302" i="4"/>
  <c r="F2302" i="4" s="1"/>
  <c r="E2303" i="4"/>
  <c r="F2303" i="4" s="1"/>
  <c r="E2304" i="4"/>
  <c r="F2304" i="4" s="1"/>
  <c r="E2305" i="4"/>
  <c r="F2305" i="4" s="1"/>
  <c r="E2306" i="4"/>
  <c r="F2306" i="4" s="1"/>
  <c r="E2307" i="4"/>
  <c r="F2307" i="4" s="1"/>
  <c r="E2308" i="4"/>
  <c r="F2308" i="4" s="1"/>
  <c r="E2309" i="4"/>
  <c r="F2309" i="4" s="1"/>
  <c r="E2310" i="4"/>
  <c r="F2310" i="4" s="1"/>
  <c r="E2311" i="4"/>
  <c r="F2311" i="4" s="1"/>
  <c r="E2312" i="4"/>
  <c r="F2312" i="4" s="1"/>
  <c r="E2313" i="4"/>
  <c r="E2314" i="4"/>
  <c r="F2314" i="4" s="1"/>
  <c r="E2315" i="4"/>
  <c r="F2315" i="4" s="1"/>
  <c r="E2316" i="4"/>
  <c r="F2316" i="4" s="1"/>
  <c r="E2317" i="4"/>
  <c r="F2317" i="4" s="1"/>
  <c r="E2318" i="4"/>
  <c r="F2318" i="4" s="1"/>
  <c r="E2319" i="4"/>
  <c r="F2319" i="4" s="1"/>
  <c r="E2320" i="4"/>
  <c r="F2320" i="4" s="1"/>
  <c r="E2321" i="4"/>
  <c r="F2321" i="4" s="1"/>
  <c r="E2322" i="4"/>
  <c r="F2322" i="4" s="1"/>
  <c r="E2323" i="4"/>
  <c r="E2324" i="4"/>
  <c r="F2324" i="4" s="1"/>
  <c r="E2325" i="4"/>
  <c r="F2325" i="4" s="1"/>
  <c r="E2326" i="4"/>
  <c r="F2326" i="4" s="1"/>
  <c r="E2327" i="4"/>
  <c r="F2327" i="4" s="1"/>
  <c r="E2328" i="4"/>
  <c r="F2328" i="4" s="1"/>
  <c r="E2329" i="4"/>
  <c r="F2329" i="4" s="1"/>
  <c r="E2330" i="4"/>
  <c r="F2330" i="4" s="1"/>
  <c r="E2331" i="4"/>
  <c r="F2331" i="4" s="1"/>
  <c r="E2332" i="4"/>
  <c r="F2332" i="4" s="1"/>
  <c r="E2333" i="4"/>
  <c r="F2333" i="4" s="1"/>
  <c r="E2334" i="4"/>
  <c r="F2334" i="4" s="1"/>
  <c r="E2335" i="4"/>
  <c r="F2335" i="4" s="1"/>
  <c r="E2336" i="4"/>
  <c r="F2336" i="4" s="1"/>
  <c r="E2337" i="4"/>
  <c r="F2337" i="4" s="1"/>
  <c r="E2338" i="4"/>
  <c r="F2338" i="4" s="1"/>
  <c r="E2339" i="4"/>
  <c r="F2339" i="4" s="1"/>
  <c r="E2340" i="4"/>
  <c r="F2340" i="4" s="1"/>
  <c r="E2341" i="4"/>
  <c r="F2341" i="4" s="1"/>
  <c r="E2342" i="4"/>
  <c r="F2342" i="4" s="1"/>
  <c r="E2343" i="4"/>
  <c r="F2343" i="4" s="1"/>
  <c r="E2344" i="4"/>
  <c r="F2344" i="4" s="1"/>
  <c r="E2345" i="4"/>
  <c r="F2345" i="4" s="1"/>
  <c r="E2346" i="4"/>
  <c r="F2346" i="4" s="1"/>
  <c r="E2347" i="4"/>
  <c r="F2347" i="4" s="1"/>
  <c r="E2348" i="4"/>
  <c r="F2348" i="4" s="1"/>
  <c r="E2349" i="4"/>
  <c r="F2349" i="4" s="1"/>
  <c r="E2350" i="4"/>
  <c r="F2350" i="4" s="1"/>
  <c r="E2351" i="4"/>
  <c r="F2351" i="4" s="1"/>
  <c r="E2352" i="4"/>
  <c r="F2352" i="4" s="1"/>
  <c r="E2353" i="4"/>
  <c r="F2353" i="4" s="1"/>
  <c r="E2354" i="4"/>
  <c r="F2354" i="4" s="1"/>
  <c r="E2355" i="4"/>
  <c r="F2355" i="4" s="1"/>
  <c r="E2356" i="4"/>
  <c r="E2357" i="4"/>
  <c r="F2357" i="4" s="1"/>
  <c r="E2358" i="4"/>
  <c r="F2358" i="4" s="1"/>
  <c r="E2359" i="4"/>
  <c r="F2359" i="4" s="1"/>
  <c r="E2360" i="4"/>
  <c r="F2360" i="4" s="1"/>
  <c r="E2361" i="4"/>
  <c r="F2361" i="4" s="1"/>
  <c r="E2362" i="4"/>
  <c r="F2362" i="4" s="1"/>
  <c r="E2363" i="4"/>
  <c r="F2363" i="4" s="1"/>
  <c r="E2364" i="4"/>
  <c r="F2364" i="4" s="1"/>
  <c r="E2365" i="4"/>
  <c r="F2365" i="4" s="1"/>
  <c r="E2366" i="4"/>
  <c r="F2366" i="4" s="1"/>
  <c r="E2367" i="4"/>
  <c r="F2367" i="4" s="1"/>
  <c r="E2368" i="4"/>
  <c r="F2368" i="4" s="1"/>
  <c r="E2369" i="4"/>
  <c r="F2369" i="4" s="1"/>
  <c r="E2370" i="4"/>
  <c r="E2371" i="4"/>
  <c r="F2371" i="4" s="1"/>
  <c r="E2372" i="4"/>
  <c r="F2372" i="4" s="1"/>
  <c r="E2373" i="4"/>
  <c r="F2373" i="4" s="1"/>
  <c r="E2374" i="4"/>
  <c r="F2374" i="4" s="1"/>
  <c r="E2375" i="4"/>
  <c r="F2375" i="4" s="1"/>
  <c r="E2376" i="4"/>
  <c r="F2376" i="4" s="1"/>
  <c r="E2377" i="4"/>
  <c r="F2377" i="4" s="1"/>
  <c r="E2378" i="4"/>
  <c r="F2378" i="4" s="1"/>
  <c r="E2379" i="4"/>
  <c r="F2379" i="4" s="1"/>
  <c r="E2380" i="4"/>
  <c r="E2381" i="4"/>
  <c r="F2381" i="4" s="1"/>
  <c r="E2382" i="4"/>
  <c r="F2382" i="4" s="1"/>
  <c r="E2383" i="4"/>
  <c r="F2383" i="4" s="1"/>
  <c r="E2384" i="4"/>
  <c r="F2384" i="4" s="1"/>
  <c r="E2385" i="4"/>
  <c r="F2385" i="4" s="1"/>
  <c r="E2386" i="4"/>
  <c r="F2386" i="4" s="1"/>
  <c r="E2387" i="4"/>
  <c r="F2387" i="4" s="1"/>
  <c r="E2388" i="4"/>
  <c r="F2388" i="4" s="1"/>
  <c r="E2389" i="4"/>
  <c r="F2389" i="4" s="1"/>
  <c r="E2390" i="4"/>
  <c r="F2390" i="4" s="1"/>
  <c r="E2391" i="4"/>
  <c r="F2391" i="4" s="1"/>
  <c r="E2392" i="4"/>
  <c r="E2393" i="4"/>
  <c r="F2393" i="4" s="1"/>
  <c r="E2394" i="4"/>
  <c r="F2394" i="4" s="1"/>
  <c r="E2395" i="4"/>
  <c r="F2395" i="4" s="1"/>
  <c r="E2396" i="4"/>
  <c r="F2396" i="4" s="1"/>
  <c r="E2397" i="4"/>
  <c r="F2397" i="4" s="1"/>
  <c r="E2398" i="4"/>
  <c r="F2398" i="4" s="1"/>
  <c r="E2399" i="4"/>
  <c r="F2399" i="4" s="1"/>
  <c r="E2400" i="4"/>
  <c r="F2400" i="4" s="1"/>
  <c r="E2401" i="4"/>
  <c r="E2402" i="4"/>
  <c r="F2402" i="4" s="1"/>
  <c r="E2403" i="4"/>
  <c r="F2403" i="4" s="1"/>
  <c r="E2404" i="4"/>
  <c r="F2404" i="4" s="1"/>
  <c r="E2405" i="4"/>
  <c r="E2406" i="4"/>
  <c r="F2406" i="4" s="1"/>
  <c r="E2407" i="4"/>
  <c r="F2407" i="4" s="1"/>
  <c r="E2408" i="4"/>
  <c r="F2408" i="4" s="1"/>
  <c r="E2409" i="4"/>
  <c r="F2409" i="4" s="1"/>
  <c r="E2410" i="4"/>
  <c r="F2410" i="4" s="1"/>
  <c r="E2411" i="4"/>
  <c r="F2411" i="4" s="1"/>
  <c r="E2412" i="4"/>
  <c r="F2412" i="4" s="1"/>
  <c r="E2413" i="4"/>
  <c r="F2413" i="4" s="1"/>
  <c r="E2414" i="4"/>
  <c r="F2414" i="4" s="1"/>
  <c r="E2415" i="4"/>
  <c r="F2415" i="4" s="1"/>
  <c r="E2416" i="4"/>
  <c r="F2416" i="4" s="1"/>
  <c r="E2417" i="4"/>
  <c r="E2418" i="4"/>
  <c r="F2418" i="4" s="1"/>
  <c r="E2419" i="4"/>
  <c r="F2419" i="4" s="1"/>
  <c r="E2420" i="4"/>
  <c r="F2420" i="4" s="1"/>
  <c r="E2421" i="4"/>
  <c r="F2421" i="4" s="1"/>
  <c r="E2422" i="4"/>
  <c r="F2422" i="4" s="1"/>
  <c r="E2423" i="4"/>
  <c r="F2423" i="4" s="1"/>
  <c r="E2424" i="4"/>
  <c r="F2424" i="4" s="1"/>
  <c r="E2425" i="4"/>
  <c r="F2425" i="4" s="1"/>
  <c r="E2426" i="4"/>
  <c r="F2426" i="4" s="1"/>
  <c r="E2427" i="4"/>
  <c r="F2427" i="4" s="1"/>
  <c r="E2428" i="4"/>
  <c r="F2428" i="4" s="1"/>
  <c r="E2429" i="4"/>
  <c r="F2429" i="4" s="1"/>
  <c r="E2430" i="4"/>
  <c r="E2431" i="4"/>
  <c r="F2431" i="4" s="1"/>
  <c r="E2432" i="4"/>
  <c r="F2432" i="4" s="1"/>
  <c r="E2433" i="4"/>
  <c r="F2433" i="4" s="1"/>
  <c r="E2434" i="4"/>
  <c r="F2434" i="4" s="1"/>
  <c r="E2435" i="4"/>
  <c r="F2435" i="4" s="1"/>
  <c r="E2436" i="4"/>
  <c r="F2436" i="4" s="1"/>
  <c r="E2437" i="4"/>
  <c r="F2437" i="4" s="1"/>
  <c r="E2438" i="4"/>
  <c r="F2438" i="4" s="1"/>
  <c r="E2439" i="4"/>
  <c r="F2439" i="4" s="1"/>
  <c r="E2440" i="4"/>
  <c r="F2440" i="4" s="1"/>
  <c r="E2441" i="4"/>
  <c r="E2442" i="4"/>
  <c r="F2442" i="4" s="1"/>
  <c r="E2443" i="4"/>
  <c r="F2443" i="4" s="1"/>
  <c r="E2444" i="4"/>
  <c r="F2444" i="4" s="1"/>
  <c r="E2445" i="4"/>
  <c r="F2445" i="4" s="1"/>
  <c r="E2446" i="4"/>
  <c r="F2446" i="4" s="1"/>
  <c r="E2447" i="4"/>
  <c r="F2447" i="4" s="1"/>
  <c r="E2448" i="4"/>
  <c r="F2448" i="4" s="1"/>
  <c r="E2449" i="4"/>
  <c r="F2449" i="4" s="1"/>
  <c r="E2450" i="4"/>
  <c r="F2450" i="4" s="1"/>
  <c r="E2451" i="4"/>
  <c r="F2451" i="4" s="1"/>
  <c r="E2452" i="4"/>
  <c r="F2452" i="4" s="1"/>
  <c r="E2453" i="4"/>
  <c r="F2453" i="4" s="1"/>
  <c r="E2454" i="4"/>
  <c r="F2454" i="4" s="1"/>
  <c r="E2455" i="4"/>
  <c r="E2456" i="4"/>
  <c r="F2456" i="4" s="1"/>
  <c r="E2457" i="4"/>
  <c r="F2457" i="4" s="1"/>
  <c r="E2458" i="4"/>
  <c r="F2458" i="4" s="1"/>
  <c r="E2459" i="4"/>
  <c r="F2459" i="4" s="1"/>
  <c r="E2460" i="4"/>
  <c r="F2460" i="4" s="1"/>
  <c r="E2461" i="4"/>
  <c r="F2461" i="4" s="1"/>
  <c r="E2462" i="4"/>
  <c r="F2462" i="4" s="1"/>
  <c r="E2463" i="4"/>
  <c r="F2463" i="4" s="1"/>
  <c r="E2464" i="4"/>
  <c r="F2464" i="4" s="1"/>
  <c r="E2465" i="4"/>
  <c r="F2465" i="4" s="1"/>
  <c r="E2466" i="4"/>
  <c r="E2467" i="4"/>
  <c r="F2467" i="4" s="1"/>
  <c r="E2468" i="4"/>
  <c r="F2468" i="4" s="1"/>
  <c r="E2469" i="4"/>
  <c r="F2469" i="4" s="1"/>
  <c r="E2470" i="4"/>
  <c r="F2470" i="4" s="1"/>
  <c r="E2471" i="4"/>
  <c r="F2471" i="4" s="1"/>
  <c r="E2472" i="4"/>
  <c r="F2472" i="4" s="1"/>
  <c r="E2473" i="4"/>
  <c r="F2473" i="4" s="1"/>
  <c r="E2474" i="4"/>
  <c r="F2474" i="4" s="1"/>
  <c r="E2475" i="4"/>
  <c r="F2475" i="4" s="1"/>
  <c r="E2476" i="4"/>
  <c r="F2476" i="4" s="1"/>
  <c r="E2477" i="4"/>
  <c r="F2477" i="4" s="1"/>
  <c r="E2478" i="4"/>
  <c r="F2478" i="4" s="1"/>
  <c r="E2479" i="4"/>
  <c r="F2479" i="4" s="1"/>
  <c r="E2480" i="4"/>
  <c r="E2481" i="4"/>
  <c r="F2481" i="4" s="1"/>
  <c r="E2482" i="4"/>
  <c r="F2482" i="4" s="1"/>
  <c r="E2483" i="4"/>
  <c r="F2483" i="4" s="1"/>
  <c r="E2484" i="4"/>
  <c r="F2484" i="4" s="1"/>
  <c r="E2485" i="4"/>
  <c r="F2485" i="4" s="1"/>
  <c r="E2486" i="4"/>
  <c r="F2486" i="4" s="1"/>
  <c r="E2487" i="4"/>
  <c r="F2487" i="4" s="1"/>
  <c r="E2488" i="4"/>
  <c r="F2488" i="4" s="1"/>
  <c r="E2489" i="4"/>
  <c r="F2489" i="4" s="1"/>
  <c r="E2490" i="4"/>
  <c r="F2490" i="4" s="1"/>
  <c r="E2491" i="4"/>
  <c r="F2491" i="4" s="1"/>
  <c r="E2492" i="4"/>
  <c r="F2492" i="4" s="1"/>
  <c r="E2493" i="4"/>
  <c r="E2494" i="4"/>
  <c r="F2494" i="4" s="1"/>
  <c r="E2495" i="4"/>
  <c r="F2495" i="4" s="1"/>
  <c r="E2496" i="4"/>
  <c r="F2496" i="4" s="1"/>
  <c r="E2497" i="4"/>
  <c r="F2497" i="4" s="1"/>
  <c r="E2498" i="4"/>
  <c r="F2498" i="4" s="1"/>
  <c r="E2499" i="4"/>
  <c r="F2499" i="4" s="1"/>
  <c r="E2500" i="4"/>
  <c r="F2500" i="4" s="1"/>
  <c r="E2501" i="4"/>
  <c r="F2501" i="4" s="1"/>
  <c r="E2502" i="4"/>
  <c r="F2502" i="4" s="1"/>
  <c r="E2503" i="4"/>
  <c r="F2503" i="4" s="1"/>
  <c r="E2504" i="4"/>
  <c r="F2504" i="4" s="1"/>
  <c r="E2505" i="4"/>
  <c r="E2506" i="4"/>
  <c r="F2506" i="4" s="1"/>
  <c r="E2507" i="4"/>
  <c r="F2507" i="4" s="1"/>
  <c r="E2508" i="4"/>
  <c r="F2508" i="4" s="1"/>
  <c r="E2509" i="4"/>
  <c r="F2509" i="4" s="1"/>
  <c r="E2510" i="4"/>
  <c r="F2510" i="4" s="1"/>
  <c r="E2511" i="4"/>
  <c r="F2511" i="4" s="1"/>
  <c r="E2512" i="4"/>
  <c r="F2512" i="4" s="1"/>
  <c r="E2513" i="4"/>
  <c r="F2513" i="4" s="1"/>
  <c r="E2514" i="4"/>
  <c r="F2514" i="4" s="1"/>
  <c r="E2515" i="4"/>
  <c r="E2516" i="4"/>
  <c r="F2516" i="4" s="1"/>
  <c r="E2517" i="4"/>
  <c r="F2517" i="4" s="1"/>
  <c r="E2518" i="4"/>
  <c r="F2518" i="4" s="1"/>
  <c r="E2519" i="4"/>
  <c r="F2519" i="4" s="1"/>
  <c r="E2520" i="4"/>
  <c r="F2520" i="4" s="1"/>
  <c r="E2521" i="4"/>
  <c r="F2521" i="4" s="1"/>
  <c r="E2522" i="4"/>
  <c r="F2522" i="4" s="1"/>
  <c r="E2523" i="4"/>
  <c r="F2523" i="4" s="1"/>
  <c r="E2524" i="4"/>
  <c r="F2524" i="4" s="1"/>
  <c r="E2525" i="4"/>
  <c r="F2525" i="4" s="1"/>
  <c r="E2526" i="4"/>
  <c r="F2526" i="4" s="1"/>
  <c r="E2527" i="4"/>
  <c r="E2528" i="4"/>
  <c r="F2528" i="4" s="1"/>
  <c r="E2529" i="4"/>
  <c r="F2529" i="4" s="1"/>
  <c r="E2530" i="4"/>
  <c r="F2530" i="4" s="1"/>
  <c r="E2531" i="4"/>
  <c r="F2531" i="4" s="1"/>
  <c r="E2532" i="4"/>
  <c r="F2532" i="4" s="1"/>
  <c r="E2533" i="4"/>
  <c r="F2533" i="4" s="1"/>
  <c r="E2534" i="4"/>
  <c r="F2534" i="4" s="1"/>
  <c r="E2535" i="4"/>
  <c r="F2535" i="4" s="1"/>
  <c r="E2536" i="4"/>
  <c r="F2536" i="4" s="1"/>
  <c r="E2537" i="4"/>
  <c r="F2537" i="4" s="1"/>
  <c r="E2538" i="4"/>
  <c r="F2538" i="4" s="1"/>
  <c r="E2539" i="4"/>
  <c r="F2539" i="4" s="1"/>
  <c r="E2540" i="4"/>
  <c r="F2540" i="4" s="1"/>
  <c r="E2541" i="4"/>
  <c r="F2541" i="4" s="1"/>
  <c r="E2542" i="4"/>
  <c r="F2542" i="4" s="1"/>
  <c r="E2543" i="4"/>
  <c r="F2543" i="4" s="1"/>
  <c r="E2544" i="4"/>
  <c r="E2545" i="4"/>
  <c r="F2545" i="4" s="1"/>
  <c r="E2546" i="4"/>
  <c r="F2546" i="4" s="1"/>
  <c r="E2547" i="4"/>
  <c r="F2547" i="4" s="1"/>
  <c r="E2548" i="4"/>
  <c r="F2548" i="4" s="1"/>
  <c r="E2549" i="4"/>
  <c r="F2549" i="4" s="1"/>
  <c r="E2550" i="4"/>
  <c r="F2550" i="4" s="1"/>
  <c r="E2551" i="4"/>
  <c r="F2551" i="4" s="1"/>
  <c r="E2552" i="4"/>
  <c r="F2552" i="4" s="1"/>
  <c r="E2553" i="4"/>
  <c r="F2553" i="4" s="1"/>
  <c r="E2554" i="4"/>
  <c r="F2554" i="4" s="1"/>
  <c r="E2555" i="4"/>
  <c r="F2555" i="4" s="1"/>
  <c r="E2556" i="4"/>
  <c r="F2556" i="4" s="1"/>
  <c r="E2557" i="4"/>
  <c r="F2557" i="4" s="1"/>
  <c r="E2558" i="4"/>
  <c r="F2558" i="4" s="1"/>
  <c r="E2559" i="4"/>
  <c r="E2560" i="4"/>
  <c r="F2560" i="4" s="1"/>
  <c r="E2561" i="4"/>
  <c r="F2561" i="4" s="1"/>
  <c r="E2562" i="4"/>
  <c r="F2562" i="4" s="1"/>
  <c r="E2563" i="4"/>
  <c r="F2563" i="4" s="1"/>
  <c r="E2564" i="4"/>
  <c r="F2564" i="4" s="1"/>
  <c r="E2565" i="4"/>
  <c r="F2565" i="4" s="1"/>
  <c r="E2566" i="4"/>
  <c r="F2566" i="4" s="1"/>
  <c r="E2567" i="4"/>
  <c r="F2567" i="4" s="1"/>
  <c r="E2568" i="4"/>
  <c r="F2568" i="4" s="1"/>
  <c r="E2569" i="4"/>
  <c r="F2569" i="4" s="1"/>
  <c r="E2570" i="4"/>
  <c r="F2570" i="4" s="1"/>
  <c r="E2571" i="4"/>
  <c r="F2571" i="4" s="1"/>
  <c r="E2572" i="4"/>
  <c r="F2572" i="4" s="1"/>
  <c r="E2573" i="4"/>
  <c r="E2574" i="4"/>
  <c r="F2574" i="4" s="1"/>
  <c r="E2575" i="4"/>
  <c r="F2575" i="4" s="1"/>
  <c r="E2576" i="4"/>
  <c r="F2576" i="4" s="1"/>
  <c r="E2577" i="4"/>
  <c r="F2577" i="4" s="1"/>
  <c r="E2578" i="4"/>
  <c r="F2578" i="4" s="1"/>
  <c r="E2579" i="4"/>
  <c r="F2579" i="4" s="1"/>
  <c r="E2580" i="4"/>
  <c r="F2580" i="4" s="1"/>
  <c r="E2581" i="4"/>
  <c r="F2581" i="4" s="1"/>
  <c r="E2582" i="4"/>
  <c r="F2582" i="4" s="1"/>
  <c r="E2583" i="4"/>
  <c r="F2583" i="4" s="1"/>
  <c r="E2584" i="4"/>
  <c r="E2585" i="4"/>
  <c r="F2585" i="4" s="1"/>
  <c r="E2586" i="4"/>
  <c r="F2586" i="4" s="1"/>
  <c r="E2587" i="4"/>
  <c r="F2587" i="4" s="1"/>
  <c r="E2588" i="4"/>
  <c r="F2588" i="4" s="1"/>
  <c r="E2589" i="4"/>
  <c r="F2589" i="4" s="1"/>
  <c r="E2590" i="4"/>
  <c r="F2590" i="4" s="1"/>
  <c r="E2591" i="4"/>
  <c r="F2591" i="4" s="1"/>
  <c r="E2592" i="4"/>
  <c r="F2592" i="4" s="1"/>
  <c r="E2593" i="4"/>
  <c r="E2594" i="4"/>
  <c r="F2594" i="4" s="1"/>
  <c r="E2595" i="4"/>
  <c r="F2595" i="4" s="1"/>
  <c r="E2596" i="4"/>
  <c r="F2596" i="4" s="1"/>
  <c r="E2597" i="4"/>
  <c r="F2597" i="4" s="1"/>
  <c r="E2598" i="4"/>
  <c r="F2598" i="4" s="1"/>
  <c r="E2599" i="4"/>
  <c r="F2599" i="4" s="1"/>
  <c r="E2600" i="4"/>
  <c r="F2600" i="4" s="1"/>
  <c r="E2601" i="4"/>
  <c r="F2601" i="4" s="1"/>
  <c r="E2602" i="4"/>
  <c r="F2602" i="4" s="1"/>
  <c r="E2603" i="4"/>
  <c r="F2603" i="4" s="1"/>
  <c r="E2604" i="4"/>
  <c r="F2604" i="4" s="1"/>
  <c r="E2605" i="4"/>
  <c r="E2606" i="4"/>
  <c r="F2606" i="4" s="1"/>
  <c r="E2607" i="4"/>
  <c r="F2607" i="4" s="1"/>
  <c r="E2608" i="4"/>
  <c r="F2608" i="4" s="1"/>
  <c r="E2609" i="4"/>
  <c r="F2609" i="4" s="1"/>
  <c r="E2610" i="4"/>
  <c r="E2611" i="4"/>
  <c r="F2611" i="4" s="1"/>
  <c r="E2612" i="4"/>
  <c r="F2612" i="4" s="1"/>
  <c r="E2613" i="4"/>
  <c r="F2613" i="4" s="1"/>
  <c r="E2614" i="4"/>
  <c r="E2615" i="4"/>
  <c r="F2615" i="4" s="1"/>
  <c r="E2616" i="4"/>
  <c r="F2616" i="4" s="1"/>
  <c r="E2617" i="4"/>
  <c r="F2617" i="4" s="1"/>
  <c r="E2618" i="4"/>
  <c r="F2618" i="4" s="1"/>
  <c r="E2619" i="4"/>
  <c r="F2619" i="4" s="1"/>
  <c r="E2620" i="4"/>
  <c r="F2620" i="4" s="1"/>
  <c r="E2621" i="4"/>
  <c r="F2621" i="4" s="1"/>
  <c r="E2622" i="4"/>
  <c r="E2623" i="4"/>
  <c r="F2623" i="4" s="1"/>
  <c r="E2624" i="4"/>
  <c r="F2624" i="4" s="1"/>
  <c r="E2625" i="4"/>
  <c r="F2625" i="4" s="1"/>
  <c r="E2626" i="4"/>
  <c r="E2627" i="4"/>
  <c r="E2628" i="4"/>
  <c r="F2628" i="4" s="1"/>
  <c r="E2629" i="4"/>
  <c r="F2629" i="4" s="1"/>
  <c r="E2630" i="4"/>
  <c r="F2630" i="4" s="1"/>
  <c r="E2631" i="4"/>
  <c r="F2631" i="4" s="1"/>
  <c r="E2632" i="4"/>
  <c r="F2632" i="4" s="1"/>
  <c r="E2633" i="4"/>
  <c r="F2633" i="4" s="1"/>
  <c r="E2634" i="4"/>
  <c r="F2634" i="4" s="1"/>
  <c r="E2635" i="4"/>
  <c r="F2635" i="4" s="1"/>
  <c r="E2636" i="4"/>
  <c r="F2636" i="4" s="1"/>
  <c r="E2637" i="4"/>
  <c r="F2637" i="4" s="1"/>
  <c r="E2638" i="4"/>
  <c r="F2638" i="4" s="1"/>
  <c r="E2639" i="4"/>
  <c r="F2639" i="4" s="1"/>
  <c r="E2640" i="4"/>
  <c r="F2640" i="4" s="1"/>
  <c r="E2641" i="4"/>
  <c r="F2641" i="4" s="1"/>
  <c r="E2642" i="4"/>
  <c r="E2643" i="4"/>
  <c r="F2643" i="4" s="1"/>
  <c r="E2644" i="4"/>
  <c r="F2644" i="4" s="1"/>
  <c r="E2645" i="4"/>
  <c r="F2645" i="4" s="1"/>
  <c r="E2646" i="4"/>
  <c r="F2646" i="4" s="1"/>
  <c r="E2647" i="4"/>
  <c r="F2647" i="4" s="1"/>
  <c r="E2648" i="4"/>
  <c r="F2648" i="4" s="1"/>
  <c r="E2649" i="4"/>
  <c r="F2649" i="4" s="1"/>
  <c r="E2650" i="4"/>
  <c r="F2650" i="4" s="1"/>
  <c r="E2651" i="4"/>
  <c r="F2651" i="4" s="1"/>
  <c r="E2652" i="4"/>
  <c r="F2652" i="4" s="1"/>
  <c r="E2653" i="4"/>
  <c r="E2654" i="4"/>
  <c r="F2654" i="4" s="1"/>
  <c r="E2655" i="4"/>
  <c r="F2655" i="4" s="1"/>
  <c r="E2656" i="4"/>
  <c r="F2656" i="4" s="1"/>
  <c r="E2657" i="4"/>
  <c r="F2657" i="4" s="1"/>
  <c r="E2658" i="4"/>
  <c r="F2658" i="4" s="1"/>
  <c r="E2659" i="4"/>
  <c r="F2659" i="4" s="1"/>
  <c r="E2660" i="4"/>
  <c r="F2660" i="4" s="1"/>
  <c r="E2661" i="4"/>
  <c r="F2661" i="4" s="1"/>
  <c r="E2662" i="4"/>
  <c r="F2662" i="4" s="1"/>
  <c r="E2663" i="4"/>
  <c r="F2663" i="4" s="1"/>
  <c r="E2664" i="4"/>
  <c r="F2664" i="4" s="1"/>
  <c r="E2665" i="4"/>
  <c r="F2665" i="4" s="1"/>
  <c r="E2666" i="4"/>
  <c r="F2666" i="4" s="1"/>
  <c r="E2667" i="4"/>
  <c r="F2667" i="4" s="1"/>
  <c r="E2668" i="4"/>
  <c r="E2669" i="4"/>
  <c r="F2669" i="4" s="1"/>
  <c r="E2670" i="4"/>
  <c r="E2671" i="4"/>
  <c r="F2671" i="4" s="1"/>
  <c r="E2672" i="4"/>
  <c r="F2672" i="4" s="1"/>
  <c r="E2673" i="4"/>
  <c r="F2673" i="4" s="1"/>
  <c r="E2674" i="4"/>
  <c r="E2675" i="4"/>
  <c r="F2675" i="4" s="1"/>
  <c r="E2676" i="4"/>
  <c r="F2676" i="4" s="1"/>
  <c r="E2677" i="4"/>
  <c r="F2677" i="4" s="1"/>
  <c r="E2678" i="4"/>
  <c r="F2678" i="4" s="1"/>
  <c r="E2679" i="4"/>
  <c r="F2679" i="4" s="1"/>
  <c r="E2680" i="4"/>
  <c r="F2680" i="4" s="1"/>
  <c r="E2681" i="4"/>
  <c r="F2681" i="4" s="1"/>
  <c r="E2682" i="4"/>
  <c r="F2682" i="4" s="1"/>
  <c r="E2683" i="4"/>
  <c r="F2683" i="4" s="1"/>
  <c r="E2684" i="4"/>
  <c r="F2684" i="4" s="1"/>
  <c r="E2685" i="4"/>
  <c r="F2685" i="4" s="1"/>
  <c r="E2686" i="4"/>
  <c r="E2687" i="4"/>
  <c r="F2687" i="4" s="1"/>
  <c r="E2688" i="4"/>
  <c r="F2688" i="4" s="1"/>
  <c r="E2689" i="4"/>
  <c r="F2689" i="4" s="1"/>
  <c r="E2690" i="4"/>
  <c r="F2690" i="4" s="1"/>
  <c r="E2691" i="4"/>
  <c r="F2691" i="4" s="1"/>
  <c r="E2692" i="4"/>
  <c r="E2693" i="4"/>
  <c r="F2693" i="4" s="1"/>
  <c r="E2694" i="4"/>
  <c r="F2694" i="4" s="1"/>
  <c r="E2695" i="4"/>
  <c r="F2695" i="4" s="1"/>
  <c r="E2696" i="4"/>
  <c r="F2696" i="4" s="1"/>
  <c r="E2697" i="4"/>
  <c r="F2697" i="4" s="1"/>
  <c r="E2698" i="4"/>
  <c r="F2698" i="4" s="1"/>
  <c r="E2699" i="4"/>
  <c r="F2699" i="4" s="1"/>
  <c r="E2700" i="4"/>
  <c r="F2700" i="4" s="1"/>
  <c r="E2701" i="4"/>
  <c r="F2701" i="4" s="1"/>
  <c r="E2702" i="4"/>
  <c r="F2702" i="4" s="1"/>
  <c r="E2703" i="4"/>
  <c r="F2703" i="4" s="1"/>
  <c r="E2704" i="4"/>
  <c r="F2704" i="4" s="1"/>
  <c r="E2705" i="4"/>
  <c r="E2706" i="4"/>
  <c r="F2706" i="4" s="1"/>
  <c r="E2707" i="4"/>
  <c r="F2707" i="4" s="1"/>
  <c r="E2708" i="4"/>
  <c r="F2708" i="4" s="1"/>
  <c r="E2709" i="4"/>
  <c r="F2709" i="4" s="1"/>
  <c r="E2710" i="4"/>
  <c r="F2710" i="4" s="1"/>
  <c r="E2711" i="4"/>
  <c r="F2711" i="4" s="1"/>
  <c r="E2712" i="4"/>
  <c r="F2712" i="4" s="1"/>
  <c r="E2713" i="4"/>
  <c r="F2713" i="4" s="1"/>
  <c r="E2714" i="4"/>
  <c r="F2714" i="4" s="1"/>
  <c r="E2715" i="4"/>
  <c r="F2715" i="4" s="1"/>
  <c r="E2716" i="4"/>
  <c r="F2716" i="4" s="1"/>
  <c r="E2717" i="4"/>
  <c r="F2717" i="4" s="1"/>
  <c r="E2718" i="4"/>
  <c r="F2718" i="4" s="1"/>
  <c r="E2719" i="4"/>
  <c r="E2720" i="4"/>
  <c r="F2720" i="4" s="1"/>
  <c r="E2721" i="4"/>
  <c r="F2721" i="4" s="1"/>
  <c r="E2722" i="4"/>
  <c r="F2722" i="4" s="1"/>
  <c r="E2723" i="4"/>
  <c r="F2723" i="4" s="1"/>
  <c r="E2724" i="4"/>
  <c r="F2724" i="4" s="1"/>
  <c r="E2725" i="4"/>
  <c r="F2725" i="4" s="1"/>
  <c r="E2726" i="4"/>
  <c r="F2726" i="4" s="1"/>
  <c r="E2727" i="4"/>
  <c r="F2727" i="4" s="1"/>
  <c r="E2728" i="4"/>
  <c r="E2729" i="4"/>
  <c r="F2729" i="4" s="1"/>
  <c r="E2730" i="4"/>
  <c r="F2730" i="4" s="1"/>
  <c r="E2731" i="4"/>
  <c r="F2731" i="4" s="1"/>
  <c r="E2732" i="4"/>
  <c r="F2732" i="4" s="1"/>
  <c r="E2733" i="4"/>
  <c r="F2733" i="4" s="1"/>
  <c r="E2734" i="4"/>
  <c r="F2734" i="4" s="1"/>
  <c r="E2735" i="4"/>
  <c r="F2735" i="4" s="1"/>
  <c r="E2736" i="4"/>
  <c r="F2736" i="4" s="1"/>
  <c r="E2737" i="4"/>
  <c r="F2737" i="4" s="1"/>
  <c r="E2738" i="4"/>
  <c r="F2738" i="4" s="1"/>
  <c r="E2739" i="4"/>
  <c r="F2739" i="4" s="1"/>
  <c r="E2740" i="4"/>
  <c r="F2740" i="4" s="1"/>
  <c r="E2741" i="4"/>
  <c r="F2741" i="4" s="1"/>
  <c r="E2742" i="4"/>
  <c r="F2742" i="4" s="1"/>
  <c r="E2743" i="4"/>
  <c r="F2743" i="4" s="1"/>
  <c r="E2744" i="4"/>
  <c r="F2744" i="4" s="1"/>
  <c r="E2745" i="4"/>
  <c r="F2745" i="4" s="1"/>
  <c r="E2746" i="4"/>
  <c r="F2746" i="4" s="1"/>
  <c r="E2747" i="4"/>
  <c r="F2747" i="4" s="1"/>
  <c r="E2748" i="4"/>
  <c r="F2748" i="4" s="1"/>
  <c r="E2749" i="4"/>
  <c r="F2749" i="4" s="1"/>
  <c r="E2750" i="4"/>
  <c r="F2750" i="4" s="1"/>
  <c r="E2751" i="4"/>
  <c r="F2751" i="4" s="1"/>
  <c r="E2752" i="4"/>
  <c r="F2752" i="4" s="1"/>
  <c r="E2753" i="4"/>
  <c r="E2754" i="4"/>
  <c r="F2754" i="4" s="1"/>
  <c r="E2755" i="4"/>
  <c r="F2755" i="4" s="1"/>
  <c r="E2756" i="4"/>
  <c r="F2756" i="4" s="1"/>
  <c r="E2757" i="4"/>
  <c r="F2757" i="4" s="1"/>
  <c r="E2758" i="4"/>
  <c r="F2758" i="4" s="1"/>
  <c r="E2759" i="4"/>
  <c r="F2759" i="4" s="1"/>
  <c r="E2760" i="4"/>
  <c r="F2760" i="4" s="1"/>
  <c r="E2761" i="4"/>
  <c r="F2761" i="4" s="1"/>
  <c r="E2762" i="4"/>
  <c r="F2762" i="4" s="1"/>
  <c r="E2763" i="4"/>
  <c r="F2763" i="4" s="1"/>
  <c r="E2764" i="4"/>
  <c r="E2765" i="4"/>
  <c r="F2765" i="4" s="1"/>
  <c r="E2766" i="4"/>
  <c r="F2766" i="4" s="1"/>
  <c r="E2767" i="4"/>
  <c r="F2767" i="4" s="1"/>
  <c r="E2768" i="4"/>
  <c r="F2768" i="4" s="1"/>
  <c r="E2769" i="4"/>
  <c r="F2769" i="4" s="1"/>
  <c r="E2770" i="4"/>
  <c r="F2770" i="4" s="1"/>
  <c r="E2771" i="4"/>
  <c r="F2771" i="4" s="1"/>
  <c r="E2772" i="4"/>
  <c r="F2772" i="4" s="1"/>
  <c r="E2773" i="4"/>
  <c r="F2773" i="4" s="1"/>
  <c r="E2774" i="4"/>
  <c r="F2774" i="4" s="1"/>
  <c r="E2775" i="4"/>
  <c r="F2775" i="4" s="1"/>
  <c r="E2776" i="4"/>
  <c r="E2777" i="4"/>
  <c r="F2777" i="4" s="1"/>
  <c r="E2778" i="4"/>
  <c r="F2778" i="4" s="1"/>
  <c r="E2779" i="4"/>
  <c r="F2779" i="4" s="1"/>
  <c r="E2780" i="4"/>
  <c r="F2780" i="4" s="1"/>
  <c r="E2781" i="4"/>
  <c r="F2781" i="4" s="1"/>
  <c r="E2782" i="4"/>
  <c r="F2782" i="4" s="1"/>
  <c r="E2783" i="4"/>
  <c r="F2783" i="4" s="1"/>
  <c r="E2784" i="4"/>
  <c r="F2784" i="4" s="1"/>
  <c r="E2785" i="4"/>
  <c r="F2785" i="4" s="1"/>
  <c r="E2786" i="4"/>
  <c r="F2786" i="4" s="1"/>
  <c r="E2787" i="4"/>
  <c r="F2787" i="4" s="1"/>
  <c r="E2788" i="4"/>
  <c r="F2788" i="4" s="1"/>
  <c r="E2789" i="4"/>
  <c r="F2789" i="4" s="1"/>
  <c r="E2790" i="4"/>
  <c r="E2791" i="4"/>
  <c r="F2791" i="4" s="1"/>
  <c r="E2792" i="4"/>
  <c r="F2792" i="4" s="1"/>
  <c r="E2793" i="4"/>
  <c r="F2793" i="4" s="1"/>
  <c r="E2794" i="4"/>
  <c r="F2794" i="4" s="1"/>
  <c r="E2795" i="4"/>
  <c r="F2795" i="4" s="1"/>
  <c r="E2796" i="4"/>
  <c r="F2796" i="4" s="1"/>
  <c r="E2797" i="4"/>
  <c r="F2797" i="4" s="1"/>
  <c r="E2798" i="4"/>
  <c r="F2798" i="4" s="1"/>
  <c r="E2799" i="4"/>
  <c r="F2799" i="4" s="1"/>
  <c r="E2800" i="4"/>
  <c r="F2800" i="4" s="1"/>
  <c r="E2801" i="4"/>
  <c r="F2801" i="4" s="1"/>
  <c r="E2802" i="4"/>
  <c r="F2802" i="4" s="1"/>
  <c r="E2803" i="4"/>
  <c r="F2803" i="4" s="1"/>
  <c r="E2804" i="4"/>
  <c r="F2804" i="4" s="1"/>
  <c r="E2805" i="4"/>
  <c r="F2805" i="4" s="1"/>
  <c r="E2806" i="4"/>
  <c r="F2806" i="4" s="1"/>
  <c r="E2807" i="4"/>
  <c r="F2807" i="4" s="1"/>
  <c r="E2808" i="4"/>
  <c r="F2808" i="4" s="1"/>
  <c r="E2809" i="4"/>
  <c r="F2809" i="4" s="1"/>
  <c r="E2810" i="4"/>
  <c r="F2810" i="4" s="1"/>
  <c r="E2811" i="4"/>
  <c r="F2811" i="4" s="1"/>
  <c r="E2812" i="4"/>
  <c r="F2812" i="4" s="1"/>
  <c r="E2813" i="4"/>
  <c r="F2813" i="4" s="1"/>
  <c r="E2814" i="4"/>
  <c r="F2814" i="4" s="1"/>
  <c r="E2815" i="4"/>
  <c r="F2815" i="4" s="1"/>
  <c r="E2816" i="4"/>
  <c r="F2816" i="4" s="1"/>
  <c r="E2817" i="4"/>
  <c r="F2817" i="4" s="1"/>
  <c r="E2818" i="4"/>
  <c r="F2818" i="4" s="1"/>
  <c r="E2819" i="4"/>
  <c r="F2819" i="4" s="1"/>
  <c r="E2820" i="4"/>
  <c r="E2821" i="4"/>
  <c r="F2821" i="4" s="1"/>
  <c r="E2822" i="4"/>
  <c r="F2822" i="4" s="1"/>
  <c r="E2823" i="4"/>
  <c r="F2823" i="4" s="1"/>
  <c r="E2824" i="4"/>
  <c r="F2824" i="4" s="1"/>
  <c r="E2825" i="4"/>
  <c r="F2825" i="4" s="1"/>
  <c r="E2826" i="4"/>
  <c r="F2826" i="4" s="1"/>
  <c r="E2827" i="4"/>
  <c r="F2827" i="4" s="1"/>
  <c r="E2828" i="4"/>
  <c r="F2828" i="4" s="1"/>
  <c r="E2829" i="4"/>
  <c r="F2829" i="4" s="1"/>
  <c r="E2830" i="4"/>
  <c r="F2830" i="4" s="1"/>
  <c r="E2831" i="4"/>
  <c r="F2831" i="4" s="1"/>
  <c r="E2832" i="4"/>
  <c r="F2832" i="4" s="1"/>
  <c r="E2833" i="4"/>
  <c r="E2834" i="4"/>
  <c r="F2834" i="4" s="1"/>
  <c r="E2835" i="4"/>
  <c r="F2835" i="4" s="1"/>
  <c r="E2836" i="4"/>
  <c r="F2836" i="4" s="1"/>
  <c r="E2837" i="4"/>
  <c r="F2837" i="4" s="1"/>
  <c r="E2838" i="4"/>
  <c r="F2838" i="4" s="1"/>
  <c r="E2839" i="4"/>
  <c r="F2839" i="4" s="1"/>
  <c r="E2840" i="4"/>
  <c r="F2840" i="4" s="1"/>
  <c r="E2841" i="4"/>
  <c r="F2841" i="4" s="1"/>
  <c r="E2842" i="4"/>
  <c r="F2842" i="4" s="1"/>
  <c r="E2843" i="4"/>
  <c r="F2843" i="4" s="1"/>
  <c r="E2844" i="4"/>
  <c r="F2844" i="4" s="1"/>
  <c r="E2845" i="4"/>
  <c r="F2845" i="4" s="1"/>
  <c r="E2846" i="4"/>
  <c r="F2846" i="4" s="1"/>
  <c r="E2847" i="4"/>
  <c r="E2848" i="4"/>
  <c r="F2848" i="4" s="1"/>
  <c r="E2849" i="4"/>
  <c r="F2849" i="4" s="1"/>
  <c r="E2850" i="4"/>
  <c r="F2850" i="4" s="1"/>
  <c r="E2851" i="4"/>
  <c r="F2851" i="4" s="1"/>
  <c r="E2852" i="4"/>
  <c r="F2852" i="4" s="1"/>
  <c r="E2853" i="4"/>
  <c r="F2853" i="4" s="1"/>
  <c r="E2854" i="4"/>
  <c r="F2854" i="4" s="1"/>
  <c r="E2855" i="4"/>
  <c r="F2855" i="4" s="1"/>
  <c r="E2856" i="4"/>
  <c r="F2856" i="4" s="1"/>
  <c r="E2857" i="4"/>
  <c r="F2857" i="4" s="1"/>
  <c r="E2858" i="4"/>
  <c r="F2858" i="4" s="1"/>
  <c r="E2859" i="4"/>
  <c r="F2859" i="4" s="1"/>
  <c r="E2860" i="4"/>
  <c r="F2860" i="4" s="1"/>
  <c r="E2861" i="4"/>
  <c r="E2862" i="4"/>
  <c r="F2862" i="4" s="1"/>
  <c r="E2863" i="4"/>
  <c r="F2863" i="4" s="1"/>
  <c r="E2864" i="4"/>
  <c r="F2864" i="4" s="1"/>
  <c r="E2865" i="4"/>
  <c r="F2865" i="4" s="1"/>
  <c r="E2866" i="4"/>
  <c r="F2866" i="4" s="1"/>
  <c r="E2867" i="4"/>
  <c r="E2868" i="4"/>
  <c r="F2868" i="4" s="1"/>
  <c r="E2869" i="4"/>
  <c r="F2869" i="4" s="1"/>
  <c r="E2870" i="4"/>
  <c r="F2870" i="4" s="1"/>
  <c r="E2871" i="4"/>
  <c r="F2871" i="4" s="1"/>
  <c r="E2872" i="4"/>
  <c r="F2872" i="4" s="1"/>
  <c r="E2873" i="4"/>
  <c r="F2873" i="4" s="1"/>
  <c r="E2874" i="4"/>
  <c r="F2874" i="4" s="1"/>
  <c r="E2875" i="4"/>
  <c r="F2875" i="4" s="1"/>
  <c r="E2876" i="4"/>
  <c r="F2876" i="4" s="1"/>
  <c r="E2877" i="4"/>
  <c r="F2877" i="4" s="1"/>
  <c r="E2878" i="4"/>
  <c r="E2879" i="4"/>
  <c r="F2879" i="4" s="1"/>
  <c r="E2880" i="4"/>
  <c r="F2880" i="4" s="1"/>
  <c r="E2881" i="4"/>
  <c r="F2881" i="4" s="1"/>
  <c r="E2882" i="4"/>
  <c r="F2882" i="4" s="1"/>
  <c r="E2883" i="4"/>
  <c r="F2883" i="4" s="1"/>
  <c r="E2884" i="4"/>
  <c r="F2884" i="4" s="1"/>
  <c r="E2885" i="4"/>
  <c r="F2885" i="4" s="1"/>
  <c r="E2886" i="4"/>
  <c r="F2886" i="4" s="1"/>
  <c r="E2887" i="4"/>
  <c r="F2887" i="4" s="1"/>
  <c r="E2888" i="4"/>
  <c r="F2888" i="4" s="1"/>
  <c r="E2889" i="4"/>
  <c r="F2889" i="4" s="1"/>
  <c r="E2890" i="4"/>
  <c r="E2891" i="4"/>
  <c r="F2891" i="4" s="1"/>
  <c r="E2892" i="4"/>
  <c r="F2892" i="4" s="1"/>
  <c r="E2893" i="4"/>
  <c r="F2893" i="4" s="1"/>
  <c r="E2894" i="4"/>
  <c r="F2894" i="4" s="1"/>
  <c r="E2895" i="4"/>
  <c r="F2895" i="4" s="1"/>
  <c r="E2896" i="4"/>
  <c r="F2896" i="4" s="1"/>
  <c r="E2897" i="4"/>
  <c r="F2897" i="4" s="1"/>
  <c r="E2898" i="4"/>
  <c r="F2898" i="4" s="1"/>
  <c r="E2899" i="4"/>
  <c r="F2899" i="4" s="1"/>
  <c r="E2900" i="4"/>
  <c r="F2900" i="4" s="1"/>
  <c r="E2901" i="4"/>
  <c r="F2901" i="4" s="1"/>
  <c r="E2902" i="4"/>
  <c r="F2902" i="4" s="1"/>
  <c r="E2903" i="4"/>
  <c r="F2903" i="4" s="1"/>
  <c r="E2904" i="4"/>
  <c r="F2904" i="4" s="1"/>
  <c r="E2905" i="4"/>
  <c r="F2905" i="4" s="1"/>
  <c r="E2906" i="4"/>
  <c r="F2906" i="4" s="1"/>
  <c r="E2907" i="4"/>
  <c r="F2907" i="4" s="1"/>
  <c r="E2908" i="4"/>
  <c r="F2908" i="4" s="1"/>
  <c r="E2909" i="4"/>
  <c r="F2909" i="4" s="1"/>
  <c r="E2910" i="4"/>
  <c r="E2911" i="4"/>
  <c r="F2911" i="4" s="1"/>
  <c r="E2912" i="4"/>
  <c r="F2912" i="4" s="1"/>
  <c r="E2913" i="4"/>
  <c r="F2913" i="4" s="1"/>
  <c r="E2914" i="4"/>
  <c r="F2914" i="4" s="1"/>
  <c r="E2915" i="4"/>
  <c r="F2915" i="4" s="1"/>
  <c r="E2916" i="4"/>
  <c r="F2916" i="4" s="1"/>
  <c r="E2917" i="4"/>
  <c r="F2917" i="4" s="1"/>
  <c r="E2918" i="4"/>
  <c r="F2918" i="4" s="1"/>
  <c r="E2919" i="4"/>
  <c r="F2919" i="4" s="1"/>
  <c r="E2920" i="4"/>
  <c r="F2920" i="4" s="1"/>
  <c r="E2921" i="4"/>
  <c r="F2921" i="4" s="1"/>
  <c r="E2922" i="4"/>
  <c r="F2922" i="4" s="1"/>
  <c r="E2923" i="4"/>
  <c r="F2923" i="4" s="1"/>
  <c r="E2924" i="4"/>
  <c r="F2924" i="4" s="1"/>
  <c r="E2925" i="4"/>
  <c r="F2925" i="4" s="1"/>
  <c r="E2926" i="4"/>
  <c r="F2926" i="4" s="1"/>
  <c r="E2927" i="4"/>
  <c r="F2927" i="4" s="1"/>
  <c r="E2928" i="4"/>
  <c r="F2928" i="4" s="1"/>
  <c r="E2929" i="4"/>
  <c r="F2929" i="4" s="1"/>
  <c r="E2930" i="4"/>
  <c r="F2930" i="4" s="1"/>
  <c r="E2931" i="4"/>
  <c r="F2931" i="4" s="1"/>
  <c r="E2932" i="4"/>
  <c r="F2932" i="4" s="1"/>
  <c r="E2933" i="4"/>
  <c r="F2933" i="4" s="1"/>
  <c r="E2934" i="4"/>
  <c r="F2934" i="4" s="1"/>
  <c r="E2935" i="4"/>
  <c r="F2935" i="4" s="1"/>
  <c r="E2936" i="4"/>
  <c r="F2936" i="4" s="1"/>
  <c r="E2937" i="4"/>
  <c r="E2938" i="4"/>
  <c r="F2938" i="4" s="1"/>
  <c r="E2939" i="4"/>
  <c r="F2939" i="4" s="1"/>
  <c r="E2940" i="4"/>
  <c r="F2940" i="4" s="1"/>
  <c r="E2941" i="4"/>
  <c r="F2941" i="4" s="1"/>
  <c r="E2942" i="4"/>
  <c r="F2942" i="4" s="1"/>
  <c r="E2943" i="4"/>
  <c r="F2943" i="4" s="1"/>
  <c r="E2944" i="4"/>
  <c r="F2944" i="4" s="1"/>
  <c r="E2945" i="4"/>
  <c r="F2945" i="4" s="1"/>
  <c r="E2946" i="4"/>
  <c r="F2946" i="4" s="1"/>
  <c r="E2947" i="4"/>
  <c r="F2947" i="4" s="1"/>
  <c r="E2948" i="4"/>
  <c r="F2948" i="4" s="1"/>
  <c r="E2949" i="4"/>
  <c r="F2949" i="4" s="1"/>
  <c r="E2950" i="4"/>
  <c r="F2950" i="4" s="1"/>
  <c r="E2951" i="4"/>
  <c r="F2951" i="4" s="1"/>
  <c r="E2952" i="4"/>
  <c r="F2952" i="4" s="1"/>
  <c r="E2953" i="4"/>
  <c r="F2953" i="4" s="1"/>
  <c r="E2954" i="4"/>
  <c r="F2954" i="4" s="1"/>
  <c r="E2955" i="4"/>
  <c r="F2955" i="4" s="1"/>
  <c r="E2956" i="4"/>
  <c r="F2956" i="4" s="1"/>
  <c r="E2957" i="4"/>
  <c r="F2957" i="4" s="1"/>
  <c r="E2958" i="4"/>
  <c r="F2958" i="4" s="1"/>
  <c r="E2959" i="4"/>
  <c r="F2959" i="4" s="1"/>
  <c r="E2960" i="4"/>
  <c r="F2960" i="4" s="1"/>
  <c r="E2961" i="4"/>
  <c r="F2961" i="4" s="1"/>
  <c r="E2962" i="4"/>
  <c r="F2962" i="4" s="1"/>
  <c r="E2963" i="4"/>
  <c r="F2963" i="4" s="1"/>
  <c r="E2964" i="4"/>
  <c r="F2964" i="4" s="1"/>
  <c r="E2965" i="4"/>
  <c r="F2965" i="4" s="1"/>
  <c r="E2966" i="4"/>
  <c r="F2966" i="4" s="1"/>
  <c r="E2967" i="4"/>
  <c r="F2967" i="4" s="1"/>
  <c r="E2968" i="4"/>
  <c r="F2968" i="4" s="1"/>
  <c r="E2969" i="4"/>
  <c r="E2970" i="4"/>
  <c r="F2970" i="4" s="1"/>
  <c r="E2971" i="4"/>
  <c r="F2971" i="4" s="1"/>
  <c r="E2972" i="4"/>
  <c r="F2972" i="4" s="1"/>
  <c r="E2973" i="4"/>
  <c r="F2973" i="4" s="1"/>
  <c r="E2974" i="4"/>
  <c r="F2974" i="4" s="1"/>
  <c r="E2975" i="4"/>
  <c r="F2975" i="4" s="1"/>
  <c r="E2976" i="4"/>
  <c r="F2976" i="4" s="1"/>
  <c r="E2977" i="4"/>
  <c r="F2977" i="4" s="1"/>
  <c r="E2978" i="4"/>
  <c r="F2978" i="4" s="1"/>
  <c r="E2979" i="4"/>
  <c r="E2980" i="4"/>
  <c r="F2980" i="4" s="1"/>
  <c r="E2981" i="4"/>
  <c r="F2981" i="4" s="1"/>
  <c r="E2982" i="4"/>
  <c r="F2982" i="4" s="1"/>
  <c r="E2983" i="4"/>
  <c r="F2983" i="4" s="1"/>
  <c r="E2984" i="4"/>
  <c r="F2984" i="4" s="1"/>
  <c r="E2985" i="4"/>
  <c r="F2985" i="4" s="1"/>
  <c r="E2986" i="4"/>
  <c r="F2986" i="4" s="1"/>
  <c r="E2987" i="4"/>
  <c r="F2987" i="4" s="1"/>
  <c r="E2988" i="4"/>
  <c r="F2988" i="4" s="1"/>
  <c r="E2989" i="4"/>
  <c r="F2989" i="4" s="1"/>
  <c r="E2990" i="4"/>
  <c r="F2990" i="4" s="1"/>
  <c r="E2991" i="4"/>
  <c r="F2991" i="4" s="1"/>
  <c r="E2992" i="4"/>
  <c r="F2992" i="4" s="1"/>
  <c r="E2993" i="4"/>
  <c r="F2993" i="4" s="1"/>
  <c r="E2994" i="4"/>
  <c r="F2994" i="4" s="1"/>
  <c r="E2995" i="4"/>
  <c r="E2996" i="4"/>
  <c r="F2996" i="4" s="1"/>
  <c r="E2997" i="4"/>
  <c r="F2997" i="4" s="1"/>
  <c r="E2998" i="4"/>
  <c r="F2998" i="4" s="1"/>
  <c r="E2999" i="4"/>
  <c r="F2999" i="4" s="1"/>
  <c r="E3000" i="4"/>
  <c r="F3000" i="4" s="1"/>
  <c r="E3001" i="4"/>
  <c r="F3001" i="4" s="1"/>
  <c r="E3002" i="4"/>
  <c r="F3002" i="4" s="1"/>
  <c r="E3003" i="4"/>
  <c r="F3003" i="4" s="1"/>
  <c r="E3004" i="4"/>
  <c r="F3004" i="4" s="1"/>
  <c r="E3005" i="4"/>
  <c r="F3005" i="4" s="1"/>
  <c r="E3006" i="4"/>
  <c r="E3007" i="4"/>
  <c r="F3007" i="4" s="1"/>
  <c r="E3008" i="4"/>
  <c r="F3008" i="4" s="1"/>
  <c r="E3009" i="4"/>
  <c r="F3009" i="4" s="1"/>
  <c r="E3010" i="4"/>
  <c r="F3010" i="4" s="1"/>
  <c r="E3011" i="4"/>
  <c r="F3011" i="4" s="1"/>
  <c r="E3012" i="4"/>
  <c r="F3012" i="4" s="1"/>
  <c r="E3013" i="4"/>
  <c r="F3013" i="4" s="1"/>
  <c r="E3014" i="4"/>
  <c r="F3014" i="4" s="1"/>
  <c r="E3015" i="4"/>
  <c r="F3015" i="4" s="1"/>
  <c r="E3016" i="4"/>
  <c r="F3016" i="4" s="1"/>
  <c r="E3017" i="4"/>
  <c r="F3017" i="4" s="1"/>
  <c r="E3018" i="4"/>
  <c r="F3018" i="4" s="1"/>
  <c r="E3019" i="4"/>
  <c r="F3019" i="4" s="1"/>
  <c r="E3020" i="4"/>
  <c r="F3020" i="4" s="1"/>
  <c r="E3021" i="4"/>
  <c r="F3021" i="4" s="1"/>
  <c r="E3022" i="4"/>
  <c r="F3022" i="4" s="1"/>
  <c r="E3023" i="4"/>
  <c r="F3023" i="4" s="1"/>
  <c r="E3024" i="4"/>
  <c r="F3024" i="4" s="1"/>
  <c r="E3025" i="4"/>
  <c r="F3025" i="4" s="1"/>
  <c r="E3026" i="4"/>
  <c r="F3026" i="4" s="1"/>
  <c r="E3027" i="4"/>
  <c r="F3027" i="4" s="1"/>
  <c r="E3028" i="4"/>
  <c r="F3028" i="4" s="1"/>
  <c r="E3029" i="4"/>
  <c r="E3030" i="4"/>
  <c r="F3030" i="4" s="1"/>
  <c r="E3031" i="4"/>
  <c r="F3031" i="4" s="1"/>
  <c r="E3032" i="4"/>
  <c r="F3032" i="4" s="1"/>
  <c r="E3033" i="4"/>
  <c r="E3034" i="4"/>
  <c r="F3034" i="4" s="1"/>
  <c r="E3035" i="4"/>
  <c r="F3035" i="4" s="1"/>
  <c r="E3036" i="4"/>
  <c r="F3036" i="4" s="1"/>
  <c r="E3037" i="4"/>
  <c r="F3037" i="4" s="1"/>
  <c r="E3038" i="4"/>
  <c r="F3038" i="4" s="1"/>
  <c r="E3039" i="4"/>
  <c r="F3039" i="4" s="1"/>
  <c r="E3040" i="4"/>
  <c r="F3040" i="4" s="1"/>
  <c r="E3041" i="4"/>
  <c r="E3042" i="4"/>
  <c r="F3042" i="4" s="1"/>
  <c r="E3043" i="4"/>
  <c r="F3043" i="4" s="1"/>
  <c r="E3044" i="4"/>
  <c r="F3044" i="4" s="1"/>
  <c r="E3045" i="4"/>
  <c r="F3045" i="4" s="1"/>
  <c r="E3046" i="4"/>
  <c r="F3046" i="4" s="1"/>
  <c r="E3047" i="4"/>
  <c r="F3047" i="4" s="1"/>
  <c r="E3048" i="4"/>
  <c r="F3048" i="4" s="1"/>
  <c r="E3049" i="4"/>
  <c r="F3049" i="4" s="1"/>
  <c r="E3050" i="4"/>
  <c r="F3050" i="4" s="1"/>
  <c r="E3051" i="4"/>
  <c r="F3051" i="4" s="1"/>
  <c r="E3052" i="4"/>
  <c r="F3052" i="4" s="1"/>
  <c r="E3053" i="4"/>
  <c r="F3053" i="4" s="1"/>
  <c r="E3054" i="4"/>
  <c r="E3055" i="4"/>
  <c r="E3056" i="4"/>
  <c r="F3056" i="4" s="1"/>
  <c r="E3057" i="4"/>
  <c r="F3057" i="4" s="1"/>
  <c r="E3058" i="4"/>
  <c r="F3058" i="4" s="1"/>
  <c r="E3059" i="4"/>
  <c r="F3059" i="4" s="1"/>
  <c r="E3060" i="4"/>
  <c r="F3060" i="4" s="1"/>
  <c r="E3061" i="4"/>
  <c r="F3061" i="4" s="1"/>
  <c r="E3062" i="4"/>
  <c r="F3062" i="4" s="1"/>
  <c r="E3063" i="4"/>
  <c r="F3063" i="4" s="1"/>
  <c r="E3064" i="4"/>
  <c r="F3064" i="4" s="1"/>
  <c r="E3065" i="4"/>
  <c r="F3065" i="4" s="1"/>
  <c r="E3066" i="4"/>
  <c r="F3066" i="4" s="1"/>
  <c r="E3067" i="4"/>
  <c r="F3067" i="4" s="1"/>
  <c r="E3068" i="4"/>
  <c r="F3068" i="4" s="1"/>
  <c r="E3069" i="4"/>
  <c r="F3069" i="4" s="1"/>
  <c r="E3070" i="4"/>
  <c r="F3070" i="4" s="1"/>
  <c r="E3071" i="4"/>
  <c r="F3071" i="4" s="1"/>
  <c r="E3072" i="4"/>
  <c r="F3072" i="4" s="1"/>
  <c r="E3073" i="4"/>
  <c r="F3073" i="4" s="1"/>
  <c r="E3074" i="4"/>
  <c r="F3074" i="4" s="1"/>
  <c r="E3075" i="4"/>
  <c r="F3075" i="4" s="1"/>
  <c r="E3076" i="4"/>
  <c r="F3076" i="4" s="1"/>
  <c r="E3077" i="4"/>
  <c r="F3077" i="4" s="1"/>
  <c r="E3078" i="4"/>
  <c r="F3078" i="4" s="1"/>
  <c r="E3079" i="4"/>
  <c r="F3079" i="4" s="1"/>
  <c r="E3080" i="4"/>
  <c r="F3080" i="4" s="1"/>
  <c r="E3081" i="4"/>
  <c r="F3081" i="4" s="1"/>
  <c r="E3082" i="4"/>
  <c r="F3082" i="4" s="1"/>
  <c r="E3083" i="4"/>
  <c r="F3083" i="4" s="1"/>
  <c r="E3084" i="4"/>
  <c r="F3084" i="4" s="1"/>
  <c r="E3085" i="4"/>
  <c r="F3085" i="4" s="1"/>
  <c r="E3086" i="4"/>
  <c r="F3086" i="4" s="1"/>
  <c r="E3087" i="4"/>
  <c r="F3087" i="4" s="1"/>
  <c r="E3088" i="4"/>
  <c r="F3088" i="4" s="1"/>
  <c r="E3089" i="4"/>
  <c r="F3089" i="4" s="1"/>
  <c r="E3090" i="4"/>
  <c r="F3090" i="4" s="1"/>
  <c r="E3091" i="4"/>
  <c r="F3091" i="4" s="1"/>
  <c r="E3092" i="4"/>
  <c r="F3092" i="4" s="1"/>
  <c r="E3093" i="4"/>
  <c r="F3093" i="4" s="1"/>
  <c r="E3094" i="4"/>
  <c r="F3094" i="4" s="1"/>
  <c r="E3095" i="4"/>
  <c r="F3095" i="4" s="1"/>
  <c r="E3096" i="4"/>
  <c r="F3096" i="4" s="1"/>
  <c r="E3097" i="4"/>
  <c r="F3097" i="4" s="1"/>
  <c r="E3098" i="4"/>
  <c r="F3098" i="4" s="1"/>
  <c r="E3099" i="4"/>
  <c r="F3099" i="4" s="1"/>
  <c r="E3100" i="4"/>
  <c r="F3100" i="4" s="1"/>
  <c r="E3101" i="4"/>
  <c r="F3101" i="4" s="1"/>
  <c r="E3102" i="4"/>
  <c r="F3102" i="4" s="1"/>
  <c r="E3103" i="4"/>
  <c r="F3103" i="4" s="1"/>
  <c r="E3104" i="4"/>
  <c r="F3104" i="4" s="1"/>
  <c r="E3105" i="4"/>
  <c r="F3105" i="4" s="1"/>
  <c r="E3106" i="4"/>
  <c r="F3106" i="4" s="1"/>
  <c r="E3107" i="4"/>
  <c r="F3107" i="4" s="1"/>
  <c r="E3108" i="4"/>
  <c r="F3108" i="4" s="1"/>
  <c r="E3109" i="4"/>
  <c r="F3109" i="4" s="1"/>
  <c r="E3110" i="4"/>
  <c r="F3110" i="4" s="1"/>
  <c r="E3111" i="4"/>
  <c r="F3111" i="4" s="1"/>
  <c r="E3112" i="4"/>
  <c r="F3112" i="4" s="1"/>
  <c r="E3113" i="4"/>
  <c r="F3113" i="4" s="1"/>
  <c r="E3114" i="4"/>
  <c r="F3114" i="4" s="1"/>
  <c r="E3115" i="4"/>
  <c r="F3115" i="4" s="1"/>
  <c r="E3116" i="4"/>
  <c r="F3116" i="4" s="1"/>
  <c r="E3117" i="4"/>
  <c r="F3117" i="4" s="1"/>
  <c r="E3118" i="4"/>
  <c r="F3118" i="4" s="1"/>
  <c r="E3119" i="4"/>
  <c r="F3119" i="4" s="1"/>
  <c r="E3120" i="4"/>
  <c r="F3120" i="4" s="1"/>
  <c r="E3121" i="4"/>
  <c r="F3121" i="4" s="1"/>
  <c r="E3122" i="4"/>
  <c r="F3122" i="4" s="1"/>
  <c r="E3123" i="4"/>
  <c r="F3123" i="4" s="1"/>
  <c r="E3124" i="4"/>
  <c r="E3125" i="4"/>
  <c r="F3125" i="4" s="1"/>
  <c r="E3126" i="4"/>
  <c r="F3126" i="4" s="1"/>
  <c r="E3127" i="4"/>
  <c r="F3127" i="4" s="1"/>
  <c r="E3128" i="4"/>
  <c r="F3128" i="4" s="1"/>
  <c r="E3129" i="4"/>
  <c r="F3129" i="4" s="1"/>
  <c r="E3130" i="4"/>
  <c r="F3130" i="4" s="1"/>
  <c r="E3131" i="4"/>
  <c r="F3131" i="4" s="1"/>
  <c r="E3132" i="4"/>
  <c r="F3132" i="4" s="1"/>
  <c r="E3133" i="4"/>
  <c r="F3133" i="4" s="1"/>
  <c r="E3134" i="4"/>
  <c r="F3134" i="4" s="1"/>
  <c r="E3135" i="4"/>
  <c r="F3135" i="4" s="1"/>
  <c r="E3136" i="4"/>
  <c r="F3136" i="4" s="1"/>
  <c r="E3137" i="4"/>
  <c r="F3137" i="4" s="1"/>
  <c r="E3138" i="4"/>
  <c r="F3138" i="4" s="1"/>
  <c r="E3139" i="4"/>
  <c r="F3139" i="4" s="1"/>
  <c r="E3140" i="4"/>
  <c r="F3140" i="4" s="1"/>
  <c r="E3141" i="4"/>
  <c r="F3141" i="4" s="1"/>
  <c r="E3142" i="4"/>
  <c r="F3142" i="4" s="1"/>
  <c r="E3143" i="4"/>
  <c r="F3143" i="4" s="1"/>
  <c r="E3144" i="4"/>
  <c r="F3144" i="4" s="1"/>
  <c r="E3145" i="4"/>
  <c r="F3145" i="4" s="1"/>
  <c r="E3146" i="4"/>
  <c r="F3146" i="4" s="1"/>
  <c r="E3147" i="4"/>
  <c r="F3147" i="4" s="1"/>
  <c r="E3148" i="4"/>
  <c r="F3148" i="4" s="1"/>
  <c r="E3149" i="4"/>
  <c r="F3149" i="4" s="1"/>
  <c r="E3150" i="4"/>
  <c r="F3150" i="4" s="1"/>
  <c r="E3151" i="4"/>
  <c r="E3152" i="4"/>
  <c r="F3152" i="4" s="1"/>
  <c r="E3153" i="4"/>
  <c r="F3153" i="4" s="1"/>
  <c r="E3154" i="4"/>
  <c r="F3154" i="4" s="1"/>
  <c r="E3155" i="4"/>
  <c r="F3155" i="4" s="1"/>
  <c r="E3156" i="4"/>
  <c r="F3156" i="4" s="1"/>
  <c r="E3157" i="4"/>
  <c r="F3157" i="4" s="1"/>
  <c r="E3158" i="4"/>
  <c r="F3158" i="4" s="1"/>
  <c r="E3159" i="4"/>
  <c r="F3159" i="4" s="1"/>
  <c r="E3160" i="4"/>
  <c r="F3160" i="4" s="1"/>
  <c r="E3161" i="4"/>
  <c r="E3162" i="4"/>
  <c r="F3162" i="4" s="1"/>
  <c r="E3163" i="4"/>
  <c r="F3163" i="4" s="1"/>
  <c r="E3164" i="4"/>
  <c r="F3164" i="4" s="1"/>
  <c r="E3165" i="4"/>
  <c r="F3165" i="4" s="1"/>
  <c r="E3166" i="4"/>
  <c r="F3166" i="4" s="1"/>
  <c r="E3167" i="4"/>
  <c r="F3167" i="4" s="1"/>
  <c r="E3168" i="4"/>
  <c r="F3168" i="4" s="1"/>
  <c r="E3169" i="4"/>
  <c r="F3169" i="4" s="1"/>
  <c r="E3170" i="4"/>
  <c r="F3170" i="4" s="1"/>
  <c r="E3171" i="4"/>
  <c r="F3171" i="4" s="1"/>
  <c r="E3172" i="4"/>
  <c r="F3172" i="4" s="1"/>
  <c r="E3173" i="4"/>
  <c r="F3173" i="4" s="1"/>
  <c r="E3174" i="4"/>
  <c r="F3174" i="4" s="1"/>
  <c r="E3175" i="4"/>
  <c r="F3175" i="4" s="1"/>
  <c r="E3176" i="4"/>
  <c r="F3176" i="4" s="1"/>
  <c r="E3177" i="4"/>
  <c r="F3177" i="4" s="1"/>
  <c r="E3178" i="4"/>
  <c r="F3178" i="4" s="1"/>
  <c r="E3179" i="4"/>
  <c r="E3180" i="4"/>
  <c r="F3180" i="4" s="1"/>
  <c r="E3181" i="4"/>
  <c r="F3181" i="4" s="1"/>
  <c r="E3182" i="4"/>
  <c r="F3182" i="4" s="1"/>
  <c r="E3183" i="4"/>
  <c r="F3183" i="4" s="1"/>
  <c r="E3184" i="4"/>
  <c r="F3184" i="4" s="1"/>
  <c r="E3185" i="4"/>
  <c r="F3185" i="4" s="1"/>
  <c r="E3186" i="4"/>
  <c r="F3186" i="4" s="1"/>
  <c r="E3187" i="4"/>
  <c r="F3187" i="4" s="1"/>
  <c r="E3188" i="4"/>
  <c r="F3188" i="4" s="1"/>
  <c r="E3189" i="4"/>
  <c r="F3189" i="4" s="1"/>
  <c r="E3190" i="4"/>
  <c r="F3190" i="4" s="1"/>
  <c r="E3191" i="4"/>
  <c r="F3191" i="4" s="1"/>
  <c r="E3192" i="4"/>
  <c r="F3192" i="4" s="1"/>
  <c r="E3193" i="4"/>
  <c r="F3193" i="4" s="1"/>
  <c r="E3194" i="4"/>
  <c r="F3194" i="4" s="1"/>
  <c r="E3195" i="4"/>
  <c r="F3195" i="4" s="1"/>
  <c r="E3196" i="4"/>
  <c r="F3196" i="4" s="1"/>
  <c r="E3197" i="4"/>
  <c r="F3197" i="4" s="1"/>
  <c r="E3198" i="4"/>
  <c r="F3198" i="4" s="1"/>
  <c r="E3199" i="4"/>
  <c r="F3199" i="4" s="1"/>
  <c r="E3200" i="4"/>
  <c r="F3200" i="4" s="1"/>
  <c r="E3201" i="4"/>
  <c r="F3201" i="4" s="1"/>
  <c r="E3202" i="4"/>
  <c r="F3202" i="4" s="1"/>
  <c r="E3203" i="4"/>
  <c r="E3204" i="4"/>
  <c r="F3204" i="4" s="1"/>
  <c r="E3205" i="4"/>
  <c r="F3205" i="4" s="1"/>
  <c r="E3206" i="4"/>
  <c r="F3206" i="4" s="1"/>
  <c r="E3207" i="4"/>
  <c r="E3208" i="4"/>
  <c r="F3208" i="4" s="1"/>
  <c r="E3209" i="4"/>
  <c r="F3209" i="4" s="1"/>
  <c r="E3210" i="4"/>
  <c r="F3210" i="4" s="1"/>
  <c r="E3211" i="4"/>
  <c r="F3211" i="4" s="1"/>
  <c r="E3212" i="4"/>
  <c r="F3212" i="4" s="1"/>
  <c r="E3213" i="4"/>
  <c r="F3213" i="4" s="1"/>
  <c r="E3214" i="4"/>
  <c r="F3214" i="4" s="1"/>
  <c r="E3215" i="4"/>
  <c r="F3215" i="4" s="1"/>
  <c r="E3216" i="4"/>
  <c r="F3216" i="4" s="1"/>
  <c r="E3217" i="4"/>
  <c r="F3217" i="4" s="1"/>
  <c r="E3218" i="4"/>
  <c r="F3218" i="4" s="1"/>
  <c r="E3219" i="4"/>
  <c r="F3219" i="4" s="1"/>
  <c r="E3220" i="4"/>
  <c r="F3220" i="4" s="1"/>
  <c r="E3221" i="4"/>
  <c r="F3221" i="4" s="1"/>
  <c r="E3222" i="4"/>
  <c r="F3222" i="4" s="1"/>
  <c r="E3223" i="4"/>
  <c r="F3223" i="4" s="1"/>
  <c r="E3224" i="4"/>
  <c r="F3224" i="4" s="1"/>
  <c r="E3225" i="4"/>
  <c r="F3225" i="4" s="1"/>
  <c r="E3226" i="4"/>
  <c r="F3226" i="4" s="1"/>
  <c r="E3227" i="4"/>
  <c r="F3227" i="4" s="1"/>
  <c r="E3228" i="4"/>
  <c r="F3228" i="4" s="1"/>
  <c r="E3229" i="4"/>
  <c r="F3229" i="4" s="1"/>
  <c r="E3230" i="4"/>
  <c r="F3230" i="4" s="1"/>
  <c r="E3231" i="4"/>
  <c r="F3231" i="4" s="1"/>
  <c r="E3232" i="4"/>
  <c r="F3232" i="4" s="1"/>
  <c r="E3233" i="4"/>
  <c r="F3233" i="4" s="1"/>
  <c r="E3234" i="4"/>
  <c r="F3234" i="4" s="1"/>
  <c r="E3235" i="4"/>
  <c r="F3235" i="4" s="1"/>
  <c r="E3236" i="4"/>
  <c r="F3236" i="4" s="1"/>
  <c r="E3237" i="4"/>
  <c r="F3237" i="4" s="1"/>
  <c r="E3238" i="4"/>
  <c r="F3238" i="4" s="1"/>
  <c r="E3239" i="4"/>
  <c r="F3239" i="4" s="1"/>
  <c r="E3240" i="4"/>
  <c r="F3240" i="4" s="1"/>
  <c r="E3241" i="4"/>
  <c r="F3241" i="4" s="1"/>
  <c r="E3242" i="4"/>
  <c r="F3242" i="4" s="1"/>
  <c r="E3243" i="4"/>
  <c r="F3243" i="4" s="1"/>
  <c r="E3244" i="4"/>
  <c r="F3244" i="4" s="1"/>
  <c r="E3245" i="4"/>
  <c r="F3245" i="4" s="1"/>
  <c r="E3246" i="4"/>
  <c r="F3246" i="4" s="1"/>
  <c r="E3247" i="4"/>
  <c r="F3247" i="4" s="1"/>
  <c r="E3248" i="4"/>
  <c r="F3248" i="4" s="1"/>
  <c r="E3249" i="4"/>
  <c r="F3249" i="4" s="1"/>
  <c r="E3250" i="4"/>
  <c r="F3250" i="4" s="1"/>
  <c r="E3251" i="4"/>
  <c r="F3251" i="4" s="1"/>
  <c r="E3252" i="4"/>
  <c r="F3252" i="4" s="1"/>
  <c r="E3253" i="4"/>
  <c r="F3253" i="4" s="1"/>
  <c r="E3254" i="4"/>
  <c r="F3254" i="4" s="1"/>
  <c r="E3255" i="4"/>
  <c r="F3255" i="4" s="1"/>
  <c r="E3256" i="4"/>
  <c r="F3256" i="4" s="1"/>
  <c r="E3257" i="4"/>
  <c r="F3257" i="4" s="1"/>
  <c r="E3258" i="4"/>
  <c r="F3258" i="4" s="1"/>
  <c r="E3259" i="4"/>
  <c r="F3259" i="4" s="1"/>
  <c r="E3260" i="4"/>
  <c r="F3260" i="4" s="1"/>
  <c r="E3261" i="4"/>
  <c r="F3261" i="4" s="1"/>
  <c r="E3262" i="4"/>
  <c r="F3262" i="4" s="1"/>
  <c r="E3263" i="4"/>
  <c r="F3263" i="4" s="1"/>
  <c r="E3264" i="4"/>
  <c r="F3264" i="4" s="1"/>
  <c r="E3265" i="4"/>
  <c r="F3265" i="4" s="1"/>
  <c r="E3266" i="4"/>
  <c r="F3266" i="4" s="1"/>
  <c r="E3267" i="4"/>
  <c r="F3267" i="4" s="1"/>
  <c r="E3268" i="4"/>
  <c r="E3269" i="4"/>
  <c r="F3269" i="4" s="1"/>
  <c r="E3270" i="4"/>
  <c r="F3270" i="4" s="1"/>
  <c r="E3271" i="4"/>
  <c r="E3272" i="4"/>
  <c r="F3272" i="4" s="1"/>
  <c r="E3273" i="4"/>
  <c r="F3273" i="4" s="1"/>
  <c r="E3274" i="4"/>
  <c r="F3274" i="4" s="1"/>
  <c r="E3275" i="4"/>
  <c r="F3275" i="4" s="1"/>
  <c r="E3276" i="4"/>
  <c r="F3276" i="4" s="1"/>
  <c r="E3277" i="4"/>
  <c r="F3277" i="4" s="1"/>
  <c r="E3278" i="4"/>
  <c r="F3278" i="4" s="1"/>
  <c r="E3279" i="4"/>
  <c r="F3279" i="4" s="1"/>
  <c r="E3280" i="4"/>
  <c r="F3280" i="4" s="1"/>
  <c r="E3281" i="4"/>
  <c r="F3281" i="4" s="1"/>
  <c r="E3282" i="4"/>
  <c r="F3282" i="4" s="1"/>
  <c r="E3283" i="4"/>
  <c r="E3284" i="4"/>
  <c r="F3284" i="4" s="1"/>
  <c r="E3285" i="4"/>
  <c r="F3285" i="4" s="1"/>
  <c r="E3286" i="4"/>
  <c r="F3286" i="4" s="1"/>
  <c r="E3287" i="4"/>
  <c r="F3287" i="4" s="1"/>
  <c r="E3288" i="4"/>
  <c r="F3288" i="4" s="1"/>
  <c r="E3289" i="4"/>
  <c r="F3289" i="4" s="1"/>
  <c r="E3290" i="4"/>
  <c r="F3290" i="4" s="1"/>
  <c r="E3291" i="4"/>
  <c r="F3291" i="4" s="1"/>
  <c r="E3292" i="4"/>
  <c r="F3292" i="4" s="1"/>
  <c r="E3293" i="4"/>
  <c r="F3293" i="4" s="1"/>
  <c r="E3294" i="4"/>
  <c r="F3294" i="4" s="1"/>
  <c r="E3295" i="4"/>
  <c r="F3295" i="4" s="1"/>
  <c r="E3296" i="4"/>
  <c r="F3296" i="4" s="1"/>
  <c r="E3297" i="4"/>
  <c r="E3298" i="4"/>
  <c r="F3298" i="4" s="1"/>
  <c r="E3299" i="4"/>
  <c r="F3299" i="4" s="1"/>
  <c r="E3300" i="4"/>
  <c r="F3300" i="4" s="1"/>
  <c r="E3301" i="4"/>
  <c r="F3301" i="4" s="1"/>
  <c r="E3302" i="4"/>
  <c r="F3302" i="4" s="1"/>
  <c r="E3303" i="4"/>
  <c r="F3303" i="4" s="1"/>
  <c r="E3304" i="4"/>
  <c r="E3305" i="4"/>
  <c r="F3305" i="4" s="1"/>
  <c r="E3306" i="4"/>
  <c r="F3306" i="4" s="1"/>
  <c r="E3307" i="4"/>
  <c r="F3307" i="4" s="1"/>
  <c r="E3308" i="4"/>
  <c r="F3308" i="4" s="1"/>
  <c r="E3309" i="4"/>
  <c r="E3310" i="4"/>
  <c r="F3310" i="4" s="1"/>
  <c r="E3311" i="4"/>
  <c r="E3312" i="4"/>
  <c r="F3312" i="4" s="1"/>
  <c r="E3313" i="4"/>
  <c r="F3313" i="4" s="1"/>
  <c r="E3314" i="4"/>
  <c r="F3314" i="4" s="1"/>
  <c r="E3315" i="4"/>
  <c r="F3315" i="4" s="1"/>
  <c r="E3316" i="4"/>
  <c r="F3316" i="4" s="1"/>
  <c r="E3317" i="4"/>
  <c r="E3318" i="4"/>
  <c r="F3318" i="4" s="1"/>
  <c r="E3319" i="4"/>
  <c r="E3320" i="4"/>
  <c r="F3320" i="4" s="1"/>
  <c r="E3321" i="4"/>
  <c r="E3322" i="4"/>
  <c r="F3322" i="4" s="1"/>
  <c r="E3323" i="4"/>
  <c r="F3323" i="4" s="1"/>
  <c r="E3324" i="4"/>
  <c r="F3324" i="4" s="1"/>
  <c r="E3325" i="4"/>
  <c r="E3326" i="4"/>
  <c r="F3326" i="4" s="1"/>
  <c r="E3327" i="4"/>
  <c r="F3327" i="4" s="1"/>
  <c r="E3328" i="4"/>
  <c r="F3328" i="4" s="1"/>
  <c r="E3329" i="4"/>
  <c r="F3329" i="4" s="1"/>
  <c r="E3330" i="4"/>
  <c r="E3331" i="4"/>
  <c r="F3331" i="4" s="1"/>
  <c r="E3332" i="4"/>
  <c r="F3332" i="4" s="1"/>
  <c r="E3333" i="4"/>
  <c r="F3333" i="4" s="1"/>
  <c r="E3334" i="4"/>
  <c r="F3334" i="4" s="1"/>
  <c r="E3335" i="4"/>
  <c r="F3335" i="4" s="1"/>
  <c r="E3336" i="4"/>
  <c r="F3336" i="4" s="1"/>
  <c r="E3337" i="4"/>
  <c r="F3337" i="4" s="1"/>
  <c r="E3338" i="4"/>
  <c r="F3338" i="4" s="1"/>
  <c r="E3339" i="4"/>
  <c r="F3339" i="4" s="1"/>
  <c r="E3340" i="4"/>
  <c r="F3340" i="4" s="1"/>
  <c r="E3341" i="4"/>
  <c r="F3341" i="4" s="1"/>
  <c r="E3342" i="4"/>
  <c r="F3342" i="4" s="1"/>
  <c r="E3343" i="4"/>
  <c r="E3344" i="4"/>
  <c r="F3344" i="4" s="1"/>
  <c r="E3345" i="4"/>
  <c r="F3345" i="4" s="1"/>
  <c r="E3346" i="4"/>
  <c r="F3346" i="4" s="1"/>
  <c r="E3347" i="4"/>
  <c r="F3347" i="4" s="1"/>
  <c r="E3348" i="4"/>
  <c r="F3348" i="4" s="1"/>
  <c r="E3349" i="4"/>
  <c r="F3349" i="4" s="1"/>
  <c r="E3350" i="4"/>
  <c r="F3350" i="4" s="1"/>
  <c r="E3351" i="4"/>
  <c r="F3351" i="4" s="1"/>
  <c r="E3352" i="4"/>
  <c r="F3352" i="4" s="1"/>
  <c r="E3353" i="4"/>
  <c r="F3353" i="4" s="1"/>
  <c r="E3354" i="4"/>
  <c r="F3354" i="4" s="1"/>
  <c r="E3355" i="4"/>
  <c r="F3355" i="4" s="1"/>
  <c r="E3356" i="4"/>
  <c r="F3356" i="4" s="1"/>
  <c r="E3357" i="4"/>
  <c r="F3357" i="4" s="1"/>
  <c r="E3358" i="4"/>
  <c r="F3358" i="4" s="1"/>
  <c r="E3359" i="4"/>
  <c r="E3360" i="4"/>
  <c r="F3360" i="4" s="1"/>
  <c r="E3361" i="4"/>
  <c r="F3361" i="4" s="1"/>
  <c r="E3362" i="4"/>
  <c r="F3362" i="4" s="1"/>
  <c r="E3363" i="4"/>
  <c r="F3363" i="4" s="1"/>
  <c r="E3364" i="4"/>
  <c r="F3364" i="4" s="1"/>
  <c r="E3365" i="4"/>
  <c r="F3365" i="4" s="1"/>
  <c r="E3366" i="4"/>
  <c r="F3366" i="4" s="1"/>
  <c r="E3367" i="4"/>
  <c r="F3367" i="4" s="1"/>
  <c r="E3368" i="4"/>
  <c r="F3368" i="4" s="1"/>
  <c r="E3369" i="4"/>
  <c r="F3369" i="4" s="1"/>
  <c r="E3370" i="4"/>
  <c r="F3370" i="4" s="1"/>
  <c r="E3371" i="4"/>
  <c r="F3371" i="4" s="1"/>
  <c r="E3372" i="4"/>
  <c r="E3373" i="4"/>
  <c r="F3373" i="4" s="1"/>
  <c r="E3374" i="4"/>
  <c r="F3374" i="4" s="1"/>
  <c r="E3375" i="4"/>
  <c r="F3375" i="4" s="1"/>
  <c r="E3376" i="4"/>
  <c r="F3376" i="4" s="1"/>
  <c r="E3377" i="4"/>
  <c r="F3377" i="4" s="1"/>
  <c r="E3378" i="4"/>
  <c r="F3378" i="4" s="1"/>
  <c r="E3379" i="4"/>
  <c r="F3379" i="4" s="1"/>
  <c r="E3380" i="4"/>
  <c r="F3380" i="4" s="1"/>
  <c r="E3381" i="4"/>
  <c r="F3381" i="4" s="1"/>
  <c r="E3382" i="4"/>
  <c r="F3382" i="4" s="1"/>
  <c r="E3383" i="4"/>
  <c r="F3383" i="4" s="1"/>
  <c r="E3384" i="4"/>
  <c r="F3384" i="4" s="1"/>
  <c r="E3385" i="4"/>
  <c r="F3385" i="4" s="1"/>
  <c r="E3386" i="4"/>
  <c r="F3386" i="4" s="1"/>
  <c r="E3387" i="4"/>
  <c r="F3387" i="4" s="1"/>
  <c r="E3388" i="4"/>
  <c r="F3388" i="4" s="1"/>
  <c r="E3389" i="4"/>
  <c r="F3389" i="4" s="1"/>
  <c r="E3390" i="4"/>
  <c r="F3390" i="4" s="1"/>
  <c r="E3391" i="4"/>
  <c r="F3391" i="4" s="1"/>
  <c r="E3392" i="4"/>
  <c r="F3392" i="4" s="1"/>
  <c r="E3393" i="4"/>
  <c r="F3393" i="4" s="1"/>
  <c r="E3394" i="4"/>
  <c r="F3394" i="4" s="1"/>
  <c r="E3395" i="4"/>
  <c r="F3395" i="4" s="1"/>
  <c r="E3396" i="4"/>
  <c r="F3396" i="4" s="1"/>
  <c r="E3397" i="4"/>
  <c r="F3397" i="4" s="1"/>
  <c r="E3398" i="4"/>
  <c r="F3398" i="4" s="1"/>
  <c r="E3399" i="4"/>
  <c r="F3399" i="4" s="1"/>
  <c r="E3400" i="4"/>
  <c r="F3400" i="4" s="1"/>
  <c r="E3401" i="4"/>
  <c r="F3401" i="4" s="1"/>
  <c r="E3402" i="4"/>
  <c r="F3402" i="4" s="1"/>
  <c r="E3403" i="4"/>
  <c r="F3403" i="4" s="1"/>
  <c r="E3404" i="4"/>
  <c r="F3404" i="4" s="1"/>
  <c r="E3405" i="4"/>
  <c r="F3405" i="4" s="1"/>
  <c r="E3406" i="4"/>
  <c r="F3406" i="4" s="1"/>
  <c r="E3407" i="4"/>
  <c r="F3407" i="4" s="1"/>
  <c r="E3408" i="4"/>
  <c r="F3408" i="4" s="1"/>
  <c r="E3409" i="4"/>
  <c r="F3409" i="4" s="1"/>
  <c r="E3410" i="4"/>
  <c r="F3410" i="4" s="1"/>
  <c r="E3411" i="4"/>
  <c r="F3411" i="4" s="1"/>
  <c r="E3412" i="4"/>
  <c r="F3412" i="4" s="1"/>
  <c r="E3413" i="4"/>
  <c r="F3413" i="4" s="1"/>
  <c r="E3414" i="4"/>
  <c r="F3414" i="4" s="1"/>
  <c r="E3415" i="4"/>
  <c r="F3415" i="4" s="1"/>
  <c r="E3416" i="4"/>
  <c r="F3416" i="4" s="1"/>
  <c r="E3417" i="4"/>
  <c r="F3417" i="4" s="1"/>
  <c r="E3418" i="4"/>
  <c r="F3418" i="4" s="1"/>
  <c r="E3419" i="4"/>
  <c r="F3419" i="4" s="1"/>
  <c r="E3420" i="4"/>
  <c r="F3420" i="4" s="1"/>
  <c r="E3421" i="4"/>
  <c r="F3421" i="4" s="1"/>
  <c r="E3422" i="4"/>
  <c r="F3422" i="4" s="1"/>
  <c r="E3423" i="4"/>
  <c r="F3423" i="4" s="1"/>
  <c r="E3424" i="4"/>
  <c r="F3424" i="4" s="1"/>
  <c r="E3425" i="4"/>
  <c r="F3425" i="4" s="1"/>
  <c r="E3426" i="4"/>
  <c r="F3426" i="4" s="1"/>
  <c r="E3427" i="4"/>
  <c r="F3427" i="4" s="1"/>
  <c r="E3428" i="4"/>
  <c r="F3428" i="4" s="1"/>
  <c r="E3429" i="4"/>
  <c r="F3429" i="4" s="1"/>
  <c r="E3430" i="4"/>
  <c r="F3430" i="4" s="1"/>
  <c r="E3431" i="4"/>
  <c r="F3431" i="4" s="1"/>
  <c r="E3432" i="4"/>
  <c r="F3432" i="4" s="1"/>
  <c r="E3433" i="4"/>
  <c r="F3433" i="4" s="1"/>
  <c r="E3434" i="4"/>
  <c r="F3434" i="4" s="1"/>
  <c r="E3435" i="4"/>
  <c r="F3435" i="4" s="1"/>
  <c r="E3436" i="4"/>
  <c r="F3436" i="4" s="1"/>
  <c r="E3437" i="4"/>
  <c r="F3437" i="4" s="1"/>
  <c r="E3438" i="4"/>
  <c r="F3438" i="4" s="1"/>
  <c r="E3439" i="4"/>
  <c r="F3439" i="4" s="1"/>
  <c r="E3440" i="4"/>
  <c r="F3440" i="4" s="1"/>
  <c r="E3441" i="4"/>
  <c r="F3441" i="4" s="1"/>
  <c r="E3442" i="4"/>
  <c r="F3442" i="4" s="1"/>
  <c r="E3443" i="4"/>
  <c r="F3443" i="4" s="1"/>
  <c r="E3444" i="4"/>
  <c r="F3444" i="4" s="1"/>
  <c r="E3445" i="4"/>
  <c r="F3445" i="4" s="1"/>
  <c r="E3446" i="4"/>
  <c r="F3446" i="4" s="1"/>
  <c r="E3447" i="4"/>
  <c r="F3447" i="4" s="1"/>
  <c r="E3448" i="4"/>
  <c r="F3448" i="4" s="1"/>
  <c r="E3449" i="4"/>
  <c r="F3449" i="4" s="1"/>
  <c r="E3450" i="4"/>
  <c r="F3450" i="4" s="1"/>
  <c r="E3451" i="4"/>
  <c r="F3451" i="4" s="1"/>
  <c r="E3452" i="4"/>
  <c r="F3452" i="4" s="1"/>
  <c r="E3453" i="4"/>
  <c r="F3453" i="4" s="1"/>
  <c r="E3454" i="4"/>
  <c r="F3454" i="4" s="1"/>
  <c r="E3455" i="4"/>
  <c r="F3455" i="4" s="1"/>
  <c r="E3456" i="4"/>
  <c r="F3456" i="4" s="1"/>
  <c r="E3457" i="4"/>
  <c r="F3457" i="4" s="1"/>
  <c r="E3458" i="4"/>
  <c r="F3458" i="4" s="1"/>
  <c r="E3459" i="4"/>
  <c r="F3459" i="4" s="1"/>
  <c r="E3460" i="4"/>
  <c r="F3460" i="4" s="1"/>
  <c r="E3461" i="4"/>
  <c r="F3461" i="4" s="1"/>
  <c r="E3462" i="4"/>
  <c r="F3462" i="4" s="1"/>
  <c r="E3463" i="4"/>
  <c r="F3463" i="4" s="1"/>
  <c r="E3464" i="4"/>
  <c r="F3464" i="4" s="1"/>
  <c r="E3465" i="4"/>
  <c r="F3465" i="4" s="1"/>
  <c r="E3466" i="4"/>
  <c r="F3466" i="4" s="1"/>
  <c r="E3467" i="4"/>
  <c r="F3467" i="4" s="1"/>
  <c r="E3468" i="4"/>
  <c r="F3468" i="4" s="1"/>
  <c r="E3469" i="4"/>
  <c r="F3469" i="4" s="1"/>
  <c r="E3470" i="4"/>
  <c r="F3470" i="4" s="1"/>
  <c r="E3471" i="4"/>
  <c r="F3471" i="4" s="1"/>
  <c r="E3472" i="4"/>
  <c r="F3472" i="4" s="1"/>
  <c r="E3473" i="4"/>
  <c r="F3473" i="4" s="1"/>
  <c r="E3474" i="4"/>
  <c r="F3474" i="4" s="1"/>
  <c r="E3475" i="4"/>
  <c r="F3475" i="4" s="1"/>
  <c r="E3476" i="4"/>
  <c r="F3476" i="4" s="1"/>
  <c r="E3477" i="4"/>
  <c r="F3477" i="4" s="1"/>
  <c r="E3478" i="4"/>
  <c r="F3478" i="4" s="1"/>
  <c r="E3479" i="4"/>
  <c r="F3479" i="4" s="1"/>
  <c r="E3480" i="4"/>
  <c r="F3480" i="4" s="1"/>
  <c r="E3481" i="4"/>
  <c r="F3481" i="4" s="1"/>
  <c r="E3482" i="4"/>
  <c r="F3482" i="4" s="1"/>
  <c r="E3483" i="4"/>
  <c r="F3483" i="4" s="1"/>
  <c r="E3484" i="4"/>
  <c r="F3484" i="4" s="1"/>
  <c r="E3485" i="4"/>
  <c r="F3485" i="4" s="1"/>
  <c r="E3486" i="4"/>
  <c r="F3486" i="4" s="1"/>
  <c r="E3487" i="4"/>
  <c r="F3487" i="4" s="1"/>
  <c r="E3488" i="4"/>
  <c r="F3488" i="4" s="1"/>
  <c r="E3489" i="4"/>
  <c r="F3489" i="4" s="1"/>
  <c r="E3490" i="4"/>
  <c r="F3490" i="4" s="1"/>
  <c r="E3491" i="4"/>
  <c r="F3491" i="4" s="1"/>
  <c r="E3492" i="4"/>
  <c r="F3492" i="4" s="1"/>
  <c r="E3493" i="4"/>
  <c r="F3493" i="4" s="1"/>
  <c r="E3494" i="4"/>
  <c r="F3494" i="4" s="1"/>
  <c r="E3495" i="4"/>
  <c r="F3495" i="4" s="1"/>
  <c r="E3496" i="4"/>
  <c r="F3496" i="4" s="1"/>
  <c r="E3497" i="4"/>
  <c r="F3497" i="4" s="1"/>
  <c r="E3498" i="4"/>
  <c r="F3498" i="4" s="1"/>
  <c r="E3499" i="4"/>
  <c r="F3499" i="4" s="1"/>
  <c r="E3500" i="4"/>
  <c r="F3500" i="4" s="1"/>
  <c r="E3501" i="4"/>
  <c r="F3501" i="4" s="1"/>
  <c r="E3502" i="4"/>
  <c r="F3502" i="4" s="1"/>
  <c r="E3503" i="4"/>
  <c r="F3503" i="4" s="1"/>
  <c r="E3504" i="4"/>
  <c r="F3504" i="4" s="1"/>
  <c r="E3505" i="4"/>
  <c r="F3505" i="4" s="1"/>
  <c r="E3506" i="4"/>
  <c r="F3506" i="4" s="1"/>
  <c r="E3507" i="4"/>
  <c r="F3507" i="4" s="1"/>
  <c r="E3508" i="4"/>
  <c r="F3508" i="4" s="1"/>
  <c r="E3509" i="4"/>
  <c r="F3509" i="4" s="1"/>
  <c r="E3510" i="4"/>
  <c r="F3510" i="4" s="1"/>
  <c r="E3511" i="4"/>
  <c r="F3511" i="4" s="1"/>
  <c r="E3512" i="4"/>
  <c r="F3512" i="4" s="1"/>
  <c r="E3513" i="4"/>
  <c r="F3513" i="4" s="1"/>
  <c r="E3514" i="4"/>
  <c r="F3514" i="4" s="1"/>
  <c r="E3515" i="4"/>
  <c r="F3515" i="4" s="1"/>
  <c r="E3516" i="4"/>
  <c r="F3516" i="4" s="1"/>
  <c r="E3517" i="4"/>
  <c r="F3517" i="4" s="1"/>
  <c r="E3518" i="4"/>
  <c r="F3518" i="4" s="1"/>
  <c r="E3519" i="4"/>
  <c r="F3519" i="4" s="1"/>
  <c r="E3520" i="4"/>
  <c r="F3520" i="4" s="1"/>
  <c r="E3521" i="4"/>
  <c r="F3521" i="4" s="1"/>
  <c r="E3522" i="4"/>
  <c r="F3522" i="4" s="1"/>
  <c r="E3523" i="4"/>
  <c r="F3523" i="4" s="1"/>
  <c r="E3524" i="4"/>
  <c r="F3524" i="4" s="1"/>
  <c r="E3525" i="4"/>
  <c r="F3525" i="4" s="1"/>
  <c r="E3526" i="4"/>
  <c r="F3526" i="4" s="1"/>
  <c r="E3527" i="4"/>
  <c r="F3527" i="4" s="1"/>
  <c r="E3528" i="4"/>
  <c r="F3528" i="4" s="1"/>
  <c r="E3529" i="4"/>
  <c r="F3529" i="4" s="1"/>
  <c r="E3530" i="4"/>
  <c r="F3530" i="4" s="1"/>
  <c r="E3531" i="4"/>
  <c r="F3531" i="4" s="1"/>
  <c r="E3532" i="4"/>
  <c r="F3532" i="4" s="1"/>
  <c r="E3533" i="4"/>
  <c r="F3533" i="4" s="1"/>
  <c r="E3534" i="4"/>
  <c r="F3534" i="4" s="1"/>
  <c r="E3535" i="4"/>
  <c r="F3535" i="4" s="1"/>
  <c r="E3536" i="4"/>
  <c r="F3536" i="4" s="1"/>
  <c r="E3537" i="4"/>
  <c r="F3537" i="4" s="1"/>
  <c r="E3538" i="4"/>
  <c r="F3538" i="4" s="1"/>
  <c r="E3539" i="4"/>
  <c r="F3539" i="4" s="1"/>
  <c r="E3540" i="4"/>
  <c r="F3540" i="4" s="1"/>
  <c r="E3541" i="4"/>
  <c r="F3541" i="4" s="1"/>
  <c r="E3542" i="4"/>
  <c r="F3542" i="4" s="1"/>
  <c r="E3543" i="4"/>
  <c r="F3543" i="4" s="1"/>
  <c r="E3544" i="4"/>
  <c r="F3544" i="4" s="1"/>
  <c r="E3545" i="4"/>
  <c r="F3545" i="4" s="1"/>
  <c r="E3546" i="4"/>
  <c r="F3546" i="4" s="1"/>
  <c r="E3547" i="4"/>
  <c r="F3547" i="4" s="1"/>
  <c r="E3548" i="4"/>
  <c r="F3548" i="4" s="1"/>
  <c r="E3549" i="4"/>
  <c r="F3549" i="4" s="1"/>
  <c r="E3550" i="4"/>
  <c r="F3550" i="4" s="1"/>
  <c r="E3551" i="4"/>
  <c r="F3551" i="4" s="1"/>
  <c r="E3552" i="4"/>
  <c r="F3552" i="4" s="1"/>
  <c r="E3553" i="4"/>
  <c r="F3553" i="4" s="1"/>
  <c r="E3554" i="4"/>
  <c r="F3554" i="4" s="1"/>
  <c r="E3555" i="4"/>
  <c r="F3555" i="4" s="1"/>
  <c r="E3556" i="4"/>
  <c r="F3556" i="4" s="1"/>
  <c r="E3557" i="4"/>
  <c r="F3557" i="4" s="1"/>
  <c r="E3558" i="4"/>
  <c r="F3558" i="4" s="1"/>
  <c r="E3559" i="4"/>
  <c r="F3559" i="4" s="1"/>
  <c r="E3560" i="4"/>
  <c r="F3560" i="4" s="1"/>
  <c r="E3561" i="4"/>
  <c r="F3561" i="4" s="1"/>
  <c r="E3562" i="4"/>
  <c r="F3562" i="4" s="1"/>
  <c r="E3563" i="4"/>
  <c r="F3563" i="4" s="1"/>
  <c r="E3564" i="4"/>
  <c r="F3564" i="4" s="1"/>
  <c r="E3565" i="4"/>
  <c r="F3565" i="4" s="1"/>
  <c r="E3566" i="4"/>
  <c r="F3566" i="4" s="1"/>
  <c r="E3567" i="4"/>
  <c r="F3567" i="4" s="1"/>
  <c r="E3568" i="4"/>
  <c r="F3568" i="4" s="1"/>
  <c r="E3569" i="4"/>
  <c r="F3569" i="4" s="1"/>
  <c r="E3570" i="4"/>
  <c r="F3570" i="4" s="1"/>
  <c r="E3571" i="4"/>
  <c r="F3571" i="4" s="1"/>
  <c r="E3572" i="4"/>
  <c r="F3572" i="4" s="1"/>
  <c r="E3573" i="4"/>
  <c r="F3573" i="4" s="1"/>
  <c r="E3574" i="4"/>
  <c r="F3574" i="4" s="1"/>
  <c r="E3575" i="4"/>
  <c r="F3575" i="4" s="1"/>
  <c r="E3576" i="4"/>
  <c r="F3576" i="4" s="1"/>
  <c r="E3577" i="4"/>
  <c r="F3577" i="4" s="1"/>
  <c r="E3578" i="4"/>
  <c r="F3578" i="4" s="1"/>
  <c r="E3579" i="4"/>
  <c r="F3579" i="4" s="1"/>
  <c r="E3580" i="4"/>
  <c r="F3580" i="4" s="1"/>
  <c r="E3581" i="4"/>
  <c r="F3581" i="4" s="1"/>
  <c r="E3582" i="4"/>
  <c r="F3582" i="4" s="1"/>
  <c r="E3583" i="4"/>
  <c r="F3583" i="4" s="1"/>
  <c r="E3584" i="4"/>
  <c r="F3584" i="4" s="1"/>
  <c r="E3585" i="4"/>
  <c r="F3585" i="4" s="1"/>
  <c r="E3586" i="4"/>
  <c r="F3586" i="4" s="1"/>
  <c r="E3587" i="4"/>
  <c r="F3587" i="4" s="1"/>
  <c r="E3588" i="4"/>
  <c r="E3589" i="4"/>
  <c r="F3589" i="4" s="1"/>
  <c r="E3590" i="4"/>
  <c r="F3590" i="4" s="1"/>
  <c r="E3591" i="4"/>
  <c r="F3591" i="4" s="1"/>
  <c r="E3592" i="4"/>
  <c r="F3592" i="4" s="1"/>
  <c r="E3593" i="4"/>
  <c r="F3593" i="4" s="1"/>
  <c r="E3594" i="4"/>
  <c r="F3594" i="4" s="1"/>
  <c r="E3595" i="4"/>
  <c r="F3595" i="4" s="1"/>
  <c r="E3596" i="4"/>
  <c r="F3596" i="4" s="1"/>
  <c r="E3597" i="4"/>
  <c r="F3597" i="4" s="1"/>
  <c r="E3598" i="4"/>
  <c r="F3598" i="4" s="1"/>
  <c r="E3599" i="4"/>
  <c r="F3599" i="4" s="1"/>
  <c r="E3600" i="4"/>
  <c r="E3601" i="4"/>
  <c r="F3601" i="4" s="1"/>
  <c r="E3602" i="4"/>
  <c r="F3602" i="4" s="1"/>
  <c r="E3603" i="4"/>
  <c r="F3603" i="4" s="1"/>
  <c r="E3604" i="4"/>
  <c r="F3604" i="4" s="1"/>
  <c r="E3605" i="4"/>
  <c r="F3605" i="4" s="1"/>
  <c r="E3606" i="4"/>
  <c r="F3606" i="4" s="1"/>
  <c r="E3607" i="4"/>
  <c r="F3607" i="4" s="1"/>
  <c r="E3608" i="4"/>
  <c r="F3608" i="4" s="1"/>
  <c r="E3609" i="4"/>
  <c r="F3609" i="4" s="1"/>
  <c r="E3610" i="4"/>
  <c r="F3610" i="4" s="1"/>
  <c r="E3611" i="4"/>
  <c r="F3611" i="4" s="1"/>
  <c r="E3612" i="4"/>
  <c r="E3613" i="4"/>
  <c r="F3613" i="4" s="1"/>
  <c r="E3614" i="4"/>
  <c r="F3614" i="4" s="1"/>
  <c r="E3615" i="4"/>
  <c r="F3615" i="4" s="1"/>
  <c r="E3616" i="4"/>
  <c r="F3616" i="4" s="1"/>
  <c r="E3617" i="4"/>
  <c r="F3617" i="4" s="1"/>
  <c r="E3618" i="4"/>
  <c r="F3618" i="4" s="1"/>
  <c r="E3619" i="4"/>
  <c r="F3619" i="4" s="1"/>
  <c r="E3620" i="4"/>
  <c r="F3620" i="4" s="1"/>
  <c r="E3621" i="4"/>
  <c r="F3621" i="4" s="1"/>
  <c r="E3622" i="4"/>
  <c r="F3622" i="4" s="1"/>
  <c r="E3623" i="4"/>
  <c r="F3623" i="4" s="1"/>
  <c r="E3624" i="4"/>
  <c r="E3625" i="4"/>
  <c r="F3625" i="4" s="1"/>
  <c r="E3626" i="4"/>
  <c r="F3626" i="4" s="1"/>
  <c r="E3627" i="4"/>
  <c r="F3627" i="4" s="1"/>
  <c r="E3628" i="4"/>
  <c r="F3628" i="4" s="1"/>
  <c r="E3629" i="4"/>
  <c r="F3629" i="4" s="1"/>
  <c r="E3630" i="4"/>
  <c r="F3630" i="4" s="1"/>
  <c r="E3631" i="4"/>
  <c r="F3631" i="4" s="1"/>
  <c r="E3632" i="4"/>
  <c r="F3632" i="4" s="1"/>
  <c r="E3633" i="4"/>
  <c r="F3633" i="4" s="1"/>
  <c r="E3634" i="4"/>
  <c r="F3634" i="4" s="1"/>
  <c r="E3635" i="4"/>
  <c r="E3636" i="4"/>
  <c r="F3636" i="4" s="1"/>
  <c r="E3637" i="4"/>
  <c r="F3637" i="4" s="1"/>
  <c r="E3638" i="4"/>
  <c r="F3638" i="4" s="1"/>
  <c r="E3639" i="4"/>
  <c r="F3639" i="4" s="1"/>
  <c r="E3640" i="4"/>
  <c r="F3640" i="4" s="1"/>
  <c r="E3641" i="4"/>
  <c r="F3641" i="4" s="1"/>
  <c r="E3642" i="4"/>
  <c r="F3642" i="4" s="1"/>
  <c r="E3643" i="4"/>
  <c r="F3643" i="4" s="1"/>
  <c r="E3644" i="4"/>
  <c r="F3644" i="4" s="1"/>
  <c r="E3645" i="4"/>
  <c r="F3645" i="4" s="1"/>
  <c r="E3646" i="4"/>
  <c r="F3646" i="4" s="1"/>
  <c r="E3647" i="4"/>
  <c r="F3647" i="4" s="1"/>
  <c r="E3648" i="4"/>
  <c r="F3648" i="4" s="1"/>
  <c r="E3649" i="4"/>
  <c r="E3650" i="4"/>
  <c r="F3650" i="4" s="1"/>
  <c r="E3651" i="4"/>
  <c r="F3651" i="4" s="1"/>
  <c r="E3652" i="4"/>
  <c r="F3652" i="4" s="1"/>
  <c r="E3653" i="4"/>
  <c r="F3653" i="4" s="1"/>
  <c r="E3654" i="4"/>
  <c r="F3654" i="4" s="1"/>
  <c r="E3655" i="4"/>
  <c r="F3655" i="4" s="1"/>
  <c r="E3656" i="4"/>
  <c r="F3656" i="4" s="1"/>
  <c r="E3657" i="4"/>
  <c r="F3657" i="4" s="1"/>
  <c r="E3658" i="4"/>
  <c r="F3658" i="4" s="1"/>
  <c r="E3659" i="4"/>
  <c r="E3660" i="4"/>
  <c r="F3660" i="4" s="1"/>
  <c r="E3661" i="4"/>
  <c r="F3661" i="4" s="1"/>
  <c r="E3662" i="4"/>
  <c r="F3662" i="4" s="1"/>
  <c r="E3663" i="4"/>
  <c r="F3663" i="4" s="1"/>
  <c r="E3664" i="4"/>
  <c r="F3664" i="4" s="1"/>
  <c r="E3665" i="4"/>
  <c r="F3665" i="4" s="1"/>
  <c r="E3666" i="4"/>
  <c r="F3666" i="4" s="1"/>
  <c r="E3667" i="4"/>
  <c r="F3667" i="4" s="1"/>
  <c r="E3668" i="4"/>
  <c r="F3668" i="4" s="1"/>
  <c r="E3669" i="4"/>
  <c r="F3669" i="4" s="1"/>
  <c r="E3670" i="4"/>
  <c r="F3670" i="4" s="1"/>
  <c r="E3671" i="4"/>
  <c r="E3672" i="4"/>
  <c r="F3672" i="4" s="1"/>
  <c r="E3673" i="4"/>
  <c r="F3673" i="4" s="1"/>
  <c r="E3674" i="4"/>
  <c r="F3674" i="4" s="1"/>
  <c r="E3675" i="4"/>
  <c r="F3675" i="4" s="1"/>
  <c r="E3676" i="4"/>
  <c r="F3676" i="4" s="1"/>
  <c r="E3677" i="4"/>
  <c r="F3677" i="4" s="1"/>
  <c r="E3678" i="4"/>
  <c r="F3678" i="4" s="1"/>
  <c r="E3679" i="4"/>
  <c r="F3679" i="4" s="1"/>
  <c r="E3680" i="4"/>
  <c r="F3680" i="4" s="1"/>
  <c r="E3681" i="4"/>
  <c r="F3681" i="4" s="1"/>
  <c r="E3682" i="4"/>
  <c r="F3682" i="4" s="1"/>
  <c r="E3683" i="4"/>
  <c r="F3683" i="4" s="1"/>
  <c r="E3684" i="4"/>
  <c r="F3684" i="4" s="1"/>
  <c r="E3685" i="4"/>
  <c r="F3685" i="4" s="1"/>
  <c r="E3686" i="4"/>
  <c r="F3686" i="4" s="1"/>
  <c r="E3687" i="4"/>
  <c r="F3687" i="4" s="1"/>
  <c r="E3688" i="4"/>
  <c r="F3688" i="4" s="1"/>
  <c r="E3689" i="4"/>
  <c r="F3689" i="4" s="1"/>
  <c r="E3690" i="4"/>
  <c r="F3690" i="4" s="1"/>
  <c r="E3691" i="4"/>
  <c r="F3691" i="4" s="1"/>
  <c r="E3692" i="4"/>
  <c r="F3692" i="4" s="1"/>
  <c r="E3693" i="4"/>
  <c r="F3693" i="4" s="1"/>
  <c r="E3694" i="4"/>
  <c r="F3694" i="4" s="1"/>
  <c r="E3695" i="4"/>
  <c r="F3695" i="4" s="1"/>
  <c r="E3696" i="4"/>
  <c r="F3696" i="4" s="1"/>
  <c r="E3697" i="4"/>
  <c r="F3697" i="4" s="1"/>
  <c r="E3698" i="4"/>
  <c r="F3698" i="4" s="1"/>
  <c r="E3699" i="4"/>
  <c r="E3700" i="4"/>
  <c r="F3700" i="4" s="1"/>
  <c r="E3701" i="4"/>
  <c r="F3701" i="4" s="1"/>
  <c r="E3702" i="4"/>
  <c r="F3702" i="4" s="1"/>
  <c r="E3703" i="4"/>
  <c r="F3703" i="4" s="1"/>
  <c r="E3704" i="4"/>
  <c r="F3704" i="4" s="1"/>
  <c r="E3705" i="4"/>
  <c r="F3705" i="4" s="1"/>
  <c r="E3706" i="4"/>
  <c r="F3706" i="4" s="1"/>
  <c r="E3707" i="4"/>
  <c r="F3707" i="4" s="1"/>
  <c r="E3708" i="4"/>
  <c r="E3709" i="4"/>
  <c r="F3709" i="4" s="1"/>
  <c r="E3710" i="4"/>
  <c r="F3710" i="4" s="1"/>
  <c r="E3711" i="4"/>
  <c r="F3711" i="4" s="1"/>
  <c r="E3712" i="4"/>
  <c r="F3712" i="4" s="1"/>
  <c r="E3713" i="4"/>
  <c r="F3713" i="4" s="1"/>
  <c r="E3714" i="4"/>
  <c r="E3715" i="4"/>
  <c r="F3715" i="4" s="1"/>
  <c r="E3716" i="4"/>
  <c r="F3716" i="4" s="1"/>
  <c r="E3717" i="4"/>
  <c r="F3717" i="4" s="1"/>
  <c r="E3718" i="4"/>
  <c r="F3718" i="4" s="1"/>
  <c r="E3719" i="4"/>
  <c r="F3719" i="4" s="1"/>
  <c r="E3720" i="4"/>
  <c r="F3720" i="4" s="1"/>
  <c r="E3721" i="4"/>
  <c r="F3721" i="4" s="1"/>
  <c r="E3722" i="4"/>
  <c r="F3722" i="4" s="1"/>
  <c r="E3723" i="4"/>
  <c r="F3723" i="4" s="1"/>
  <c r="E3724" i="4"/>
  <c r="F3724" i="4" s="1"/>
  <c r="E3725" i="4"/>
  <c r="F3725" i="4" s="1"/>
  <c r="E3726" i="4"/>
  <c r="F3726" i="4" s="1"/>
  <c r="E3727" i="4"/>
  <c r="F3727" i="4" s="1"/>
  <c r="E3728" i="4"/>
  <c r="F3728" i="4" s="1"/>
  <c r="E3729" i="4"/>
  <c r="F3729" i="4" s="1"/>
  <c r="E3730" i="4"/>
  <c r="F3730" i="4" s="1"/>
  <c r="E3731" i="4"/>
  <c r="F3731" i="4" s="1"/>
  <c r="E3732" i="4"/>
  <c r="F3732" i="4" s="1"/>
  <c r="E3733" i="4"/>
  <c r="F3733" i="4" s="1"/>
  <c r="E3734" i="4"/>
  <c r="F3734" i="4" s="1"/>
  <c r="E3735" i="4"/>
  <c r="F3735" i="4" s="1"/>
  <c r="E3736" i="4"/>
  <c r="F3736" i="4" s="1"/>
  <c r="E3737" i="4"/>
  <c r="F3737" i="4" s="1"/>
  <c r="E3738" i="4"/>
  <c r="F3738" i="4" s="1"/>
  <c r="E3739" i="4"/>
  <c r="F3739" i="4" s="1"/>
  <c r="E3740" i="4"/>
  <c r="F3740" i="4" s="1"/>
  <c r="E3741" i="4"/>
  <c r="F3741" i="4" s="1"/>
  <c r="E3742" i="4"/>
  <c r="F3742" i="4" s="1"/>
  <c r="E3743" i="4"/>
  <c r="F3743" i="4" s="1"/>
  <c r="E3744" i="4"/>
  <c r="F3744" i="4" s="1"/>
  <c r="E3745" i="4"/>
  <c r="F3745" i="4" s="1"/>
  <c r="E3746" i="4"/>
  <c r="F3746" i="4" s="1"/>
  <c r="E3747" i="4"/>
  <c r="F3747" i="4" s="1"/>
  <c r="E3748" i="4"/>
  <c r="F3748" i="4" s="1"/>
  <c r="E3749" i="4"/>
  <c r="F3749" i="4" s="1"/>
  <c r="E3750" i="4"/>
  <c r="F3750" i="4" s="1"/>
  <c r="E3751" i="4"/>
  <c r="F3751" i="4" s="1"/>
  <c r="E3752" i="4"/>
  <c r="F3752" i="4" s="1"/>
  <c r="E3753" i="4"/>
  <c r="F3753" i="4" s="1"/>
  <c r="E3754" i="4"/>
  <c r="E3755" i="4"/>
  <c r="F3755" i="4" s="1"/>
  <c r="E3756" i="4"/>
  <c r="F3756" i="4" s="1"/>
  <c r="E3757" i="4"/>
  <c r="F3757" i="4" s="1"/>
  <c r="E3758" i="4"/>
  <c r="F3758" i="4" s="1"/>
  <c r="E3759" i="4"/>
  <c r="F3759" i="4" s="1"/>
  <c r="E3760" i="4"/>
  <c r="F3760" i="4" s="1"/>
  <c r="E3761" i="4"/>
  <c r="F3761" i="4" s="1"/>
  <c r="E3762" i="4"/>
  <c r="F3762" i="4" s="1"/>
  <c r="E3763" i="4"/>
  <c r="F3763" i="4" s="1"/>
  <c r="E3764" i="4"/>
  <c r="F3764" i="4" s="1"/>
  <c r="E3765" i="4"/>
  <c r="F3765" i="4" s="1"/>
  <c r="E3766" i="4"/>
  <c r="F3766" i="4" s="1"/>
  <c r="E3767" i="4"/>
  <c r="F3767" i="4" s="1"/>
  <c r="E3768" i="4"/>
  <c r="F3768" i="4" s="1"/>
  <c r="E3769" i="4"/>
  <c r="F3769" i="4" s="1"/>
  <c r="E3770" i="4"/>
  <c r="F3770" i="4" s="1"/>
  <c r="E3771" i="4"/>
  <c r="F3771" i="4" s="1"/>
  <c r="E3772" i="4"/>
  <c r="F3772" i="4" s="1"/>
  <c r="E3773" i="4"/>
  <c r="F3773" i="4" s="1"/>
  <c r="E3774" i="4"/>
  <c r="F3774" i="4" s="1"/>
  <c r="E3775" i="4"/>
  <c r="F3775" i="4" s="1"/>
  <c r="E3776" i="4"/>
  <c r="F3776" i="4" s="1"/>
  <c r="E3777" i="4"/>
  <c r="F3777" i="4" s="1"/>
  <c r="E3778" i="4"/>
  <c r="E3779" i="4"/>
  <c r="F3779" i="4" s="1"/>
  <c r="E3780" i="4"/>
  <c r="F3780" i="4" s="1"/>
  <c r="E3781" i="4"/>
  <c r="F3781" i="4" s="1"/>
  <c r="E3782" i="4"/>
  <c r="F3782" i="4" s="1"/>
  <c r="E3783" i="4"/>
  <c r="F3783" i="4" s="1"/>
  <c r="E3784" i="4"/>
  <c r="F3784" i="4" s="1"/>
  <c r="E3785" i="4"/>
  <c r="F3785" i="4" s="1"/>
  <c r="E3786" i="4"/>
  <c r="F3786" i="4" s="1"/>
  <c r="E3787" i="4"/>
  <c r="E3788" i="4"/>
  <c r="F3788" i="4" s="1"/>
  <c r="E3789" i="4"/>
  <c r="F3789" i="4" s="1"/>
  <c r="E3790" i="4"/>
  <c r="F3790" i="4" s="1"/>
  <c r="E3791" i="4"/>
  <c r="F3791" i="4" s="1"/>
  <c r="E3792" i="4"/>
  <c r="F3792" i="4" s="1"/>
  <c r="E3793" i="4"/>
  <c r="F3793" i="4" s="1"/>
  <c r="E3794" i="4"/>
  <c r="F3794" i="4" s="1"/>
  <c r="E3795" i="4"/>
  <c r="F3795" i="4" s="1"/>
  <c r="E3796" i="4"/>
  <c r="F3796" i="4" s="1"/>
  <c r="E3797" i="4"/>
  <c r="F3797" i="4" s="1"/>
  <c r="E3798" i="4"/>
  <c r="F3798" i="4" s="1"/>
  <c r="E3799" i="4"/>
  <c r="F3799" i="4" s="1"/>
  <c r="E3800" i="4"/>
  <c r="F3800" i="4" s="1"/>
  <c r="E3801" i="4"/>
  <c r="F3801" i="4" s="1"/>
  <c r="E3802" i="4"/>
  <c r="F3802" i="4" s="1"/>
  <c r="E3803" i="4"/>
  <c r="F3803" i="4" s="1"/>
  <c r="E3804" i="4"/>
  <c r="F3804" i="4" s="1"/>
  <c r="E3805" i="4"/>
  <c r="F3805" i="4" s="1"/>
  <c r="E3806" i="4"/>
  <c r="F3806" i="4" s="1"/>
  <c r="E3807" i="4"/>
  <c r="F3807" i="4" s="1"/>
  <c r="E3808" i="4"/>
  <c r="F3808" i="4" s="1"/>
  <c r="E3809" i="4"/>
  <c r="F3809" i="4" s="1"/>
  <c r="E3810" i="4"/>
  <c r="F3810" i="4" s="1"/>
  <c r="E3811" i="4"/>
  <c r="F3811" i="4" s="1"/>
  <c r="E3812" i="4"/>
  <c r="F3812" i="4" s="1"/>
  <c r="E3813" i="4"/>
  <c r="F3813" i="4" s="1"/>
  <c r="E3814" i="4"/>
  <c r="F3814" i="4" s="1"/>
  <c r="E3815" i="4"/>
  <c r="F3815" i="4" s="1"/>
  <c r="E3816" i="4"/>
  <c r="E3817" i="4"/>
  <c r="F3817" i="4" s="1"/>
  <c r="E3818" i="4"/>
  <c r="F3818" i="4" s="1"/>
  <c r="E3819" i="4"/>
  <c r="E3820" i="4"/>
  <c r="F3820" i="4" s="1"/>
  <c r="E3821" i="4"/>
  <c r="F3821" i="4" s="1"/>
  <c r="E3822" i="4"/>
  <c r="F3822" i="4" s="1"/>
  <c r="E3823" i="4"/>
  <c r="F3823" i="4" s="1"/>
  <c r="E3824" i="4"/>
  <c r="F3824" i="4" s="1"/>
  <c r="E3825" i="4"/>
  <c r="F3825" i="4" s="1"/>
  <c r="E3826" i="4"/>
  <c r="F3826" i="4" s="1"/>
  <c r="E3827" i="4"/>
  <c r="F3827" i="4" s="1"/>
  <c r="E3828" i="4"/>
  <c r="F3828" i="4" s="1"/>
  <c r="E3829" i="4"/>
  <c r="F3829" i="4" s="1"/>
  <c r="E3830" i="4"/>
  <c r="F3830" i="4" s="1"/>
  <c r="E3831" i="4"/>
  <c r="F3831" i="4" s="1"/>
  <c r="E3832" i="4"/>
  <c r="F3832" i="4" s="1"/>
  <c r="E3833" i="4"/>
  <c r="F3833" i="4" s="1"/>
  <c r="E3834" i="4"/>
  <c r="F3834" i="4" s="1"/>
  <c r="E3835" i="4"/>
  <c r="F3835" i="4" s="1"/>
  <c r="E3836" i="4"/>
  <c r="F3836" i="4" s="1"/>
  <c r="E3837" i="4"/>
  <c r="F3837" i="4" s="1"/>
  <c r="E3838" i="4"/>
  <c r="F3838" i="4" s="1"/>
  <c r="E3839" i="4"/>
  <c r="F3839" i="4" s="1"/>
  <c r="E3840" i="4"/>
  <c r="F3840" i="4" s="1"/>
  <c r="E3841" i="4"/>
  <c r="F3841" i="4" s="1"/>
  <c r="E3842" i="4"/>
  <c r="F3842" i="4" s="1"/>
  <c r="E3843" i="4"/>
  <c r="F3843" i="4" s="1"/>
  <c r="E3844" i="4"/>
  <c r="F3844" i="4" s="1"/>
  <c r="E3845" i="4"/>
  <c r="F3845" i="4" s="1"/>
  <c r="E3846" i="4"/>
  <c r="F3846" i="4" s="1"/>
  <c r="E3847" i="4"/>
  <c r="F3847" i="4" s="1"/>
  <c r="E3848" i="4"/>
  <c r="F3848" i="4" s="1"/>
  <c r="E3849" i="4"/>
  <c r="F3849" i="4" s="1"/>
  <c r="E3850" i="4"/>
  <c r="F3850" i="4" s="1"/>
  <c r="E3851" i="4"/>
  <c r="F3851" i="4" s="1"/>
  <c r="E3852" i="4"/>
  <c r="F3852" i="4" s="1"/>
  <c r="E3853" i="4"/>
  <c r="F3853" i="4" s="1"/>
  <c r="E3854" i="4"/>
  <c r="F3854" i="4" s="1"/>
  <c r="E3855" i="4"/>
  <c r="F3855" i="4" s="1"/>
  <c r="E3856" i="4"/>
  <c r="F3856" i="4" s="1"/>
  <c r="E3857" i="4"/>
  <c r="F3857" i="4" s="1"/>
  <c r="E3858" i="4"/>
  <c r="F3858" i="4" s="1"/>
  <c r="E3859" i="4"/>
  <c r="F3859" i="4" s="1"/>
  <c r="E3860" i="4"/>
  <c r="E3861" i="4"/>
  <c r="F3861" i="4" s="1"/>
  <c r="E3862" i="4"/>
  <c r="F3862" i="4" s="1"/>
  <c r="E3863" i="4"/>
  <c r="F3863" i="4" s="1"/>
  <c r="E3864" i="4"/>
  <c r="F3864" i="4" s="1"/>
  <c r="E3865" i="4"/>
  <c r="F3865" i="4" s="1"/>
  <c r="E3866" i="4"/>
  <c r="F3866" i="4" s="1"/>
  <c r="E3867" i="4"/>
  <c r="F3867" i="4" s="1"/>
  <c r="E3868" i="4"/>
  <c r="F3868" i="4" s="1"/>
  <c r="E3869" i="4"/>
  <c r="F3869" i="4" s="1"/>
  <c r="E3870" i="4"/>
  <c r="F3870" i="4" s="1"/>
  <c r="E3871" i="4"/>
  <c r="F3871" i="4" s="1"/>
  <c r="E3872" i="4"/>
  <c r="F3872" i="4" s="1"/>
  <c r="E3873" i="4"/>
  <c r="E3874" i="4"/>
  <c r="E3875" i="4"/>
  <c r="F3875" i="4" s="1"/>
  <c r="E3876" i="4"/>
  <c r="F3876" i="4" s="1"/>
  <c r="E3877" i="4"/>
  <c r="F3877" i="4" s="1"/>
  <c r="E3878" i="4"/>
  <c r="F3878" i="4" s="1"/>
  <c r="E3879" i="4"/>
  <c r="F3879" i="4" s="1"/>
  <c r="E3880" i="4"/>
  <c r="F3880" i="4" s="1"/>
  <c r="E3881" i="4"/>
  <c r="F3881" i="4" s="1"/>
  <c r="E3882" i="4"/>
  <c r="F3882" i="4" s="1"/>
  <c r="E3883" i="4"/>
  <c r="F3883" i="4" s="1"/>
  <c r="E3884" i="4"/>
  <c r="F3884" i="4" s="1"/>
  <c r="E3885" i="4"/>
  <c r="F3885" i="4" s="1"/>
  <c r="E3886" i="4"/>
  <c r="F3886" i="4" s="1"/>
  <c r="E3887" i="4"/>
  <c r="F3887" i="4" s="1"/>
  <c r="E3888" i="4"/>
  <c r="F3888" i="4" s="1"/>
  <c r="E3889" i="4"/>
  <c r="E3890" i="4"/>
  <c r="F3890" i="4" s="1"/>
  <c r="E3891" i="4"/>
  <c r="F3891" i="4" s="1"/>
  <c r="E3892" i="4"/>
  <c r="F3892" i="4" s="1"/>
  <c r="E3893" i="4"/>
  <c r="F3893" i="4" s="1"/>
  <c r="E3894" i="4"/>
  <c r="F3894" i="4" s="1"/>
  <c r="E3895" i="4"/>
  <c r="F3895" i="4" s="1"/>
  <c r="E3896" i="4"/>
  <c r="F3896" i="4" s="1"/>
  <c r="E3897" i="4"/>
  <c r="F3897" i="4" s="1"/>
  <c r="E3898" i="4"/>
  <c r="F3898" i="4" s="1"/>
  <c r="E3899" i="4"/>
  <c r="F3899" i="4" s="1"/>
  <c r="E3900" i="4"/>
  <c r="F3900" i="4" s="1"/>
  <c r="E3901" i="4"/>
  <c r="F3901" i="4" s="1"/>
  <c r="E3902" i="4"/>
  <c r="F3902" i="4" s="1"/>
  <c r="E3903" i="4"/>
  <c r="F3903" i="4" s="1"/>
  <c r="E3904" i="4"/>
  <c r="F3904" i="4" s="1"/>
  <c r="E3905" i="4"/>
  <c r="F3905" i="4" s="1"/>
  <c r="E3906" i="4"/>
  <c r="F3906" i="4" s="1"/>
  <c r="E3907" i="4"/>
  <c r="F3907" i="4" s="1"/>
  <c r="E3908" i="4"/>
  <c r="F3908" i="4" s="1"/>
  <c r="E3909" i="4"/>
  <c r="F3909" i="4" s="1"/>
  <c r="E3910" i="4"/>
  <c r="F3910" i="4" s="1"/>
  <c r="E3911" i="4"/>
  <c r="F3911" i="4" s="1"/>
  <c r="E3912" i="4"/>
  <c r="F3912" i="4" s="1"/>
  <c r="E3913" i="4"/>
  <c r="F3913" i="4" s="1"/>
  <c r="E3914" i="4"/>
  <c r="F3914" i="4" s="1"/>
  <c r="E3915" i="4"/>
  <c r="F3915" i="4" s="1"/>
  <c r="E3916" i="4"/>
  <c r="F3916" i="4" s="1"/>
  <c r="E3917" i="4"/>
  <c r="F3917" i="4" s="1"/>
  <c r="E3918" i="4"/>
  <c r="F3918" i="4" s="1"/>
  <c r="E3919" i="4"/>
  <c r="F3919" i="4" s="1"/>
  <c r="E3920" i="4"/>
  <c r="F3920" i="4" s="1"/>
  <c r="E3921" i="4"/>
  <c r="F3921" i="4" s="1"/>
  <c r="E3922" i="4"/>
  <c r="F3922" i="4" s="1"/>
  <c r="E3923" i="4"/>
  <c r="F3923" i="4" s="1"/>
  <c r="E3924" i="4"/>
  <c r="F3924" i="4" s="1"/>
  <c r="E3925" i="4"/>
  <c r="F3925" i="4" s="1"/>
  <c r="E3926" i="4"/>
  <c r="F3926" i="4" s="1"/>
  <c r="E3927" i="4"/>
  <c r="F3927" i="4" s="1"/>
  <c r="E3928" i="4"/>
  <c r="F3928" i="4" s="1"/>
  <c r="E3929" i="4"/>
  <c r="F3929" i="4" s="1"/>
  <c r="E3930" i="4"/>
  <c r="F3930" i="4" s="1"/>
  <c r="E3931" i="4"/>
  <c r="F3931" i="4" s="1"/>
  <c r="E3932" i="4"/>
  <c r="F3932" i="4" s="1"/>
  <c r="E3933" i="4"/>
  <c r="F3933" i="4" s="1"/>
  <c r="E3934" i="4"/>
  <c r="F3934" i="4" s="1"/>
  <c r="E3935" i="4"/>
  <c r="F3935" i="4" s="1"/>
  <c r="E3936" i="4"/>
  <c r="F3936" i="4" s="1"/>
  <c r="E3937" i="4"/>
  <c r="F3937" i="4" s="1"/>
  <c r="E3938" i="4"/>
  <c r="F3938" i="4" s="1"/>
  <c r="E3939" i="4"/>
  <c r="F3939" i="4" s="1"/>
  <c r="E3940" i="4"/>
  <c r="F3940" i="4" s="1"/>
  <c r="E3941" i="4"/>
  <c r="F3941" i="4" s="1"/>
  <c r="E3942" i="4"/>
  <c r="F3942" i="4" s="1"/>
  <c r="E3943" i="4"/>
  <c r="F3943" i="4" s="1"/>
  <c r="E3944" i="4"/>
  <c r="F3944" i="4" s="1"/>
  <c r="E3945" i="4"/>
  <c r="F3945" i="4" s="1"/>
  <c r="E3946" i="4"/>
  <c r="F3946" i="4" s="1"/>
  <c r="E3947" i="4"/>
  <c r="F3947" i="4" s="1"/>
  <c r="E3948" i="4"/>
  <c r="F3948" i="4" s="1"/>
  <c r="E3949" i="4"/>
  <c r="F3949" i="4" s="1"/>
  <c r="E3950" i="4"/>
  <c r="F3950" i="4" s="1"/>
  <c r="E3951" i="4"/>
  <c r="F3951" i="4" s="1"/>
  <c r="E3952" i="4"/>
  <c r="F3952" i="4" s="1"/>
  <c r="E3953" i="4"/>
  <c r="F3953" i="4" s="1"/>
  <c r="E3954" i="4"/>
  <c r="F3954" i="4" s="1"/>
  <c r="E3955" i="4"/>
  <c r="F3955" i="4" s="1"/>
  <c r="E3956" i="4"/>
  <c r="F3956" i="4" s="1"/>
  <c r="E3957" i="4"/>
  <c r="F3957" i="4" s="1"/>
  <c r="E3958" i="4"/>
  <c r="F3958" i="4" s="1"/>
  <c r="E3959" i="4"/>
  <c r="F3959" i="4" s="1"/>
  <c r="E3960" i="4"/>
  <c r="F3960" i="4" s="1"/>
  <c r="E3961" i="4"/>
  <c r="F3961" i="4" s="1"/>
  <c r="E3962" i="4"/>
  <c r="E3963" i="4"/>
  <c r="F3963" i="4" s="1"/>
  <c r="E3964" i="4"/>
  <c r="F3964" i="4" s="1"/>
  <c r="E3965" i="4"/>
  <c r="F3965" i="4" s="1"/>
  <c r="E3966" i="4"/>
  <c r="F3966" i="4" s="1"/>
  <c r="E3967" i="4"/>
  <c r="F3967" i="4" s="1"/>
  <c r="E3968" i="4"/>
  <c r="F3968" i="4" s="1"/>
  <c r="E3969" i="4"/>
  <c r="F3969" i="4" s="1"/>
  <c r="E3970" i="4"/>
  <c r="F3970" i="4" s="1"/>
  <c r="E3971" i="4"/>
  <c r="F3971" i="4" s="1"/>
  <c r="E3972" i="4"/>
  <c r="F3972" i="4" s="1"/>
  <c r="E3973" i="4"/>
  <c r="F3973" i="4" s="1"/>
  <c r="E3974" i="4"/>
  <c r="E3975" i="4"/>
  <c r="F3975" i="4" s="1"/>
  <c r="E3976" i="4"/>
  <c r="F3976" i="4" s="1"/>
  <c r="E3977" i="4"/>
  <c r="F3977" i="4" s="1"/>
  <c r="E3978" i="4"/>
  <c r="F3978" i="4" s="1"/>
  <c r="E3979" i="4"/>
  <c r="F3979" i="4" s="1"/>
  <c r="E3980" i="4"/>
  <c r="F3980" i="4" s="1"/>
  <c r="E3981" i="4"/>
  <c r="F3981" i="4" s="1"/>
  <c r="E3982" i="4"/>
  <c r="F3982" i="4" s="1"/>
  <c r="E3983" i="4"/>
  <c r="F3983" i="4" s="1"/>
  <c r="E3984" i="4"/>
  <c r="F3984" i="4" s="1"/>
  <c r="E3985" i="4"/>
  <c r="F3985" i="4" s="1"/>
  <c r="E3986" i="4"/>
  <c r="E3987" i="4"/>
  <c r="F3987" i="4" s="1"/>
  <c r="E3988" i="4"/>
  <c r="F3988" i="4" s="1"/>
  <c r="E3989" i="4"/>
  <c r="F3989" i="4" s="1"/>
  <c r="E3990" i="4"/>
  <c r="F3990" i="4" s="1"/>
  <c r="E3991" i="4"/>
  <c r="F3991" i="4" s="1"/>
  <c r="E3992" i="4"/>
  <c r="F3992" i="4" s="1"/>
  <c r="E3993" i="4"/>
  <c r="F3993" i="4" s="1"/>
  <c r="E3994" i="4"/>
  <c r="F3994" i="4" s="1"/>
  <c r="E3995" i="4"/>
  <c r="F3995" i="4" s="1"/>
  <c r="E3996" i="4"/>
  <c r="F3996" i="4" s="1"/>
  <c r="E3997" i="4"/>
  <c r="F3997" i="4" s="1"/>
  <c r="E3998" i="4"/>
  <c r="F3998" i="4" s="1"/>
  <c r="E3999" i="4"/>
  <c r="F3999" i="4" s="1"/>
  <c r="E4000" i="4"/>
  <c r="F4000" i="4" s="1"/>
  <c r="E4001" i="4"/>
  <c r="F4001" i="4" s="1"/>
  <c r="E4002" i="4"/>
  <c r="F4002" i="4" s="1"/>
  <c r="E4003" i="4"/>
  <c r="F4003" i="4" s="1"/>
  <c r="E4004" i="4"/>
  <c r="F4004" i="4" s="1"/>
  <c r="E4005" i="4"/>
  <c r="F4005" i="4" s="1"/>
  <c r="E4006" i="4"/>
  <c r="E4007" i="4"/>
  <c r="F4007" i="4" s="1"/>
  <c r="E4008" i="4"/>
  <c r="F4008" i="4" s="1"/>
  <c r="E4009" i="4"/>
  <c r="F4009" i="4" s="1"/>
  <c r="E4010" i="4"/>
  <c r="F4010" i="4" s="1"/>
  <c r="E4011" i="4"/>
  <c r="F4011" i="4" s="1"/>
  <c r="E4012" i="4"/>
  <c r="F4012" i="4" s="1"/>
  <c r="E4013" i="4"/>
  <c r="F4013" i="4" s="1"/>
  <c r="E4014" i="4"/>
  <c r="F4014" i="4" s="1"/>
  <c r="E4015" i="4"/>
  <c r="F4015" i="4" s="1"/>
  <c r="E4016" i="4"/>
  <c r="F4016" i="4" s="1"/>
  <c r="E4017" i="4"/>
  <c r="F4017" i="4" s="1"/>
  <c r="E4018" i="4"/>
  <c r="F4018" i="4" s="1"/>
  <c r="E4019" i="4"/>
  <c r="F4019" i="4" s="1"/>
  <c r="E4020" i="4"/>
  <c r="F4020" i="4" s="1"/>
  <c r="E4021" i="4"/>
  <c r="F4021" i="4" s="1"/>
  <c r="E4022" i="4"/>
  <c r="E4023" i="4"/>
  <c r="F4023" i="4" s="1"/>
  <c r="E4024" i="4"/>
  <c r="F4024" i="4" s="1"/>
  <c r="E4025" i="4"/>
  <c r="F4025" i="4" s="1"/>
  <c r="E4026" i="4"/>
  <c r="F4026" i="4" s="1"/>
  <c r="E4027" i="4"/>
  <c r="F4027" i="4" s="1"/>
  <c r="E4028" i="4"/>
  <c r="F4028" i="4" s="1"/>
  <c r="E4029" i="4"/>
  <c r="F4029" i="4" s="1"/>
  <c r="E4030" i="4"/>
  <c r="F4030" i="4" s="1"/>
  <c r="E4031" i="4"/>
  <c r="F4031" i="4" s="1"/>
  <c r="E4032" i="4"/>
  <c r="F4032" i="4" s="1"/>
  <c r="E4033" i="4"/>
  <c r="F4033" i="4" s="1"/>
  <c r="E4034" i="4"/>
  <c r="F4034" i="4" s="1"/>
  <c r="E4035" i="4"/>
  <c r="F4035" i="4" s="1"/>
  <c r="E4036" i="4"/>
  <c r="F4036" i="4" s="1"/>
  <c r="E4037" i="4"/>
  <c r="F4037" i="4" s="1"/>
  <c r="E4038" i="4"/>
  <c r="F4038" i="4" s="1"/>
  <c r="E4039" i="4"/>
  <c r="F4039" i="4" s="1"/>
  <c r="E4040" i="4"/>
  <c r="F4040" i="4" s="1"/>
  <c r="E4041" i="4"/>
  <c r="F4041" i="4" s="1"/>
  <c r="E4042" i="4"/>
  <c r="F4042" i="4" s="1"/>
  <c r="E4043" i="4"/>
  <c r="F4043" i="4" s="1"/>
  <c r="E4044" i="4"/>
  <c r="F4044" i="4" s="1"/>
  <c r="E4045" i="4"/>
  <c r="F4045" i="4" s="1"/>
  <c r="E4046" i="4"/>
  <c r="F4046" i="4" s="1"/>
  <c r="E4047" i="4"/>
  <c r="F4047" i="4" s="1"/>
  <c r="E4048" i="4"/>
  <c r="F4048" i="4" s="1"/>
  <c r="E4049" i="4"/>
  <c r="E4050" i="4"/>
  <c r="F4050" i="4" s="1"/>
  <c r="E4051" i="4"/>
  <c r="F4051" i="4" s="1"/>
  <c r="E4052" i="4"/>
  <c r="F4052" i="4" s="1"/>
  <c r="E4053" i="4"/>
  <c r="F4053" i="4" s="1"/>
  <c r="E4054" i="4"/>
  <c r="F4054" i="4" s="1"/>
  <c r="E4055" i="4"/>
  <c r="F4055" i="4" s="1"/>
  <c r="E4056" i="4"/>
  <c r="F4056" i="4" s="1"/>
  <c r="E4057" i="4"/>
  <c r="F4057" i="4" s="1"/>
  <c r="E4058" i="4"/>
  <c r="F4058" i="4" s="1"/>
  <c r="E4059" i="4"/>
  <c r="F4059" i="4" s="1"/>
  <c r="E4060" i="4"/>
  <c r="F4060" i="4" s="1"/>
  <c r="E4061" i="4"/>
  <c r="F4061" i="4" s="1"/>
  <c r="E4062" i="4"/>
  <c r="F4062" i="4" s="1"/>
  <c r="E4063" i="4"/>
  <c r="F4063" i="4" s="1"/>
  <c r="E4064" i="4"/>
  <c r="F4064" i="4" s="1"/>
  <c r="E4065" i="4"/>
  <c r="F4065" i="4" s="1"/>
  <c r="E4066" i="4"/>
  <c r="F4066" i="4" s="1"/>
  <c r="E4067" i="4"/>
  <c r="F4067" i="4" s="1"/>
  <c r="E4068" i="4"/>
  <c r="F4068" i="4" s="1"/>
  <c r="E4069" i="4"/>
  <c r="F4069" i="4" s="1"/>
  <c r="E4070" i="4"/>
  <c r="F4070" i="4" s="1"/>
  <c r="E4071" i="4"/>
  <c r="F4071" i="4" s="1"/>
  <c r="E4072" i="4"/>
  <c r="F4072" i="4" s="1"/>
  <c r="E4073" i="4"/>
  <c r="F4073" i="4" s="1"/>
  <c r="E4074" i="4"/>
  <c r="F4074" i="4" s="1"/>
  <c r="E4075" i="4"/>
  <c r="F4075" i="4" s="1"/>
  <c r="E4076" i="4"/>
  <c r="F4076" i="4" s="1"/>
  <c r="E4077" i="4"/>
  <c r="F4077" i="4" s="1"/>
  <c r="E4078" i="4"/>
  <c r="F4078" i="4" s="1"/>
  <c r="E4079" i="4"/>
  <c r="F4079" i="4" s="1"/>
  <c r="E4080" i="4"/>
  <c r="F4080" i="4" s="1"/>
  <c r="E4081" i="4"/>
  <c r="F4081" i="4" s="1"/>
  <c r="E4082" i="4"/>
  <c r="F4082" i="4" s="1"/>
  <c r="E4083" i="4"/>
  <c r="F4083" i="4" s="1"/>
  <c r="E4084" i="4"/>
  <c r="F4084" i="4" s="1"/>
  <c r="E4085" i="4"/>
  <c r="F4085" i="4" s="1"/>
  <c r="E4086" i="4"/>
  <c r="F4086" i="4" s="1"/>
  <c r="E4087" i="4"/>
  <c r="F4087" i="4" s="1"/>
  <c r="E4088" i="4"/>
  <c r="F4088" i="4" s="1"/>
  <c r="E4089" i="4"/>
  <c r="F4089" i="4" s="1"/>
  <c r="E4090" i="4"/>
  <c r="F4090" i="4" s="1"/>
  <c r="E4091" i="4"/>
  <c r="F4091" i="4" s="1"/>
  <c r="E4092" i="4"/>
  <c r="F4092" i="4" s="1"/>
  <c r="E4093" i="4"/>
  <c r="F4093" i="4" s="1"/>
  <c r="E4094" i="4"/>
  <c r="F4094" i="4" s="1"/>
  <c r="E4095" i="4"/>
  <c r="F4095" i="4" s="1"/>
  <c r="E4096" i="4"/>
  <c r="F4096" i="4" s="1"/>
  <c r="E4097" i="4"/>
  <c r="F4097" i="4" s="1"/>
  <c r="E4098" i="4"/>
  <c r="F4098" i="4" s="1"/>
  <c r="E4099" i="4"/>
  <c r="F4099" i="4" s="1"/>
  <c r="E4100" i="4"/>
  <c r="F4100" i="4" s="1"/>
  <c r="E4101" i="4"/>
  <c r="F4101" i="4" s="1"/>
  <c r="E4102" i="4"/>
  <c r="F4102" i="4" s="1"/>
  <c r="E4103" i="4"/>
  <c r="F4103" i="4" s="1"/>
  <c r="E4104" i="4"/>
  <c r="F4104" i="4" s="1"/>
  <c r="E4105" i="4"/>
  <c r="F4105" i="4" s="1"/>
  <c r="E4106" i="4"/>
  <c r="F4106" i="4" s="1"/>
  <c r="E4107" i="4"/>
  <c r="F4107" i="4" s="1"/>
  <c r="E4108" i="4"/>
  <c r="F4108" i="4" s="1"/>
  <c r="E4109" i="4"/>
  <c r="F4109" i="4" s="1"/>
  <c r="E4110" i="4"/>
  <c r="E4111" i="4"/>
  <c r="F4111" i="4" s="1"/>
  <c r="E4112" i="4"/>
  <c r="F4112" i="4" s="1"/>
  <c r="E4113" i="4"/>
  <c r="F4113" i="4" s="1"/>
  <c r="E4114" i="4"/>
  <c r="F4114" i="4" s="1"/>
  <c r="E4115" i="4"/>
  <c r="F4115" i="4" s="1"/>
  <c r="E4116" i="4"/>
  <c r="F4116" i="4" s="1"/>
  <c r="E4117" i="4"/>
  <c r="F4117" i="4" s="1"/>
  <c r="E4118" i="4"/>
  <c r="F4118" i="4" s="1"/>
  <c r="E4119" i="4"/>
  <c r="F4119" i="4" s="1"/>
  <c r="E4120" i="4"/>
  <c r="F4120" i="4" s="1"/>
  <c r="E4121" i="4"/>
  <c r="F4121" i="4" s="1"/>
  <c r="E4122" i="4"/>
  <c r="F4122" i="4" s="1"/>
  <c r="E4123" i="4"/>
  <c r="F4123" i="4" s="1"/>
  <c r="E4124" i="4"/>
  <c r="F4124" i="4" s="1"/>
  <c r="E4125" i="4"/>
  <c r="F4125" i="4" s="1"/>
  <c r="E4126" i="4"/>
  <c r="F4126" i="4" s="1"/>
  <c r="E4127" i="4"/>
  <c r="F4127" i="4" s="1"/>
  <c r="E4128" i="4"/>
  <c r="F4128" i="4" s="1"/>
  <c r="E4129" i="4"/>
  <c r="F4129" i="4" s="1"/>
  <c r="E4130" i="4"/>
  <c r="F4130" i="4" s="1"/>
  <c r="E4131" i="4"/>
  <c r="F4131" i="4" s="1"/>
  <c r="E4132" i="4"/>
  <c r="F4132" i="4" s="1"/>
  <c r="E4133" i="4"/>
  <c r="F4133" i="4" s="1"/>
  <c r="E4134" i="4"/>
  <c r="F4134" i="4" s="1"/>
  <c r="E4135" i="4"/>
  <c r="F4135" i="4" s="1"/>
  <c r="E4136" i="4"/>
  <c r="F4136" i="4" s="1"/>
  <c r="E4137" i="4"/>
  <c r="F4137" i="4" s="1"/>
  <c r="E4138" i="4"/>
  <c r="F4138" i="4" s="1"/>
  <c r="E4139" i="4"/>
  <c r="F4139" i="4" s="1"/>
  <c r="E4140" i="4"/>
  <c r="F4140" i="4" s="1"/>
  <c r="E4141" i="4"/>
  <c r="E4142" i="4"/>
  <c r="F4142" i="4" s="1"/>
  <c r="E4143" i="4"/>
  <c r="F4143" i="4" s="1"/>
  <c r="E4144" i="4"/>
  <c r="F4144" i="4" s="1"/>
  <c r="E4145" i="4"/>
  <c r="F4145" i="4" s="1"/>
  <c r="E4146" i="4"/>
  <c r="F4146" i="4" s="1"/>
  <c r="E4147" i="4"/>
  <c r="F4147" i="4" s="1"/>
  <c r="E4148" i="4"/>
  <c r="F4148" i="4" s="1"/>
  <c r="E4149" i="4"/>
  <c r="F4149" i="4" s="1"/>
  <c r="E4150" i="4"/>
  <c r="F4150" i="4" s="1"/>
  <c r="E4151" i="4"/>
  <c r="F4151" i="4" s="1"/>
  <c r="E4152" i="4"/>
  <c r="F4152" i="4" s="1"/>
  <c r="E4153" i="4"/>
  <c r="F4153" i="4" s="1"/>
  <c r="E4154" i="4"/>
  <c r="F4154" i="4" s="1"/>
  <c r="E4155" i="4"/>
  <c r="F4155" i="4" s="1"/>
  <c r="E4156" i="4"/>
  <c r="F4156" i="4" s="1"/>
  <c r="E4157" i="4"/>
  <c r="E4158" i="4"/>
  <c r="F4158" i="4" s="1"/>
  <c r="E4159" i="4"/>
  <c r="F4159" i="4" s="1"/>
  <c r="E4160" i="4"/>
  <c r="F4160" i="4" s="1"/>
  <c r="E4161" i="4"/>
  <c r="F4161" i="4" s="1"/>
  <c r="E4162" i="4"/>
  <c r="F4162" i="4" s="1"/>
  <c r="E4163" i="4"/>
  <c r="F4163" i="4" s="1"/>
  <c r="E4164" i="4"/>
  <c r="F4164" i="4" s="1"/>
  <c r="E4173" i="4"/>
  <c r="F4173" i="4" s="1"/>
  <c r="E4172" i="4"/>
  <c r="F4172" i="4" s="1"/>
  <c r="E4171" i="4"/>
  <c r="E4170" i="4"/>
  <c r="F4170" i="4" s="1"/>
  <c r="E4169" i="4"/>
  <c r="F4169" i="4" s="1"/>
  <c r="E4168" i="4"/>
  <c r="F4168" i="4" s="1"/>
  <c r="E4167" i="4"/>
  <c r="F4167" i="4" s="1"/>
  <c r="E4166" i="4"/>
  <c r="F4166" i="4" s="1"/>
  <c r="E4165" i="4"/>
  <c r="F4165" i="4" s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AA311" i="1" l="1"/>
  <c r="Y304" i="1"/>
  <c r="Z298" i="1"/>
  <c r="AA233" i="1"/>
  <c r="Y96" i="1"/>
  <c r="Z311" i="1"/>
  <c r="AA303" i="1"/>
  <c r="Y298" i="1"/>
  <c r="Z233" i="1"/>
  <c r="Y311" i="1"/>
  <c r="Z303" i="1"/>
  <c r="AA296" i="1"/>
  <c r="Y233" i="1"/>
  <c r="AA310" i="1"/>
  <c r="Y303" i="1"/>
  <c r="Z296" i="1"/>
  <c r="AA230" i="1"/>
  <c r="Z310" i="1"/>
  <c r="AA299" i="1"/>
  <c r="Y296" i="1"/>
  <c r="Z230" i="1"/>
  <c r="AA312" i="1"/>
  <c r="Y310" i="1"/>
  <c r="Z299" i="1"/>
  <c r="Y230" i="1"/>
  <c r="Z312" i="1"/>
  <c r="AA304" i="1"/>
  <c r="Y299" i="1"/>
  <c r="AA96" i="1"/>
  <c r="Y312" i="1"/>
  <c r="Z304" i="1"/>
  <c r="AA298" i="1"/>
  <c r="Z96" i="1"/>
  <c r="Y313" i="1"/>
  <c r="AA313" i="1"/>
  <c r="Z313" i="1"/>
  <c r="Z292" i="1"/>
  <c r="AA292" i="1"/>
  <c r="Y292" i="1"/>
  <c r="Z351" i="1"/>
  <c r="Y351" i="1"/>
  <c r="AA351" i="1"/>
  <c r="Y349" i="1"/>
  <c r="AA349" i="1"/>
  <c r="Z349" i="1"/>
  <c r="F3317" i="4"/>
  <c r="Z306" i="1"/>
  <c r="Y306" i="1"/>
  <c r="AA306" i="1"/>
  <c r="F3055" i="4"/>
  <c r="Z276" i="1"/>
  <c r="AA276" i="1"/>
  <c r="Y276" i="1"/>
  <c r="Y264" i="1"/>
  <c r="AA264" i="1"/>
  <c r="Z264" i="1"/>
  <c r="F2559" i="4"/>
  <c r="Y226" i="1"/>
  <c r="AA226" i="1"/>
  <c r="Z226" i="1"/>
  <c r="F918" i="4"/>
  <c r="AA84" i="1"/>
  <c r="Z84" i="1"/>
  <c r="Y84" i="1"/>
  <c r="AA78" i="1"/>
  <c r="Z78" i="1"/>
  <c r="Y78" i="1"/>
  <c r="Y441" i="1"/>
  <c r="Z441" i="1"/>
  <c r="AA441" i="1"/>
  <c r="Z424" i="1"/>
  <c r="AA424" i="1"/>
  <c r="Y424" i="1"/>
  <c r="F4602" i="4"/>
  <c r="AA423" i="1"/>
  <c r="Y423" i="1"/>
  <c r="Z423" i="1"/>
  <c r="Y397" i="1"/>
  <c r="AA397" i="1"/>
  <c r="Z397" i="1"/>
  <c r="Z390" i="1"/>
  <c r="AA390" i="1"/>
  <c r="Y390" i="1"/>
  <c r="Z354" i="1"/>
  <c r="Y354" i="1"/>
  <c r="AA354" i="1"/>
  <c r="Y333" i="1"/>
  <c r="AA333" i="1"/>
  <c r="Z333" i="1"/>
  <c r="F3297" i="4"/>
  <c r="Z297" i="1"/>
  <c r="AA297" i="1"/>
  <c r="Y297" i="1"/>
  <c r="F2705" i="4"/>
  <c r="Y248" i="1"/>
  <c r="AA248" i="1"/>
  <c r="Z248" i="1"/>
  <c r="F2493" i="4"/>
  <c r="AA221" i="1"/>
  <c r="Y221" i="1"/>
  <c r="Z221" i="1"/>
  <c r="F2392" i="4"/>
  <c r="Y212" i="1"/>
  <c r="Z212" i="1"/>
  <c r="AA212" i="1"/>
  <c r="F2370" i="4"/>
  <c r="Y210" i="1"/>
  <c r="AA210" i="1"/>
  <c r="Z210" i="1"/>
  <c r="F2146" i="4"/>
  <c r="Y192" i="1"/>
  <c r="AA192" i="1"/>
  <c r="Z192" i="1"/>
  <c r="Y19" i="1"/>
  <c r="Z19" i="1"/>
  <c r="AA19" i="1"/>
  <c r="F4750" i="4"/>
  <c r="Y436" i="1"/>
  <c r="AA436" i="1"/>
  <c r="Z436" i="1"/>
  <c r="F4636" i="4"/>
  <c r="Y425" i="1"/>
  <c r="Z425" i="1"/>
  <c r="AA425" i="1"/>
  <c r="F4572" i="4"/>
  <c r="Y420" i="1"/>
  <c r="AA420" i="1"/>
  <c r="Z420" i="1"/>
  <c r="F4278" i="4"/>
  <c r="Z396" i="1"/>
  <c r="Y396" i="1"/>
  <c r="AA396" i="1"/>
  <c r="F4171" i="4"/>
  <c r="AA386" i="1"/>
  <c r="Z386" i="1"/>
  <c r="Y386" i="1"/>
  <c r="F3873" i="4"/>
  <c r="Z361" i="1"/>
  <c r="AA361" i="1"/>
  <c r="Y361" i="1"/>
  <c r="F3819" i="4"/>
  <c r="AA357" i="1"/>
  <c r="Y357" i="1"/>
  <c r="Z357" i="1"/>
  <c r="Z330" i="1"/>
  <c r="AA330" i="1"/>
  <c r="Y330" i="1"/>
  <c r="Y329" i="1"/>
  <c r="AA329" i="1"/>
  <c r="Z329" i="1"/>
  <c r="AA328" i="1"/>
  <c r="Y328" i="1"/>
  <c r="Z328" i="1"/>
  <c r="Z326" i="1"/>
  <c r="Y326" i="1"/>
  <c r="AA326" i="1"/>
  <c r="Z323" i="1"/>
  <c r="Y323" i="1"/>
  <c r="AA323" i="1"/>
  <c r="Y318" i="1"/>
  <c r="Z318" i="1"/>
  <c r="AA318" i="1"/>
  <c r="F2776" i="4"/>
  <c r="Z253" i="1"/>
  <c r="AA253" i="1"/>
  <c r="Y253" i="1"/>
  <c r="F2686" i="4"/>
  <c r="AA246" i="1"/>
  <c r="Y246" i="1"/>
  <c r="Z246" i="1"/>
  <c r="Z238" i="1"/>
  <c r="Y238" i="1"/>
  <c r="AA238" i="1"/>
  <c r="F2441" i="4"/>
  <c r="Z217" i="1"/>
  <c r="AA217" i="1"/>
  <c r="Y217" i="1"/>
  <c r="F2297" i="4"/>
  <c r="Y204" i="1"/>
  <c r="Z204" i="1"/>
  <c r="AA204" i="1"/>
  <c r="F2246" i="4"/>
  <c r="Y200" i="1"/>
  <c r="AA200" i="1"/>
  <c r="Z200" i="1"/>
  <c r="F1780" i="4"/>
  <c r="Y156" i="1"/>
  <c r="Z156" i="1"/>
  <c r="AA156" i="1"/>
  <c r="F1220" i="4"/>
  <c r="AA111" i="1"/>
  <c r="Y111" i="1"/>
  <c r="Z111" i="1"/>
  <c r="F1115" i="4"/>
  <c r="Y102" i="1"/>
  <c r="AA102" i="1"/>
  <c r="Z102" i="1"/>
  <c r="Y87" i="1"/>
  <c r="Z87" i="1"/>
  <c r="AA87" i="1"/>
  <c r="Z55" i="1"/>
  <c r="AA55" i="1"/>
  <c r="Y55" i="1"/>
  <c r="F530" i="4"/>
  <c r="Y48" i="1"/>
  <c r="Z48" i="1"/>
  <c r="AA48" i="1"/>
  <c r="AA28" i="1"/>
  <c r="Y28" i="1"/>
  <c r="Z28" i="1"/>
  <c r="F274" i="4"/>
  <c r="F219" i="4"/>
  <c r="Z23" i="1"/>
  <c r="AA23" i="1"/>
  <c r="Y23" i="1"/>
  <c r="AA439" i="1"/>
  <c r="Y439" i="1"/>
  <c r="Z439" i="1"/>
  <c r="Y438" i="1"/>
  <c r="Z438" i="1"/>
  <c r="AA438" i="1"/>
  <c r="F4448" i="4"/>
  <c r="Y412" i="1"/>
  <c r="AA412" i="1"/>
  <c r="Z412" i="1"/>
  <c r="F4185" i="4"/>
  <c r="Y388" i="1"/>
  <c r="Z388" i="1"/>
  <c r="AA388" i="1"/>
  <c r="F4006" i="4"/>
  <c r="Y373" i="1"/>
  <c r="AA373" i="1"/>
  <c r="Z373" i="1"/>
  <c r="F3671" i="4"/>
  <c r="Z343" i="1"/>
  <c r="AA343" i="1"/>
  <c r="Y343" i="1"/>
  <c r="F3635" i="4"/>
  <c r="Y340" i="1"/>
  <c r="Z340" i="1"/>
  <c r="AA340" i="1"/>
  <c r="Y282" i="1"/>
  <c r="AA282" i="1"/>
  <c r="Z282" i="1"/>
  <c r="Z266" i="1"/>
  <c r="AA266" i="1"/>
  <c r="Y266" i="1"/>
  <c r="F2890" i="4"/>
  <c r="Z262" i="1"/>
  <c r="Y262" i="1"/>
  <c r="AA262" i="1"/>
  <c r="F2642" i="4"/>
  <c r="Z241" i="1"/>
  <c r="Y241" i="1"/>
  <c r="AA241" i="1"/>
  <c r="F2527" i="4"/>
  <c r="Y224" i="1"/>
  <c r="AA224" i="1"/>
  <c r="Z224" i="1"/>
  <c r="F2505" i="4"/>
  <c r="Z222" i="1"/>
  <c r="AA222" i="1"/>
  <c r="Y222" i="1"/>
  <c r="F2455" i="4"/>
  <c r="Y218" i="1"/>
  <c r="AA218" i="1"/>
  <c r="Z218" i="1"/>
  <c r="F2183" i="4"/>
  <c r="Z195" i="1"/>
  <c r="Y195" i="1"/>
  <c r="AA195" i="1"/>
  <c r="F2160" i="4"/>
  <c r="Z193" i="1"/>
  <c r="Y193" i="1"/>
  <c r="AA193" i="1"/>
  <c r="F2121" i="4"/>
  <c r="Z189" i="1"/>
  <c r="Y189" i="1"/>
  <c r="AA189" i="1"/>
  <c r="F2090" i="4"/>
  <c r="Z185" i="1"/>
  <c r="Y185" i="1"/>
  <c r="AA185" i="1"/>
  <c r="F2082" i="4"/>
  <c r="Z184" i="1"/>
  <c r="AA184" i="1"/>
  <c r="Y184" i="1"/>
  <c r="F2066" i="4"/>
  <c r="Y183" i="1"/>
  <c r="AA183" i="1"/>
  <c r="Z183" i="1"/>
  <c r="F2051" i="4"/>
  <c r="Y182" i="1"/>
  <c r="Z182" i="1"/>
  <c r="AA182" i="1"/>
  <c r="F2004" i="4"/>
  <c r="Z177" i="1"/>
  <c r="AA177" i="1"/>
  <c r="Y177" i="1"/>
  <c r="F1928" i="4"/>
  <c r="Z170" i="1"/>
  <c r="Y170" i="1"/>
  <c r="AA170" i="1"/>
  <c r="F1894" i="4"/>
  <c r="Y167" i="1"/>
  <c r="AA167" i="1"/>
  <c r="Z167" i="1"/>
  <c r="Y148" i="1"/>
  <c r="Z148" i="1"/>
  <c r="AA148" i="1"/>
  <c r="Z134" i="1"/>
  <c r="AA134" i="1"/>
  <c r="Y134" i="1"/>
  <c r="Y128" i="1"/>
  <c r="Z128" i="1"/>
  <c r="AA128" i="1"/>
  <c r="AA124" i="1"/>
  <c r="Y124" i="1"/>
  <c r="Z124" i="1"/>
  <c r="F1011" i="4"/>
  <c r="Y91" i="1"/>
  <c r="Z91" i="1"/>
  <c r="AA91" i="1"/>
  <c r="F935" i="4"/>
  <c r="Z85" i="1"/>
  <c r="AA85" i="1"/>
  <c r="Y85" i="1"/>
  <c r="F795" i="4"/>
  <c r="Y74" i="1"/>
  <c r="Z74" i="1"/>
  <c r="AA74" i="1"/>
  <c r="Y72" i="1"/>
  <c r="AA72" i="1"/>
  <c r="Z72" i="1"/>
  <c r="AA58" i="1"/>
  <c r="Y58" i="1"/>
  <c r="Z58" i="1"/>
  <c r="F298" i="4"/>
  <c r="Y30" i="1"/>
  <c r="AA30" i="1"/>
  <c r="Z30" i="1"/>
  <c r="F87" i="4"/>
  <c r="Z12" i="1"/>
  <c r="AA12" i="1"/>
  <c r="Y12" i="1"/>
  <c r="F73" i="4"/>
  <c r="Z11" i="1"/>
  <c r="Y11" i="1"/>
  <c r="AA11" i="1"/>
  <c r="F60" i="4"/>
  <c r="Z10" i="1"/>
  <c r="Y10" i="1"/>
  <c r="AA10" i="1"/>
  <c r="F24" i="4"/>
  <c r="Z7" i="1"/>
  <c r="AA7" i="1"/>
  <c r="Y7" i="1"/>
  <c r="Z5" i="1"/>
  <c r="AA5" i="1"/>
  <c r="Y5" i="1"/>
  <c r="F4698" i="4"/>
  <c r="Z429" i="1"/>
  <c r="AA429" i="1"/>
  <c r="Y429" i="1"/>
  <c r="F4662" i="4"/>
  <c r="Y427" i="1"/>
  <c r="Z427" i="1"/>
  <c r="AA427" i="1"/>
  <c r="F4600" i="4"/>
  <c r="Y422" i="1"/>
  <c r="Z422" i="1"/>
  <c r="AA422" i="1"/>
  <c r="F4524" i="4"/>
  <c r="Y417" i="1"/>
  <c r="Z417" i="1"/>
  <c r="AA417" i="1"/>
  <c r="F4404" i="4"/>
  <c r="Y409" i="1"/>
  <c r="AA409" i="1"/>
  <c r="Z409" i="1"/>
  <c r="F4342" i="4"/>
  <c r="Y402" i="1"/>
  <c r="Z402" i="1"/>
  <c r="AA402" i="1"/>
  <c r="Z400" i="1"/>
  <c r="Y400" i="1"/>
  <c r="AA400" i="1"/>
  <c r="Y398" i="1"/>
  <c r="Z398" i="1"/>
  <c r="AA398" i="1"/>
  <c r="F4261" i="4"/>
  <c r="AA395" i="1"/>
  <c r="Y395" i="1"/>
  <c r="Z395" i="1"/>
  <c r="AA391" i="1"/>
  <c r="Y391" i="1"/>
  <c r="Z391" i="1"/>
  <c r="F4110" i="4"/>
  <c r="Y382" i="1"/>
  <c r="Z382" i="1"/>
  <c r="AA382" i="1"/>
  <c r="F4157" i="4"/>
  <c r="AA385" i="1"/>
  <c r="Y385" i="1"/>
  <c r="Z385" i="1"/>
  <c r="Y379" i="1"/>
  <c r="Z379" i="1"/>
  <c r="AA379" i="1"/>
  <c r="Y372" i="1"/>
  <c r="Z372" i="1"/>
  <c r="AA372" i="1"/>
  <c r="Z358" i="1"/>
  <c r="AA358" i="1"/>
  <c r="Y358" i="1"/>
  <c r="F3612" i="4"/>
  <c r="Z338" i="1"/>
  <c r="AA338" i="1"/>
  <c r="Y338" i="1"/>
  <c r="F2910" i="4"/>
  <c r="AA263" i="1"/>
  <c r="Y263" i="1"/>
  <c r="Z263" i="1"/>
  <c r="F2719" i="4"/>
  <c r="Y249" i="1"/>
  <c r="Z249" i="1"/>
  <c r="AA249" i="1"/>
  <c r="Y231" i="1"/>
  <c r="Z231" i="1"/>
  <c r="AA231" i="1"/>
  <c r="Y98" i="1"/>
  <c r="Z98" i="1"/>
  <c r="AA98" i="1"/>
  <c r="F3974" i="4"/>
  <c r="Z370" i="1"/>
  <c r="AA370" i="1"/>
  <c r="Y370" i="1"/>
  <c r="Z319" i="1"/>
  <c r="Y319" i="1"/>
  <c r="AA319" i="1"/>
  <c r="Y255" i="1"/>
  <c r="AA255" i="1"/>
  <c r="Z255" i="1"/>
  <c r="Y286" i="1"/>
  <c r="Z286" i="1"/>
  <c r="AA286" i="1"/>
  <c r="F3787" i="4"/>
  <c r="Y353" i="1"/>
  <c r="Z353" i="1"/>
  <c r="AA353" i="1"/>
  <c r="F3754" i="4"/>
  <c r="Y350" i="1"/>
  <c r="Z350" i="1"/>
  <c r="AA350" i="1"/>
  <c r="F3041" i="4"/>
  <c r="AA274" i="1"/>
  <c r="Y274" i="1"/>
  <c r="Z274" i="1"/>
  <c r="F2833" i="4"/>
  <c r="Z257" i="1"/>
  <c r="AA257" i="1"/>
  <c r="Y257" i="1"/>
  <c r="F2130" i="4"/>
  <c r="Z190" i="1"/>
  <c r="Y190" i="1"/>
  <c r="AA190" i="1"/>
  <c r="F1662" i="4"/>
  <c r="Y147" i="1"/>
  <c r="Z147" i="1"/>
  <c r="AA147" i="1"/>
  <c r="F1562" i="4"/>
  <c r="Y140" i="1"/>
  <c r="Z140" i="1"/>
  <c r="AA140" i="1"/>
  <c r="Z138" i="1"/>
  <c r="AA138" i="1"/>
  <c r="Y138" i="1"/>
  <c r="F1314" i="4"/>
  <c r="Y118" i="1"/>
  <c r="Z118" i="1"/>
  <c r="AA118" i="1"/>
  <c r="Y95" i="1"/>
  <c r="Z95" i="1"/>
  <c r="AA95" i="1"/>
  <c r="Z59" i="1"/>
  <c r="Y59" i="1"/>
  <c r="AA59" i="1"/>
  <c r="Y57" i="1"/>
  <c r="AA57" i="1"/>
  <c r="Z57" i="1"/>
  <c r="F613" i="4"/>
  <c r="F4584" i="4"/>
  <c r="Z421" i="1"/>
  <c r="AA421" i="1"/>
  <c r="Y421" i="1"/>
  <c r="F4556" i="4"/>
  <c r="Y419" i="1"/>
  <c r="Z419" i="1"/>
  <c r="AA419" i="1"/>
  <c r="F4049" i="4"/>
  <c r="Z376" i="1"/>
  <c r="Y376" i="1"/>
  <c r="AA376" i="1"/>
  <c r="F3889" i="4"/>
  <c r="Y363" i="1"/>
  <c r="AA363" i="1"/>
  <c r="Z363" i="1"/>
  <c r="Y348" i="1"/>
  <c r="AA348" i="1"/>
  <c r="Z348" i="1"/>
  <c r="AA344" i="1"/>
  <c r="Y344" i="1"/>
  <c r="Z344" i="1"/>
  <c r="AA325" i="1"/>
  <c r="Y325" i="1"/>
  <c r="Z325" i="1"/>
  <c r="F3321" i="4"/>
  <c r="Z308" i="1"/>
  <c r="AA308" i="1"/>
  <c r="Y308" i="1"/>
  <c r="Z289" i="1"/>
  <c r="AA289" i="1"/>
  <c r="Y289" i="1"/>
  <c r="F3179" i="4"/>
  <c r="Z285" i="1"/>
  <c r="Y285" i="1"/>
  <c r="AA285" i="1"/>
  <c r="F2692" i="4"/>
  <c r="Y247" i="1"/>
  <c r="AA247" i="1"/>
  <c r="Z247" i="1"/>
  <c r="F2674" i="4"/>
  <c r="Z245" i="1"/>
  <c r="AA245" i="1"/>
  <c r="Y245" i="1"/>
  <c r="F2593" i="4"/>
  <c r="AA229" i="1"/>
  <c r="Y229" i="1"/>
  <c r="Z229" i="1"/>
  <c r="Y208" i="1"/>
  <c r="AA208" i="1"/>
  <c r="Z208" i="1"/>
  <c r="Z187" i="1"/>
  <c r="AA187" i="1"/>
  <c r="Y187" i="1"/>
  <c r="F2044" i="4"/>
  <c r="Z181" i="1"/>
  <c r="AA181" i="1"/>
  <c r="Y181" i="1"/>
  <c r="F1978" i="4"/>
  <c r="Z174" i="1"/>
  <c r="Y174" i="1"/>
  <c r="AA174" i="1"/>
  <c r="F1861" i="4"/>
  <c r="Z165" i="1"/>
  <c r="Y165" i="1"/>
  <c r="AA165" i="1"/>
  <c r="F1736" i="4"/>
  <c r="Z153" i="1"/>
  <c r="Y153" i="1"/>
  <c r="AA153" i="1"/>
  <c r="Y150" i="1"/>
  <c r="Z150" i="1"/>
  <c r="AA150" i="1"/>
  <c r="Y136" i="1"/>
  <c r="Z136" i="1"/>
  <c r="AA136" i="1"/>
  <c r="F1478" i="4"/>
  <c r="Y132" i="1"/>
  <c r="Z132" i="1"/>
  <c r="AA132" i="1"/>
  <c r="Z122" i="1"/>
  <c r="AA122" i="1"/>
  <c r="Y122" i="1"/>
  <c r="F1247" i="4"/>
  <c r="Y113" i="1"/>
  <c r="AA113" i="1"/>
  <c r="Z113" i="1"/>
  <c r="F1181" i="4"/>
  <c r="Y108" i="1"/>
  <c r="AA108" i="1"/>
  <c r="Z108" i="1"/>
  <c r="F1128" i="4"/>
  <c r="Y103" i="1"/>
  <c r="Z103" i="1"/>
  <c r="AA103" i="1"/>
  <c r="F976" i="4"/>
  <c r="Y88" i="1"/>
  <c r="Z88" i="1"/>
  <c r="AA88" i="1"/>
  <c r="F950" i="4"/>
  <c r="Y86" i="1"/>
  <c r="Z86" i="1"/>
  <c r="AA86" i="1"/>
  <c r="F874" i="4"/>
  <c r="AA80" i="1"/>
  <c r="Y80" i="1"/>
  <c r="Z80" i="1"/>
  <c r="Z56" i="1"/>
  <c r="Y56" i="1"/>
  <c r="AA56" i="1"/>
  <c r="Z53" i="1"/>
  <c r="AA53" i="1"/>
  <c r="Y53" i="1"/>
  <c r="F379" i="4"/>
  <c r="Z37" i="1"/>
  <c r="Y37" i="1"/>
  <c r="AA37" i="1"/>
  <c r="F212" i="4"/>
  <c r="Y22" i="1"/>
  <c r="AA22" i="1"/>
  <c r="Z22" i="1"/>
  <c r="F48" i="4"/>
  <c r="Z9" i="1"/>
  <c r="AA9" i="1"/>
  <c r="Y9" i="1"/>
  <c r="F36" i="4"/>
  <c r="Z8" i="1"/>
  <c r="Y8" i="1"/>
  <c r="AA8" i="1"/>
  <c r="F13" i="4"/>
  <c r="Z6" i="1"/>
  <c r="AA6" i="1"/>
  <c r="Y6" i="1"/>
  <c r="F4727" i="4"/>
  <c r="Z432" i="1"/>
  <c r="AA432" i="1"/>
  <c r="Y432" i="1"/>
  <c r="F4489" i="4"/>
  <c r="AA415" i="1"/>
  <c r="Y415" i="1"/>
  <c r="Z415" i="1"/>
  <c r="Y404" i="1"/>
  <c r="AA404" i="1"/>
  <c r="Z404" i="1"/>
  <c r="AA399" i="1"/>
  <c r="Y399" i="1"/>
  <c r="Z399" i="1"/>
  <c r="F4022" i="4"/>
  <c r="AA374" i="1"/>
  <c r="Y374" i="1"/>
  <c r="Z374" i="1"/>
  <c r="F3343" i="4"/>
  <c r="Z314" i="1"/>
  <c r="AA314" i="1"/>
  <c r="Y314" i="1"/>
  <c r="F3203" i="4"/>
  <c r="AA287" i="1"/>
  <c r="Y287" i="1"/>
  <c r="Z287" i="1"/>
  <c r="F2969" i="4"/>
  <c r="Z268" i="1"/>
  <c r="AA268" i="1"/>
  <c r="Y268" i="1"/>
  <c r="F2584" i="4"/>
  <c r="Y228" i="1"/>
  <c r="Z228" i="1"/>
  <c r="AA228" i="1"/>
  <c r="F2287" i="4"/>
  <c r="Z203" i="1"/>
  <c r="AA203" i="1"/>
  <c r="Y203" i="1"/>
  <c r="F2273" i="4"/>
  <c r="Y202" i="1"/>
  <c r="AA202" i="1"/>
  <c r="Z202" i="1"/>
  <c r="F2236" i="4"/>
  <c r="Y199" i="1"/>
  <c r="Z199" i="1"/>
  <c r="AA199" i="1"/>
  <c r="F2221" i="4"/>
  <c r="Z198" i="1"/>
  <c r="AA198" i="1"/>
  <c r="Y198" i="1"/>
  <c r="F1841" i="4"/>
  <c r="Z163" i="1"/>
  <c r="Y163" i="1"/>
  <c r="AA163" i="1"/>
  <c r="Y126" i="1"/>
  <c r="Z126" i="1"/>
  <c r="AA126" i="1"/>
  <c r="F1411" i="4"/>
  <c r="F1289" i="4"/>
  <c r="AA116" i="1"/>
  <c r="Y116" i="1"/>
  <c r="Z116" i="1"/>
  <c r="F1277" i="4"/>
  <c r="Y115" i="1"/>
  <c r="Z115" i="1"/>
  <c r="AA115" i="1"/>
  <c r="Y67" i="1"/>
  <c r="Z67" i="1"/>
  <c r="AA67" i="1"/>
  <c r="F558" i="4"/>
  <c r="Y51" i="1"/>
  <c r="Z51" i="1"/>
  <c r="AA51" i="1"/>
  <c r="Y44" i="1"/>
  <c r="AA44" i="1"/>
  <c r="Z44" i="1"/>
  <c r="Z39" i="1"/>
  <c r="AA39" i="1"/>
  <c r="Y39" i="1"/>
  <c r="Y35" i="1"/>
  <c r="Z35" i="1"/>
  <c r="AA35" i="1"/>
  <c r="F351" i="4"/>
  <c r="F118" i="4"/>
  <c r="Z15" i="1"/>
  <c r="AA15" i="1"/>
  <c r="Y15" i="1"/>
  <c r="F4840" i="4"/>
  <c r="Y443" i="1"/>
  <c r="Z443" i="1"/>
  <c r="AA443" i="1"/>
  <c r="F4821" i="4"/>
  <c r="Y442" i="1"/>
  <c r="Z442" i="1"/>
  <c r="AA442" i="1"/>
  <c r="Y426" i="1"/>
  <c r="Z426" i="1"/>
  <c r="AA426" i="1"/>
  <c r="F4403" i="4"/>
  <c r="AA408" i="1"/>
  <c r="Y408" i="1"/>
  <c r="Z408" i="1"/>
  <c r="Y401" i="1"/>
  <c r="AA401" i="1"/>
  <c r="Z401" i="1"/>
  <c r="F3962" i="4"/>
  <c r="AA369" i="1"/>
  <c r="Y369" i="1"/>
  <c r="Z369" i="1"/>
  <c r="F3588" i="4"/>
  <c r="Y336" i="1"/>
  <c r="AA336" i="1"/>
  <c r="Z336" i="1"/>
  <c r="F3359" i="4"/>
  <c r="Y315" i="1"/>
  <c r="Z315" i="1"/>
  <c r="AA315" i="1"/>
  <c r="F3319" i="4"/>
  <c r="Y307" i="1"/>
  <c r="Z307" i="1"/>
  <c r="AA307" i="1"/>
  <c r="Z301" i="1"/>
  <c r="Y301" i="1"/>
  <c r="AA301" i="1"/>
  <c r="F3006" i="4"/>
  <c r="AA271" i="1"/>
  <c r="Y271" i="1"/>
  <c r="Z271" i="1"/>
  <c r="F2937" i="4"/>
  <c r="Z265" i="1"/>
  <c r="Y265" i="1"/>
  <c r="AA265" i="1"/>
  <c r="F2605" i="4"/>
  <c r="Y232" i="1"/>
  <c r="AA232" i="1"/>
  <c r="Z232" i="1"/>
  <c r="F2173" i="4"/>
  <c r="Y194" i="1"/>
  <c r="Z194" i="1"/>
  <c r="AA194" i="1"/>
  <c r="F1996" i="4"/>
  <c r="AA176" i="1"/>
  <c r="Y176" i="1"/>
  <c r="Z176" i="1"/>
  <c r="F1934" i="4"/>
  <c r="Y171" i="1"/>
  <c r="AA171" i="1"/>
  <c r="Z171" i="1"/>
  <c r="F1913" i="4"/>
  <c r="Y169" i="1"/>
  <c r="Z169" i="1"/>
  <c r="AA169" i="1"/>
  <c r="F1813" i="4"/>
  <c r="Y160" i="1"/>
  <c r="Z160" i="1"/>
  <c r="AA160" i="1"/>
  <c r="F1446" i="4"/>
  <c r="Y129" i="1"/>
  <c r="AA129" i="1"/>
  <c r="Z129" i="1"/>
  <c r="F994" i="4"/>
  <c r="Y90" i="1"/>
  <c r="Z90" i="1"/>
  <c r="AA90" i="1"/>
  <c r="F746" i="4"/>
  <c r="AA68" i="1"/>
  <c r="Y68" i="1"/>
  <c r="Z68" i="1"/>
  <c r="Z65" i="1"/>
  <c r="AA65" i="1"/>
  <c r="Y65" i="1"/>
  <c r="F3311" i="4"/>
  <c r="Y305" i="1"/>
  <c r="Z305" i="1"/>
  <c r="AA305" i="1"/>
  <c r="F4141" i="4"/>
  <c r="Z384" i="1"/>
  <c r="Y384" i="1"/>
  <c r="AA384" i="1"/>
  <c r="Z378" i="1"/>
  <c r="AA378" i="1"/>
  <c r="Y378" i="1"/>
  <c r="Z375" i="1"/>
  <c r="AA375" i="1"/>
  <c r="Y375" i="1"/>
  <c r="Z366" i="1"/>
  <c r="AA366" i="1"/>
  <c r="Y366" i="1"/>
  <c r="F2878" i="4"/>
  <c r="Z261" i="1"/>
  <c r="Y261" i="1"/>
  <c r="AA261" i="1"/>
  <c r="F2653" i="4"/>
  <c r="Z242" i="1"/>
  <c r="AA242" i="1"/>
  <c r="Y242" i="1"/>
  <c r="F2610" i="4"/>
  <c r="Y234" i="1"/>
  <c r="AA234" i="1"/>
  <c r="Z234" i="1"/>
  <c r="F2515" i="4"/>
  <c r="Y223" i="1"/>
  <c r="Z223" i="1"/>
  <c r="AA223" i="1"/>
  <c r="F2356" i="4"/>
  <c r="Z209" i="1"/>
  <c r="Y209" i="1"/>
  <c r="AA209" i="1"/>
  <c r="F2139" i="4"/>
  <c r="Z191" i="1"/>
  <c r="AA191" i="1"/>
  <c r="Y191" i="1"/>
  <c r="F2007" i="4"/>
  <c r="Z178" i="1"/>
  <c r="AA178" i="1"/>
  <c r="Y178" i="1"/>
  <c r="F1096" i="4"/>
  <c r="AA100" i="1"/>
  <c r="Y100" i="1"/>
  <c r="Z100" i="1"/>
  <c r="Y94" i="1"/>
  <c r="Z94" i="1"/>
  <c r="AA94" i="1"/>
  <c r="F671" i="4"/>
  <c r="Y63" i="1"/>
  <c r="Z63" i="1"/>
  <c r="AA63" i="1"/>
  <c r="F650" i="4"/>
  <c r="Z60" i="1"/>
  <c r="AA60" i="1"/>
  <c r="Y60" i="1"/>
  <c r="F127" i="4"/>
  <c r="Y16" i="1"/>
  <c r="Z16" i="1"/>
  <c r="AA16" i="1"/>
  <c r="Z387" i="1"/>
  <c r="AA387" i="1"/>
  <c r="Y387" i="1"/>
  <c r="F4175" i="4"/>
  <c r="F3283" i="4"/>
  <c r="AA294" i="1"/>
  <c r="Y294" i="1"/>
  <c r="Z294" i="1"/>
  <c r="F3161" i="4"/>
  <c r="Z284" i="1"/>
  <c r="Y284" i="1"/>
  <c r="AA284" i="1"/>
  <c r="F2995" i="4"/>
  <c r="Z270" i="1"/>
  <c r="Y270" i="1"/>
  <c r="AA270" i="1"/>
  <c r="AA383" i="1"/>
  <c r="Y383" i="1"/>
  <c r="Z383" i="1"/>
  <c r="Y380" i="1"/>
  <c r="Z380" i="1"/>
  <c r="AA380" i="1"/>
  <c r="Y365" i="1"/>
  <c r="AA365" i="1"/>
  <c r="Z365" i="1"/>
  <c r="Z364" i="1"/>
  <c r="Y364" i="1"/>
  <c r="AA364" i="1"/>
  <c r="Z355" i="1"/>
  <c r="AA355" i="1"/>
  <c r="Y355" i="1"/>
  <c r="F3714" i="4"/>
  <c r="Y347" i="1"/>
  <c r="Z347" i="1"/>
  <c r="AA347" i="1"/>
  <c r="F3033" i="4"/>
  <c r="Z273" i="1"/>
  <c r="AA273" i="1"/>
  <c r="Y273" i="1"/>
  <c r="F2417" i="4"/>
  <c r="Y215" i="1"/>
  <c r="Z215" i="1"/>
  <c r="AA215" i="1"/>
  <c r="F2120" i="4"/>
  <c r="Z188" i="1"/>
  <c r="Y188" i="1"/>
  <c r="AA188" i="1"/>
  <c r="F1643" i="4"/>
  <c r="Y146" i="1"/>
  <c r="Z146" i="1"/>
  <c r="AA146" i="1"/>
  <c r="F1583" i="4"/>
  <c r="Y142" i="1"/>
  <c r="Z142" i="1"/>
  <c r="AA142" i="1"/>
  <c r="F1341" i="4"/>
  <c r="Y120" i="1"/>
  <c r="Z120" i="1"/>
  <c r="AA120" i="1"/>
  <c r="Y119" i="1"/>
  <c r="Z119" i="1"/>
  <c r="AA119" i="1"/>
  <c r="F3708" i="4"/>
  <c r="Z346" i="1"/>
  <c r="AA346" i="1"/>
  <c r="Y346" i="1"/>
  <c r="F3624" i="4"/>
  <c r="Z339" i="1"/>
  <c r="AA339" i="1"/>
  <c r="Y339" i="1"/>
  <c r="Y320" i="1"/>
  <c r="AA320" i="1"/>
  <c r="Z320" i="1"/>
  <c r="F3325" i="4"/>
  <c r="Z309" i="1"/>
  <c r="Y309" i="1"/>
  <c r="AA309" i="1"/>
  <c r="F3124" i="4"/>
  <c r="Z281" i="1"/>
  <c r="Y281" i="1"/>
  <c r="AA281" i="1"/>
  <c r="F2861" i="4"/>
  <c r="Y259" i="1"/>
  <c r="AA259" i="1"/>
  <c r="Z259" i="1"/>
  <c r="F2380" i="4"/>
  <c r="Z211" i="1"/>
  <c r="AA211" i="1"/>
  <c r="Y211" i="1"/>
  <c r="F2323" i="4"/>
  <c r="Z206" i="1"/>
  <c r="AA206" i="1"/>
  <c r="Y206" i="1"/>
  <c r="F2034" i="4"/>
  <c r="Y180" i="1"/>
  <c r="AA180" i="1"/>
  <c r="Z180" i="1"/>
  <c r="F1906" i="4"/>
  <c r="Y168" i="1"/>
  <c r="AA168" i="1"/>
  <c r="Z168" i="1"/>
  <c r="F1852" i="4"/>
  <c r="Y164" i="1"/>
  <c r="Z164" i="1"/>
  <c r="AA164" i="1"/>
  <c r="Z159" i="1"/>
  <c r="Y159" i="1"/>
  <c r="AA159" i="1"/>
  <c r="Y145" i="1"/>
  <c r="Z145" i="1"/>
  <c r="AA145" i="1"/>
  <c r="F1632" i="4"/>
  <c r="F1621" i="4"/>
  <c r="Y144" i="1"/>
  <c r="Z144" i="1"/>
  <c r="AA144" i="1"/>
  <c r="Y143" i="1"/>
  <c r="Z143" i="1"/>
  <c r="AA143" i="1"/>
  <c r="AA104" i="1"/>
  <c r="Y104" i="1"/>
  <c r="Z104" i="1"/>
  <c r="F1145" i="4"/>
  <c r="F1105" i="4"/>
  <c r="Z101" i="1"/>
  <c r="AA101" i="1"/>
  <c r="Y101" i="1"/>
  <c r="F888" i="4"/>
  <c r="Y81" i="1"/>
  <c r="Z81" i="1"/>
  <c r="AA81" i="1"/>
  <c r="Y77" i="1"/>
  <c r="Z77" i="1"/>
  <c r="AA77" i="1"/>
  <c r="F447" i="4"/>
  <c r="Y43" i="1"/>
  <c r="Z43" i="1"/>
  <c r="AA43" i="1"/>
  <c r="F308" i="4"/>
  <c r="Z31" i="1"/>
  <c r="AA31" i="1"/>
  <c r="Y31" i="1"/>
  <c r="F228" i="4"/>
  <c r="Y24" i="1"/>
  <c r="Z24" i="1"/>
  <c r="AA24" i="1"/>
  <c r="F4713" i="4"/>
  <c r="Y430" i="1"/>
  <c r="Z430" i="1"/>
  <c r="AA430" i="1"/>
  <c r="F4506" i="4"/>
  <c r="Z416" i="1"/>
  <c r="AA416" i="1"/>
  <c r="Y416" i="1"/>
  <c r="Y407" i="1"/>
  <c r="AA407" i="1"/>
  <c r="Z407" i="1"/>
  <c r="F4241" i="4"/>
  <c r="Y393" i="1"/>
  <c r="Z393" i="1"/>
  <c r="AA393" i="1"/>
  <c r="AA377" i="1"/>
  <c r="Y377" i="1"/>
  <c r="Z377" i="1"/>
  <c r="Y368" i="1"/>
  <c r="Z368" i="1"/>
  <c r="AA368" i="1"/>
  <c r="Y367" i="1"/>
  <c r="Z367" i="1"/>
  <c r="AA367" i="1"/>
  <c r="F3860" i="4"/>
  <c r="AA360" i="1"/>
  <c r="Y360" i="1"/>
  <c r="Z360" i="1"/>
  <c r="Z359" i="1"/>
  <c r="Y359" i="1"/>
  <c r="AA359" i="1"/>
  <c r="F3816" i="4"/>
  <c r="Y356" i="1"/>
  <c r="AA356" i="1"/>
  <c r="Z356" i="1"/>
  <c r="F3778" i="4"/>
  <c r="AA352" i="1"/>
  <c r="Y352" i="1"/>
  <c r="Z352" i="1"/>
  <c r="F3659" i="4"/>
  <c r="Z342" i="1"/>
  <c r="AA342" i="1"/>
  <c r="Y342" i="1"/>
  <c r="F3649" i="4"/>
  <c r="AA341" i="1"/>
  <c r="Y341" i="1"/>
  <c r="Z341" i="1"/>
  <c r="Y334" i="1"/>
  <c r="Z334" i="1"/>
  <c r="AA334" i="1"/>
  <c r="Z322" i="1"/>
  <c r="Y322" i="1"/>
  <c r="AA322" i="1"/>
  <c r="Y321" i="1"/>
  <c r="Z321" i="1"/>
  <c r="AA321" i="1"/>
  <c r="Y317" i="1"/>
  <c r="AA317" i="1"/>
  <c r="Z317" i="1"/>
  <c r="F3330" i="4"/>
  <c r="F3268" i="4"/>
  <c r="Y278" i="1"/>
  <c r="AA278" i="1"/>
  <c r="Z278" i="1"/>
  <c r="F2867" i="4"/>
  <c r="AA260" i="1"/>
  <c r="Y260" i="1"/>
  <c r="Z260" i="1"/>
  <c r="F2753" i="4"/>
  <c r="Y251" i="1"/>
  <c r="AA251" i="1"/>
  <c r="Z251" i="1"/>
  <c r="F2670" i="4"/>
  <c r="Y244" i="1"/>
  <c r="AA244" i="1"/>
  <c r="Z244" i="1"/>
  <c r="F2627" i="4"/>
  <c r="Z240" i="1"/>
  <c r="AA240" i="1"/>
  <c r="Y240" i="1"/>
  <c r="F2480" i="4"/>
  <c r="Y220" i="1"/>
  <c r="Z220" i="1"/>
  <c r="AA220" i="1"/>
  <c r="F2466" i="4"/>
  <c r="Z219" i="1"/>
  <c r="AA219" i="1"/>
  <c r="Y219" i="1"/>
  <c r="F2401" i="4"/>
  <c r="AA213" i="1"/>
  <c r="Y213" i="1"/>
  <c r="Z213" i="1"/>
  <c r="Y162" i="1"/>
  <c r="Z162" i="1"/>
  <c r="AA162" i="1"/>
  <c r="Y158" i="1"/>
  <c r="Z158" i="1"/>
  <c r="AA158" i="1"/>
  <c r="Z151" i="1"/>
  <c r="Y151" i="1"/>
  <c r="AA151" i="1"/>
  <c r="F1711" i="4"/>
  <c r="Y137" i="1"/>
  <c r="AA137" i="1"/>
  <c r="Z137" i="1"/>
  <c r="F1505" i="4"/>
  <c r="Y135" i="1"/>
  <c r="Z135" i="1"/>
  <c r="AA135" i="1"/>
  <c r="F1487" i="4"/>
  <c r="AA133" i="1"/>
  <c r="Y133" i="1"/>
  <c r="Z133" i="1"/>
  <c r="Y131" i="1"/>
  <c r="Z131" i="1"/>
  <c r="AA131" i="1"/>
  <c r="Y123" i="1"/>
  <c r="Z123" i="1"/>
  <c r="AA123" i="1"/>
  <c r="Z114" i="1"/>
  <c r="AA114" i="1"/>
  <c r="Y114" i="1"/>
  <c r="F1210" i="4"/>
  <c r="Y110" i="1"/>
  <c r="Z110" i="1"/>
  <c r="AA110" i="1"/>
  <c r="F1032" i="4"/>
  <c r="Z93" i="1"/>
  <c r="AA93" i="1"/>
  <c r="Y93" i="1"/>
  <c r="Y66" i="1"/>
  <c r="Z66" i="1"/>
  <c r="AA66" i="1"/>
  <c r="F539" i="4"/>
  <c r="Y49" i="1"/>
  <c r="AA49" i="1"/>
  <c r="Z49" i="1"/>
  <c r="F482" i="4"/>
  <c r="Y45" i="1"/>
  <c r="Z45" i="1"/>
  <c r="AA45" i="1"/>
  <c r="Z29" i="1"/>
  <c r="Y29" i="1"/>
  <c r="AA29" i="1"/>
  <c r="Y14" i="1"/>
  <c r="AA14" i="1"/>
  <c r="Z14" i="1"/>
  <c r="F4746" i="4"/>
  <c r="Y434" i="1"/>
  <c r="Z434" i="1"/>
  <c r="AA434" i="1"/>
  <c r="Z413" i="1"/>
  <c r="AA413" i="1"/>
  <c r="Y413" i="1"/>
  <c r="F4369" i="4"/>
  <c r="Z405" i="1"/>
  <c r="AA405" i="1"/>
  <c r="Y405" i="1"/>
  <c r="F4234" i="4"/>
  <c r="Z392" i="1"/>
  <c r="Y392" i="1"/>
  <c r="AA392" i="1"/>
  <c r="F2728" i="4"/>
  <c r="Z250" i="1"/>
  <c r="AA250" i="1"/>
  <c r="Y250" i="1"/>
  <c r="F2626" i="4"/>
  <c r="Y239" i="1"/>
  <c r="Z239" i="1"/>
  <c r="AA239" i="1"/>
  <c r="F2573" i="4"/>
  <c r="Z227" i="1"/>
  <c r="AA227" i="1"/>
  <c r="Y227" i="1"/>
  <c r="F2544" i="4"/>
  <c r="Z225" i="1"/>
  <c r="Y225" i="1"/>
  <c r="AA225" i="1"/>
  <c r="F2430" i="4"/>
  <c r="Y216" i="1"/>
  <c r="AA216" i="1"/>
  <c r="Z216" i="1"/>
  <c r="F2194" i="4"/>
  <c r="Z196" i="1"/>
  <c r="AA196" i="1"/>
  <c r="Y196" i="1"/>
  <c r="F2024" i="4"/>
  <c r="AA179" i="1"/>
  <c r="Y179" i="1"/>
  <c r="Z179" i="1"/>
  <c r="F1946" i="4"/>
  <c r="Y172" i="1"/>
  <c r="Z172" i="1"/>
  <c r="AA172" i="1"/>
  <c r="F1877" i="4"/>
  <c r="Y166" i="1"/>
  <c r="Z166" i="1"/>
  <c r="AA166" i="1"/>
  <c r="F1764" i="4"/>
  <c r="Z155" i="1"/>
  <c r="Y155" i="1"/>
  <c r="AA155" i="1"/>
  <c r="F1727" i="4"/>
  <c r="Y152" i="1"/>
  <c r="Z152" i="1"/>
  <c r="AA152" i="1"/>
  <c r="Y141" i="1"/>
  <c r="Z141" i="1"/>
  <c r="AA141" i="1"/>
  <c r="F1084" i="4"/>
  <c r="F1044" i="4"/>
  <c r="F1020" i="4"/>
  <c r="AA92" i="1"/>
  <c r="Y92" i="1"/>
  <c r="Z92" i="1"/>
  <c r="F901" i="4"/>
  <c r="AA82" i="1"/>
  <c r="Y82" i="1"/>
  <c r="Z82" i="1"/>
  <c r="Y79" i="1"/>
  <c r="Z79" i="1"/>
  <c r="AA79" i="1"/>
  <c r="F845" i="4"/>
  <c r="Z76" i="1"/>
  <c r="AA76" i="1"/>
  <c r="Y76" i="1"/>
  <c r="Y75" i="1"/>
  <c r="AA75" i="1"/>
  <c r="Z75" i="1"/>
  <c r="F808" i="4"/>
  <c r="Y73" i="1"/>
  <c r="Z73" i="1"/>
  <c r="AA73" i="1"/>
  <c r="Y70" i="1"/>
  <c r="Z70" i="1"/>
  <c r="AA70" i="1"/>
  <c r="Y64" i="1"/>
  <c r="Z64" i="1"/>
  <c r="AA64" i="1"/>
  <c r="F693" i="4"/>
  <c r="AA54" i="1"/>
  <c r="Y54" i="1"/>
  <c r="Z54" i="1"/>
  <c r="Z42" i="1"/>
  <c r="AA42" i="1"/>
  <c r="Y42" i="1"/>
  <c r="F439" i="4"/>
  <c r="F418" i="4"/>
  <c r="Y40" i="1"/>
  <c r="Z40" i="1"/>
  <c r="AA40" i="1"/>
  <c r="F394" i="4"/>
  <c r="AA38" i="1"/>
  <c r="Y38" i="1"/>
  <c r="Z38" i="1"/>
  <c r="F363" i="4"/>
  <c r="AA36" i="1"/>
  <c r="Y36" i="1"/>
  <c r="Z36" i="1"/>
  <c r="F331" i="4"/>
  <c r="Y33" i="1"/>
  <c r="AA33" i="1"/>
  <c r="Z33" i="1"/>
  <c r="F257" i="4"/>
  <c r="Z26" i="1"/>
  <c r="AA26" i="1"/>
  <c r="Y26" i="1"/>
  <c r="Y25" i="1"/>
  <c r="AA25" i="1"/>
  <c r="Z25" i="1"/>
  <c r="F152" i="4"/>
  <c r="Z18" i="1"/>
  <c r="AA18" i="1"/>
  <c r="Y18" i="1"/>
  <c r="F103" i="4"/>
  <c r="Z13" i="1"/>
  <c r="Y13" i="1"/>
  <c r="AA13" i="1"/>
  <c r="F4806" i="4"/>
  <c r="Z437" i="1"/>
  <c r="AA437" i="1"/>
  <c r="Y437" i="1"/>
  <c r="F4739" i="4"/>
  <c r="Y433" i="1"/>
  <c r="Z433" i="1"/>
  <c r="AA433" i="1"/>
  <c r="F4614" i="4"/>
  <c r="F4480" i="4"/>
  <c r="Y414" i="1"/>
  <c r="Z414" i="1"/>
  <c r="AA414" i="1"/>
  <c r="F4432" i="4"/>
  <c r="AA411" i="1"/>
  <c r="Y411" i="1"/>
  <c r="Z411" i="1"/>
  <c r="Z410" i="1"/>
  <c r="Y410" i="1"/>
  <c r="AA410" i="1"/>
  <c r="F4291" i="4"/>
  <c r="F4246" i="4"/>
  <c r="Z394" i="1"/>
  <c r="AA394" i="1"/>
  <c r="Y394" i="1"/>
  <c r="F4204" i="4"/>
  <c r="F4188" i="4"/>
  <c r="Y389" i="1"/>
  <c r="Z389" i="1"/>
  <c r="AA389" i="1"/>
  <c r="Z300" i="1"/>
  <c r="Y300" i="1"/>
  <c r="AA300" i="1"/>
  <c r="F3304" i="4"/>
  <c r="Y332" i="1"/>
  <c r="AA332" i="1"/>
  <c r="Z332" i="1"/>
  <c r="Y324" i="1"/>
  <c r="Z324" i="1"/>
  <c r="AA324" i="1"/>
  <c r="F2847" i="4"/>
  <c r="Z258" i="1"/>
  <c r="Y258" i="1"/>
  <c r="AA258" i="1"/>
  <c r="F2668" i="4"/>
  <c r="Z243" i="1"/>
  <c r="AA243" i="1"/>
  <c r="Y243" i="1"/>
  <c r="F2313" i="4"/>
  <c r="AA205" i="1"/>
  <c r="Y205" i="1"/>
  <c r="Z205" i="1"/>
  <c r="F1959" i="4"/>
  <c r="Z173" i="1"/>
  <c r="AA173" i="1"/>
  <c r="Y173" i="1"/>
  <c r="F1309" i="4"/>
  <c r="Z117" i="1"/>
  <c r="AA117" i="1"/>
  <c r="Y117" i="1"/>
  <c r="F3207" i="4"/>
  <c r="Z288" i="1"/>
  <c r="Y288" i="1"/>
  <c r="AA288" i="1"/>
  <c r="F3986" i="4"/>
  <c r="Y371" i="1"/>
  <c r="Z371" i="1"/>
  <c r="AA371" i="1"/>
  <c r="F3874" i="4"/>
  <c r="Z362" i="1"/>
  <c r="AA362" i="1"/>
  <c r="Y362" i="1"/>
  <c r="Z335" i="1"/>
  <c r="AA335" i="1"/>
  <c r="Y335" i="1"/>
  <c r="F3309" i="4"/>
  <c r="Y302" i="1"/>
  <c r="Z302" i="1"/>
  <c r="AA302" i="1"/>
  <c r="F3054" i="4"/>
  <c r="Y275" i="1"/>
  <c r="AA275" i="1"/>
  <c r="Z275" i="1"/>
  <c r="F3029" i="4"/>
  <c r="Z272" i="1"/>
  <c r="AA272" i="1"/>
  <c r="Y272" i="1"/>
  <c r="Y252" i="1"/>
  <c r="Z252" i="1"/>
  <c r="AA252" i="1"/>
  <c r="F2764" i="4"/>
  <c r="F1455" i="4"/>
  <c r="Z130" i="1"/>
  <c r="AA130" i="1"/>
  <c r="Y130" i="1"/>
  <c r="Z125" i="1"/>
  <c r="AA125" i="1"/>
  <c r="Y125" i="1"/>
  <c r="F1234" i="4"/>
  <c r="Y112" i="1"/>
  <c r="Z112" i="1"/>
  <c r="AA112" i="1"/>
  <c r="F1195" i="4"/>
  <c r="AA109" i="1"/>
  <c r="Y109" i="1"/>
  <c r="Z109" i="1"/>
  <c r="F1149" i="4"/>
  <c r="Y105" i="1"/>
  <c r="AA105" i="1"/>
  <c r="Z105" i="1"/>
  <c r="F1095" i="4"/>
  <c r="Y99" i="1"/>
  <c r="Z99" i="1"/>
  <c r="AA99" i="1"/>
  <c r="AA71" i="1"/>
  <c r="Y71" i="1"/>
  <c r="Z71" i="1"/>
  <c r="Y62" i="1"/>
  <c r="Z62" i="1"/>
  <c r="AA62" i="1"/>
  <c r="F560" i="4"/>
  <c r="Y52" i="1"/>
  <c r="Z52" i="1"/>
  <c r="AA52" i="1"/>
  <c r="F341" i="4"/>
  <c r="Z34" i="1"/>
  <c r="AA34" i="1"/>
  <c r="Y34" i="1"/>
  <c r="Z440" i="1"/>
  <c r="AA440" i="1"/>
  <c r="Y440" i="1"/>
  <c r="Y428" i="1"/>
  <c r="AA428" i="1"/>
  <c r="Z428" i="1"/>
  <c r="Y418" i="1"/>
  <c r="Z418" i="1"/>
  <c r="AA418" i="1"/>
  <c r="F3699" i="4"/>
  <c r="Y345" i="1"/>
  <c r="AA345" i="1"/>
  <c r="Z345" i="1"/>
  <c r="F3600" i="4"/>
  <c r="Y337" i="1"/>
  <c r="Z337" i="1"/>
  <c r="AA337" i="1"/>
  <c r="Y331" i="1"/>
  <c r="Z331" i="1"/>
  <c r="AA331" i="1"/>
  <c r="Z327" i="1"/>
  <c r="AA327" i="1"/>
  <c r="Y327" i="1"/>
  <c r="F3372" i="4"/>
  <c r="Y316" i="1"/>
  <c r="AA316" i="1"/>
  <c r="Z316" i="1"/>
  <c r="Y295" i="1"/>
  <c r="AA295" i="1"/>
  <c r="Z295" i="1"/>
  <c r="F3271" i="4"/>
  <c r="Y293" i="1"/>
  <c r="Z293" i="1"/>
  <c r="AA293" i="1"/>
  <c r="AA291" i="1"/>
  <c r="Y291" i="1"/>
  <c r="Z291" i="1"/>
  <c r="Y279" i="1"/>
  <c r="AA279" i="1"/>
  <c r="Z279" i="1"/>
  <c r="F2405" i="4"/>
  <c r="Z214" i="1"/>
  <c r="AA214" i="1"/>
  <c r="Y214" i="1"/>
  <c r="F2261" i="4"/>
  <c r="Z201" i="1"/>
  <c r="AA201" i="1"/>
  <c r="Y201" i="1"/>
  <c r="F1791" i="4"/>
  <c r="Z157" i="1"/>
  <c r="Y157" i="1"/>
  <c r="AA157" i="1"/>
  <c r="Y149" i="1"/>
  <c r="Z149" i="1"/>
  <c r="AA149" i="1"/>
  <c r="AA290" i="1"/>
  <c r="Y290" i="1"/>
  <c r="Z290" i="1"/>
  <c r="F3151" i="4"/>
  <c r="Y283" i="1"/>
  <c r="Z283" i="1"/>
  <c r="AA283" i="1"/>
  <c r="Y280" i="1"/>
  <c r="Z280" i="1"/>
  <c r="AA280" i="1"/>
  <c r="Y277" i="1"/>
  <c r="Z277" i="1"/>
  <c r="AA277" i="1"/>
  <c r="F2979" i="4"/>
  <c r="Z269" i="1"/>
  <c r="AA269" i="1"/>
  <c r="Y269" i="1"/>
  <c r="Z267" i="1"/>
  <c r="Y267" i="1"/>
  <c r="AA267" i="1"/>
  <c r="F2820" i="4"/>
  <c r="Y256" i="1"/>
  <c r="AA256" i="1"/>
  <c r="Z256" i="1"/>
  <c r="F2790" i="4"/>
  <c r="Z254" i="1"/>
  <c r="AA254" i="1"/>
  <c r="Y254" i="1"/>
  <c r="F2622" i="4"/>
  <c r="Y236" i="1"/>
  <c r="Z236" i="1"/>
  <c r="AA236" i="1"/>
  <c r="F2614" i="4"/>
  <c r="Z235" i="1"/>
  <c r="AA235" i="1"/>
  <c r="Y235" i="1"/>
  <c r="Y207" i="1"/>
  <c r="Z207" i="1"/>
  <c r="AA207" i="1"/>
  <c r="F2211" i="4"/>
  <c r="Z197" i="1"/>
  <c r="AA197" i="1"/>
  <c r="Y197" i="1"/>
  <c r="F2095" i="4"/>
  <c r="Z186" i="1"/>
  <c r="Y186" i="1"/>
  <c r="AA186" i="1"/>
  <c r="Y175" i="1"/>
  <c r="Z175" i="1"/>
  <c r="AA175" i="1"/>
  <c r="Z161" i="1"/>
  <c r="Y161" i="1"/>
  <c r="AA161" i="1"/>
  <c r="Y154" i="1"/>
  <c r="Z154" i="1"/>
  <c r="AA154" i="1"/>
  <c r="F1555" i="4"/>
  <c r="Y139" i="1"/>
  <c r="Z139" i="1"/>
  <c r="AA139" i="1"/>
  <c r="Y127" i="1"/>
  <c r="Z127" i="1"/>
  <c r="AA127" i="1"/>
  <c r="F1358" i="4"/>
  <c r="Y121" i="1"/>
  <c r="AA121" i="1"/>
  <c r="Z121" i="1"/>
  <c r="F1166" i="4"/>
  <c r="AA107" i="1"/>
  <c r="Z107" i="1"/>
  <c r="Y107" i="1"/>
  <c r="Z106" i="1"/>
  <c r="AA106" i="1"/>
  <c r="Y106" i="1"/>
  <c r="F1067" i="4"/>
  <c r="Y97" i="1"/>
  <c r="Z97" i="1"/>
  <c r="AA97" i="1"/>
  <c r="F985" i="4"/>
  <c r="Y89" i="1"/>
  <c r="Z89" i="1"/>
  <c r="AA89" i="1"/>
  <c r="Y83" i="1"/>
  <c r="Z83" i="1"/>
  <c r="AA83" i="1"/>
  <c r="Y69" i="1"/>
  <c r="Z69" i="1"/>
  <c r="AA69" i="1"/>
  <c r="F549" i="4"/>
  <c r="Z50" i="1"/>
  <c r="AA50" i="1"/>
  <c r="Y50" i="1"/>
  <c r="F506" i="4"/>
  <c r="Z47" i="1"/>
  <c r="AA47" i="1"/>
  <c r="Y47" i="1"/>
  <c r="F494" i="4"/>
  <c r="AA46" i="1"/>
  <c r="Y46" i="1"/>
  <c r="Z46" i="1"/>
  <c r="F426" i="4"/>
  <c r="Y41" i="1"/>
  <c r="AA41" i="1"/>
  <c r="Z41" i="1"/>
  <c r="F268" i="4"/>
  <c r="Y27" i="1"/>
  <c r="Z27" i="1"/>
  <c r="AA27" i="1"/>
  <c r="Z21" i="1"/>
  <c r="Y21" i="1"/>
  <c r="AA21" i="1"/>
  <c r="F176" i="4"/>
  <c r="AA20" i="1"/>
  <c r="Y20" i="1"/>
  <c r="Z20" i="1"/>
  <c r="F137" i="4"/>
  <c r="Y17" i="1"/>
  <c r="AA17" i="1"/>
  <c r="Z17" i="1"/>
  <c r="F4748" i="4"/>
  <c r="Y435" i="1"/>
  <c r="Z435" i="1"/>
  <c r="AA435" i="1"/>
  <c r="AA431" i="1"/>
  <c r="Y431" i="1"/>
  <c r="Z431" i="1"/>
  <c r="Y406" i="1"/>
  <c r="AA406" i="1"/>
  <c r="Z406" i="1"/>
  <c r="AA403" i="1"/>
  <c r="Z403" i="1"/>
  <c r="Y403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3" i="1"/>
  <c r="E3" i="4" l="1"/>
  <c r="Y32" i="1" l="1"/>
  <c r="Y61" i="1"/>
  <c r="Z32" i="1"/>
  <c r="Z61" i="1"/>
  <c r="AA61" i="1"/>
  <c r="AA32" i="1"/>
  <c r="AA4" i="1"/>
  <c r="Z4" i="1"/>
  <c r="Y4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G3" i="1"/>
  <c r="F3" i="1"/>
  <c r="AA3" i="1" l="1"/>
  <c r="Y3" i="1"/>
  <c r="Z3" i="1"/>
  <c r="F3" i="4"/>
  <c r="S3" i="1" s="1"/>
  <c r="V5" i="1" l="1"/>
  <c r="AD5" i="1"/>
  <c r="V7" i="1"/>
  <c r="AD7" i="1"/>
  <c r="V9" i="1"/>
  <c r="AD9" i="1"/>
  <c r="V11" i="1"/>
  <c r="AD11" i="1"/>
  <c r="S4" i="1"/>
  <c r="T4" i="1"/>
  <c r="AB4" i="1"/>
  <c r="X5" i="1"/>
  <c r="T6" i="1"/>
  <c r="AB6" i="1"/>
  <c r="X7" i="1"/>
  <c r="T8" i="1"/>
  <c r="AB8" i="1"/>
  <c r="X9" i="1"/>
  <c r="T10" i="1"/>
  <c r="AB10" i="1"/>
  <c r="X11" i="1"/>
  <c r="T12" i="1"/>
  <c r="AB12" i="1"/>
  <c r="X13" i="1"/>
  <c r="T14" i="1"/>
  <c r="AB14" i="1"/>
  <c r="X15" i="1"/>
  <c r="T16" i="1"/>
  <c r="AB16" i="1"/>
  <c r="X17" i="1"/>
  <c r="T18" i="1"/>
  <c r="AB18" i="1"/>
  <c r="X19" i="1"/>
  <c r="T20" i="1"/>
  <c r="AB20" i="1"/>
  <c r="X21" i="1"/>
  <c r="T22" i="1"/>
  <c r="AB22" i="1"/>
  <c r="X23" i="1"/>
  <c r="T24" i="1"/>
  <c r="AB24" i="1"/>
  <c r="X25" i="1"/>
  <c r="T26" i="1"/>
  <c r="AB26" i="1"/>
  <c r="X27" i="1"/>
  <c r="T28" i="1"/>
  <c r="AB28" i="1"/>
  <c r="X29" i="1"/>
  <c r="T30" i="1"/>
  <c r="AB30" i="1"/>
  <c r="X31" i="1"/>
  <c r="T32" i="1"/>
  <c r="AB32" i="1"/>
  <c r="X33" i="1"/>
  <c r="T34" i="1"/>
  <c r="AB34" i="1"/>
  <c r="X35" i="1"/>
  <c r="T36" i="1"/>
  <c r="AB36" i="1"/>
  <c r="X37" i="1"/>
  <c r="T38" i="1"/>
  <c r="AB38" i="1"/>
  <c r="X39" i="1"/>
  <c r="T40" i="1"/>
  <c r="AB40" i="1"/>
  <c r="X41" i="1"/>
  <c r="T42" i="1"/>
  <c r="AB42" i="1"/>
  <c r="X43" i="1"/>
  <c r="T44" i="1"/>
  <c r="AB44" i="1"/>
  <c r="X45" i="1"/>
  <c r="T46" i="1"/>
  <c r="AB46" i="1"/>
  <c r="X47" i="1"/>
  <c r="T48" i="1"/>
  <c r="AB48" i="1"/>
  <c r="X49" i="1"/>
  <c r="T50" i="1"/>
  <c r="AB50" i="1"/>
  <c r="X51" i="1"/>
  <c r="T52" i="1"/>
  <c r="AB52" i="1"/>
  <c r="X53" i="1"/>
  <c r="T54" i="1"/>
  <c r="AB54" i="1"/>
  <c r="X55" i="1"/>
  <c r="T56" i="1"/>
  <c r="AB56" i="1"/>
  <c r="X57" i="1"/>
  <c r="T58" i="1"/>
  <c r="AB58" i="1"/>
  <c r="X59" i="1"/>
  <c r="U4" i="1"/>
  <c r="V4" i="1"/>
  <c r="AD4" i="1"/>
  <c r="V6" i="1"/>
  <c r="AD6" i="1"/>
  <c r="V8" i="1"/>
  <c r="AD8" i="1"/>
  <c r="V10" i="1"/>
  <c r="AD10" i="1"/>
  <c r="W4" i="1"/>
  <c r="S5" i="1"/>
  <c r="W6" i="1"/>
  <c r="S7" i="1"/>
  <c r="X4" i="1"/>
  <c r="T5" i="1"/>
  <c r="AB5" i="1"/>
  <c r="X6" i="1"/>
  <c r="T7" i="1"/>
  <c r="AB7" i="1"/>
  <c r="X8" i="1"/>
  <c r="T9" i="1"/>
  <c r="AB9" i="1"/>
  <c r="X10" i="1"/>
  <c r="T11" i="1"/>
  <c r="AB11" i="1"/>
  <c r="X12" i="1"/>
  <c r="T13" i="1"/>
  <c r="AB13" i="1"/>
  <c r="X14" i="1"/>
  <c r="T15" i="1"/>
  <c r="AB15" i="1"/>
  <c r="X16" i="1"/>
  <c r="T17" i="1"/>
  <c r="AB17" i="1"/>
  <c r="X18" i="1"/>
  <c r="T19" i="1"/>
  <c r="AB19" i="1"/>
  <c r="X20" i="1"/>
  <c r="T21" i="1"/>
  <c r="AB21" i="1"/>
  <c r="X22" i="1"/>
  <c r="T23" i="1"/>
  <c r="AB23" i="1"/>
  <c r="X24" i="1"/>
  <c r="T25" i="1"/>
  <c r="AB25" i="1"/>
  <c r="X26" i="1"/>
  <c r="T27" i="1"/>
  <c r="AB27" i="1"/>
  <c r="X28" i="1"/>
  <c r="T29" i="1"/>
  <c r="AB29" i="1"/>
  <c r="X30" i="1"/>
  <c r="T31" i="1"/>
  <c r="AB31" i="1"/>
  <c r="X32" i="1"/>
  <c r="T33" i="1"/>
  <c r="AB33" i="1"/>
  <c r="X34" i="1"/>
  <c r="T35" i="1"/>
  <c r="AB35" i="1"/>
  <c r="X36" i="1"/>
  <c r="T37" i="1"/>
  <c r="AB37" i="1"/>
  <c r="X38" i="1"/>
  <c r="T39" i="1"/>
  <c r="AB39" i="1"/>
  <c r="X40" i="1"/>
  <c r="T41" i="1"/>
  <c r="AB41" i="1"/>
  <c r="X42" i="1"/>
  <c r="T43" i="1"/>
  <c r="AB43" i="1"/>
  <c r="X44" i="1"/>
  <c r="T45" i="1"/>
  <c r="AB45" i="1"/>
  <c r="X46" i="1"/>
  <c r="T47" i="1"/>
  <c r="AB47" i="1"/>
  <c r="X48" i="1"/>
  <c r="T49" i="1"/>
  <c r="AB49" i="1"/>
  <c r="X50" i="1"/>
  <c r="T51" i="1"/>
  <c r="AB51" i="1"/>
  <c r="X52" i="1"/>
  <c r="T53" i="1"/>
  <c r="AB53" i="1"/>
  <c r="X54" i="1"/>
  <c r="T55" i="1"/>
  <c r="AB55" i="1"/>
  <c r="X56" i="1"/>
  <c r="T57" i="1"/>
  <c r="AB57" i="1"/>
  <c r="X58" i="1"/>
  <c r="T59" i="1"/>
  <c r="AB59" i="1"/>
  <c r="X60" i="1"/>
  <c r="W7" i="1"/>
  <c r="AC8" i="1"/>
  <c r="U10" i="1"/>
  <c r="W15" i="1"/>
  <c r="V16" i="1"/>
  <c r="U17" i="1"/>
  <c r="S18" i="1"/>
  <c r="AD18" i="1"/>
  <c r="AC19" i="1"/>
  <c r="W23" i="1"/>
  <c r="V24" i="1"/>
  <c r="U25" i="1"/>
  <c r="S26" i="1"/>
  <c r="AD26" i="1"/>
  <c r="AC27" i="1"/>
  <c r="W31" i="1"/>
  <c r="V32" i="1"/>
  <c r="U33" i="1"/>
  <c r="S34" i="1"/>
  <c r="AD34" i="1"/>
  <c r="AC35" i="1"/>
  <c r="AC5" i="1"/>
  <c r="S6" i="1"/>
  <c r="AC7" i="1"/>
  <c r="U9" i="1"/>
  <c r="AC11" i="1"/>
  <c r="AD12" i="1"/>
  <c r="AC13" i="1"/>
  <c r="W17" i="1"/>
  <c r="V18" i="1"/>
  <c r="U19" i="1"/>
  <c r="S20" i="1"/>
  <c r="AD20" i="1"/>
  <c r="AC21" i="1"/>
  <c r="W25" i="1"/>
  <c r="V26" i="1"/>
  <c r="U27" i="1"/>
  <c r="S28" i="1"/>
  <c r="AD28" i="1"/>
  <c r="AC29" i="1"/>
  <c r="W33" i="1"/>
  <c r="V34" i="1"/>
  <c r="U35" i="1"/>
  <c r="S36" i="1"/>
  <c r="AD36" i="1"/>
  <c r="AC37" i="1"/>
  <c r="W41" i="1"/>
  <c r="V42" i="1"/>
  <c r="U43" i="1"/>
  <c r="S44" i="1"/>
  <c r="AD44" i="1"/>
  <c r="AC45" i="1"/>
  <c r="W49" i="1"/>
  <c r="V50" i="1"/>
  <c r="U51" i="1"/>
  <c r="S52" i="1"/>
  <c r="AD52" i="1"/>
  <c r="AC53" i="1"/>
  <c r="U6" i="1"/>
  <c r="S8" i="1"/>
  <c r="W9" i="1"/>
  <c r="S12" i="1"/>
  <c r="S13" i="1"/>
  <c r="AD13" i="1"/>
  <c r="AC14" i="1"/>
  <c r="W18" i="1"/>
  <c r="V19" i="1"/>
  <c r="U20" i="1"/>
  <c r="S21" i="1"/>
  <c r="AD21" i="1"/>
  <c r="AC22" i="1"/>
  <c r="W26" i="1"/>
  <c r="V27" i="1"/>
  <c r="U28" i="1"/>
  <c r="S29" i="1"/>
  <c r="AD29" i="1"/>
  <c r="AC30" i="1"/>
  <c r="W34" i="1"/>
  <c r="V35" i="1"/>
  <c r="U36" i="1"/>
  <c r="S37" i="1"/>
  <c r="AD37" i="1"/>
  <c r="AC38" i="1"/>
  <c r="W42" i="1"/>
  <c r="V43" i="1"/>
  <c r="U44" i="1"/>
  <c r="S45" i="1"/>
  <c r="AD45" i="1"/>
  <c r="AC46" i="1"/>
  <c r="W50" i="1"/>
  <c r="V51" i="1"/>
  <c r="U52" i="1"/>
  <c r="S53" i="1"/>
  <c r="AD53" i="1"/>
  <c r="AC54" i="1"/>
  <c r="W58" i="1"/>
  <c r="V59" i="1"/>
  <c r="T60" i="1"/>
  <c r="AC60" i="1"/>
  <c r="U62" i="1"/>
  <c r="AC62" i="1"/>
  <c r="AC4" i="1"/>
  <c r="W8" i="1"/>
  <c r="S11" i="1"/>
  <c r="V12" i="1"/>
  <c r="V13" i="1"/>
  <c r="U14" i="1"/>
  <c r="S15" i="1"/>
  <c r="AD15" i="1"/>
  <c r="AC16" i="1"/>
  <c r="W20" i="1"/>
  <c r="V21" i="1"/>
  <c r="U22" i="1"/>
  <c r="S23" i="1"/>
  <c r="AD23" i="1"/>
  <c r="AC24" i="1"/>
  <c r="W28" i="1"/>
  <c r="V29" i="1"/>
  <c r="U30" i="1"/>
  <c r="S31" i="1"/>
  <c r="AD31" i="1"/>
  <c r="AC32" i="1"/>
  <c r="W36" i="1"/>
  <c r="V37" i="1"/>
  <c r="U38" i="1"/>
  <c r="S39" i="1"/>
  <c r="AD39" i="1"/>
  <c r="AC40" i="1"/>
  <c r="W44" i="1"/>
  <c r="V45" i="1"/>
  <c r="U46" i="1"/>
  <c r="S47" i="1"/>
  <c r="AD47" i="1"/>
  <c r="AC48" i="1"/>
  <c r="W52" i="1"/>
  <c r="V53" i="1"/>
  <c r="U54" i="1"/>
  <c r="S55" i="1"/>
  <c r="AD55" i="1"/>
  <c r="AC56" i="1"/>
  <c r="U5" i="1"/>
  <c r="AC6" i="1"/>
  <c r="AC9" i="1"/>
  <c r="U11" i="1"/>
  <c r="W12" i="1"/>
  <c r="W13" i="1"/>
  <c r="V14" i="1"/>
  <c r="U15" i="1"/>
  <c r="S16" i="1"/>
  <c r="AD16" i="1"/>
  <c r="AC17" i="1"/>
  <c r="W21" i="1"/>
  <c r="V22" i="1"/>
  <c r="U23" i="1"/>
  <c r="S24" i="1"/>
  <c r="AD24" i="1"/>
  <c r="AC25" i="1"/>
  <c r="W29" i="1"/>
  <c r="V30" i="1"/>
  <c r="U31" i="1"/>
  <c r="S32" i="1"/>
  <c r="AD32" i="1"/>
  <c r="AC33" i="1"/>
  <c r="W37" i="1"/>
  <c r="V38" i="1"/>
  <c r="U39" i="1"/>
  <c r="S40" i="1"/>
  <c r="AD40" i="1"/>
  <c r="AC41" i="1"/>
  <c r="W45" i="1"/>
  <c r="V46" i="1"/>
  <c r="U47" i="1"/>
  <c r="S48" i="1"/>
  <c r="AD48" i="1"/>
  <c r="AC49" i="1"/>
  <c r="W53" i="1"/>
  <c r="V54" i="1"/>
  <c r="U55" i="1"/>
  <c r="S56" i="1"/>
  <c r="AD56" i="1"/>
  <c r="AC57" i="1"/>
  <c r="W60" i="1"/>
  <c r="T61" i="1"/>
  <c r="AB61" i="1"/>
  <c r="X62" i="1"/>
  <c r="T63" i="1"/>
  <c r="AB63" i="1"/>
  <c r="X64" i="1"/>
  <c r="T65" i="1"/>
  <c r="AB65" i="1"/>
  <c r="X66" i="1"/>
  <c r="T67" i="1"/>
  <c r="AB67" i="1"/>
  <c r="X68" i="1"/>
  <c r="T69" i="1"/>
  <c r="AB69" i="1"/>
  <c r="X70" i="1"/>
  <c r="T71" i="1"/>
  <c r="AB71" i="1"/>
  <c r="X72" i="1"/>
  <c r="T73" i="1"/>
  <c r="AB73" i="1"/>
  <c r="X74" i="1"/>
  <c r="T75" i="1"/>
  <c r="AB75" i="1"/>
  <c r="X76" i="1"/>
  <c r="T77" i="1"/>
  <c r="W5" i="1"/>
  <c r="U7" i="1"/>
  <c r="S10" i="1"/>
  <c r="W11" i="1"/>
  <c r="W14" i="1"/>
  <c r="V15" i="1"/>
  <c r="U16" i="1"/>
  <c r="S17" i="1"/>
  <c r="AD17" i="1"/>
  <c r="AC18" i="1"/>
  <c r="W22" i="1"/>
  <c r="V23" i="1"/>
  <c r="U24" i="1"/>
  <c r="S25" i="1"/>
  <c r="AD25" i="1"/>
  <c r="AC26" i="1"/>
  <c r="W30" i="1"/>
  <c r="V31" i="1"/>
  <c r="U32" i="1"/>
  <c r="S33" i="1"/>
  <c r="AD33" i="1"/>
  <c r="AC34" i="1"/>
  <c r="W38" i="1"/>
  <c r="V39" i="1"/>
  <c r="U40" i="1"/>
  <c r="W10" i="1"/>
  <c r="U18" i="1"/>
  <c r="V25" i="1"/>
  <c r="AC28" i="1"/>
  <c r="W32" i="1"/>
  <c r="AD35" i="1"/>
  <c r="AD38" i="1"/>
  <c r="U41" i="1"/>
  <c r="AD42" i="1"/>
  <c r="V48" i="1"/>
  <c r="S50" i="1"/>
  <c r="AC51" i="1"/>
  <c r="W55" i="1"/>
  <c r="S57" i="1"/>
  <c r="V58" i="1"/>
  <c r="X61" i="1"/>
  <c r="W62" i="1"/>
  <c r="V63" i="1"/>
  <c r="T64" i="1"/>
  <c r="AC64" i="1"/>
  <c r="W66" i="1"/>
  <c r="U67" i="1"/>
  <c r="AD67" i="1"/>
  <c r="X69" i="1"/>
  <c r="U70" i="1"/>
  <c r="AD70" i="1"/>
  <c r="V73" i="1"/>
  <c r="S74" i="1"/>
  <c r="AB74" i="1"/>
  <c r="V76" i="1"/>
  <c r="S77" i="1"/>
  <c r="AB77" i="1"/>
  <c r="X78" i="1"/>
  <c r="T79" i="1"/>
  <c r="AB79" i="1"/>
  <c r="X80" i="1"/>
  <c r="T81" i="1"/>
  <c r="AB81" i="1"/>
  <c r="X82" i="1"/>
  <c r="T83" i="1"/>
  <c r="AB83" i="1"/>
  <c r="X84" i="1"/>
  <c r="T85" i="1"/>
  <c r="AB85" i="1"/>
  <c r="X86" i="1"/>
  <c r="T87" i="1"/>
  <c r="AB87" i="1"/>
  <c r="X88" i="1"/>
  <c r="T89" i="1"/>
  <c r="AB89" i="1"/>
  <c r="X90" i="1"/>
  <c r="T91" i="1"/>
  <c r="AB91" i="1"/>
  <c r="X92" i="1"/>
  <c r="T93" i="1"/>
  <c r="AB93" i="1"/>
  <c r="X94" i="1"/>
  <c r="T95" i="1"/>
  <c r="AB95" i="1"/>
  <c r="X96" i="1"/>
  <c r="T97" i="1"/>
  <c r="AB97" i="1"/>
  <c r="X98" i="1"/>
  <c r="T99" i="1"/>
  <c r="AB99" i="1"/>
  <c r="X100" i="1"/>
  <c r="T101" i="1"/>
  <c r="AB101" i="1"/>
  <c r="X102" i="1"/>
  <c r="T103" i="1"/>
  <c r="AB103" i="1"/>
  <c r="X104" i="1"/>
  <c r="T105" i="1"/>
  <c r="AC10" i="1"/>
  <c r="AD14" i="1"/>
  <c r="S22" i="1"/>
  <c r="U29" i="1"/>
  <c r="V36" i="1"/>
  <c r="W39" i="1"/>
  <c r="V41" i="1"/>
  <c r="S43" i="1"/>
  <c r="AC44" i="1"/>
  <c r="W48" i="1"/>
  <c r="U50" i="1"/>
  <c r="AD51" i="1"/>
  <c r="U57" i="1"/>
  <c r="W63" i="1"/>
  <c r="U64" i="1"/>
  <c r="AD64" i="1"/>
  <c r="V67" i="1"/>
  <c r="S68" i="1"/>
  <c r="AB68" i="1"/>
  <c r="S19" i="1"/>
  <c r="U26" i="1"/>
  <c r="V33" i="1"/>
  <c r="AC36" i="1"/>
  <c r="W43" i="1"/>
  <c r="U45" i="1"/>
  <c r="AD46" i="1"/>
  <c r="V52" i="1"/>
  <c r="S54" i="1"/>
  <c r="AC55" i="1"/>
  <c r="V57" i="1"/>
  <c r="AC59" i="1"/>
  <c r="AB60" i="1"/>
  <c r="X63" i="1"/>
  <c r="V64" i="1"/>
  <c r="S65" i="1"/>
  <c r="AC65" i="1"/>
  <c r="W67" i="1"/>
  <c r="T68" i="1"/>
  <c r="AC68" i="1"/>
  <c r="W70" i="1"/>
  <c r="U71" i="1"/>
  <c r="AD71" i="1"/>
  <c r="X73" i="1"/>
  <c r="U74" i="1"/>
  <c r="AD74" i="1"/>
  <c r="U12" i="1"/>
  <c r="AC15" i="1"/>
  <c r="W19" i="1"/>
  <c r="AD22" i="1"/>
  <c r="S30" i="1"/>
  <c r="U37" i="1"/>
  <c r="AC39" i="1"/>
  <c r="AD41" i="1"/>
  <c r="V47" i="1"/>
  <c r="S49" i="1"/>
  <c r="AC50" i="1"/>
  <c r="W54" i="1"/>
  <c r="U56" i="1"/>
  <c r="W57" i="1"/>
  <c r="AC58" i="1"/>
  <c r="AD59" i="1"/>
  <c r="AD60" i="1"/>
  <c r="AC61" i="1"/>
  <c r="W64" i="1"/>
  <c r="U65" i="1"/>
  <c r="AD65" i="1"/>
  <c r="X67" i="1"/>
  <c r="U68" i="1"/>
  <c r="AD68" i="1"/>
  <c r="V71" i="1"/>
  <c r="S72" i="1"/>
  <c r="AB72" i="1"/>
  <c r="V74" i="1"/>
  <c r="S75" i="1"/>
  <c r="AC75" i="1"/>
  <c r="W77" i="1"/>
  <c r="S78" i="1"/>
  <c r="W79" i="1"/>
  <c r="S80" i="1"/>
  <c r="W81" i="1"/>
  <c r="S82" i="1"/>
  <c r="W83" i="1"/>
  <c r="S84" i="1"/>
  <c r="AC12" i="1"/>
  <c r="W16" i="1"/>
  <c r="AD19" i="1"/>
  <c r="S27" i="1"/>
  <c r="U34" i="1"/>
  <c r="V40" i="1"/>
  <c r="S42" i="1"/>
  <c r="AC43" i="1"/>
  <c r="W47" i="1"/>
  <c r="U49" i="1"/>
  <c r="AD50" i="1"/>
  <c r="V56" i="1"/>
  <c r="AD58" i="1"/>
  <c r="S60" i="1"/>
  <c r="S61" i="1"/>
  <c r="AD61" i="1"/>
  <c r="AB62" i="1"/>
  <c r="V65" i="1"/>
  <c r="S66" i="1"/>
  <c r="AB66" i="1"/>
  <c r="V68" i="1"/>
  <c r="S69" i="1"/>
  <c r="AC69" i="1"/>
  <c r="W71" i="1"/>
  <c r="T72" i="1"/>
  <c r="AC72" i="1"/>
  <c r="W74" i="1"/>
  <c r="U75" i="1"/>
  <c r="AD75" i="1"/>
  <c r="X77" i="1"/>
  <c r="T78" i="1"/>
  <c r="AB78" i="1"/>
  <c r="X79" i="1"/>
  <c r="T80" i="1"/>
  <c r="AB80" i="1"/>
  <c r="X81" i="1"/>
  <c r="T82" i="1"/>
  <c r="AB82" i="1"/>
  <c r="X83" i="1"/>
  <c r="T84" i="1"/>
  <c r="AB84" i="1"/>
  <c r="X85" i="1"/>
  <c r="T86" i="1"/>
  <c r="AB86" i="1"/>
  <c r="X87" i="1"/>
  <c r="T88" i="1"/>
  <c r="AB88" i="1"/>
  <c r="X89" i="1"/>
  <c r="T90" i="1"/>
  <c r="AB90" i="1"/>
  <c r="X91" i="1"/>
  <c r="T92" i="1"/>
  <c r="AB92" i="1"/>
  <c r="X93" i="1"/>
  <c r="T94" i="1"/>
  <c r="AB94" i="1"/>
  <c r="X95" i="1"/>
  <c r="T96" i="1"/>
  <c r="AB96" i="1"/>
  <c r="X97" i="1"/>
  <c r="T98" i="1"/>
  <c r="AB98" i="1"/>
  <c r="X99" i="1"/>
  <c r="T100" i="1"/>
  <c r="U8" i="1"/>
  <c r="U13" i="1"/>
  <c r="V20" i="1"/>
  <c r="AC23" i="1"/>
  <c r="W27" i="1"/>
  <c r="AD30" i="1"/>
  <c r="S38" i="1"/>
  <c r="W40" i="1"/>
  <c r="U42" i="1"/>
  <c r="AD43" i="1"/>
  <c r="V49" i="1"/>
  <c r="S51" i="1"/>
  <c r="AC52" i="1"/>
  <c r="W56" i="1"/>
  <c r="AD57" i="1"/>
  <c r="S59" i="1"/>
  <c r="U60" i="1"/>
  <c r="U61" i="1"/>
  <c r="S62" i="1"/>
  <c r="AD62" i="1"/>
  <c r="AC63" i="1"/>
  <c r="W65" i="1"/>
  <c r="T66" i="1"/>
  <c r="AC66" i="1"/>
  <c r="W68" i="1"/>
  <c r="U69" i="1"/>
  <c r="AD69" i="1"/>
  <c r="X71" i="1"/>
  <c r="U72" i="1"/>
  <c r="AD72" i="1"/>
  <c r="V75" i="1"/>
  <c r="S76" i="1"/>
  <c r="AB76" i="1"/>
  <c r="U78" i="1"/>
  <c r="AC78" i="1"/>
  <c r="U80" i="1"/>
  <c r="AC80" i="1"/>
  <c r="U82" i="1"/>
  <c r="AC82" i="1"/>
  <c r="S9" i="1"/>
  <c r="V17" i="1"/>
  <c r="AC20" i="1"/>
  <c r="W24" i="1"/>
  <c r="AD27" i="1"/>
  <c r="S35" i="1"/>
  <c r="V44" i="1"/>
  <c r="S46" i="1"/>
  <c r="AC47" i="1"/>
  <c r="W51" i="1"/>
  <c r="U53" i="1"/>
  <c r="AD54" i="1"/>
  <c r="S58" i="1"/>
  <c r="U59" i="1"/>
  <c r="V60" i="1"/>
  <c r="V61" i="1"/>
  <c r="T62" i="1"/>
  <c r="S63" i="1"/>
  <c r="AD63" i="1"/>
  <c r="X65" i="1"/>
  <c r="U66" i="1"/>
  <c r="AD66" i="1"/>
  <c r="V69" i="1"/>
  <c r="S70" i="1"/>
  <c r="AB70" i="1"/>
  <c r="V72" i="1"/>
  <c r="S73" i="1"/>
  <c r="AC73" i="1"/>
  <c r="W75" i="1"/>
  <c r="T76" i="1"/>
  <c r="AC76" i="1"/>
  <c r="V78" i="1"/>
  <c r="AD78" i="1"/>
  <c r="V80" i="1"/>
  <c r="AD80" i="1"/>
  <c r="W46" i="1"/>
  <c r="W59" i="1"/>
  <c r="V66" i="1"/>
  <c r="S71" i="1"/>
  <c r="T74" i="1"/>
  <c r="AD76" i="1"/>
  <c r="V82" i="1"/>
  <c r="W87" i="1"/>
  <c r="V88" i="1"/>
  <c r="U89" i="1"/>
  <c r="S90" i="1"/>
  <c r="AD90" i="1"/>
  <c r="AC91" i="1"/>
  <c r="W95" i="1"/>
  <c r="V96" i="1"/>
  <c r="U97" i="1"/>
  <c r="S98" i="1"/>
  <c r="AD98" i="1"/>
  <c r="AC99" i="1"/>
  <c r="V28" i="1"/>
  <c r="U48" i="1"/>
  <c r="S67" i="1"/>
  <c r="U77" i="1"/>
  <c r="S79" i="1"/>
  <c r="W82" i="1"/>
  <c r="AC84" i="1"/>
  <c r="W88" i="1"/>
  <c r="V89" i="1"/>
  <c r="U90" i="1"/>
  <c r="S91" i="1"/>
  <c r="AD91" i="1"/>
  <c r="AC92" i="1"/>
  <c r="AC31" i="1"/>
  <c r="AD49" i="1"/>
  <c r="W61" i="1"/>
  <c r="AC67" i="1"/>
  <c r="AC71" i="1"/>
  <c r="AC74" i="1"/>
  <c r="V77" i="1"/>
  <c r="U79" i="1"/>
  <c r="S81" i="1"/>
  <c r="AC83" i="1"/>
  <c r="AD84" i="1"/>
  <c r="AC85" i="1"/>
  <c r="W89" i="1"/>
  <c r="V90" i="1"/>
  <c r="U91" i="1"/>
  <c r="S92" i="1"/>
  <c r="AD92" i="1"/>
  <c r="AC93" i="1"/>
  <c r="W97" i="1"/>
  <c r="V98" i="1"/>
  <c r="U99" i="1"/>
  <c r="S100" i="1"/>
  <c r="AC100" i="1"/>
  <c r="W102" i="1"/>
  <c r="U103" i="1"/>
  <c r="AD103" i="1"/>
  <c r="X105" i="1"/>
  <c r="T106" i="1"/>
  <c r="AB106" i="1"/>
  <c r="X107" i="1"/>
  <c r="T108" i="1"/>
  <c r="AB108" i="1"/>
  <c r="X109" i="1"/>
  <c r="T110" i="1"/>
  <c r="AB110" i="1"/>
  <c r="X111" i="1"/>
  <c r="T112" i="1"/>
  <c r="AB112" i="1"/>
  <c r="X113" i="1"/>
  <c r="T114" i="1"/>
  <c r="AB114" i="1"/>
  <c r="X115" i="1"/>
  <c r="T116" i="1"/>
  <c r="AB116" i="1"/>
  <c r="X117" i="1"/>
  <c r="T118" i="1"/>
  <c r="AB118" i="1"/>
  <c r="X119" i="1"/>
  <c r="T120" i="1"/>
  <c r="AB120" i="1"/>
  <c r="X121" i="1"/>
  <c r="T122" i="1"/>
  <c r="AB122" i="1"/>
  <c r="X123" i="1"/>
  <c r="T124" i="1"/>
  <c r="AB124" i="1"/>
  <c r="X125" i="1"/>
  <c r="T126" i="1"/>
  <c r="AB126" i="1"/>
  <c r="X127" i="1"/>
  <c r="T128" i="1"/>
  <c r="AB128" i="1"/>
  <c r="X129" i="1"/>
  <c r="T130" i="1"/>
  <c r="AB130" i="1"/>
  <c r="X131" i="1"/>
  <c r="T132" i="1"/>
  <c r="AB132" i="1"/>
  <c r="X133" i="1"/>
  <c r="T134" i="1"/>
  <c r="AB134" i="1"/>
  <c r="X135" i="1"/>
  <c r="T136" i="1"/>
  <c r="AB136" i="1"/>
  <c r="X137" i="1"/>
  <c r="T138" i="1"/>
  <c r="AB138" i="1"/>
  <c r="W35" i="1"/>
  <c r="V62" i="1"/>
  <c r="W72" i="1"/>
  <c r="X75" i="1"/>
  <c r="V79" i="1"/>
  <c r="U81" i="1"/>
  <c r="AD83" i="1"/>
  <c r="S85" i="1"/>
  <c r="AD85" i="1"/>
  <c r="AC86" i="1"/>
  <c r="W90" i="1"/>
  <c r="V91" i="1"/>
  <c r="U92" i="1"/>
  <c r="S93" i="1"/>
  <c r="AD93" i="1"/>
  <c r="AC94" i="1"/>
  <c r="W98" i="1"/>
  <c r="V99" i="1"/>
  <c r="U100" i="1"/>
  <c r="AD100" i="1"/>
  <c r="V103" i="1"/>
  <c r="S104" i="1"/>
  <c r="AB104" i="1"/>
  <c r="U63" i="1"/>
  <c r="W69" i="1"/>
  <c r="AC77" i="1"/>
  <c r="V81" i="1"/>
  <c r="AD82" i="1"/>
  <c r="U84" i="1"/>
  <c r="U85" i="1"/>
  <c r="S86" i="1"/>
  <c r="AD86" i="1"/>
  <c r="AC87" i="1"/>
  <c r="W91" i="1"/>
  <c r="V92" i="1"/>
  <c r="U93" i="1"/>
  <c r="S94" i="1"/>
  <c r="AD94" i="1"/>
  <c r="AC95" i="1"/>
  <c r="S14" i="1"/>
  <c r="S41" i="1"/>
  <c r="V55" i="1"/>
  <c r="S64" i="1"/>
  <c r="T70" i="1"/>
  <c r="U73" i="1"/>
  <c r="U76" i="1"/>
  <c r="AD77" i="1"/>
  <c r="AC79" i="1"/>
  <c r="S83" i="1"/>
  <c r="V84" i="1"/>
  <c r="V85" i="1"/>
  <c r="U86" i="1"/>
  <c r="S87" i="1"/>
  <c r="AD87" i="1"/>
  <c r="AC88" i="1"/>
  <c r="W92" i="1"/>
  <c r="V93" i="1"/>
  <c r="U94" i="1"/>
  <c r="S95" i="1"/>
  <c r="AD95" i="1"/>
  <c r="AC96" i="1"/>
  <c r="W100" i="1"/>
  <c r="U101" i="1"/>
  <c r="AD101" i="1"/>
  <c r="X103" i="1"/>
  <c r="U104" i="1"/>
  <c r="AD104" i="1"/>
  <c r="W106" i="1"/>
  <c r="S107" i="1"/>
  <c r="W108" i="1"/>
  <c r="S109" i="1"/>
  <c r="W110" i="1"/>
  <c r="S111" i="1"/>
  <c r="AC42" i="1"/>
  <c r="AB64" i="1"/>
  <c r="V70" i="1"/>
  <c r="W73" i="1"/>
  <c r="W76" i="1"/>
  <c r="W78" i="1"/>
  <c r="AD79" i="1"/>
  <c r="AC81" i="1"/>
  <c r="U83" i="1"/>
  <c r="W84" i="1"/>
  <c r="W85" i="1"/>
  <c r="V86" i="1"/>
  <c r="U87" i="1"/>
  <c r="S88" i="1"/>
  <c r="AD88" i="1"/>
  <c r="AC89" i="1"/>
  <c r="W93" i="1"/>
  <c r="V94" i="1"/>
  <c r="U95" i="1"/>
  <c r="S96" i="1"/>
  <c r="AD96" i="1"/>
  <c r="AC97" i="1"/>
  <c r="V101" i="1"/>
  <c r="S102" i="1"/>
  <c r="AB102" i="1"/>
  <c r="V104" i="1"/>
  <c r="S105" i="1"/>
  <c r="AB105" i="1"/>
  <c r="X106" i="1"/>
  <c r="T107" i="1"/>
  <c r="AB107" i="1"/>
  <c r="X108" i="1"/>
  <c r="T109" i="1"/>
  <c r="AB109" i="1"/>
  <c r="X110" i="1"/>
  <c r="T111" i="1"/>
  <c r="AB111" i="1"/>
  <c r="X112" i="1"/>
  <c r="T113" i="1"/>
  <c r="AB113" i="1"/>
  <c r="X114" i="1"/>
  <c r="T115" i="1"/>
  <c r="AB115" i="1"/>
  <c r="X116" i="1"/>
  <c r="T117" i="1"/>
  <c r="AB117" i="1"/>
  <c r="X118" i="1"/>
  <c r="T119" i="1"/>
  <c r="AB119" i="1"/>
  <c r="X120" i="1"/>
  <c r="T121" i="1"/>
  <c r="AB121" i="1"/>
  <c r="X122" i="1"/>
  <c r="T123" i="1"/>
  <c r="AB123" i="1"/>
  <c r="X124" i="1"/>
  <c r="T125" i="1"/>
  <c r="AB125" i="1"/>
  <c r="X126" i="1"/>
  <c r="T127" i="1"/>
  <c r="AB127" i="1"/>
  <c r="X128" i="1"/>
  <c r="T129" i="1"/>
  <c r="AB129" i="1"/>
  <c r="X130" i="1"/>
  <c r="T131" i="1"/>
  <c r="AB131" i="1"/>
  <c r="X132" i="1"/>
  <c r="T133" i="1"/>
  <c r="AB133" i="1"/>
  <c r="X134" i="1"/>
  <c r="T135" i="1"/>
  <c r="AB135" i="1"/>
  <c r="X136" i="1"/>
  <c r="T137" i="1"/>
  <c r="AB137" i="1"/>
  <c r="X138" i="1"/>
  <c r="T139" i="1"/>
  <c r="W99" i="1"/>
  <c r="X101" i="1"/>
  <c r="AD102" i="1"/>
  <c r="AD105" i="1"/>
  <c r="AD106" i="1"/>
  <c r="S108" i="1"/>
  <c r="U109" i="1"/>
  <c r="U110" i="1"/>
  <c r="V111" i="1"/>
  <c r="V112" i="1"/>
  <c r="U113" i="1"/>
  <c r="S114" i="1"/>
  <c r="AD114" i="1"/>
  <c r="AC115" i="1"/>
  <c r="W119" i="1"/>
  <c r="V120" i="1"/>
  <c r="U121" i="1"/>
  <c r="S122" i="1"/>
  <c r="AD122" i="1"/>
  <c r="AC123" i="1"/>
  <c r="AC70" i="1"/>
  <c r="S103" i="1"/>
  <c r="S106" i="1"/>
  <c r="U107" i="1"/>
  <c r="U108" i="1"/>
  <c r="V109" i="1"/>
  <c r="V110" i="1"/>
  <c r="W111" i="1"/>
  <c r="W112" i="1"/>
  <c r="V113" i="1"/>
  <c r="U114" i="1"/>
  <c r="S115" i="1"/>
  <c r="AD115" i="1"/>
  <c r="AC116" i="1"/>
  <c r="W120" i="1"/>
  <c r="V121" i="1"/>
  <c r="U122" i="1"/>
  <c r="S123" i="1"/>
  <c r="AD123" i="1"/>
  <c r="AC124" i="1"/>
  <c r="W128" i="1"/>
  <c r="V129" i="1"/>
  <c r="U130" i="1"/>
  <c r="S131" i="1"/>
  <c r="AD131" i="1"/>
  <c r="AC132" i="1"/>
  <c r="W136" i="1"/>
  <c r="V137" i="1"/>
  <c r="U138" i="1"/>
  <c r="S139" i="1"/>
  <c r="AB139" i="1"/>
  <c r="X140" i="1"/>
  <c r="T141" i="1"/>
  <c r="AB141" i="1"/>
  <c r="X142" i="1"/>
  <c r="T143" i="1"/>
  <c r="AB143" i="1"/>
  <c r="X144" i="1"/>
  <c r="T145" i="1"/>
  <c r="AB145" i="1"/>
  <c r="X146" i="1"/>
  <c r="T147" i="1"/>
  <c r="AB147" i="1"/>
  <c r="X148" i="1"/>
  <c r="T149" i="1"/>
  <c r="AB149" i="1"/>
  <c r="X150" i="1"/>
  <c r="T151" i="1"/>
  <c r="AB151" i="1"/>
  <c r="X152" i="1"/>
  <c r="T153" i="1"/>
  <c r="AB153" i="1"/>
  <c r="X154" i="1"/>
  <c r="T155" i="1"/>
  <c r="AB155" i="1"/>
  <c r="X156" i="1"/>
  <c r="T157" i="1"/>
  <c r="AB157" i="1"/>
  <c r="X158" i="1"/>
  <c r="T159" i="1"/>
  <c r="AB159" i="1"/>
  <c r="X160" i="1"/>
  <c r="T161" i="1"/>
  <c r="AB161" i="1"/>
  <c r="X162" i="1"/>
  <c r="T163" i="1"/>
  <c r="AB163" i="1"/>
  <c r="X164" i="1"/>
  <c r="T165" i="1"/>
  <c r="AB165" i="1"/>
  <c r="X166" i="1"/>
  <c r="T167" i="1"/>
  <c r="AB167" i="1"/>
  <c r="X168" i="1"/>
  <c r="T169" i="1"/>
  <c r="AB169" i="1"/>
  <c r="X170" i="1"/>
  <c r="T171" i="1"/>
  <c r="AB171" i="1"/>
  <c r="X172" i="1"/>
  <c r="T173" i="1"/>
  <c r="AB173" i="1"/>
  <c r="X174" i="1"/>
  <c r="T175" i="1"/>
  <c r="AB175" i="1"/>
  <c r="X176" i="1"/>
  <c r="T177" i="1"/>
  <c r="AB177" i="1"/>
  <c r="X178" i="1"/>
  <c r="T179" i="1"/>
  <c r="AB179" i="1"/>
  <c r="X180" i="1"/>
  <c r="T181" i="1"/>
  <c r="AB181" i="1"/>
  <c r="X182" i="1"/>
  <c r="T183" i="1"/>
  <c r="AB183" i="1"/>
  <c r="AD73" i="1"/>
  <c r="W86" i="1"/>
  <c r="S97" i="1"/>
  <c r="AD99" i="1"/>
  <c r="AC101" i="1"/>
  <c r="W103" i="1"/>
  <c r="AC104" i="1"/>
  <c r="U106" i="1"/>
  <c r="V107" i="1"/>
  <c r="V108" i="1"/>
  <c r="W109" i="1"/>
  <c r="W113" i="1"/>
  <c r="V114" i="1"/>
  <c r="U115" i="1"/>
  <c r="S116" i="1"/>
  <c r="AD116" i="1"/>
  <c r="AC117" i="1"/>
  <c r="W121" i="1"/>
  <c r="V122" i="1"/>
  <c r="U123" i="1"/>
  <c r="S124" i="1"/>
  <c r="AD124" i="1"/>
  <c r="AC125" i="1"/>
  <c r="W129" i="1"/>
  <c r="V130" i="1"/>
  <c r="U131" i="1"/>
  <c r="S132" i="1"/>
  <c r="AD132" i="1"/>
  <c r="AC133" i="1"/>
  <c r="W137" i="1"/>
  <c r="V138" i="1"/>
  <c r="U139" i="1"/>
  <c r="AC139" i="1"/>
  <c r="U141" i="1"/>
  <c r="AC141" i="1"/>
  <c r="U143" i="1"/>
  <c r="AC143" i="1"/>
  <c r="U145" i="1"/>
  <c r="AC145" i="1"/>
  <c r="U147" i="1"/>
  <c r="AC147" i="1"/>
  <c r="U149" i="1"/>
  <c r="AC149" i="1"/>
  <c r="U151" i="1"/>
  <c r="AC151" i="1"/>
  <c r="U153" i="1"/>
  <c r="AC153" i="1"/>
  <c r="U155" i="1"/>
  <c r="AC155" i="1"/>
  <c r="U157" i="1"/>
  <c r="AC157" i="1"/>
  <c r="U159" i="1"/>
  <c r="AC159" i="1"/>
  <c r="U161" i="1"/>
  <c r="AC161" i="1"/>
  <c r="V87" i="1"/>
  <c r="W94" i="1"/>
  <c r="V97" i="1"/>
  <c r="V100" i="1"/>
  <c r="T102" i="1"/>
  <c r="U105" i="1"/>
  <c r="V106" i="1"/>
  <c r="W107" i="1"/>
  <c r="W114" i="1"/>
  <c r="V115" i="1"/>
  <c r="U116" i="1"/>
  <c r="S117" i="1"/>
  <c r="AD117" i="1"/>
  <c r="AC118" i="1"/>
  <c r="W122" i="1"/>
  <c r="V123" i="1"/>
  <c r="U124" i="1"/>
  <c r="S125" i="1"/>
  <c r="AD125" i="1"/>
  <c r="AC126" i="1"/>
  <c r="W130" i="1"/>
  <c r="V131" i="1"/>
  <c r="U132" i="1"/>
  <c r="S133" i="1"/>
  <c r="AD133" i="1"/>
  <c r="AC134" i="1"/>
  <c r="W138" i="1"/>
  <c r="V139" i="1"/>
  <c r="AD139" i="1"/>
  <c r="V141" i="1"/>
  <c r="AD141" i="1"/>
  <c r="V143" i="1"/>
  <c r="AD143" i="1"/>
  <c r="V145" i="1"/>
  <c r="AD145" i="1"/>
  <c r="V147" i="1"/>
  <c r="AD147" i="1"/>
  <c r="U21" i="1"/>
  <c r="W80" i="1"/>
  <c r="S89" i="1"/>
  <c r="U96" i="1"/>
  <c r="U98" i="1"/>
  <c r="AB100" i="1"/>
  <c r="V102" i="1"/>
  <c r="AC103" i="1"/>
  <c r="W105" i="1"/>
  <c r="AC109" i="1"/>
  <c r="AC110" i="1"/>
  <c r="AD111" i="1"/>
  <c r="AC112" i="1"/>
  <c r="W116" i="1"/>
  <c r="V117" i="1"/>
  <c r="U118" i="1"/>
  <c r="S119" i="1"/>
  <c r="AD119" i="1"/>
  <c r="AC120" i="1"/>
  <c r="W124" i="1"/>
  <c r="V125" i="1"/>
  <c r="U126" i="1"/>
  <c r="S127" i="1"/>
  <c r="AD127" i="1"/>
  <c r="AC128" i="1"/>
  <c r="W132" i="1"/>
  <c r="V133" i="1"/>
  <c r="U134" i="1"/>
  <c r="S135" i="1"/>
  <c r="AD135" i="1"/>
  <c r="AC136" i="1"/>
  <c r="X139" i="1"/>
  <c r="T140" i="1"/>
  <c r="AB140" i="1"/>
  <c r="X141" i="1"/>
  <c r="T142" i="1"/>
  <c r="AB142" i="1"/>
  <c r="X143" i="1"/>
  <c r="T144" i="1"/>
  <c r="AB144" i="1"/>
  <c r="X145" i="1"/>
  <c r="T146" i="1"/>
  <c r="AB146" i="1"/>
  <c r="X147" i="1"/>
  <c r="T148" i="1"/>
  <c r="AB148" i="1"/>
  <c r="X149" i="1"/>
  <c r="T150" i="1"/>
  <c r="AB150" i="1"/>
  <c r="X151" i="1"/>
  <c r="T152" i="1"/>
  <c r="AB152" i="1"/>
  <c r="X153" i="1"/>
  <c r="T154" i="1"/>
  <c r="AB154" i="1"/>
  <c r="X155" i="1"/>
  <c r="T156" i="1"/>
  <c r="AB156" i="1"/>
  <c r="X157" i="1"/>
  <c r="T158" i="1"/>
  <c r="AB158" i="1"/>
  <c r="X159" i="1"/>
  <c r="T160" i="1"/>
  <c r="AB160" i="1"/>
  <c r="X161" i="1"/>
  <c r="T162" i="1"/>
  <c r="AB162" i="1"/>
  <c r="X163" i="1"/>
  <c r="T164" i="1"/>
  <c r="AB164" i="1"/>
  <c r="X165" i="1"/>
  <c r="AD81" i="1"/>
  <c r="AD89" i="1"/>
  <c r="W96" i="1"/>
  <c r="AC98" i="1"/>
  <c r="S101" i="1"/>
  <c r="T104" i="1"/>
  <c r="AC107" i="1"/>
  <c r="AC108" i="1"/>
  <c r="AD109" i="1"/>
  <c r="AD110" i="1"/>
  <c r="S112" i="1"/>
  <c r="AD112" i="1"/>
  <c r="AC113" i="1"/>
  <c r="W117" i="1"/>
  <c r="V118" i="1"/>
  <c r="U119" i="1"/>
  <c r="S120" i="1"/>
  <c r="AD120" i="1"/>
  <c r="AC121" i="1"/>
  <c r="W125" i="1"/>
  <c r="V126" i="1"/>
  <c r="U127" i="1"/>
  <c r="S128" i="1"/>
  <c r="AD128" i="1"/>
  <c r="AC129" i="1"/>
  <c r="W133" i="1"/>
  <c r="V134" i="1"/>
  <c r="U135" i="1"/>
  <c r="S136" i="1"/>
  <c r="AD136" i="1"/>
  <c r="AC137" i="1"/>
  <c r="U140" i="1"/>
  <c r="AC140" i="1"/>
  <c r="U142" i="1"/>
  <c r="AC142" i="1"/>
  <c r="U144" i="1"/>
  <c r="AC144" i="1"/>
  <c r="U146" i="1"/>
  <c r="AC146" i="1"/>
  <c r="U148" i="1"/>
  <c r="AC148" i="1"/>
  <c r="U58" i="1"/>
  <c r="V83" i="1"/>
  <c r="AC90" i="1"/>
  <c r="S99" i="1"/>
  <c r="W101" i="1"/>
  <c r="AC102" i="1"/>
  <c r="W104" i="1"/>
  <c r="AC105" i="1"/>
  <c r="AC106" i="1"/>
  <c r="AD107" i="1"/>
  <c r="AD108" i="1"/>
  <c r="S110" i="1"/>
  <c r="U111" i="1"/>
  <c r="U112" i="1"/>
  <c r="S113" i="1"/>
  <c r="AD113" i="1"/>
  <c r="AC114" i="1"/>
  <c r="W118" i="1"/>
  <c r="V119" i="1"/>
  <c r="U120" i="1"/>
  <c r="S121" i="1"/>
  <c r="AD121" i="1"/>
  <c r="AC122" i="1"/>
  <c r="W126" i="1"/>
  <c r="V127" i="1"/>
  <c r="U128" i="1"/>
  <c r="S129" i="1"/>
  <c r="AD129" i="1"/>
  <c r="AC130" i="1"/>
  <c r="W134" i="1"/>
  <c r="V135" i="1"/>
  <c r="U136" i="1"/>
  <c r="S137" i="1"/>
  <c r="AD137" i="1"/>
  <c r="AC138" i="1"/>
  <c r="V140" i="1"/>
  <c r="AD140" i="1"/>
  <c r="V142" i="1"/>
  <c r="AD142" i="1"/>
  <c r="V144" i="1"/>
  <c r="AD144" i="1"/>
  <c r="V146" i="1"/>
  <c r="AD146" i="1"/>
  <c r="V148" i="1"/>
  <c r="AD148" i="1"/>
  <c r="V150" i="1"/>
  <c r="AD150" i="1"/>
  <c r="V152" i="1"/>
  <c r="AD152" i="1"/>
  <c r="V154" i="1"/>
  <c r="AD154" i="1"/>
  <c r="V156" i="1"/>
  <c r="AD156" i="1"/>
  <c r="V158" i="1"/>
  <c r="AD158" i="1"/>
  <c r="V160" i="1"/>
  <c r="AD160" i="1"/>
  <c r="V162" i="1"/>
  <c r="AD162" i="1"/>
  <c r="V164" i="1"/>
  <c r="AD164" i="1"/>
  <c r="W115" i="1"/>
  <c r="V128" i="1"/>
  <c r="AC131" i="1"/>
  <c r="W135" i="1"/>
  <c r="AD138" i="1"/>
  <c r="W144" i="1"/>
  <c r="S147" i="1"/>
  <c r="W149" i="1"/>
  <c r="AC150" i="1"/>
  <c r="U152" i="1"/>
  <c r="AC154" i="1"/>
  <c r="U156" i="1"/>
  <c r="AC158" i="1"/>
  <c r="U160" i="1"/>
  <c r="AC162" i="1"/>
  <c r="AD163" i="1"/>
  <c r="S165" i="1"/>
  <c r="S166" i="1"/>
  <c r="AB166" i="1"/>
  <c r="V168" i="1"/>
  <c r="S169" i="1"/>
  <c r="AC169" i="1"/>
  <c r="W171" i="1"/>
  <c r="T172" i="1"/>
  <c r="AC172" i="1"/>
  <c r="W174" i="1"/>
  <c r="U175" i="1"/>
  <c r="AD175" i="1"/>
  <c r="X177" i="1"/>
  <c r="U178" i="1"/>
  <c r="AD178" i="1"/>
  <c r="V181" i="1"/>
  <c r="S182" i="1"/>
  <c r="AB182" i="1"/>
  <c r="V184" i="1"/>
  <c r="AD184" i="1"/>
  <c r="V186" i="1"/>
  <c r="AD186" i="1"/>
  <c r="V188" i="1"/>
  <c r="AD188" i="1"/>
  <c r="V190" i="1"/>
  <c r="AD190" i="1"/>
  <c r="V192" i="1"/>
  <c r="AD192" i="1"/>
  <c r="V194" i="1"/>
  <c r="AD194" i="1"/>
  <c r="V196" i="1"/>
  <c r="AD196" i="1"/>
  <c r="AD97" i="1"/>
  <c r="U117" i="1"/>
  <c r="V124" i="1"/>
  <c r="U129" i="1"/>
  <c r="V136" i="1"/>
  <c r="W142" i="1"/>
  <c r="S145" i="1"/>
  <c r="AD149" i="1"/>
  <c r="V151" i="1"/>
  <c r="AD153" i="1"/>
  <c r="V155" i="1"/>
  <c r="AD157" i="1"/>
  <c r="V159" i="1"/>
  <c r="AD161" i="1"/>
  <c r="U163" i="1"/>
  <c r="U164" i="1"/>
  <c r="V165" i="1"/>
  <c r="U166" i="1"/>
  <c r="AD166" i="1"/>
  <c r="V169" i="1"/>
  <c r="S170" i="1"/>
  <c r="AB170" i="1"/>
  <c r="V172" i="1"/>
  <c r="S173" i="1"/>
  <c r="AC173" i="1"/>
  <c r="W175" i="1"/>
  <c r="T176" i="1"/>
  <c r="AC176" i="1"/>
  <c r="W178" i="1"/>
  <c r="U179" i="1"/>
  <c r="AD179" i="1"/>
  <c r="X181" i="1"/>
  <c r="U182" i="1"/>
  <c r="AD182" i="1"/>
  <c r="X184" i="1"/>
  <c r="T185" i="1"/>
  <c r="AB185" i="1"/>
  <c r="X186" i="1"/>
  <c r="T187" i="1"/>
  <c r="AB187" i="1"/>
  <c r="X188" i="1"/>
  <c r="T189" i="1"/>
  <c r="AB189" i="1"/>
  <c r="X190" i="1"/>
  <c r="T191" i="1"/>
  <c r="AB191" i="1"/>
  <c r="X192" i="1"/>
  <c r="T193" i="1"/>
  <c r="AB193" i="1"/>
  <c r="X194" i="1"/>
  <c r="T195" i="1"/>
  <c r="AB195" i="1"/>
  <c r="X196" i="1"/>
  <c r="T197" i="1"/>
  <c r="AB197" i="1"/>
  <c r="X198" i="1"/>
  <c r="T199" i="1"/>
  <c r="AB199" i="1"/>
  <c r="X200" i="1"/>
  <c r="T201" i="1"/>
  <c r="AB201" i="1"/>
  <c r="X202" i="1"/>
  <c r="T203" i="1"/>
  <c r="AB203" i="1"/>
  <c r="X204" i="1"/>
  <c r="T205" i="1"/>
  <c r="AB205" i="1"/>
  <c r="X206" i="1"/>
  <c r="T207" i="1"/>
  <c r="AB207" i="1"/>
  <c r="X208" i="1"/>
  <c r="T209" i="1"/>
  <c r="AB209" i="1"/>
  <c r="X210" i="1"/>
  <c r="T211" i="1"/>
  <c r="AB211" i="1"/>
  <c r="X212" i="1"/>
  <c r="T213" i="1"/>
  <c r="AB213" i="1"/>
  <c r="X214" i="1"/>
  <c r="T215" i="1"/>
  <c r="AB215" i="1"/>
  <c r="X216" i="1"/>
  <c r="T217" i="1"/>
  <c r="AB217" i="1"/>
  <c r="X218" i="1"/>
  <c r="T219" i="1"/>
  <c r="AB219" i="1"/>
  <c r="X220" i="1"/>
  <c r="T221" i="1"/>
  <c r="AB221" i="1"/>
  <c r="X222" i="1"/>
  <c r="T223" i="1"/>
  <c r="AB223" i="1"/>
  <c r="X224" i="1"/>
  <c r="T225" i="1"/>
  <c r="AB225" i="1"/>
  <c r="X226" i="1"/>
  <c r="T227" i="1"/>
  <c r="AB227" i="1"/>
  <c r="X228" i="1"/>
  <c r="T229" i="1"/>
  <c r="AB229" i="1"/>
  <c r="X230" i="1"/>
  <c r="T231" i="1"/>
  <c r="AB231" i="1"/>
  <c r="X232" i="1"/>
  <c r="T233" i="1"/>
  <c r="AB233" i="1"/>
  <c r="X234" i="1"/>
  <c r="T235" i="1"/>
  <c r="AB235" i="1"/>
  <c r="X236" i="1"/>
  <c r="T237" i="1"/>
  <c r="AB237" i="1"/>
  <c r="X238" i="1"/>
  <c r="T239" i="1"/>
  <c r="AB239" i="1"/>
  <c r="X240" i="1"/>
  <c r="T241" i="1"/>
  <c r="AB241" i="1"/>
  <c r="X242" i="1"/>
  <c r="T243" i="1"/>
  <c r="AB243" i="1"/>
  <c r="X244" i="1"/>
  <c r="T245" i="1"/>
  <c r="AB245" i="1"/>
  <c r="X246" i="1"/>
  <c r="T247" i="1"/>
  <c r="AB247" i="1"/>
  <c r="X248" i="1"/>
  <c r="T249" i="1"/>
  <c r="AB249" i="1"/>
  <c r="X250" i="1"/>
  <c r="T251" i="1"/>
  <c r="AB251" i="1"/>
  <c r="X252" i="1"/>
  <c r="T253" i="1"/>
  <c r="AB253" i="1"/>
  <c r="X254" i="1"/>
  <c r="T255" i="1"/>
  <c r="AB255" i="1"/>
  <c r="X256" i="1"/>
  <c r="T257" i="1"/>
  <c r="AB257" i="1"/>
  <c r="X258" i="1"/>
  <c r="T259" i="1"/>
  <c r="AB259" i="1"/>
  <c r="X260" i="1"/>
  <c r="T261" i="1"/>
  <c r="AB261" i="1"/>
  <c r="X262" i="1"/>
  <c r="T263" i="1"/>
  <c r="AB263" i="1"/>
  <c r="X264" i="1"/>
  <c r="T265" i="1"/>
  <c r="S118" i="1"/>
  <c r="U125" i="1"/>
  <c r="U133" i="1"/>
  <c r="S140" i="1"/>
  <c r="U102" i="1"/>
  <c r="AC111" i="1"/>
  <c r="AD118" i="1"/>
  <c r="S126" i="1"/>
  <c r="S130" i="1"/>
  <c r="U137" i="1"/>
  <c r="W140" i="1"/>
  <c r="S143" i="1"/>
  <c r="W148" i="1"/>
  <c r="U150" i="1"/>
  <c r="AC152" i="1"/>
  <c r="U154" i="1"/>
  <c r="AC156" i="1"/>
  <c r="U158" i="1"/>
  <c r="AC160" i="1"/>
  <c r="U162" i="1"/>
  <c r="W163" i="1"/>
  <c r="W166" i="1"/>
  <c r="U167" i="1"/>
  <c r="AD167" i="1"/>
  <c r="X169" i="1"/>
  <c r="U170" i="1"/>
  <c r="AD170" i="1"/>
  <c r="V173" i="1"/>
  <c r="S174" i="1"/>
  <c r="AB174" i="1"/>
  <c r="V176" i="1"/>
  <c r="S177" i="1"/>
  <c r="AC177" i="1"/>
  <c r="W179" i="1"/>
  <c r="T180" i="1"/>
  <c r="AC180" i="1"/>
  <c r="W182" i="1"/>
  <c r="U183" i="1"/>
  <c r="AD183" i="1"/>
  <c r="V185" i="1"/>
  <c r="AD185" i="1"/>
  <c r="V187" i="1"/>
  <c r="AD187" i="1"/>
  <c r="V189" i="1"/>
  <c r="U88" i="1"/>
  <c r="AC119" i="1"/>
  <c r="AD126" i="1"/>
  <c r="S134" i="1"/>
  <c r="W143" i="1"/>
  <c r="S146" i="1"/>
  <c r="W150" i="1"/>
  <c r="S153" i="1"/>
  <c r="W154" i="1"/>
  <c r="S157" i="1"/>
  <c r="W158" i="1"/>
  <c r="S161" i="1"/>
  <c r="W162" i="1"/>
  <c r="V167" i="1"/>
  <c r="S168" i="1"/>
  <c r="AB168" i="1"/>
  <c r="V170" i="1"/>
  <c r="S171" i="1"/>
  <c r="AC171" i="1"/>
  <c r="W173" i="1"/>
  <c r="T174" i="1"/>
  <c r="AC174" i="1"/>
  <c r="W176" i="1"/>
  <c r="U177" i="1"/>
  <c r="AD177" i="1"/>
  <c r="X179" i="1"/>
  <c r="U180" i="1"/>
  <c r="AD180" i="1"/>
  <c r="V183" i="1"/>
  <c r="S184" i="1"/>
  <c r="V95" i="1"/>
  <c r="V105" i="1"/>
  <c r="W127" i="1"/>
  <c r="AD130" i="1"/>
  <c r="S138" i="1"/>
  <c r="S141" i="1"/>
  <c r="W146" i="1"/>
  <c r="S149" i="1"/>
  <c r="AD151" i="1"/>
  <c r="V153" i="1"/>
  <c r="AD155" i="1"/>
  <c r="V157" i="1"/>
  <c r="AD159" i="1"/>
  <c r="V161" i="1"/>
  <c r="AC165" i="1"/>
  <c r="W167" i="1"/>
  <c r="T168" i="1"/>
  <c r="AC168" i="1"/>
  <c r="W170" i="1"/>
  <c r="U171" i="1"/>
  <c r="AD171" i="1"/>
  <c r="X173" i="1"/>
  <c r="U174" i="1"/>
  <c r="AD174" i="1"/>
  <c r="V177" i="1"/>
  <c r="S178" i="1"/>
  <c r="AB178" i="1"/>
  <c r="V180" i="1"/>
  <c r="S181" i="1"/>
  <c r="AC181" i="1"/>
  <c r="W183" i="1"/>
  <c r="T184" i="1"/>
  <c r="AB184" i="1"/>
  <c r="X185" i="1"/>
  <c r="T186" i="1"/>
  <c r="AB186" i="1"/>
  <c r="X187" i="1"/>
  <c r="T188" i="1"/>
  <c r="AB188" i="1"/>
  <c r="X189" i="1"/>
  <c r="T190" i="1"/>
  <c r="AB190" i="1"/>
  <c r="X191" i="1"/>
  <c r="T192" i="1"/>
  <c r="AB192" i="1"/>
  <c r="X193" i="1"/>
  <c r="T194" i="1"/>
  <c r="AB194" i="1"/>
  <c r="X195" i="1"/>
  <c r="T196" i="1"/>
  <c r="AB196" i="1"/>
  <c r="X197" i="1"/>
  <c r="T198" i="1"/>
  <c r="AB198" i="1"/>
  <c r="X199" i="1"/>
  <c r="T200" i="1"/>
  <c r="AB200" i="1"/>
  <c r="X201" i="1"/>
  <c r="T202" i="1"/>
  <c r="AB202" i="1"/>
  <c r="X203" i="1"/>
  <c r="T204" i="1"/>
  <c r="AB204" i="1"/>
  <c r="X205" i="1"/>
  <c r="T206" i="1"/>
  <c r="AB206" i="1"/>
  <c r="X207" i="1"/>
  <c r="T208" i="1"/>
  <c r="AB208" i="1"/>
  <c r="X209" i="1"/>
  <c r="T210" i="1"/>
  <c r="AB210" i="1"/>
  <c r="X211" i="1"/>
  <c r="T212" i="1"/>
  <c r="AB212" i="1"/>
  <c r="X213" i="1"/>
  <c r="T214" i="1"/>
  <c r="AB214" i="1"/>
  <c r="X215" i="1"/>
  <c r="T216" i="1"/>
  <c r="AB216" i="1"/>
  <c r="X217" i="1"/>
  <c r="T218" i="1"/>
  <c r="AB218" i="1"/>
  <c r="X219" i="1"/>
  <c r="T220" i="1"/>
  <c r="AB220" i="1"/>
  <c r="X221" i="1"/>
  <c r="T222" i="1"/>
  <c r="AB222" i="1"/>
  <c r="X223" i="1"/>
  <c r="T224" i="1"/>
  <c r="AB224" i="1"/>
  <c r="X225" i="1"/>
  <c r="T226" i="1"/>
  <c r="AB226" i="1"/>
  <c r="X227" i="1"/>
  <c r="T228" i="1"/>
  <c r="AB228" i="1"/>
  <c r="X229" i="1"/>
  <c r="T230" i="1"/>
  <c r="AB230" i="1"/>
  <c r="X231" i="1"/>
  <c r="T232" i="1"/>
  <c r="AB232" i="1"/>
  <c r="X233" i="1"/>
  <c r="T234" i="1"/>
  <c r="AB234" i="1"/>
  <c r="X235" i="1"/>
  <c r="T236" i="1"/>
  <c r="V132" i="1"/>
  <c r="S154" i="1"/>
  <c r="W161" i="1"/>
  <c r="W164" i="1"/>
  <c r="AC166" i="1"/>
  <c r="AD168" i="1"/>
  <c r="AC170" i="1"/>
  <c r="AD172" i="1"/>
  <c r="S175" i="1"/>
  <c r="AD176" i="1"/>
  <c r="S179" i="1"/>
  <c r="U181" i="1"/>
  <c r="S183" i="1"/>
  <c r="S185" i="1"/>
  <c r="W186" i="1"/>
  <c r="S189" i="1"/>
  <c r="U190" i="1"/>
  <c r="V191" i="1"/>
  <c r="W192" i="1"/>
  <c r="W193" i="1"/>
  <c r="W200" i="1"/>
  <c r="V201" i="1"/>
  <c r="U202" i="1"/>
  <c r="S203" i="1"/>
  <c r="AD203" i="1"/>
  <c r="AC204" i="1"/>
  <c r="W208" i="1"/>
  <c r="V209" i="1"/>
  <c r="U210" i="1"/>
  <c r="S211" i="1"/>
  <c r="AD211" i="1"/>
  <c r="AC212" i="1"/>
  <c r="W216" i="1"/>
  <c r="V217" i="1"/>
  <c r="U218" i="1"/>
  <c r="S219" i="1"/>
  <c r="AD219" i="1"/>
  <c r="AC220" i="1"/>
  <c r="W224" i="1"/>
  <c r="V225" i="1"/>
  <c r="U226" i="1"/>
  <c r="S227" i="1"/>
  <c r="AD227" i="1"/>
  <c r="AC228" i="1"/>
  <c r="W232" i="1"/>
  <c r="V233" i="1"/>
  <c r="U234" i="1"/>
  <c r="S235" i="1"/>
  <c r="AD235" i="1"/>
  <c r="AB236" i="1"/>
  <c r="V238" i="1"/>
  <c r="S239" i="1"/>
  <c r="AC239" i="1"/>
  <c r="W241" i="1"/>
  <c r="T242" i="1"/>
  <c r="AC242" i="1"/>
  <c r="W244" i="1"/>
  <c r="U245" i="1"/>
  <c r="AD245" i="1"/>
  <c r="X247" i="1"/>
  <c r="AD134" i="1"/>
  <c r="W145" i="1"/>
  <c r="S151" i="1"/>
  <c r="S158" i="1"/>
  <c r="AC164" i="1"/>
  <c r="S167" i="1"/>
  <c r="U169" i="1"/>
  <c r="V171" i="1"/>
  <c r="U173" i="1"/>
  <c r="V175" i="1"/>
  <c r="W177" i="1"/>
  <c r="V179" i="1"/>
  <c r="W181" i="1"/>
  <c r="X183" i="1"/>
  <c r="U185" i="1"/>
  <c r="AC187" i="1"/>
  <c r="U189" i="1"/>
  <c r="W190" i="1"/>
  <c r="W191" i="1"/>
  <c r="AC197" i="1"/>
  <c r="W201" i="1"/>
  <c r="V202" i="1"/>
  <c r="U203" i="1"/>
  <c r="S204" i="1"/>
  <c r="AD204" i="1"/>
  <c r="AC205" i="1"/>
  <c r="W209" i="1"/>
  <c r="V210" i="1"/>
  <c r="U211" i="1"/>
  <c r="S212" i="1"/>
  <c r="AD212" i="1"/>
  <c r="AC213" i="1"/>
  <c r="W217" i="1"/>
  <c r="V218" i="1"/>
  <c r="U219" i="1"/>
  <c r="S220" i="1"/>
  <c r="AD220" i="1"/>
  <c r="AC221" i="1"/>
  <c r="W225" i="1"/>
  <c r="V226" i="1"/>
  <c r="U227" i="1"/>
  <c r="S228" i="1"/>
  <c r="AD228" i="1"/>
  <c r="AC229" i="1"/>
  <c r="W233" i="1"/>
  <c r="V234" i="1"/>
  <c r="U235" i="1"/>
  <c r="S236" i="1"/>
  <c r="AC236" i="1"/>
  <c r="W238" i="1"/>
  <c r="U239" i="1"/>
  <c r="AD239" i="1"/>
  <c r="X241" i="1"/>
  <c r="U242" i="1"/>
  <c r="AD242" i="1"/>
  <c r="V245" i="1"/>
  <c r="S246" i="1"/>
  <c r="AB246" i="1"/>
  <c r="W147" i="1"/>
  <c r="S152" i="1"/>
  <c r="W155" i="1"/>
  <c r="S159" i="1"/>
  <c r="W165" i="1"/>
  <c r="AC175" i="1"/>
  <c r="AC179" i="1"/>
  <c r="AD181" i="1"/>
  <c r="AC183" i="1"/>
  <c r="AC186" i="1"/>
  <c r="U188" i="1"/>
  <c r="AC193" i="1"/>
  <c r="AC194" i="1"/>
  <c r="AD195" i="1"/>
  <c r="S197" i="1"/>
  <c r="S198" i="1"/>
  <c r="AD198" i="1"/>
  <c r="AC199" i="1"/>
  <c r="W203" i="1"/>
  <c r="V204" i="1"/>
  <c r="U205" i="1"/>
  <c r="S206" i="1"/>
  <c r="AD206" i="1"/>
  <c r="AC207" i="1"/>
  <c r="W211" i="1"/>
  <c r="V212" i="1"/>
  <c r="U213" i="1"/>
  <c r="S214" i="1"/>
  <c r="AD214" i="1"/>
  <c r="AC215" i="1"/>
  <c r="W219" i="1"/>
  <c r="V220" i="1"/>
  <c r="U221" i="1"/>
  <c r="S222" i="1"/>
  <c r="AD222" i="1"/>
  <c r="AC223" i="1"/>
  <c r="W227" i="1"/>
  <c r="V228" i="1"/>
  <c r="U229" i="1"/>
  <c r="S230" i="1"/>
  <c r="AD230" i="1"/>
  <c r="AC231" i="1"/>
  <c r="W235" i="1"/>
  <c r="V236" i="1"/>
  <c r="S237" i="1"/>
  <c r="AC237" i="1"/>
  <c r="W239" i="1"/>
  <c r="T240" i="1"/>
  <c r="AC240" i="1"/>
  <c r="W242" i="1"/>
  <c r="U243" i="1"/>
  <c r="AD243" i="1"/>
  <c r="X245" i="1"/>
  <c r="U246" i="1"/>
  <c r="AD246" i="1"/>
  <c r="V249" i="1"/>
  <c r="S250" i="1"/>
  <c r="AB250" i="1"/>
  <c r="V252" i="1"/>
  <c r="S253" i="1"/>
  <c r="AC253" i="1"/>
  <c r="W255" i="1"/>
  <c r="T256" i="1"/>
  <c r="AC256" i="1"/>
  <c r="W258" i="1"/>
  <c r="U259" i="1"/>
  <c r="AD259" i="1"/>
  <c r="X261" i="1"/>
  <c r="U262" i="1"/>
  <c r="AD262" i="1"/>
  <c r="V265" i="1"/>
  <c r="AD265" i="1"/>
  <c r="V267" i="1"/>
  <c r="AD267" i="1"/>
  <c r="V269" i="1"/>
  <c r="AD269" i="1"/>
  <c r="AC127" i="1"/>
  <c r="W141" i="1"/>
  <c r="V149" i="1"/>
  <c r="W156" i="1"/>
  <c r="S160" i="1"/>
  <c r="V163" i="1"/>
  <c r="T166" i="1"/>
  <c r="U168" i="1"/>
  <c r="T170" i="1"/>
  <c r="U172" i="1"/>
  <c r="V174" i="1"/>
  <c r="U176" i="1"/>
  <c r="V178" i="1"/>
  <c r="W180" i="1"/>
  <c r="V182" i="1"/>
  <c r="W184" i="1"/>
  <c r="AC185" i="1"/>
  <c r="U187" i="1"/>
  <c r="AC189" i="1"/>
  <c r="AC190" i="1"/>
  <c r="AD191" i="1"/>
  <c r="S193" i="1"/>
  <c r="S194" i="1"/>
  <c r="U195" i="1"/>
  <c r="U196" i="1"/>
  <c r="V197" i="1"/>
  <c r="V198" i="1"/>
  <c r="U199" i="1"/>
  <c r="S200" i="1"/>
  <c r="AD200" i="1"/>
  <c r="AC201" i="1"/>
  <c r="W205" i="1"/>
  <c r="V206" i="1"/>
  <c r="U207" i="1"/>
  <c r="S208" i="1"/>
  <c r="AD208" i="1"/>
  <c r="AC209" i="1"/>
  <c r="W213" i="1"/>
  <c r="V214" i="1"/>
  <c r="U215" i="1"/>
  <c r="S216" i="1"/>
  <c r="AD216" i="1"/>
  <c r="AC217" i="1"/>
  <c r="W221" i="1"/>
  <c r="V222" i="1"/>
  <c r="U223" i="1"/>
  <c r="S224" i="1"/>
  <c r="AD224" i="1"/>
  <c r="AC225" i="1"/>
  <c r="W229" i="1"/>
  <c r="V230" i="1"/>
  <c r="U231" i="1"/>
  <c r="S232" i="1"/>
  <c r="AD232" i="1"/>
  <c r="AC233" i="1"/>
  <c r="V237" i="1"/>
  <c r="S238" i="1"/>
  <c r="AB238" i="1"/>
  <c r="V240" i="1"/>
  <c r="S241" i="1"/>
  <c r="AC241" i="1"/>
  <c r="W243" i="1"/>
  <c r="T244" i="1"/>
  <c r="AC244" i="1"/>
  <c r="W246" i="1"/>
  <c r="U247" i="1"/>
  <c r="AD247" i="1"/>
  <c r="X249" i="1"/>
  <c r="U250" i="1"/>
  <c r="AD250" i="1"/>
  <c r="V253" i="1"/>
  <c r="S254" i="1"/>
  <c r="AB254" i="1"/>
  <c r="V256" i="1"/>
  <c r="S257" i="1"/>
  <c r="AC257" i="1"/>
  <c r="W259" i="1"/>
  <c r="T260" i="1"/>
  <c r="AC260" i="1"/>
  <c r="W262" i="1"/>
  <c r="U263" i="1"/>
  <c r="AD263" i="1"/>
  <c r="X265" i="1"/>
  <c r="T266" i="1"/>
  <c r="AB266" i="1"/>
  <c r="X267" i="1"/>
  <c r="T268" i="1"/>
  <c r="AB268" i="1"/>
  <c r="X269" i="1"/>
  <c r="T270" i="1"/>
  <c r="AB270" i="1"/>
  <c r="X271" i="1"/>
  <c r="T272" i="1"/>
  <c r="AB272" i="1"/>
  <c r="X273" i="1"/>
  <c r="T274" i="1"/>
  <c r="AB274" i="1"/>
  <c r="X275" i="1"/>
  <c r="T276" i="1"/>
  <c r="AB276" i="1"/>
  <c r="X277" i="1"/>
  <c r="T278" i="1"/>
  <c r="AB278" i="1"/>
  <c r="X279" i="1"/>
  <c r="T280" i="1"/>
  <c r="AB280" i="1"/>
  <c r="X281" i="1"/>
  <c r="T282" i="1"/>
  <c r="AB282" i="1"/>
  <c r="X283" i="1"/>
  <c r="T284" i="1"/>
  <c r="AB284" i="1"/>
  <c r="X285" i="1"/>
  <c r="T286" i="1"/>
  <c r="AB286" i="1"/>
  <c r="X287" i="1"/>
  <c r="T288" i="1"/>
  <c r="AB288" i="1"/>
  <c r="X289" i="1"/>
  <c r="T290" i="1"/>
  <c r="AB290" i="1"/>
  <c r="X291" i="1"/>
  <c r="T292" i="1"/>
  <c r="AB292" i="1"/>
  <c r="X293" i="1"/>
  <c r="T294" i="1"/>
  <c r="AB294" i="1"/>
  <c r="X295" i="1"/>
  <c r="T296" i="1"/>
  <c r="AB296" i="1"/>
  <c r="X297" i="1"/>
  <c r="T298" i="1"/>
  <c r="AB298" i="1"/>
  <c r="X299" i="1"/>
  <c r="T300" i="1"/>
  <c r="AB300" i="1"/>
  <c r="X301" i="1"/>
  <c r="T302" i="1"/>
  <c r="AB302" i="1"/>
  <c r="X303" i="1"/>
  <c r="T304" i="1"/>
  <c r="S142" i="1"/>
  <c r="W153" i="1"/>
  <c r="W160" i="1"/>
  <c r="AC163" i="1"/>
  <c r="V166" i="1"/>
  <c r="W168" i="1"/>
  <c r="W172" i="1"/>
  <c r="S186" i="1"/>
  <c r="W187" i="1"/>
  <c r="AD189" i="1"/>
  <c r="S191" i="1"/>
  <c r="S192" i="1"/>
  <c r="U193" i="1"/>
  <c r="U194" i="1"/>
  <c r="V195" i="1"/>
  <c r="W196" i="1"/>
  <c r="W197" i="1"/>
  <c r="W198" i="1"/>
  <c r="V199" i="1"/>
  <c r="U200" i="1"/>
  <c r="S201" i="1"/>
  <c r="AD201" i="1"/>
  <c r="AC202" i="1"/>
  <c r="W206" i="1"/>
  <c r="V207" i="1"/>
  <c r="U208" i="1"/>
  <c r="S209" i="1"/>
  <c r="AD209" i="1"/>
  <c r="AC210" i="1"/>
  <c r="W214" i="1"/>
  <c r="V215" i="1"/>
  <c r="U216" i="1"/>
  <c r="S217" i="1"/>
  <c r="AD217" i="1"/>
  <c r="AC218" i="1"/>
  <c r="W222" i="1"/>
  <c r="V223" i="1"/>
  <c r="U224" i="1"/>
  <c r="S225" i="1"/>
  <c r="AD225" i="1"/>
  <c r="AC226" i="1"/>
  <c r="W230" i="1"/>
  <c r="V231" i="1"/>
  <c r="U232" i="1"/>
  <c r="S233" i="1"/>
  <c r="AD233" i="1"/>
  <c r="AC234" i="1"/>
  <c r="W237" i="1"/>
  <c r="T238" i="1"/>
  <c r="AC238" i="1"/>
  <c r="W240" i="1"/>
  <c r="U241" i="1"/>
  <c r="AD241" i="1"/>
  <c r="X243" i="1"/>
  <c r="U244" i="1"/>
  <c r="AD244" i="1"/>
  <c r="V247" i="1"/>
  <c r="S248" i="1"/>
  <c r="AB248" i="1"/>
  <c r="V250" i="1"/>
  <c r="S251" i="1"/>
  <c r="AC251" i="1"/>
  <c r="W131" i="1"/>
  <c r="S144" i="1"/>
  <c r="S150" i="1"/>
  <c r="W157" i="1"/>
  <c r="S164" i="1"/>
  <c r="AB172" i="1"/>
  <c r="AB176" i="1"/>
  <c r="AC178" i="1"/>
  <c r="AB180" i="1"/>
  <c r="AC182" i="1"/>
  <c r="AC184" i="1"/>
  <c r="U186" i="1"/>
  <c r="AC188" i="1"/>
  <c r="S190" i="1"/>
  <c r="U191" i="1"/>
  <c r="U192" i="1"/>
  <c r="V193" i="1"/>
  <c r="W194" i="1"/>
  <c r="W195" i="1"/>
  <c r="W199" i="1"/>
  <c r="V200" i="1"/>
  <c r="U201" i="1"/>
  <c r="S202" i="1"/>
  <c r="AD202" i="1"/>
  <c r="AC203" i="1"/>
  <c r="W207" i="1"/>
  <c r="V208" i="1"/>
  <c r="U209" i="1"/>
  <c r="S210" i="1"/>
  <c r="AD210" i="1"/>
  <c r="AC211" i="1"/>
  <c r="W215" i="1"/>
  <c r="V216" i="1"/>
  <c r="U217" i="1"/>
  <c r="S218" i="1"/>
  <c r="AD218" i="1"/>
  <c r="AC219" i="1"/>
  <c r="W223" i="1"/>
  <c r="V224" i="1"/>
  <c r="U225" i="1"/>
  <c r="S226" i="1"/>
  <c r="AD226" i="1"/>
  <c r="AC227" i="1"/>
  <c r="W231" i="1"/>
  <c r="V232" i="1"/>
  <c r="U233" i="1"/>
  <c r="S234" i="1"/>
  <c r="AD234" i="1"/>
  <c r="AC235" i="1"/>
  <c r="X237" i="1"/>
  <c r="U238" i="1"/>
  <c r="AD238" i="1"/>
  <c r="V241" i="1"/>
  <c r="S242" i="1"/>
  <c r="AB242" i="1"/>
  <c r="V244" i="1"/>
  <c r="S245" i="1"/>
  <c r="AC245" i="1"/>
  <c r="W247" i="1"/>
  <c r="T248" i="1"/>
  <c r="AC248" i="1"/>
  <c r="W250" i="1"/>
  <c r="U251" i="1"/>
  <c r="AD251" i="1"/>
  <c r="W123" i="1"/>
  <c r="S156" i="1"/>
  <c r="AC167" i="1"/>
  <c r="S176" i="1"/>
  <c r="U184" i="1"/>
  <c r="AD193" i="1"/>
  <c r="U198" i="1"/>
  <c r="V205" i="1"/>
  <c r="AC208" i="1"/>
  <c r="W212" i="1"/>
  <c r="AD215" i="1"/>
  <c r="S223" i="1"/>
  <c r="U230" i="1"/>
  <c r="AD237" i="1"/>
  <c r="AD240" i="1"/>
  <c r="S244" i="1"/>
  <c r="S247" i="1"/>
  <c r="S249" i="1"/>
  <c r="T252" i="1"/>
  <c r="X253" i="1"/>
  <c r="W254" i="1"/>
  <c r="X255" i="1"/>
  <c r="X257" i="1"/>
  <c r="X266" i="1"/>
  <c r="W267" i="1"/>
  <c r="V268" i="1"/>
  <c r="T269" i="1"/>
  <c r="S270" i="1"/>
  <c r="AD270" i="1"/>
  <c r="X272" i="1"/>
  <c r="U273" i="1"/>
  <c r="AD273" i="1"/>
  <c r="V276" i="1"/>
  <c r="S277" i="1"/>
  <c r="AB277" i="1"/>
  <c r="V279" i="1"/>
  <c r="S280" i="1"/>
  <c r="AC280" i="1"/>
  <c r="W282" i="1"/>
  <c r="T283" i="1"/>
  <c r="AC283" i="1"/>
  <c r="W285" i="1"/>
  <c r="U286" i="1"/>
  <c r="AD286" i="1"/>
  <c r="X288" i="1"/>
  <c r="U289" i="1"/>
  <c r="AD289" i="1"/>
  <c r="AC135" i="1"/>
  <c r="W169" i="1"/>
  <c r="W185" i="1"/>
  <c r="AC198" i="1"/>
  <c r="W202" i="1"/>
  <c r="AD205" i="1"/>
  <c r="S213" i="1"/>
  <c r="U220" i="1"/>
  <c r="V227" i="1"/>
  <c r="AC232" i="1"/>
  <c r="U236" i="1"/>
  <c r="U249" i="1"/>
  <c r="W139" i="1"/>
  <c r="W159" i="1"/>
  <c r="AD169" i="1"/>
  <c r="T178" i="1"/>
  <c r="S195" i="1"/>
  <c r="S199" i="1"/>
  <c r="U206" i="1"/>
  <c r="V213" i="1"/>
  <c r="AC216" i="1"/>
  <c r="W220" i="1"/>
  <c r="AD223" i="1"/>
  <c r="W236" i="1"/>
  <c r="AB244" i="1"/>
  <c r="AC247" i="1"/>
  <c r="W249" i="1"/>
  <c r="AC250" i="1"/>
  <c r="W252" i="1"/>
  <c r="AB258" i="1"/>
  <c r="AB260" i="1"/>
  <c r="AC261" i="1"/>
  <c r="AB262" i="1"/>
  <c r="AC263" i="1"/>
  <c r="AC264" i="1"/>
  <c r="AB265" i="1"/>
  <c r="X268" i="1"/>
  <c r="W269" i="1"/>
  <c r="V270" i="1"/>
  <c r="T271" i="1"/>
  <c r="AC271" i="1"/>
  <c r="W273" i="1"/>
  <c r="U274" i="1"/>
  <c r="AD274" i="1"/>
  <c r="X276" i="1"/>
  <c r="U277" i="1"/>
  <c r="AD277" i="1"/>
  <c r="V280" i="1"/>
  <c r="S281" i="1"/>
  <c r="AB281" i="1"/>
  <c r="V283" i="1"/>
  <c r="S284" i="1"/>
  <c r="AC284" i="1"/>
  <c r="W286" i="1"/>
  <c r="T287" i="1"/>
  <c r="AC287" i="1"/>
  <c r="W289" i="1"/>
  <c r="U290" i="1"/>
  <c r="AD290" i="1"/>
  <c r="X292" i="1"/>
  <c r="U293" i="1"/>
  <c r="AD293" i="1"/>
  <c r="V296" i="1"/>
  <c r="S297" i="1"/>
  <c r="AB297" i="1"/>
  <c r="V299" i="1"/>
  <c r="S300" i="1"/>
  <c r="AC300" i="1"/>
  <c r="W302" i="1"/>
  <c r="T303" i="1"/>
  <c r="AC303" i="1"/>
  <c r="V305" i="1"/>
  <c r="AD305" i="1"/>
  <c r="V307" i="1"/>
  <c r="AD307" i="1"/>
  <c r="V309" i="1"/>
  <c r="AD309" i="1"/>
  <c r="S148" i="1"/>
  <c r="S163" i="1"/>
  <c r="S172" i="1"/>
  <c r="S180" i="1"/>
  <c r="S187" i="1"/>
  <c r="AC191" i="1"/>
  <c r="S196" i="1"/>
  <c r="AD199" i="1"/>
  <c r="S207" i="1"/>
  <c r="U214" i="1"/>
  <c r="V221" i="1"/>
  <c r="AC224" i="1"/>
  <c r="W228" i="1"/>
  <c r="AC230" i="1"/>
  <c r="U237" i="1"/>
  <c r="X239" i="1"/>
  <c r="V248" i="1"/>
  <c r="AC249" i="1"/>
  <c r="W251" i="1"/>
  <c r="AC252" i="1"/>
  <c r="AD253" i="1"/>
  <c r="AD254" i="1"/>
  <c r="AD255" i="1"/>
  <c r="AD256" i="1"/>
  <c r="S258" i="1"/>
  <c r="AD258" i="1"/>
  <c r="S260" i="1"/>
  <c r="S261" i="1"/>
  <c r="S262" i="1"/>
  <c r="S263" i="1"/>
  <c r="T264" i="1"/>
  <c r="S265" i="1"/>
  <c r="S266" i="1"/>
  <c r="AD266" i="1"/>
  <c r="AB267" i="1"/>
  <c r="X270" i="1"/>
  <c r="V271" i="1"/>
  <c r="S272" i="1"/>
  <c r="AC272" i="1"/>
  <c r="W274" i="1"/>
  <c r="T275" i="1"/>
  <c r="AC275" i="1"/>
  <c r="W277" i="1"/>
  <c r="U278" i="1"/>
  <c r="AD278" i="1"/>
  <c r="X280" i="1"/>
  <c r="U281" i="1"/>
  <c r="AD281" i="1"/>
  <c r="V284" i="1"/>
  <c r="S285" i="1"/>
  <c r="AB285" i="1"/>
  <c r="V287" i="1"/>
  <c r="S288" i="1"/>
  <c r="AC288" i="1"/>
  <c r="W290" i="1"/>
  <c r="T291" i="1"/>
  <c r="AC291" i="1"/>
  <c r="W293" i="1"/>
  <c r="U294" i="1"/>
  <c r="AD294" i="1"/>
  <c r="X296" i="1"/>
  <c r="U297" i="1"/>
  <c r="AD297" i="1"/>
  <c r="V300" i="1"/>
  <c r="S301" i="1"/>
  <c r="AB301" i="1"/>
  <c r="V303" i="1"/>
  <c r="S304" i="1"/>
  <c r="AB304" i="1"/>
  <c r="X305" i="1"/>
  <c r="T306" i="1"/>
  <c r="AB306" i="1"/>
  <c r="X307" i="1"/>
  <c r="T308" i="1"/>
  <c r="AB308" i="1"/>
  <c r="X309" i="1"/>
  <c r="T310" i="1"/>
  <c r="AB310" i="1"/>
  <c r="X311" i="1"/>
  <c r="T312" i="1"/>
  <c r="AB312" i="1"/>
  <c r="X313" i="1"/>
  <c r="T314" i="1"/>
  <c r="AB314" i="1"/>
  <c r="X315" i="1"/>
  <c r="T316" i="1"/>
  <c r="AB316" i="1"/>
  <c r="X317" i="1"/>
  <c r="T318" i="1"/>
  <c r="AB318" i="1"/>
  <c r="X319" i="1"/>
  <c r="T320" i="1"/>
  <c r="AB320" i="1"/>
  <c r="X321" i="1"/>
  <c r="T322" i="1"/>
  <c r="AB322" i="1"/>
  <c r="X323" i="1"/>
  <c r="T324" i="1"/>
  <c r="AB324" i="1"/>
  <c r="X325" i="1"/>
  <c r="T326" i="1"/>
  <c r="AB326" i="1"/>
  <c r="X327" i="1"/>
  <c r="T328" i="1"/>
  <c r="AB328" i="1"/>
  <c r="X329" i="1"/>
  <c r="T330" i="1"/>
  <c r="AB330" i="1"/>
  <c r="X331" i="1"/>
  <c r="T332" i="1"/>
  <c r="AB332" i="1"/>
  <c r="X333" i="1"/>
  <c r="T334" i="1"/>
  <c r="AB334" i="1"/>
  <c r="X335" i="1"/>
  <c r="T336" i="1"/>
  <c r="AB336" i="1"/>
  <c r="X337" i="1"/>
  <c r="T338" i="1"/>
  <c r="AB338" i="1"/>
  <c r="X339" i="1"/>
  <c r="T340" i="1"/>
  <c r="AB340" i="1"/>
  <c r="X341" i="1"/>
  <c r="T342" i="1"/>
  <c r="AB342" i="1"/>
  <c r="X343" i="1"/>
  <c r="T344" i="1"/>
  <c r="AB344" i="1"/>
  <c r="X345" i="1"/>
  <c r="T346" i="1"/>
  <c r="AB346" i="1"/>
  <c r="X347" i="1"/>
  <c r="T348" i="1"/>
  <c r="AB348" i="1"/>
  <c r="X349" i="1"/>
  <c r="T350" i="1"/>
  <c r="AB350" i="1"/>
  <c r="X351" i="1"/>
  <c r="T352" i="1"/>
  <c r="AB352" i="1"/>
  <c r="X353" i="1"/>
  <c r="T354" i="1"/>
  <c r="AB354" i="1"/>
  <c r="X355" i="1"/>
  <c r="T356" i="1"/>
  <c r="AB356" i="1"/>
  <c r="X357" i="1"/>
  <c r="T358" i="1"/>
  <c r="AB358" i="1"/>
  <c r="X359" i="1"/>
  <c r="T360" i="1"/>
  <c r="AB360" i="1"/>
  <c r="W151" i="1"/>
  <c r="U165" i="1"/>
  <c r="S188" i="1"/>
  <c r="AC196" i="1"/>
  <c r="U204" i="1"/>
  <c r="V211" i="1"/>
  <c r="AC214" i="1"/>
  <c r="W218" i="1"/>
  <c r="AD221" i="1"/>
  <c r="S229" i="1"/>
  <c r="S231" i="1"/>
  <c r="W234" i="1"/>
  <c r="S240" i="1"/>
  <c r="S243" i="1"/>
  <c r="T246" i="1"/>
  <c r="W248" i="1"/>
  <c r="AD249" i="1"/>
  <c r="X251" i="1"/>
  <c r="AD252" i="1"/>
  <c r="T254" i="1"/>
  <c r="S255" i="1"/>
  <c r="S256" i="1"/>
  <c r="U257" i="1"/>
  <c r="T258" i="1"/>
  <c r="S259" i="1"/>
  <c r="U260" i="1"/>
  <c r="U261" i="1"/>
  <c r="T262" i="1"/>
  <c r="V263" i="1"/>
  <c r="U264" i="1"/>
  <c r="U265" i="1"/>
  <c r="U266" i="1"/>
  <c r="S267" i="1"/>
  <c r="AC267" i="1"/>
  <c r="AC268" i="1"/>
  <c r="W271" i="1"/>
  <c r="U272" i="1"/>
  <c r="AD272" i="1"/>
  <c r="X274" i="1"/>
  <c r="U275" i="1"/>
  <c r="AD275" i="1"/>
  <c r="V278" i="1"/>
  <c r="S279" i="1"/>
  <c r="AB279" i="1"/>
  <c r="V281" i="1"/>
  <c r="S282" i="1"/>
  <c r="AC282" i="1"/>
  <c r="W284" i="1"/>
  <c r="T285" i="1"/>
  <c r="AC285" i="1"/>
  <c r="W287" i="1"/>
  <c r="U288" i="1"/>
  <c r="AD288" i="1"/>
  <c r="X290" i="1"/>
  <c r="U291" i="1"/>
  <c r="AD291" i="1"/>
  <c r="V294" i="1"/>
  <c r="S295" i="1"/>
  <c r="AB295" i="1"/>
  <c r="V297" i="1"/>
  <c r="S298" i="1"/>
  <c r="AC298" i="1"/>
  <c r="W300" i="1"/>
  <c r="T301" i="1"/>
  <c r="AC301" i="1"/>
  <c r="W303" i="1"/>
  <c r="U304" i="1"/>
  <c r="AC304" i="1"/>
  <c r="W152" i="1"/>
  <c r="AD165" i="1"/>
  <c r="AD173" i="1"/>
  <c r="T182" i="1"/>
  <c r="W188" i="1"/>
  <c r="AC192" i="1"/>
  <c r="U197" i="1"/>
  <c r="AC200" i="1"/>
  <c r="W204" i="1"/>
  <c r="AD207" i="1"/>
  <c r="S215" i="1"/>
  <c r="U222" i="1"/>
  <c r="V229" i="1"/>
  <c r="U240" i="1"/>
  <c r="V243" i="1"/>
  <c r="V246" i="1"/>
  <c r="T250" i="1"/>
  <c r="U253" i="1"/>
  <c r="U254" i="1"/>
  <c r="U255" i="1"/>
  <c r="U256" i="1"/>
  <c r="V257" i="1"/>
  <c r="U258" i="1"/>
  <c r="V259" i="1"/>
  <c r="V260" i="1"/>
  <c r="V261" i="1"/>
  <c r="V262" i="1"/>
  <c r="W263" i="1"/>
  <c r="V264" i="1"/>
  <c r="W265" i="1"/>
  <c r="V266" i="1"/>
  <c r="T267" i="1"/>
  <c r="S268" i="1"/>
  <c r="AD268" i="1"/>
  <c r="AB269" i="1"/>
  <c r="V272" i="1"/>
  <c r="S273" i="1"/>
  <c r="AB273" i="1"/>
  <c r="V275" i="1"/>
  <c r="S276" i="1"/>
  <c r="AC276" i="1"/>
  <c r="W278" i="1"/>
  <c r="T279" i="1"/>
  <c r="AC279" i="1"/>
  <c r="W281" i="1"/>
  <c r="U282" i="1"/>
  <c r="AD282" i="1"/>
  <c r="X284" i="1"/>
  <c r="U285" i="1"/>
  <c r="AD285" i="1"/>
  <c r="V288" i="1"/>
  <c r="S289" i="1"/>
  <c r="AB289" i="1"/>
  <c r="V291" i="1"/>
  <c r="S292" i="1"/>
  <c r="AC292" i="1"/>
  <c r="W294" i="1"/>
  <c r="T295" i="1"/>
  <c r="AC295" i="1"/>
  <c r="W297" i="1"/>
  <c r="U298" i="1"/>
  <c r="AD298" i="1"/>
  <c r="V203" i="1"/>
  <c r="AD236" i="1"/>
  <c r="W245" i="1"/>
  <c r="U252" i="1"/>
  <c r="V255" i="1"/>
  <c r="AD257" i="1"/>
  <c r="X263" i="1"/>
  <c r="AC265" i="1"/>
  <c r="W268" i="1"/>
  <c r="AC270" i="1"/>
  <c r="AC274" i="1"/>
  <c r="AD276" i="1"/>
  <c r="AC278" i="1"/>
  <c r="AD280" i="1"/>
  <c r="S283" i="1"/>
  <c r="AD284" i="1"/>
  <c r="S287" i="1"/>
  <c r="T289" i="1"/>
  <c r="S291" i="1"/>
  <c r="S294" i="1"/>
  <c r="AC296" i="1"/>
  <c r="W298" i="1"/>
  <c r="W299" i="1"/>
  <c r="X300" i="1"/>
  <c r="AC302" i="1"/>
  <c r="AD303" i="1"/>
  <c r="S305" i="1"/>
  <c r="S306" i="1"/>
  <c r="AD306" i="1"/>
  <c r="AB307" i="1"/>
  <c r="X310" i="1"/>
  <c r="U311" i="1"/>
  <c r="AD311" i="1"/>
  <c r="V314" i="1"/>
  <c r="S315" i="1"/>
  <c r="AB315" i="1"/>
  <c r="V317" i="1"/>
  <c r="S318" i="1"/>
  <c r="AC318" i="1"/>
  <c r="W320" i="1"/>
  <c r="T321" i="1"/>
  <c r="AC321" i="1"/>
  <c r="W323" i="1"/>
  <c r="U324" i="1"/>
  <c r="AD324" i="1"/>
  <c r="X326" i="1"/>
  <c r="U327" i="1"/>
  <c r="AD327" i="1"/>
  <c r="V330" i="1"/>
  <c r="S331" i="1"/>
  <c r="AB331" i="1"/>
  <c r="V333" i="1"/>
  <c r="S334" i="1"/>
  <c r="AC334" i="1"/>
  <c r="W336" i="1"/>
  <c r="T337" i="1"/>
  <c r="AC337" i="1"/>
  <c r="W339" i="1"/>
  <c r="U340" i="1"/>
  <c r="AD340" i="1"/>
  <c r="X342" i="1"/>
  <c r="U343" i="1"/>
  <c r="AD343" i="1"/>
  <c r="V346" i="1"/>
  <c r="S347" i="1"/>
  <c r="AB347" i="1"/>
  <c r="V349" i="1"/>
  <c r="S350" i="1"/>
  <c r="AC350" i="1"/>
  <c r="W352" i="1"/>
  <c r="T353" i="1"/>
  <c r="AC353" i="1"/>
  <c r="W355" i="1"/>
  <c r="U356" i="1"/>
  <c r="AD356" i="1"/>
  <c r="X358" i="1"/>
  <c r="U359" i="1"/>
  <c r="AD359" i="1"/>
  <c r="X361" i="1"/>
  <c r="T362" i="1"/>
  <c r="AB362" i="1"/>
  <c r="X363" i="1"/>
  <c r="T364" i="1"/>
  <c r="AB364" i="1"/>
  <c r="X365" i="1"/>
  <c r="T366" i="1"/>
  <c r="AB366" i="1"/>
  <c r="X367" i="1"/>
  <c r="T368" i="1"/>
  <c r="AB368" i="1"/>
  <c r="X369" i="1"/>
  <c r="T370" i="1"/>
  <c r="AB370" i="1"/>
  <c r="X371" i="1"/>
  <c r="T372" i="1"/>
  <c r="AB372" i="1"/>
  <c r="X373" i="1"/>
  <c r="T374" i="1"/>
  <c r="AB374" i="1"/>
  <c r="X375" i="1"/>
  <c r="T376" i="1"/>
  <c r="AB376" i="1"/>
  <c r="X377" i="1"/>
  <c r="T378" i="1"/>
  <c r="AB378" i="1"/>
  <c r="X379" i="1"/>
  <c r="T380" i="1"/>
  <c r="AB380" i="1"/>
  <c r="X381" i="1"/>
  <c r="T382" i="1"/>
  <c r="AB382" i="1"/>
  <c r="X383" i="1"/>
  <c r="T384" i="1"/>
  <c r="AB384" i="1"/>
  <c r="X385" i="1"/>
  <c r="T386" i="1"/>
  <c r="AB386" i="1"/>
  <c r="X387" i="1"/>
  <c r="T388" i="1"/>
  <c r="AB388" i="1"/>
  <c r="X389" i="1"/>
  <c r="T390" i="1"/>
  <c r="AB390" i="1"/>
  <c r="X391" i="1"/>
  <c r="T392" i="1"/>
  <c r="AB392" i="1"/>
  <c r="X393" i="1"/>
  <c r="T394" i="1"/>
  <c r="AB394" i="1"/>
  <c r="X395" i="1"/>
  <c r="T396" i="1"/>
  <c r="AB396" i="1"/>
  <c r="X397" i="1"/>
  <c r="T398" i="1"/>
  <c r="AB398" i="1"/>
  <c r="X399" i="1"/>
  <c r="T400" i="1"/>
  <c r="AB400" i="1"/>
  <c r="X401" i="1"/>
  <c r="T402" i="1"/>
  <c r="AB402" i="1"/>
  <c r="X403" i="1"/>
  <c r="S162" i="1"/>
  <c r="AC206" i="1"/>
  <c r="S221" i="1"/>
  <c r="U248" i="1"/>
  <c r="W253" i="1"/>
  <c r="AC255" i="1"/>
  <c r="W261" i="1"/>
  <c r="S264" i="1"/>
  <c r="S269" i="1"/>
  <c r="U271" i="1"/>
  <c r="V273" i="1"/>
  <c r="W275" i="1"/>
  <c r="V277" i="1"/>
  <c r="W279" i="1"/>
  <c r="W283" i="1"/>
  <c r="S293" i="1"/>
  <c r="S296" i="1"/>
  <c r="T297" i="1"/>
  <c r="AD301" i="1"/>
  <c r="S303" i="1"/>
  <c r="W304" i="1"/>
  <c r="U305" i="1"/>
  <c r="V306" i="1"/>
  <c r="T307" i="1"/>
  <c r="S308" i="1"/>
  <c r="AD308" i="1"/>
  <c r="AB309" i="1"/>
  <c r="W311" i="1"/>
  <c r="U312" i="1"/>
  <c r="AD312" i="1"/>
  <c r="X314" i="1"/>
  <c r="U315" i="1"/>
  <c r="AD315" i="1"/>
  <c r="V318" i="1"/>
  <c r="S319" i="1"/>
  <c r="AB319" i="1"/>
  <c r="V321" i="1"/>
  <c r="S322" i="1"/>
  <c r="AC322" i="1"/>
  <c r="W324" i="1"/>
  <c r="T325" i="1"/>
  <c r="AC325" i="1"/>
  <c r="W327" i="1"/>
  <c r="U328" i="1"/>
  <c r="AD328" i="1"/>
  <c r="X330" i="1"/>
  <c r="U331" i="1"/>
  <c r="AD331" i="1"/>
  <c r="V334" i="1"/>
  <c r="S335" i="1"/>
  <c r="AB335" i="1"/>
  <c r="V337" i="1"/>
  <c r="S338" i="1"/>
  <c r="AC338" i="1"/>
  <c r="W340" i="1"/>
  <c r="T341" i="1"/>
  <c r="AC341" i="1"/>
  <c r="W343" i="1"/>
  <c r="U344" i="1"/>
  <c r="AD344" i="1"/>
  <c r="X346" i="1"/>
  <c r="U347" i="1"/>
  <c r="AD347" i="1"/>
  <c r="X171" i="1"/>
  <c r="AC195" i="1"/>
  <c r="W210" i="1"/>
  <c r="V239" i="1"/>
  <c r="X259" i="1"/>
  <c r="AD261" i="1"/>
  <c r="AB264" i="1"/>
  <c r="U267" i="1"/>
  <c r="AB271" i="1"/>
  <c r="AC273" i="1"/>
  <c r="AB275" i="1"/>
  <c r="AC277" i="1"/>
  <c r="AD279" i="1"/>
  <c r="AC281" i="1"/>
  <c r="AD283" i="1"/>
  <c r="S286" i="1"/>
  <c r="AD287" i="1"/>
  <c r="S290" i="1"/>
  <c r="AB291" i="1"/>
  <c r="V293" i="1"/>
  <c r="AC294" i="1"/>
  <c r="W296" i="1"/>
  <c r="AB299" i="1"/>
  <c r="AD300" i="1"/>
  <c r="U302" i="1"/>
  <c r="X306" i="1"/>
  <c r="W307" i="1"/>
  <c r="V308" i="1"/>
  <c r="T309" i="1"/>
  <c r="S310" i="1"/>
  <c r="AC310" i="1"/>
  <c r="W312" i="1"/>
  <c r="T313" i="1"/>
  <c r="AC313" i="1"/>
  <c r="W315" i="1"/>
  <c r="U316" i="1"/>
  <c r="AD316" i="1"/>
  <c r="X318" i="1"/>
  <c r="U319" i="1"/>
  <c r="AD319" i="1"/>
  <c r="V322" i="1"/>
  <c r="S323" i="1"/>
  <c r="AB323" i="1"/>
  <c r="V325" i="1"/>
  <c r="S326" i="1"/>
  <c r="AC326" i="1"/>
  <c r="W328" i="1"/>
  <c r="T329" i="1"/>
  <c r="AC329" i="1"/>
  <c r="W331" i="1"/>
  <c r="U332" i="1"/>
  <c r="AD332" i="1"/>
  <c r="X334" i="1"/>
  <c r="U335" i="1"/>
  <c r="AD335" i="1"/>
  <c r="V338" i="1"/>
  <c r="S339" i="1"/>
  <c r="AB339" i="1"/>
  <c r="V341" i="1"/>
  <c r="S342" i="1"/>
  <c r="AC342" i="1"/>
  <c r="W344" i="1"/>
  <c r="T345" i="1"/>
  <c r="AC345" i="1"/>
  <c r="W347" i="1"/>
  <c r="U348" i="1"/>
  <c r="AD348" i="1"/>
  <c r="X350" i="1"/>
  <c r="U351" i="1"/>
  <c r="AD351" i="1"/>
  <c r="V354" i="1"/>
  <c r="S355" i="1"/>
  <c r="AB355" i="1"/>
  <c r="V357" i="1"/>
  <c r="S358" i="1"/>
  <c r="AC358" i="1"/>
  <c r="W360" i="1"/>
  <c r="T361" i="1"/>
  <c r="AB361" i="1"/>
  <c r="X362" i="1"/>
  <c r="T363" i="1"/>
  <c r="AB363" i="1"/>
  <c r="X364" i="1"/>
  <c r="T365" i="1"/>
  <c r="AB365" i="1"/>
  <c r="X366" i="1"/>
  <c r="T367" i="1"/>
  <c r="AB367" i="1"/>
  <c r="X368" i="1"/>
  <c r="T369" i="1"/>
  <c r="AB369" i="1"/>
  <c r="X370" i="1"/>
  <c r="T371" i="1"/>
  <c r="AB371" i="1"/>
  <c r="X372" i="1"/>
  <c r="T373" i="1"/>
  <c r="AB373" i="1"/>
  <c r="X374" i="1"/>
  <c r="T375" i="1"/>
  <c r="AB375" i="1"/>
  <c r="X376" i="1"/>
  <c r="T377" i="1"/>
  <c r="AB377" i="1"/>
  <c r="X378" i="1"/>
  <c r="T379" i="1"/>
  <c r="AB379" i="1"/>
  <c r="X380" i="1"/>
  <c r="T381" i="1"/>
  <c r="AB381" i="1"/>
  <c r="X382" i="1"/>
  <c r="T383" i="1"/>
  <c r="AB383" i="1"/>
  <c r="X384" i="1"/>
  <c r="T385" i="1"/>
  <c r="AB385" i="1"/>
  <c r="X386" i="1"/>
  <c r="T387" i="1"/>
  <c r="AB387" i="1"/>
  <c r="X388" i="1"/>
  <c r="T389" i="1"/>
  <c r="AB389" i="1"/>
  <c r="X390" i="1"/>
  <c r="T391" i="1"/>
  <c r="AB391" i="1"/>
  <c r="X392" i="1"/>
  <c r="T393" i="1"/>
  <c r="AB393" i="1"/>
  <c r="X394" i="1"/>
  <c r="T395" i="1"/>
  <c r="AB395" i="1"/>
  <c r="X396" i="1"/>
  <c r="T397" i="1"/>
  <c r="AB397" i="1"/>
  <c r="X398" i="1"/>
  <c r="T399" i="1"/>
  <c r="AB399" i="1"/>
  <c r="X400" i="1"/>
  <c r="T401" i="1"/>
  <c r="AB401" i="1"/>
  <c r="X402" i="1"/>
  <c r="T403" i="1"/>
  <c r="AB403" i="1"/>
  <c r="X404" i="1"/>
  <c r="T405" i="1"/>
  <c r="AB405" i="1"/>
  <c r="X406" i="1"/>
  <c r="T407" i="1"/>
  <c r="AB407" i="1"/>
  <c r="X408" i="1"/>
  <c r="T409" i="1"/>
  <c r="AB409" i="1"/>
  <c r="X410" i="1"/>
  <c r="T411" i="1"/>
  <c r="AB411" i="1"/>
  <c r="X175" i="1"/>
  <c r="AD197" i="1"/>
  <c r="U212" i="1"/>
  <c r="W226" i="1"/>
  <c r="AB240" i="1"/>
  <c r="V254" i="1"/>
  <c r="AB256" i="1"/>
  <c r="AD264" i="1"/>
  <c r="AC269" i="1"/>
  <c r="AD271" i="1"/>
  <c r="S274" i="1"/>
  <c r="U276" i="1"/>
  <c r="S278" i="1"/>
  <c r="U280" i="1"/>
  <c r="V282" i="1"/>
  <c r="U284" i="1"/>
  <c r="V286" i="1"/>
  <c r="W288" i="1"/>
  <c r="V290" i="1"/>
  <c r="U292" i="1"/>
  <c r="U295" i="1"/>
  <c r="S299" i="1"/>
  <c r="AC299" i="1"/>
  <c r="U301" i="1"/>
  <c r="V302" i="1"/>
  <c r="W308" i="1"/>
  <c r="U309" i="1"/>
  <c r="U310" i="1"/>
  <c r="AD310" i="1"/>
  <c r="X312" i="1"/>
  <c r="U313" i="1"/>
  <c r="AD313" i="1"/>
  <c r="V316" i="1"/>
  <c r="S317" i="1"/>
  <c r="AB317" i="1"/>
  <c r="V319" i="1"/>
  <c r="S320" i="1"/>
  <c r="AC320" i="1"/>
  <c r="W322" i="1"/>
  <c r="T323" i="1"/>
  <c r="AC323" i="1"/>
  <c r="W325" i="1"/>
  <c r="U326" i="1"/>
  <c r="AD326" i="1"/>
  <c r="X328" i="1"/>
  <c r="U329" i="1"/>
  <c r="AD329" i="1"/>
  <c r="V332" i="1"/>
  <c r="S333" i="1"/>
  <c r="AB333" i="1"/>
  <c r="V335" i="1"/>
  <c r="S336" i="1"/>
  <c r="AC336" i="1"/>
  <c r="W338" i="1"/>
  <c r="T339" i="1"/>
  <c r="AC339" i="1"/>
  <c r="W341" i="1"/>
  <c r="U342" i="1"/>
  <c r="AD342" i="1"/>
  <c r="X344" i="1"/>
  <c r="U345" i="1"/>
  <c r="AD345" i="1"/>
  <c r="V348" i="1"/>
  <c r="S349" i="1"/>
  <c r="AB349" i="1"/>
  <c r="V351" i="1"/>
  <c r="S352" i="1"/>
  <c r="AC352" i="1"/>
  <c r="AD213" i="1"/>
  <c r="U228" i="1"/>
  <c r="V242" i="1"/>
  <c r="V251" i="1"/>
  <c r="W257" i="1"/>
  <c r="AC259" i="1"/>
  <c r="U270" i="1"/>
  <c r="W272" i="1"/>
  <c r="V274" i="1"/>
  <c r="W276" i="1"/>
  <c r="X278" i="1"/>
  <c r="W280" i="1"/>
  <c r="X282" i="1"/>
  <c r="X286" i="1"/>
  <c r="V292" i="1"/>
  <c r="AB293" i="1"/>
  <c r="V295" i="1"/>
  <c r="AC297" i="1"/>
  <c r="T299" i="1"/>
  <c r="AD299" i="1"/>
  <c r="V301" i="1"/>
  <c r="X302" i="1"/>
  <c r="AB305" i="1"/>
  <c r="X308" i="1"/>
  <c r="W309" i="1"/>
  <c r="V310" i="1"/>
  <c r="S311" i="1"/>
  <c r="AB311" i="1"/>
  <c r="V313" i="1"/>
  <c r="S314" i="1"/>
  <c r="AC314" i="1"/>
  <c r="W316" i="1"/>
  <c r="T317" i="1"/>
  <c r="AC317" i="1"/>
  <c r="W319" i="1"/>
  <c r="U320" i="1"/>
  <c r="AD320" i="1"/>
  <c r="X322" i="1"/>
  <c r="U323" i="1"/>
  <c r="AD323" i="1"/>
  <c r="V326" i="1"/>
  <c r="S327" i="1"/>
  <c r="AB327" i="1"/>
  <c r="V329" i="1"/>
  <c r="S330" i="1"/>
  <c r="AC330" i="1"/>
  <c r="W332" i="1"/>
  <c r="T333" i="1"/>
  <c r="AC333" i="1"/>
  <c r="W335" i="1"/>
  <c r="U336" i="1"/>
  <c r="AD336" i="1"/>
  <c r="X338" i="1"/>
  <c r="U339" i="1"/>
  <c r="AD339" i="1"/>
  <c r="V342" i="1"/>
  <c r="S343" i="1"/>
  <c r="AB343" i="1"/>
  <c r="V345" i="1"/>
  <c r="S346" i="1"/>
  <c r="AC346" i="1"/>
  <c r="W348" i="1"/>
  <c r="T349" i="1"/>
  <c r="AC349" i="1"/>
  <c r="W351" i="1"/>
  <c r="U352" i="1"/>
  <c r="AD352" i="1"/>
  <c r="X354" i="1"/>
  <c r="U355" i="1"/>
  <c r="AD355" i="1"/>
  <c r="V358" i="1"/>
  <c r="S359" i="1"/>
  <c r="AB359" i="1"/>
  <c r="V361" i="1"/>
  <c r="AD361" i="1"/>
  <c r="V363" i="1"/>
  <c r="AD363" i="1"/>
  <c r="S155" i="1"/>
  <c r="AC246" i="1"/>
  <c r="W264" i="1"/>
  <c r="S271" i="1"/>
  <c r="U287" i="1"/>
  <c r="W292" i="1"/>
  <c r="U296" i="1"/>
  <c r="S307" i="1"/>
  <c r="V311" i="1"/>
  <c r="W314" i="1"/>
  <c r="X316" i="1"/>
  <c r="W318" i="1"/>
  <c r="X320" i="1"/>
  <c r="X324" i="1"/>
  <c r="AC340" i="1"/>
  <c r="AC344" i="1"/>
  <c r="AD346" i="1"/>
  <c r="AC348" i="1"/>
  <c r="V352" i="1"/>
  <c r="AB353" i="1"/>
  <c r="AD354" i="1"/>
  <c r="V356" i="1"/>
  <c r="W357" i="1"/>
  <c r="AC359" i="1"/>
  <c r="S361" i="1"/>
  <c r="U362" i="1"/>
  <c r="U363" i="1"/>
  <c r="V364" i="1"/>
  <c r="V365" i="1"/>
  <c r="U366" i="1"/>
  <c r="S367" i="1"/>
  <c r="AD367" i="1"/>
  <c r="AC368" i="1"/>
  <c r="W372" i="1"/>
  <c r="V373" i="1"/>
  <c r="U374" i="1"/>
  <c r="S375" i="1"/>
  <c r="AD375" i="1"/>
  <c r="AC376" i="1"/>
  <c r="W380" i="1"/>
  <c r="V381" i="1"/>
  <c r="U382" i="1"/>
  <c r="S383" i="1"/>
  <c r="AD383" i="1"/>
  <c r="AC384" i="1"/>
  <c r="X167" i="1"/>
  <c r="V219" i="1"/>
  <c r="AD248" i="1"/>
  <c r="V258" i="1"/>
  <c r="T277" i="1"/>
  <c r="AB287" i="1"/>
  <c r="AD292" i="1"/>
  <c r="AD304" i="1"/>
  <c r="U307" i="1"/>
  <c r="AC324" i="1"/>
  <c r="AC328" i="1"/>
  <c r="AD330" i="1"/>
  <c r="AC332" i="1"/>
  <c r="AD334" i="1"/>
  <c r="S337" i="1"/>
  <c r="AD338" i="1"/>
  <c r="S341" i="1"/>
  <c r="T343" i="1"/>
  <c r="S345" i="1"/>
  <c r="T347" i="1"/>
  <c r="U349" i="1"/>
  <c r="AD350" i="1"/>
  <c r="X352" i="1"/>
  <c r="AD353" i="1"/>
  <c r="T355" i="1"/>
  <c r="W356" i="1"/>
  <c r="S360" i="1"/>
  <c r="U361" i="1"/>
  <c r="V362" i="1"/>
  <c r="W363" i="1"/>
  <c r="W364" i="1"/>
  <c r="W365" i="1"/>
  <c r="V366" i="1"/>
  <c r="U367" i="1"/>
  <c r="S368" i="1"/>
  <c r="AD368" i="1"/>
  <c r="AC369" i="1"/>
  <c r="W373" i="1"/>
  <c r="V374" i="1"/>
  <c r="U375" i="1"/>
  <c r="S376" i="1"/>
  <c r="AD376" i="1"/>
  <c r="AC377" i="1"/>
  <c r="W381" i="1"/>
  <c r="V382" i="1"/>
  <c r="U383" i="1"/>
  <c r="S384" i="1"/>
  <c r="AD384" i="1"/>
  <c r="AC385" i="1"/>
  <c r="AC222" i="1"/>
  <c r="S252" i="1"/>
  <c r="AC258" i="1"/>
  <c r="W266" i="1"/>
  <c r="U283" i="1"/>
  <c r="T293" i="1"/>
  <c r="W301" i="1"/>
  <c r="T305" i="1"/>
  <c r="AC309" i="1"/>
  <c r="AC312" i="1"/>
  <c r="AD314" i="1"/>
  <c r="AC316" i="1"/>
  <c r="AD318" i="1"/>
  <c r="S321" i="1"/>
  <c r="AD322" i="1"/>
  <c r="S325" i="1"/>
  <c r="T327" i="1"/>
  <c r="S329" i="1"/>
  <c r="T331" i="1"/>
  <c r="U333" i="1"/>
  <c r="T335" i="1"/>
  <c r="U337" i="1"/>
  <c r="V339" i="1"/>
  <c r="U341" i="1"/>
  <c r="V343" i="1"/>
  <c r="W345" i="1"/>
  <c r="V347" i="1"/>
  <c r="W349" i="1"/>
  <c r="S351" i="1"/>
  <c r="S354" i="1"/>
  <c r="V355" i="1"/>
  <c r="X356" i="1"/>
  <c r="AB357" i="1"/>
  <c r="AD358" i="1"/>
  <c r="U360" i="1"/>
  <c r="W361" i="1"/>
  <c r="W362" i="1"/>
  <c r="W366" i="1"/>
  <c r="V367" i="1"/>
  <c r="U368" i="1"/>
  <c r="S369" i="1"/>
  <c r="AD369" i="1"/>
  <c r="AC370" i="1"/>
  <c r="W374" i="1"/>
  <c r="V375" i="1"/>
  <c r="U376" i="1"/>
  <c r="S377" i="1"/>
  <c r="AD377" i="1"/>
  <c r="AC378" i="1"/>
  <c r="W382" i="1"/>
  <c r="V383" i="1"/>
  <c r="U384" i="1"/>
  <c r="S385" i="1"/>
  <c r="AD385" i="1"/>
  <c r="AC386" i="1"/>
  <c r="W390" i="1"/>
  <c r="V391" i="1"/>
  <c r="U392" i="1"/>
  <c r="S393" i="1"/>
  <c r="AD393" i="1"/>
  <c r="AC394" i="1"/>
  <c r="W398" i="1"/>
  <c r="V399" i="1"/>
  <c r="U400" i="1"/>
  <c r="S401" i="1"/>
  <c r="AD401" i="1"/>
  <c r="AC402" i="1"/>
  <c r="V405" i="1"/>
  <c r="S406" i="1"/>
  <c r="AB406" i="1"/>
  <c r="V408" i="1"/>
  <c r="S409" i="1"/>
  <c r="AC409" i="1"/>
  <c r="W411" i="1"/>
  <c r="T412" i="1"/>
  <c r="AB412" i="1"/>
  <c r="X413" i="1"/>
  <c r="T414" i="1"/>
  <c r="AB414" i="1"/>
  <c r="X415" i="1"/>
  <c r="T416" i="1"/>
  <c r="AB416" i="1"/>
  <c r="X417" i="1"/>
  <c r="T418" i="1"/>
  <c r="AB418" i="1"/>
  <c r="X419" i="1"/>
  <c r="T420" i="1"/>
  <c r="AB420" i="1"/>
  <c r="X421" i="1"/>
  <c r="T422" i="1"/>
  <c r="AB422" i="1"/>
  <c r="X423" i="1"/>
  <c r="T424" i="1"/>
  <c r="AB424" i="1"/>
  <c r="X425" i="1"/>
  <c r="T426" i="1"/>
  <c r="AB426" i="1"/>
  <c r="X427" i="1"/>
  <c r="T428" i="1"/>
  <c r="AB428" i="1"/>
  <c r="X429" i="1"/>
  <c r="T430" i="1"/>
  <c r="AB430" i="1"/>
  <c r="X431" i="1"/>
  <c r="T432" i="1"/>
  <c r="AB432" i="1"/>
  <c r="X433" i="1"/>
  <c r="T434" i="1"/>
  <c r="AB434" i="1"/>
  <c r="X435" i="1"/>
  <c r="T436" i="1"/>
  <c r="AB436" i="1"/>
  <c r="X437" i="1"/>
  <c r="T438" i="1"/>
  <c r="AB438" i="1"/>
  <c r="X439" i="1"/>
  <c r="T440" i="1"/>
  <c r="AB440" i="1"/>
  <c r="X441" i="1"/>
  <c r="T442" i="1"/>
  <c r="AB442" i="1"/>
  <c r="X443" i="1"/>
  <c r="T444" i="1"/>
  <c r="AB444" i="1"/>
  <c r="X445" i="1"/>
  <c r="T446" i="1"/>
  <c r="AB446" i="1"/>
  <c r="X447" i="1"/>
  <c r="T448" i="1"/>
  <c r="AB448" i="1"/>
  <c r="X449" i="1"/>
  <c r="T450" i="1"/>
  <c r="AB450" i="1"/>
  <c r="X451" i="1"/>
  <c r="T452" i="1"/>
  <c r="AB452" i="1"/>
  <c r="X453" i="1"/>
  <c r="T454" i="1"/>
  <c r="AB454" i="1"/>
  <c r="X455" i="1"/>
  <c r="T456" i="1"/>
  <c r="AB456" i="1"/>
  <c r="X457" i="1"/>
  <c r="T458" i="1"/>
  <c r="AB458" i="1"/>
  <c r="X459" i="1"/>
  <c r="T460" i="1"/>
  <c r="AB460" i="1"/>
  <c r="X461" i="1"/>
  <c r="T462" i="1"/>
  <c r="AB462" i="1"/>
  <c r="X463" i="1"/>
  <c r="T464" i="1"/>
  <c r="AB464" i="1"/>
  <c r="X465" i="1"/>
  <c r="T466" i="1"/>
  <c r="AB466" i="1"/>
  <c r="X467" i="1"/>
  <c r="T468" i="1"/>
  <c r="AB468" i="1"/>
  <c r="X469" i="1"/>
  <c r="T470" i="1"/>
  <c r="AB470" i="1"/>
  <c r="X471" i="1"/>
  <c r="T472" i="1"/>
  <c r="AB472" i="1"/>
  <c r="X473" i="1"/>
  <c r="T474" i="1"/>
  <c r="AB474" i="1"/>
  <c r="X475" i="1"/>
  <c r="T476" i="1"/>
  <c r="AB476" i="1"/>
  <c r="X477" i="1"/>
  <c r="T478" i="1"/>
  <c r="AB478" i="1"/>
  <c r="X479" i="1"/>
  <c r="T480" i="1"/>
  <c r="AB480" i="1"/>
  <c r="X481" i="1"/>
  <c r="T482" i="1"/>
  <c r="AB482" i="1"/>
  <c r="X483" i="1"/>
  <c r="T484" i="1"/>
  <c r="AB484" i="1"/>
  <c r="X485" i="1"/>
  <c r="T486" i="1"/>
  <c r="AB486" i="1"/>
  <c r="X487" i="1"/>
  <c r="T488" i="1"/>
  <c r="AB488" i="1"/>
  <c r="X489" i="1"/>
  <c r="T490" i="1"/>
  <c r="AB490" i="1"/>
  <c r="X491" i="1"/>
  <c r="T492" i="1"/>
  <c r="AB492" i="1"/>
  <c r="X493" i="1"/>
  <c r="T494" i="1"/>
  <c r="AB494" i="1"/>
  <c r="X495" i="1"/>
  <c r="T496" i="1"/>
  <c r="AB496" i="1"/>
  <c r="X497" i="1"/>
  <c r="T498" i="1"/>
  <c r="AB498" i="1"/>
  <c r="X499" i="1"/>
  <c r="T500" i="1"/>
  <c r="AB500" i="1"/>
  <c r="X501" i="1"/>
  <c r="T502" i="1"/>
  <c r="AB502" i="1"/>
  <c r="X503" i="1"/>
  <c r="T504" i="1"/>
  <c r="AB504" i="1"/>
  <c r="X505" i="1"/>
  <c r="T506" i="1"/>
  <c r="AB506" i="1"/>
  <c r="X507" i="1"/>
  <c r="T508" i="1"/>
  <c r="AB508" i="1"/>
  <c r="X509" i="1"/>
  <c r="T510" i="1"/>
  <c r="AB510" i="1"/>
  <c r="X511" i="1"/>
  <c r="T512" i="1"/>
  <c r="AB512" i="1"/>
  <c r="X513" i="1"/>
  <c r="T514" i="1"/>
  <c r="AB514" i="1"/>
  <c r="X515" i="1"/>
  <c r="T516" i="1"/>
  <c r="AB516" i="1"/>
  <c r="X517" i="1"/>
  <c r="T518" i="1"/>
  <c r="AB518" i="1"/>
  <c r="X519" i="1"/>
  <c r="T520" i="1"/>
  <c r="AB520" i="1"/>
  <c r="X521" i="1"/>
  <c r="T522" i="1"/>
  <c r="AB522" i="1"/>
  <c r="X523" i="1"/>
  <c r="T524" i="1"/>
  <c r="AB524" i="1"/>
  <c r="X525" i="1"/>
  <c r="T526" i="1"/>
  <c r="AB526" i="1"/>
  <c r="X527" i="1"/>
  <c r="T528" i="1"/>
  <c r="AB528" i="1"/>
  <c r="X529" i="1"/>
  <c r="AD260" i="1"/>
  <c r="U268" i="1"/>
  <c r="U279" i="1"/>
  <c r="AC289" i="1"/>
  <c r="X294" i="1"/>
  <c r="AD296" i="1"/>
  <c r="S302" i="1"/>
  <c r="V304" i="1"/>
  <c r="AC305" i="1"/>
  <c r="U308" i="1"/>
  <c r="AC311" i="1"/>
  <c r="W313" i="1"/>
  <c r="V315" i="1"/>
  <c r="W317" i="1"/>
  <c r="W321" i="1"/>
  <c r="AB337" i="1"/>
  <c r="AB341" i="1"/>
  <c r="AC343" i="1"/>
  <c r="AB345" i="1"/>
  <c r="AC347" i="1"/>
  <c r="AD349" i="1"/>
  <c r="S353" i="1"/>
  <c r="W354" i="1"/>
  <c r="AC356" i="1"/>
  <c r="AD357" i="1"/>
  <c r="V359" i="1"/>
  <c r="X360" i="1"/>
  <c r="AC364" i="1"/>
  <c r="W368" i="1"/>
  <c r="V369" i="1"/>
  <c r="U370" i="1"/>
  <c r="S371" i="1"/>
  <c r="AD371" i="1"/>
  <c r="AC372" i="1"/>
  <c r="AC254" i="1"/>
  <c r="V285" i="1"/>
  <c r="AC290" i="1"/>
  <c r="X304" i="1"/>
  <c r="U306" i="1"/>
  <c r="S312" i="1"/>
  <c r="AB321" i="1"/>
  <c r="AB325" i="1"/>
  <c r="AC327" i="1"/>
  <c r="AB329" i="1"/>
  <c r="AC331" i="1"/>
  <c r="AD333" i="1"/>
  <c r="AC335" i="1"/>
  <c r="AD337" i="1"/>
  <c r="S340" i="1"/>
  <c r="AD341" i="1"/>
  <c r="S344" i="1"/>
  <c r="U346" i="1"/>
  <c r="S348" i="1"/>
  <c r="U350" i="1"/>
  <c r="U353" i="1"/>
  <c r="S357" i="1"/>
  <c r="U358" i="1"/>
  <c r="W359" i="1"/>
  <c r="AC362" i="1"/>
  <c r="AC363" i="1"/>
  <c r="AD364" i="1"/>
  <c r="AC365" i="1"/>
  <c r="W369" i="1"/>
  <c r="V370" i="1"/>
  <c r="U371" i="1"/>
  <c r="S372" i="1"/>
  <c r="AD372" i="1"/>
  <c r="AC373" i="1"/>
  <c r="S205" i="1"/>
  <c r="AC262" i="1"/>
  <c r="U269" i="1"/>
  <c r="S275" i="1"/>
  <c r="W291" i="1"/>
  <c r="W295" i="1"/>
  <c r="V298" i="1"/>
  <c r="AD302" i="1"/>
  <c r="W306" i="1"/>
  <c r="AC308" i="1"/>
  <c r="V312" i="1"/>
  <c r="AB313" i="1"/>
  <c r="AC315" i="1"/>
  <c r="AD317" i="1"/>
  <c r="AC319" i="1"/>
  <c r="AD321" i="1"/>
  <c r="S324" i="1"/>
  <c r="AD325" i="1"/>
  <c r="S328" i="1"/>
  <c r="U330" i="1"/>
  <c r="S332" i="1"/>
  <c r="U334" i="1"/>
  <c r="V336" i="1"/>
  <c r="U338" i="1"/>
  <c r="V340" i="1"/>
  <c r="W342" i="1"/>
  <c r="V344" i="1"/>
  <c r="W346" i="1"/>
  <c r="X348" i="1"/>
  <c r="V350" i="1"/>
  <c r="AB351" i="1"/>
  <c r="V353" i="1"/>
  <c r="AC355" i="1"/>
  <c r="T357" i="1"/>
  <c r="W358" i="1"/>
  <c r="AC360" i="1"/>
  <c r="AC361" i="1"/>
  <c r="AD362" i="1"/>
  <c r="S364" i="1"/>
  <c r="S365" i="1"/>
  <c r="AD365" i="1"/>
  <c r="AC366" i="1"/>
  <c r="W370" i="1"/>
  <c r="V371" i="1"/>
  <c r="U372" i="1"/>
  <c r="S373" i="1"/>
  <c r="AD373" i="1"/>
  <c r="AC374" i="1"/>
  <c r="W378" i="1"/>
  <c r="V379" i="1"/>
  <c r="U380" i="1"/>
  <c r="S381" i="1"/>
  <c r="AD381" i="1"/>
  <c r="AC382" i="1"/>
  <c r="W386" i="1"/>
  <c r="V387" i="1"/>
  <c r="U388" i="1"/>
  <c r="S389" i="1"/>
  <c r="AD389" i="1"/>
  <c r="AC390" i="1"/>
  <c r="W394" i="1"/>
  <c r="V395" i="1"/>
  <c r="U396" i="1"/>
  <c r="S397" i="1"/>
  <c r="AD397" i="1"/>
  <c r="AC398" i="1"/>
  <c r="W402" i="1"/>
  <c r="V403" i="1"/>
  <c r="T404" i="1"/>
  <c r="AC404" i="1"/>
  <c r="W406" i="1"/>
  <c r="U407" i="1"/>
  <c r="AD407" i="1"/>
  <c r="X409" i="1"/>
  <c r="U410" i="1"/>
  <c r="AD410" i="1"/>
  <c r="X412" i="1"/>
  <c r="T413" i="1"/>
  <c r="AB413" i="1"/>
  <c r="X414" i="1"/>
  <c r="T415" i="1"/>
  <c r="AB415" i="1"/>
  <c r="X416" i="1"/>
  <c r="T417" i="1"/>
  <c r="AB417" i="1"/>
  <c r="X418" i="1"/>
  <c r="T419" i="1"/>
  <c r="AB419" i="1"/>
  <c r="X420" i="1"/>
  <c r="T421" i="1"/>
  <c r="AB421" i="1"/>
  <c r="X422" i="1"/>
  <c r="T423" i="1"/>
  <c r="AB423" i="1"/>
  <c r="X424" i="1"/>
  <c r="T425" i="1"/>
  <c r="AB425" i="1"/>
  <c r="X426" i="1"/>
  <c r="T427" i="1"/>
  <c r="AB427" i="1"/>
  <c r="X428" i="1"/>
  <c r="T429" i="1"/>
  <c r="AB429" i="1"/>
  <c r="X430" i="1"/>
  <c r="T431" i="1"/>
  <c r="AB431" i="1"/>
  <c r="X432" i="1"/>
  <c r="T433" i="1"/>
  <c r="AB433" i="1"/>
  <c r="X434" i="1"/>
  <c r="T435" i="1"/>
  <c r="AB435" i="1"/>
  <c r="X436" i="1"/>
  <c r="T437" i="1"/>
  <c r="AB437" i="1"/>
  <c r="X438" i="1"/>
  <c r="T439" i="1"/>
  <c r="AB439" i="1"/>
  <c r="X440" i="1"/>
  <c r="T441" i="1"/>
  <c r="AB441" i="1"/>
  <c r="X442" i="1"/>
  <c r="T443" i="1"/>
  <c r="AB443" i="1"/>
  <c r="X444" i="1"/>
  <c r="T445" i="1"/>
  <c r="AB445" i="1"/>
  <c r="X446" i="1"/>
  <c r="T447" i="1"/>
  <c r="AB447" i="1"/>
  <c r="X448" i="1"/>
  <c r="T449" i="1"/>
  <c r="AB449" i="1"/>
  <c r="X450" i="1"/>
  <c r="T451" i="1"/>
  <c r="AB451" i="1"/>
  <c r="X452" i="1"/>
  <c r="T453" i="1"/>
  <c r="AB453" i="1"/>
  <c r="X454" i="1"/>
  <c r="T455" i="1"/>
  <c r="AB455" i="1"/>
  <c r="X456" i="1"/>
  <c r="T457" i="1"/>
  <c r="AB457" i="1"/>
  <c r="X458" i="1"/>
  <c r="T459" i="1"/>
  <c r="V116" i="1"/>
  <c r="AB252" i="1"/>
  <c r="S309" i="1"/>
  <c r="U317" i="1"/>
  <c r="U325" i="1"/>
  <c r="W333" i="1"/>
  <c r="V360" i="1"/>
  <c r="V368" i="1"/>
  <c r="AC371" i="1"/>
  <c r="AD374" i="1"/>
  <c r="U377" i="1"/>
  <c r="AD378" i="1"/>
  <c r="S382" i="1"/>
  <c r="AC383" i="1"/>
  <c r="U387" i="1"/>
  <c r="AC389" i="1"/>
  <c r="S391" i="1"/>
  <c r="V392" i="1"/>
  <c r="W393" i="1"/>
  <c r="AC395" i="1"/>
  <c r="AD396" i="1"/>
  <c r="U398" i="1"/>
  <c r="W399" i="1"/>
  <c r="AD402" i="1"/>
  <c r="S404" i="1"/>
  <c r="S405" i="1"/>
  <c r="T406" i="1"/>
  <c r="S407" i="1"/>
  <c r="T408" i="1"/>
  <c r="U409" i="1"/>
  <c r="T410" i="1"/>
  <c r="U411" i="1"/>
  <c r="U412" i="1"/>
  <c r="S413" i="1"/>
  <c r="AD413" i="1"/>
  <c r="AC414" i="1"/>
  <c r="W418" i="1"/>
  <c r="V419" i="1"/>
  <c r="U420" i="1"/>
  <c r="S421" i="1"/>
  <c r="AD421" i="1"/>
  <c r="AC422" i="1"/>
  <c r="W426" i="1"/>
  <c r="V427" i="1"/>
  <c r="U428" i="1"/>
  <c r="S429" i="1"/>
  <c r="AD429" i="1"/>
  <c r="AC430" i="1"/>
  <c r="W434" i="1"/>
  <c r="V435" i="1"/>
  <c r="U436" i="1"/>
  <c r="S437" i="1"/>
  <c r="AD437" i="1"/>
  <c r="AC438" i="1"/>
  <c r="W442" i="1"/>
  <c r="V443" i="1"/>
  <c r="U444" i="1"/>
  <c r="S445" i="1"/>
  <c r="AD445" i="1"/>
  <c r="AC446" i="1"/>
  <c r="W189" i="1"/>
  <c r="W256" i="1"/>
  <c r="T281" i="1"/>
  <c r="AB303" i="1"/>
  <c r="W310" i="1"/>
  <c r="U318" i="1"/>
  <c r="W326" i="1"/>
  <c r="W334" i="1"/>
  <c r="W350" i="1"/>
  <c r="S356" i="1"/>
  <c r="AD360" i="1"/>
  <c r="U365" i="1"/>
  <c r="V372" i="1"/>
  <c r="W375" i="1"/>
  <c r="V377" i="1"/>
  <c r="S379" i="1"/>
  <c r="AC380" i="1"/>
  <c r="V384" i="1"/>
  <c r="S386" i="1"/>
  <c r="W387" i="1"/>
  <c r="AC388" i="1"/>
  <c r="S390" i="1"/>
  <c r="U391" i="1"/>
  <c r="W392" i="1"/>
  <c r="AD395" i="1"/>
  <c r="U397" i="1"/>
  <c r="V398" i="1"/>
  <c r="AC401" i="1"/>
  <c r="S403" i="1"/>
  <c r="U404" i="1"/>
  <c r="U405" i="1"/>
  <c r="U406" i="1"/>
  <c r="V407" i="1"/>
  <c r="U408" i="1"/>
  <c r="V409" i="1"/>
  <c r="V410" i="1"/>
  <c r="V411" i="1"/>
  <c r="V412" i="1"/>
  <c r="U413" i="1"/>
  <c r="S414" i="1"/>
  <c r="AD414" i="1"/>
  <c r="AC415" i="1"/>
  <c r="W419" i="1"/>
  <c r="V420" i="1"/>
  <c r="U421" i="1"/>
  <c r="S422" i="1"/>
  <c r="AD422" i="1"/>
  <c r="AC423" i="1"/>
  <c r="W427" i="1"/>
  <c r="V428" i="1"/>
  <c r="U429" i="1"/>
  <c r="S430" i="1"/>
  <c r="AD430" i="1"/>
  <c r="AC431" i="1"/>
  <c r="W435" i="1"/>
  <c r="V436" i="1"/>
  <c r="U437" i="1"/>
  <c r="S438" i="1"/>
  <c r="AD438" i="1"/>
  <c r="AC439" i="1"/>
  <c r="W443" i="1"/>
  <c r="V444" i="1"/>
  <c r="U445" i="1"/>
  <c r="S446" i="1"/>
  <c r="AD446" i="1"/>
  <c r="AC447" i="1"/>
  <c r="W451" i="1"/>
  <c r="V452" i="1"/>
  <c r="U453" i="1"/>
  <c r="S454" i="1"/>
  <c r="AD454" i="1"/>
  <c r="AC455" i="1"/>
  <c r="W260" i="1"/>
  <c r="AB283" i="1"/>
  <c r="T319" i="1"/>
  <c r="V327" i="1"/>
  <c r="T351" i="1"/>
  <c r="U369" i="1"/>
  <c r="W377" i="1"/>
  <c r="U379" i="1"/>
  <c r="AD380" i="1"/>
  <c r="W384" i="1"/>
  <c r="U386" i="1"/>
  <c r="AD388" i="1"/>
  <c r="U390" i="1"/>
  <c r="W391" i="1"/>
  <c r="AD394" i="1"/>
  <c r="S396" i="1"/>
  <c r="V397" i="1"/>
  <c r="AC400" i="1"/>
  <c r="S402" i="1"/>
  <c r="U403" i="1"/>
  <c r="V404" i="1"/>
  <c r="W405" i="1"/>
  <c r="V406" i="1"/>
  <c r="W407" i="1"/>
  <c r="W408" i="1"/>
  <c r="W409" i="1"/>
  <c r="W410" i="1"/>
  <c r="X411" i="1"/>
  <c r="W412" i="1"/>
  <c r="V413" i="1"/>
  <c r="U414" i="1"/>
  <c r="S415" i="1"/>
  <c r="AD415" i="1"/>
  <c r="AC416" i="1"/>
  <c r="W420" i="1"/>
  <c r="V421" i="1"/>
  <c r="U422" i="1"/>
  <c r="S423" i="1"/>
  <c r="AD423" i="1"/>
  <c r="AC424" i="1"/>
  <c r="W428" i="1"/>
  <c r="V429" i="1"/>
  <c r="U430" i="1"/>
  <c r="S431" i="1"/>
  <c r="AD431" i="1"/>
  <c r="AC432" i="1"/>
  <c r="W436" i="1"/>
  <c r="V437" i="1"/>
  <c r="U438" i="1"/>
  <c r="S439" i="1"/>
  <c r="AD439" i="1"/>
  <c r="AC440" i="1"/>
  <c r="W444" i="1"/>
  <c r="V445" i="1"/>
  <c r="U446" i="1"/>
  <c r="S447" i="1"/>
  <c r="AD447" i="1"/>
  <c r="AC448" i="1"/>
  <c r="W452" i="1"/>
  <c r="AD229" i="1"/>
  <c r="V235" i="1"/>
  <c r="AC286" i="1"/>
  <c r="X298" i="1"/>
  <c r="U300" i="1"/>
  <c r="V320" i="1"/>
  <c r="V328" i="1"/>
  <c r="X336" i="1"/>
  <c r="AC351" i="1"/>
  <c r="U357" i="1"/>
  <c r="S362" i="1"/>
  <c r="S366" i="1"/>
  <c r="U373" i="1"/>
  <c r="AC375" i="1"/>
  <c r="W379" i="1"/>
  <c r="U381" i="1"/>
  <c r="V386" i="1"/>
  <c r="AC387" i="1"/>
  <c r="U389" i="1"/>
  <c r="V390" i="1"/>
  <c r="AC393" i="1"/>
  <c r="S395" i="1"/>
  <c r="V396" i="1"/>
  <c r="W397" i="1"/>
  <c r="AC399" i="1"/>
  <c r="AD400" i="1"/>
  <c r="U402" i="1"/>
  <c r="W403" i="1"/>
  <c r="W404" i="1"/>
  <c r="X405" i="1"/>
  <c r="X407" i="1"/>
  <c r="W413" i="1"/>
  <c r="V414" i="1"/>
  <c r="U415" i="1"/>
  <c r="S416" i="1"/>
  <c r="AD416" i="1"/>
  <c r="AC417" i="1"/>
  <c r="W421" i="1"/>
  <c r="V422" i="1"/>
  <c r="U423" i="1"/>
  <c r="S424" i="1"/>
  <c r="AD424" i="1"/>
  <c r="AC425" i="1"/>
  <c r="W429" i="1"/>
  <c r="V430" i="1"/>
  <c r="U431" i="1"/>
  <c r="S432" i="1"/>
  <c r="AD432" i="1"/>
  <c r="AC433" i="1"/>
  <c r="W437" i="1"/>
  <c r="V438" i="1"/>
  <c r="U439" i="1"/>
  <c r="S440" i="1"/>
  <c r="AD440" i="1"/>
  <c r="AC441" i="1"/>
  <c r="W445" i="1"/>
  <c r="V446" i="1"/>
  <c r="U447" i="1"/>
  <c r="S448" i="1"/>
  <c r="AD448" i="1"/>
  <c r="AC449" i="1"/>
  <c r="W270" i="1"/>
  <c r="U303" i="1"/>
  <c r="W305" i="1"/>
  <c r="T311" i="1"/>
  <c r="U314" i="1"/>
  <c r="U322" i="1"/>
  <c r="W330" i="1"/>
  <c r="W353" i="1"/>
  <c r="S363" i="1"/>
  <c r="AD366" i="1"/>
  <c r="S374" i="1"/>
  <c r="W376" i="1"/>
  <c r="U378" i="1"/>
  <c r="AD379" i="1"/>
  <c r="W383" i="1"/>
  <c r="U385" i="1"/>
  <c r="S388" i="1"/>
  <c r="W389" i="1"/>
  <c r="AC391" i="1"/>
  <c r="AD392" i="1"/>
  <c r="U394" i="1"/>
  <c r="W395" i="1"/>
  <c r="AD398" i="1"/>
  <c r="S400" i="1"/>
  <c r="V401" i="1"/>
  <c r="AB408" i="1"/>
  <c r="AB410" i="1"/>
  <c r="AC411" i="1"/>
  <c r="W415" i="1"/>
  <c r="V416" i="1"/>
  <c r="U417" i="1"/>
  <c r="S418" i="1"/>
  <c r="AD418" i="1"/>
  <c r="AC419" i="1"/>
  <c r="W423" i="1"/>
  <c r="V424" i="1"/>
  <c r="U425" i="1"/>
  <c r="S426" i="1"/>
  <c r="AD426" i="1"/>
  <c r="AC427" i="1"/>
  <c r="W431" i="1"/>
  <c r="V432" i="1"/>
  <c r="U433" i="1"/>
  <c r="S434" i="1"/>
  <c r="AD434" i="1"/>
  <c r="AC435" i="1"/>
  <c r="W439" i="1"/>
  <c r="V440" i="1"/>
  <c r="U441" i="1"/>
  <c r="S442" i="1"/>
  <c r="AD442" i="1"/>
  <c r="AC443" i="1"/>
  <c r="W447" i="1"/>
  <c r="V448" i="1"/>
  <c r="U449" i="1"/>
  <c r="S450" i="1"/>
  <c r="AD450" i="1"/>
  <c r="AC451" i="1"/>
  <c r="T273" i="1"/>
  <c r="AC293" i="1"/>
  <c r="AC306" i="1"/>
  <c r="T315" i="1"/>
  <c r="V323" i="1"/>
  <c r="V331" i="1"/>
  <c r="U354" i="1"/>
  <c r="T359" i="1"/>
  <c r="W367" i="1"/>
  <c r="AD370" i="1"/>
  <c r="V378" i="1"/>
  <c r="S380" i="1"/>
  <c r="V385" i="1"/>
  <c r="AD386" i="1"/>
  <c r="V388" i="1"/>
  <c r="AD391" i="1"/>
  <c r="U393" i="1"/>
  <c r="V394" i="1"/>
  <c r="AC397" i="1"/>
  <c r="S399" i="1"/>
  <c r="V400" i="1"/>
  <c r="W401" i="1"/>
  <c r="AC403" i="1"/>
  <c r="AB404" i="1"/>
  <c r="AC405" i="1"/>
  <c r="AC406" i="1"/>
  <c r="AC407" i="1"/>
  <c r="AC408" i="1"/>
  <c r="AD409" i="1"/>
  <c r="AC410" i="1"/>
  <c r="AD411" i="1"/>
  <c r="AC412" i="1"/>
  <c r="W416" i="1"/>
  <c r="V417" i="1"/>
  <c r="U418" i="1"/>
  <c r="S419" i="1"/>
  <c r="AD419" i="1"/>
  <c r="AC420" i="1"/>
  <c r="W424" i="1"/>
  <c r="V425" i="1"/>
  <c r="U426" i="1"/>
  <c r="S427" i="1"/>
  <c r="AD427" i="1"/>
  <c r="AC428" i="1"/>
  <c r="W432" i="1"/>
  <c r="V433" i="1"/>
  <c r="U434" i="1"/>
  <c r="S435" i="1"/>
  <c r="AD435" i="1"/>
  <c r="AC436" i="1"/>
  <c r="W440" i="1"/>
  <c r="V441" i="1"/>
  <c r="U442" i="1"/>
  <c r="S443" i="1"/>
  <c r="AD443" i="1"/>
  <c r="AC444" i="1"/>
  <c r="W448" i="1"/>
  <c r="V449" i="1"/>
  <c r="U450" i="1"/>
  <c r="S451" i="1"/>
  <c r="AD451" i="1"/>
  <c r="AC452" i="1"/>
  <c r="AD231" i="1"/>
  <c r="AC243" i="1"/>
  <c r="AD295" i="1"/>
  <c r="U299" i="1"/>
  <c r="AC307" i="1"/>
  <c r="S316" i="1"/>
  <c r="V324" i="1"/>
  <c r="X332" i="1"/>
  <c r="X340" i="1"/>
  <c r="AC354" i="1"/>
  <c r="U364" i="1"/>
  <c r="AC367" i="1"/>
  <c r="W371" i="1"/>
  <c r="V380" i="1"/>
  <c r="AC381" i="1"/>
  <c r="W385" i="1"/>
  <c r="S387" i="1"/>
  <c r="W388" i="1"/>
  <c r="AD390" i="1"/>
  <c r="S392" i="1"/>
  <c r="V393" i="1"/>
  <c r="AC396" i="1"/>
  <c r="S398" i="1"/>
  <c r="U399" i="1"/>
  <c r="W400" i="1"/>
  <c r="AD403" i="1"/>
  <c r="AD404" i="1"/>
  <c r="AD405" i="1"/>
  <c r="AD406" i="1"/>
  <c r="S408" i="1"/>
  <c r="AD408" i="1"/>
  <c r="S410" i="1"/>
  <c r="S411" i="1"/>
  <c r="S412" i="1"/>
  <c r="AD412" i="1"/>
  <c r="AC413" i="1"/>
  <c r="W417" i="1"/>
  <c r="V418" i="1"/>
  <c r="U419" i="1"/>
  <c r="S420" i="1"/>
  <c r="AD420" i="1"/>
  <c r="AC421" i="1"/>
  <c r="W425" i="1"/>
  <c r="V426" i="1"/>
  <c r="U427" i="1"/>
  <c r="S428" i="1"/>
  <c r="AD428" i="1"/>
  <c r="AC429" i="1"/>
  <c r="W433" i="1"/>
  <c r="V434" i="1"/>
  <c r="U435" i="1"/>
  <c r="S436" i="1"/>
  <c r="AD436" i="1"/>
  <c r="AC437" i="1"/>
  <c r="W441" i="1"/>
  <c r="V442" i="1"/>
  <c r="U443" i="1"/>
  <c r="S444" i="1"/>
  <c r="AD444" i="1"/>
  <c r="AC445" i="1"/>
  <c r="W449" i="1"/>
  <c r="V450" i="1"/>
  <c r="U451" i="1"/>
  <c r="S452" i="1"/>
  <c r="AD452" i="1"/>
  <c r="AC453" i="1"/>
  <c r="AC266" i="1"/>
  <c r="AC379" i="1"/>
  <c r="V389" i="1"/>
  <c r="V415" i="1"/>
  <c r="W422" i="1"/>
  <c r="W450" i="1"/>
  <c r="W458" i="1"/>
  <c r="V459" i="1"/>
  <c r="S460" i="1"/>
  <c r="AC460" i="1"/>
  <c r="W462" i="1"/>
  <c r="T463" i="1"/>
  <c r="AC463" i="1"/>
  <c r="W465" i="1"/>
  <c r="U466" i="1"/>
  <c r="AD466" i="1"/>
  <c r="X468" i="1"/>
  <c r="U469" i="1"/>
  <c r="AD469" i="1"/>
  <c r="V472" i="1"/>
  <c r="S473" i="1"/>
  <c r="AB473" i="1"/>
  <c r="V475" i="1"/>
  <c r="S476" i="1"/>
  <c r="AC476" i="1"/>
  <c r="W478" i="1"/>
  <c r="T479" i="1"/>
  <c r="AC479" i="1"/>
  <c r="W481" i="1"/>
  <c r="U482" i="1"/>
  <c r="AD482" i="1"/>
  <c r="X484" i="1"/>
  <c r="U485" i="1"/>
  <c r="AD485" i="1"/>
  <c r="V488" i="1"/>
  <c r="S489" i="1"/>
  <c r="AB489" i="1"/>
  <c r="V491" i="1"/>
  <c r="S492" i="1"/>
  <c r="AC492" i="1"/>
  <c r="W494" i="1"/>
  <c r="T495" i="1"/>
  <c r="AC495" i="1"/>
  <c r="W497" i="1"/>
  <c r="U498" i="1"/>
  <c r="AD498" i="1"/>
  <c r="X500" i="1"/>
  <c r="U501" i="1"/>
  <c r="AD501" i="1"/>
  <c r="V504" i="1"/>
  <c r="S505" i="1"/>
  <c r="AB505" i="1"/>
  <c r="V507" i="1"/>
  <c r="S508" i="1"/>
  <c r="AC508" i="1"/>
  <c r="W510" i="1"/>
  <c r="T511" i="1"/>
  <c r="AC511" i="1"/>
  <c r="W513" i="1"/>
  <c r="U514" i="1"/>
  <c r="AD514" i="1"/>
  <c r="X516" i="1"/>
  <c r="U517" i="1"/>
  <c r="AD517" i="1"/>
  <c r="V520" i="1"/>
  <c r="S521" i="1"/>
  <c r="AB521" i="1"/>
  <c r="V289" i="1"/>
  <c r="AC357" i="1"/>
  <c r="AD399" i="1"/>
  <c r="U416" i="1"/>
  <c r="V423" i="1"/>
  <c r="W430" i="1"/>
  <c r="U452" i="1"/>
  <c r="W459" i="1"/>
  <c r="U460" i="1"/>
  <c r="AD460" i="1"/>
  <c r="X462" i="1"/>
  <c r="U463" i="1"/>
  <c r="AD463" i="1"/>
  <c r="V466" i="1"/>
  <c r="S467" i="1"/>
  <c r="AB467" i="1"/>
  <c r="V469" i="1"/>
  <c r="S470" i="1"/>
  <c r="AC470" i="1"/>
  <c r="W472" i="1"/>
  <c r="T473" i="1"/>
  <c r="AC473" i="1"/>
  <c r="W475" i="1"/>
  <c r="U476" i="1"/>
  <c r="AD476" i="1"/>
  <c r="X478" i="1"/>
  <c r="U479" i="1"/>
  <c r="AD479" i="1"/>
  <c r="V482" i="1"/>
  <c r="S483" i="1"/>
  <c r="AB483" i="1"/>
  <c r="V485" i="1"/>
  <c r="S486" i="1"/>
  <c r="AC486" i="1"/>
  <c r="W488" i="1"/>
  <c r="T489" i="1"/>
  <c r="AC489" i="1"/>
  <c r="W491" i="1"/>
  <c r="U492" i="1"/>
  <c r="AD492" i="1"/>
  <c r="X494" i="1"/>
  <c r="U495" i="1"/>
  <c r="AD495" i="1"/>
  <c r="V498" i="1"/>
  <c r="S499" i="1"/>
  <c r="AB499" i="1"/>
  <c r="V501" i="1"/>
  <c r="S502" i="1"/>
  <c r="AC502" i="1"/>
  <c r="W504" i="1"/>
  <c r="T505" i="1"/>
  <c r="AC505" i="1"/>
  <c r="U401" i="1"/>
  <c r="S417" i="1"/>
  <c r="U424" i="1"/>
  <c r="V431" i="1"/>
  <c r="W438" i="1"/>
  <c r="AC454" i="1"/>
  <c r="AD455" i="1"/>
  <c r="AC456" i="1"/>
  <c r="V460" i="1"/>
  <c r="S461" i="1"/>
  <c r="AB461" i="1"/>
  <c r="V463" i="1"/>
  <c r="S464" i="1"/>
  <c r="AC464" i="1"/>
  <c r="W466" i="1"/>
  <c r="T467" i="1"/>
  <c r="AC467" i="1"/>
  <c r="W469" i="1"/>
  <c r="U470" i="1"/>
  <c r="AD470" i="1"/>
  <c r="X472" i="1"/>
  <c r="U473" i="1"/>
  <c r="AD473" i="1"/>
  <c r="V476" i="1"/>
  <c r="S477" i="1"/>
  <c r="AB477" i="1"/>
  <c r="V479" i="1"/>
  <c r="S480" i="1"/>
  <c r="AC480" i="1"/>
  <c r="W482" i="1"/>
  <c r="T483" i="1"/>
  <c r="AC483" i="1"/>
  <c r="W485" i="1"/>
  <c r="U486" i="1"/>
  <c r="AD486" i="1"/>
  <c r="X488" i="1"/>
  <c r="U489" i="1"/>
  <c r="AD489" i="1"/>
  <c r="V492" i="1"/>
  <c r="S493" i="1"/>
  <c r="AB493" i="1"/>
  <c r="V495" i="1"/>
  <c r="S496" i="1"/>
  <c r="AC496" i="1"/>
  <c r="W498" i="1"/>
  <c r="T499" i="1"/>
  <c r="AC499" i="1"/>
  <c r="W501" i="1"/>
  <c r="U502" i="1"/>
  <c r="AD502" i="1"/>
  <c r="X504" i="1"/>
  <c r="U505" i="1"/>
  <c r="AD505" i="1"/>
  <c r="V508" i="1"/>
  <c r="S509" i="1"/>
  <c r="AB509" i="1"/>
  <c r="V511" i="1"/>
  <c r="S512" i="1"/>
  <c r="AC512" i="1"/>
  <c r="W514" i="1"/>
  <c r="T515" i="1"/>
  <c r="AC515" i="1"/>
  <c r="W517" i="1"/>
  <c r="U518" i="1"/>
  <c r="AD518" i="1"/>
  <c r="X520" i="1"/>
  <c r="U521" i="1"/>
  <c r="AD521" i="1"/>
  <c r="V524" i="1"/>
  <c r="S525" i="1"/>
  <c r="AB525" i="1"/>
  <c r="V527" i="1"/>
  <c r="S528" i="1"/>
  <c r="AC528" i="1"/>
  <c r="V530" i="1"/>
  <c r="AD530" i="1"/>
  <c r="V532" i="1"/>
  <c r="AD532" i="1"/>
  <c r="V534" i="1"/>
  <c r="AD534" i="1"/>
  <c r="S313" i="1"/>
  <c r="AC392" i="1"/>
  <c r="V402" i="1"/>
  <c r="AD417" i="1"/>
  <c r="S425" i="1"/>
  <c r="U432" i="1"/>
  <c r="V439" i="1"/>
  <c r="V447" i="1"/>
  <c r="S449" i="1"/>
  <c r="AD453" i="1"/>
  <c r="S455" i="1"/>
  <c r="S456" i="1"/>
  <c r="AD456" i="1"/>
  <c r="AC457" i="1"/>
  <c r="W460" i="1"/>
  <c r="T461" i="1"/>
  <c r="AC461" i="1"/>
  <c r="W463" i="1"/>
  <c r="U464" i="1"/>
  <c r="AD464" i="1"/>
  <c r="X466" i="1"/>
  <c r="U467" i="1"/>
  <c r="AD467" i="1"/>
  <c r="V470" i="1"/>
  <c r="S471" i="1"/>
  <c r="AB471" i="1"/>
  <c r="V473" i="1"/>
  <c r="S474" i="1"/>
  <c r="AC474" i="1"/>
  <c r="W476" i="1"/>
  <c r="T477" i="1"/>
  <c r="AC477" i="1"/>
  <c r="W479" i="1"/>
  <c r="U480" i="1"/>
  <c r="AD480" i="1"/>
  <c r="X482" i="1"/>
  <c r="U483" i="1"/>
  <c r="AD483" i="1"/>
  <c r="V486" i="1"/>
  <c r="S487" i="1"/>
  <c r="AB487" i="1"/>
  <c r="V489" i="1"/>
  <c r="S490" i="1"/>
  <c r="AC490" i="1"/>
  <c r="W492" i="1"/>
  <c r="T493" i="1"/>
  <c r="AC493" i="1"/>
  <c r="W495" i="1"/>
  <c r="U496" i="1"/>
  <c r="AD496" i="1"/>
  <c r="X498" i="1"/>
  <c r="U499" i="1"/>
  <c r="AD499" i="1"/>
  <c r="V502" i="1"/>
  <c r="S503" i="1"/>
  <c r="AB503" i="1"/>
  <c r="V505" i="1"/>
  <c r="S506" i="1"/>
  <c r="AC506" i="1"/>
  <c r="U321" i="1"/>
  <c r="S370" i="1"/>
  <c r="AD382" i="1"/>
  <c r="S394" i="1"/>
  <c r="AC418" i="1"/>
  <c r="AD425" i="1"/>
  <c r="S433" i="1"/>
  <c r="U440" i="1"/>
  <c r="AC450" i="1"/>
  <c r="U454" i="1"/>
  <c r="U455" i="1"/>
  <c r="U456" i="1"/>
  <c r="S457" i="1"/>
  <c r="AD457" i="1"/>
  <c r="AC458" i="1"/>
  <c r="X460" i="1"/>
  <c r="U461" i="1"/>
  <c r="AD461" i="1"/>
  <c r="V464" i="1"/>
  <c r="S465" i="1"/>
  <c r="AB465" i="1"/>
  <c r="V467" i="1"/>
  <c r="S468" i="1"/>
  <c r="AC468" i="1"/>
  <c r="W470" i="1"/>
  <c r="T471" i="1"/>
  <c r="AC471" i="1"/>
  <c r="W473" i="1"/>
  <c r="U474" i="1"/>
  <c r="AD474" i="1"/>
  <c r="X476" i="1"/>
  <c r="U477" i="1"/>
  <c r="AD477" i="1"/>
  <c r="V480" i="1"/>
  <c r="S481" i="1"/>
  <c r="AB481" i="1"/>
  <c r="V483" i="1"/>
  <c r="S484" i="1"/>
  <c r="AC484" i="1"/>
  <c r="W486" i="1"/>
  <c r="T487" i="1"/>
  <c r="AC487" i="1"/>
  <c r="W489" i="1"/>
  <c r="U490" i="1"/>
  <c r="AD490" i="1"/>
  <c r="X492" i="1"/>
  <c r="U493" i="1"/>
  <c r="AD493" i="1"/>
  <c r="V496" i="1"/>
  <c r="S497" i="1"/>
  <c r="AB497" i="1"/>
  <c r="V499" i="1"/>
  <c r="S500" i="1"/>
  <c r="AC500" i="1"/>
  <c r="W502" i="1"/>
  <c r="T503" i="1"/>
  <c r="AC503" i="1"/>
  <c r="W505" i="1"/>
  <c r="U506" i="1"/>
  <c r="AD506" i="1"/>
  <c r="X508" i="1"/>
  <c r="U509" i="1"/>
  <c r="AD509" i="1"/>
  <c r="V512" i="1"/>
  <c r="S513" i="1"/>
  <c r="AB513" i="1"/>
  <c r="V515" i="1"/>
  <c r="S516" i="1"/>
  <c r="AC516" i="1"/>
  <c r="W518" i="1"/>
  <c r="T519" i="1"/>
  <c r="AC519" i="1"/>
  <c r="W521" i="1"/>
  <c r="U522" i="1"/>
  <c r="AD522" i="1"/>
  <c r="X524" i="1"/>
  <c r="U525" i="1"/>
  <c r="AD525" i="1"/>
  <c r="V528" i="1"/>
  <c r="S529" i="1"/>
  <c r="AB529" i="1"/>
  <c r="X530" i="1"/>
  <c r="T531" i="1"/>
  <c r="AB531" i="1"/>
  <c r="X532" i="1"/>
  <c r="T533" i="1"/>
  <c r="AB533" i="1"/>
  <c r="X534" i="1"/>
  <c r="T535" i="1"/>
  <c r="AB535" i="1"/>
  <c r="X536" i="1"/>
  <c r="T537" i="1"/>
  <c r="AB537" i="1"/>
  <c r="X538" i="1"/>
  <c r="T539" i="1"/>
  <c r="AB539" i="1"/>
  <c r="X540" i="1"/>
  <c r="T541" i="1"/>
  <c r="AB541" i="1"/>
  <c r="X542" i="1"/>
  <c r="T543" i="1"/>
  <c r="AB543" i="1"/>
  <c r="X544" i="1"/>
  <c r="T545" i="1"/>
  <c r="AB545" i="1"/>
  <c r="X546" i="1"/>
  <c r="T547" i="1"/>
  <c r="AB547" i="1"/>
  <c r="X548" i="1"/>
  <c r="T549" i="1"/>
  <c r="AB549" i="1"/>
  <c r="X550" i="1"/>
  <c r="T551" i="1"/>
  <c r="AB551" i="1"/>
  <c r="X552" i="1"/>
  <c r="T553" i="1"/>
  <c r="AB553" i="1"/>
  <c r="X554" i="1"/>
  <c r="T555" i="1"/>
  <c r="AB555" i="1"/>
  <c r="X556" i="1"/>
  <c r="T557" i="1"/>
  <c r="AB557" i="1"/>
  <c r="X558" i="1"/>
  <c r="T559" i="1"/>
  <c r="AB559" i="1"/>
  <c r="X560" i="1"/>
  <c r="T561" i="1"/>
  <c r="AB561" i="1"/>
  <c r="X562" i="1"/>
  <c r="T563" i="1"/>
  <c r="AB563" i="1"/>
  <c r="X564" i="1"/>
  <c r="T565" i="1"/>
  <c r="AB565" i="1"/>
  <c r="X566" i="1"/>
  <c r="T567" i="1"/>
  <c r="AB567" i="1"/>
  <c r="X568" i="1"/>
  <c r="T569" i="1"/>
  <c r="AB569" i="1"/>
  <c r="X570" i="1"/>
  <c r="T571" i="1"/>
  <c r="AB571" i="1"/>
  <c r="X572" i="1"/>
  <c r="T573" i="1"/>
  <c r="AB573" i="1"/>
  <c r="X574" i="1"/>
  <c r="T575" i="1"/>
  <c r="AB575" i="1"/>
  <c r="X576" i="1"/>
  <c r="T577" i="1"/>
  <c r="AB577" i="1"/>
  <c r="X578" i="1"/>
  <c r="T579" i="1"/>
  <c r="AB579" i="1"/>
  <c r="X580" i="1"/>
  <c r="T581" i="1"/>
  <c r="AB581" i="1"/>
  <c r="X582" i="1"/>
  <c r="T583" i="1"/>
  <c r="AB583" i="1"/>
  <c r="X584" i="1"/>
  <c r="T585" i="1"/>
  <c r="AB585" i="1"/>
  <c r="X586" i="1"/>
  <c r="T587" i="1"/>
  <c r="AB587" i="1"/>
  <c r="X588" i="1"/>
  <c r="T589" i="1"/>
  <c r="AB589" i="1"/>
  <c r="X590" i="1"/>
  <c r="T591" i="1"/>
  <c r="AB591" i="1"/>
  <c r="X592" i="1"/>
  <c r="T593" i="1"/>
  <c r="AB593" i="1"/>
  <c r="X594" i="1"/>
  <c r="T595" i="1"/>
  <c r="AB595" i="1"/>
  <c r="X596" i="1"/>
  <c r="T597" i="1"/>
  <c r="AB597" i="1"/>
  <c r="X598" i="1"/>
  <c r="T599" i="1"/>
  <c r="AB599" i="1"/>
  <c r="X600" i="1"/>
  <c r="T601" i="1"/>
  <c r="AB601" i="1"/>
  <c r="X602" i="1"/>
  <c r="T603" i="1"/>
  <c r="AB603" i="1"/>
  <c r="X604" i="1"/>
  <c r="T605" i="1"/>
  <c r="AB605" i="1"/>
  <c r="X606" i="1"/>
  <c r="T607" i="1"/>
  <c r="AB607" i="1"/>
  <c r="X608" i="1"/>
  <c r="T609" i="1"/>
  <c r="AB609" i="1"/>
  <c r="X610" i="1"/>
  <c r="T611" i="1"/>
  <c r="AB611" i="1"/>
  <c r="X612" i="1"/>
  <c r="T613" i="1"/>
  <c r="AB613" i="1"/>
  <c r="X614" i="1"/>
  <c r="T615" i="1"/>
  <c r="AB615" i="1"/>
  <c r="X616" i="1"/>
  <c r="T617" i="1"/>
  <c r="AB617" i="1"/>
  <c r="X618" i="1"/>
  <c r="T619" i="1"/>
  <c r="AB619" i="1"/>
  <c r="X620" i="1"/>
  <c r="T621" i="1"/>
  <c r="AB621" i="1"/>
  <c r="X622" i="1"/>
  <c r="T623" i="1"/>
  <c r="AB623" i="1"/>
  <c r="X624" i="1"/>
  <c r="T625" i="1"/>
  <c r="AB625" i="1"/>
  <c r="X626" i="1"/>
  <c r="T627" i="1"/>
  <c r="AB627" i="1"/>
  <c r="X628" i="1"/>
  <c r="T629" i="1"/>
  <c r="AB629" i="1"/>
  <c r="X630" i="1"/>
  <c r="T631" i="1"/>
  <c r="AB631" i="1"/>
  <c r="X632" i="1"/>
  <c r="T633" i="1"/>
  <c r="AB633" i="1"/>
  <c r="X634" i="1"/>
  <c r="T635" i="1"/>
  <c r="AB635" i="1"/>
  <c r="X636" i="1"/>
  <c r="T637" i="1"/>
  <c r="AB637" i="1"/>
  <c r="X638" i="1"/>
  <c r="T639" i="1"/>
  <c r="AB639" i="1"/>
  <c r="X640" i="1"/>
  <c r="T641" i="1"/>
  <c r="AB641" i="1"/>
  <c r="X642" i="1"/>
  <c r="T643" i="1"/>
  <c r="AB643" i="1"/>
  <c r="X644" i="1"/>
  <c r="T645" i="1"/>
  <c r="AB645" i="1"/>
  <c r="X646" i="1"/>
  <c r="T647" i="1"/>
  <c r="AB647" i="1"/>
  <c r="X648" i="1"/>
  <c r="T649" i="1"/>
  <c r="AB649" i="1"/>
  <c r="X650" i="1"/>
  <c r="T651" i="1"/>
  <c r="AB651" i="1"/>
  <c r="X652" i="1"/>
  <c r="T653" i="1"/>
  <c r="AB653" i="1"/>
  <c r="X654" i="1"/>
  <c r="T655" i="1"/>
  <c r="AB655" i="1"/>
  <c r="X656" i="1"/>
  <c r="T657" i="1"/>
  <c r="AB657" i="1"/>
  <c r="X658" i="1"/>
  <c r="T659" i="1"/>
  <c r="AB659" i="1"/>
  <c r="X660" i="1"/>
  <c r="T661" i="1"/>
  <c r="AB661" i="1"/>
  <c r="X662" i="1"/>
  <c r="T663" i="1"/>
  <c r="AB663" i="1"/>
  <c r="X664" i="1"/>
  <c r="T665" i="1"/>
  <c r="AB665" i="1"/>
  <c r="X666" i="1"/>
  <c r="T667" i="1"/>
  <c r="AB667" i="1"/>
  <c r="X668" i="1"/>
  <c r="T669" i="1"/>
  <c r="AB669" i="1"/>
  <c r="X670" i="1"/>
  <c r="T671" i="1"/>
  <c r="AB671" i="1"/>
  <c r="X672" i="1"/>
  <c r="T673" i="1"/>
  <c r="AB673" i="1"/>
  <c r="X674" i="1"/>
  <c r="T675" i="1"/>
  <c r="AB675" i="1"/>
  <c r="X676" i="1"/>
  <c r="T677" i="1"/>
  <c r="AB677" i="1"/>
  <c r="X678" i="1"/>
  <c r="T679" i="1"/>
  <c r="AB679" i="1"/>
  <c r="X680" i="1"/>
  <c r="T681" i="1"/>
  <c r="AB681" i="1"/>
  <c r="X682" i="1"/>
  <c r="T683" i="1"/>
  <c r="AB683" i="1"/>
  <c r="X684" i="1"/>
  <c r="T685" i="1"/>
  <c r="AB685" i="1"/>
  <c r="X686" i="1"/>
  <c r="T687" i="1"/>
  <c r="AB687" i="1"/>
  <c r="X688" i="1"/>
  <c r="T689" i="1"/>
  <c r="AB689" i="1"/>
  <c r="X690" i="1"/>
  <c r="T691" i="1"/>
  <c r="AB691" i="1"/>
  <c r="X692" i="1"/>
  <c r="T693" i="1"/>
  <c r="AB693" i="1"/>
  <c r="X694" i="1"/>
  <c r="T695" i="1"/>
  <c r="AB695" i="1"/>
  <c r="X696" i="1"/>
  <c r="T697" i="1"/>
  <c r="AB697" i="1"/>
  <c r="X698" i="1"/>
  <c r="T699" i="1"/>
  <c r="W329" i="1"/>
  <c r="U395" i="1"/>
  <c r="AC426" i="1"/>
  <c r="AD433" i="1"/>
  <c r="S441" i="1"/>
  <c r="V451" i="1"/>
  <c r="S453" i="1"/>
  <c r="V454" i="1"/>
  <c r="V455" i="1"/>
  <c r="V456" i="1"/>
  <c r="U457" i="1"/>
  <c r="S458" i="1"/>
  <c r="AD458" i="1"/>
  <c r="AB459" i="1"/>
  <c r="V461" i="1"/>
  <c r="S462" i="1"/>
  <c r="AC462" i="1"/>
  <c r="W464" i="1"/>
  <c r="T465" i="1"/>
  <c r="AC465" i="1"/>
  <c r="W467" i="1"/>
  <c r="U468" i="1"/>
  <c r="AD468" i="1"/>
  <c r="X470" i="1"/>
  <c r="U471" i="1"/>
  <c r="AD471" i="1"/>
  <c r="V474" i="1"/>
  <c r="S475" i="1"/>
  <c r="AB475" i="1"/>
  <c r="V477" i="1"/>
  <c r="S478" i="1"/>
  <c r="AC478" i="1"/>
  <c r="W480" i="1"/>
  <c r="T481" i="1"/>
  <c r="AC481" i="1"/>
  <c r="W483" i="1"/>
  <c r="U484" i="1"/>
  <c r="AD484" i="1"/>
  <c r="X486" i="1"/>
  <c r="U487" i="1"/>
  <c r="AD487" i="1"/>
  <c r="V490" i="1"/>
  <c r="S491" i="1"/>
  <c r="AB491" i="1"/>
  <c r="V493" i="1"/>
  <c r="S494" i="1"/>
  <c r="AC494" i="1"/>
  <c r="W496" i="1"/>
  <c r="T497" i="1"/>
  <c r="AC497" i="1"/>
  <c r="W499" i="1"/>
  <c r="U500" i="1"/>
  <c r="AD500" i="1"/>
  <c r="X502" i="1"/>
  <c r="U503" i="1"/>
  <c r="AD503" i="1"/>
  <c r="V506" i="1"/>
  <c r="S507" i="1"/>
  <c r="AB507" i="1"/>
  <c r="V509" i="1"/>
  <c r="S510" i="1"/>
  <c r="AC510" i="1"/>
  <c r="W512" i="1"/>
  <c r="T513" i="1"/>
  <c r="AC513" i="1"/>
  <c r="W515" i="1"/>
  <c r="U516" i="1"/>
  <c r="AD516" i="1"/>
  <c r="X518" i="1"/>
  <c r="U519" i="1"/>
  <c r="AD519" i="1"/>
  <c r="V522" i="1"/>
  <c r="S523" i="1"/>
  <c r="AB523" i="1"/>
  <c r="V525" i="1"/>
  <c r="S526" i="1"/>
  <c r="AC526" i="1"/>
  <c r="W528" i="1"/>
  <c r="T529" i="1"/>
  <c r="AC529" i="1"/>
  <c r="U531" i="1"/>
  <c r="AC531" i="1"/>
  <c r="U533" i="1"/>
  <c r="AC533" i="1"/>
  <c r="W337" i="1"/>
  <c r="V376" i="1"/>
  <c r="W396" i="1"/>
  <c r="AC434" i="1"/>
  <c r="AD441" i="1"/>
  <c r="V453" i="1"/>
  <c r="W454" i="1"/>
  <c r="W455" i="1"/>
  <c r="W456" i="1"/>
  <c r="V457" i="1"/>
  <c r="U458" i="1"/>
  <c r="S459" i="1"/>
  <c r="AC459" i="1"/>
  <c r="W461" i="1"/>
  <c r="U462" i="1"/>
  <c r="AD462" i="1"/>
  <c r="X464" i="1"/>
  <c r="U465" i="1"/>
  <c r="AD465" i="1"/>
  <c r="V468" i="1"/>
  <c r="S469" i="1"/>
  <c r="AB469" i="1"/>
  <c r="V471" i="1"/>
  <c r="S472" i="1"/>
  <c r="AC472" i="1"/>
  <c r="W474" i="1"/>
  <c r="T475" i="1"/>
  <c r="AC475" i="1"/>
  <c r="W477" i="1"/>
  <c r="U478" i="1"/>
  <c r="AD478" i="1"/>
  <c r="X480" i="1"/>
  <c r="U481" i="1"/>
  <c r="AD481" i="1"/>
  <c r="V484" i="1"/>
  <c r="S485" i="1"/>
  <c r="AB485" i="1"/>
  <c r="V487" i="1"/>
  <c r="S488" i="1"/>
  <c r="AC488" i="1"/>
  <c r="W490" i="1"/>
  <c r="T491" i="1"/>
  <c r="AC491" i="1"/>
  <c r="W493" i="1"/>
  <c r="U494" i="1"/>
  <c r="AD494" i="1"/>
  <c r="X496" i="1"/>
  <c r="U497" i="1"/>
  <c r="AD497" i="1"/>
  <c r="V500" i="1"/>
  <c r="S501" i="1"/>
  <c r="AB501" i="1"/>
  <c r="V503" i="1"/>
  <c r="S504" i="1"/>
  <c r="AC504" i="1"/>
  <c r="W506" i="1"/>
  <c r="T507" i="1"/>
  <c r="AC507" i="1"/>
  <c r="W509" i="1"/>
  <c r="U510" i="1"/>
  <c r="AD510" i="1"/>
  <c r="X512" i="1"/>
  <c r="U513" i="1"/>
  <c r="AD513" i="1"/>
  <c r="V516" i="1"/>
  <c r="S517" i="1"/>
  <c r="AB517" i="1"/>
  <c r="V519" i="1"/>
  <c r="S520" i="1"/>
  <c r="AC520" i="1"/>
  <c r="W522" i="1"/>
  <c r="T523" i="1"/>
  <c r="AC523" i="1"/>
  <c r="W525" i="1"/>
  <c r="U526" i="1"/>
  <c r="AD526" i="1"/>
  <c r="X528" i="1"/>
  <c r="U529" i="1"/>
  <c r="AD529" i="1"/>
  <c r="V531" i="1"/>
  <c r="AD531" i="1"/>
  <c r="V533" i="1"/>
  <c r="AD533" i="1"/>
  <c r="V535" i="1"/>
  <c r="AD535" i="1"/>
  <c r="V537" i="1"/>
  <c r="AD537" i="1"/>
  <c r="S463" i="1"/>
  <c r="V465" i="1"/>
  <c r="AC466" i="1"/>
  <c r="T469" i="1"/>
  <c r="W471" i="1"/>
  <c r="AD472" i="1"/>
  <c r="U475" i="1"/>
  <c r="X510" i="1"/>
  <c r="AD512" i="1"/>
  <c r="V517" i="1"/>
  <c r="AB519" i="1"/>
  <c r="V521" i="1"/>
  <c r="AC524" i="1"/>
  <c r="W526" i="1"/>
  <c r="W527" i="1"/>
  <c r="AB530" i="1"/>
  <c r="S532" i="1"/>
  <c r="AC532" i="1"/>
  <c r="T534" i="1"/>
  <c r="S535" i="1"/>
  <c r="S536" i="1"/>
  <c r="AB536" i="1"/>
  <c r="V539" i="1"/>
  <c r="S540" i="1"/>
  <c r="AB540" i="1"/>
  <c r="V542" i="1"/>
  <c r="S543" i="1"/>
  <c r="AC543" i="1"/>
  <c r="W545" i="1"/>
  <c r="T546" i="1"/>
  <c r="AC546" i="1"/>
  <c r="W548" i="1"/>
  <c r="U549" i="1"/>
  <c r="AD549" i="1"/>
  <c r="X551" i="1"/>
  <c r="U552" i="1"/>
  <c r="AD552" i="1"/>
  <c r="V555" i="1"/>
  <c r="S556" i="1"/>
  <c r="AB556" i="1"/>
  <c r="V558" i="1"/>
  <c r="S559" i="1"/>
  <c r="AC559" i="1"/>
  <c r="W561" i="1"/>
  <c r="T562" i="1"/>
  <c r="AC562" i="1"/>
  <c r="W564" i="1"/>
  <c r="U565" i="1"/>
  <c r="AD565" i="1"/>
  <c r="X567" i="1"/>
  <c r="U568" i="1"/>
  <c r="AD568" i="1"/>
  <c r="V571" i="1"/>
  <c r="S572" i="1"/>
  <c r="AB572" i="1"/>
  <c r="V574" i="1"/>
  <c r="S575" i="1"/>
  <c r="AC575" i="1"/>
  <c r="W577" i="1"/>
  <c r="T578" i="1"/>
  <c r="AC578" i="1"/>
  <c r="W580" i="1"/>
  <c r="U581" i="1"/>
  <c r="AD581" i="1"/>
  <c r="X583" i="1"/>
  <c r="U584" i="1"/>
  <c r="AD584" i="1"/>
  <c r="V587" i="1"/>
  <c r="S588" i="1"/>
  <c r="AB588" i="1"/>
  <c r="V590" i="1"/>
  <c r="S591" i="1"/>
  <c r="AC591" i="1"/>
  <c r="W593" i="1"/>
  <c r="T594" i="1"/>
  <c r="AC594" i="1"/>
  <c r="W596" i="1"/>
  <c r="U597" i="1"/>
  <c r="AD597" i="1"/>
  <c r="X599" i="1"/>
  <c r="U600" i="1"/>
  <c r="AD600" i="1"/>
  <c r="V603" i="1"/>
  <c r="S604" i="1"/>
  <c r="AB604" i="1"/>
  <c r="V606" i="1"/>
  <c r="S607" i="1"/>
  <c r="AC607" i="1"/>
  <c r="W609" i="1"/>
  <c r="T610" i="1"/>
  <c r="AC610" i="1"/>
  <c r="W612" i="1"/>
  <c r="U613" i="1"/>
  <c r="AD613" i="1"/>
  <c r="X615" i="1"/>
  <c r="U616" i="1"/>
  <c r="AD616" i="1"/>
  <c r="V619" i="1"/>
  <c r="S620" i="1"/>
  <c r="AB620" i="1"/>
  <c r="V622" i="1"/>
  <c r="S623" i="1"/>
  <c r="AC623" i="1"/>
  <c r="W625" i="1"/>
  <c r="T626" i="1"/>
  <c r="AC626" i="1"/>
  <c r="W628" i="1"/>
  <c r="U629" i="1"/>
  <c r="AD629" i="1"/>
  <c r="X631" i="1"/>
  <c r="U632" i="1"/>
  <c r="AD632" i="1"/>
  <c r="V635" i="1"/>
  <c r="S636" i="1"/>
  <c r="AB636" i="1"/>
  <c r="V638" i="1"/>
  <c r="S639" i="1"/>
  <c r="AC639" i="1"/>
  <c r="W641" i="1"/>
  <c r="T642" i="1"/>
  <c r="AC642" i="1"/>
  <c r="W644" i="1"/>
  <c r="U645" i="1"/>
  <c r="AD645" i="1"/>
  <c r="X647" i="1"/>
  <c r="U648" i="1"/>
  <c r="AD648" i="1"/>
  <c r="V651" i="1"/>
  <c r="S652" i="1"/>
  <c r="AB652" i="1"/>
  <c r="V654" i="1"/>
  <c r="S655" i="1"/>
  <c r="AC655" i="1"/>
  <c r="W657" i="1"/>
  <c r="T658" i="1"/>
  <c r="AC658" i="1"/>
  <c r="W660" i="1"/>
  <c r="U661" i="1"/>
  <c r="AD661" i="1"/>
  <c r="X663" i="1"/>
  <c r="U664" i="1"/>
  <c r="AD664" i="1"/>
  <c r="V667" i="1"/>
  <c r="S668" i="1"/>
  <c r="AB668" i="1"/>
  <c r="V670" i="1"/>
  <c r="S671" i="1"/>
  <c r="AC671" i="1"/>
  <c r="W673" i="1"/>
  <c r="T674" i="1"/>
  <c r="AC674" i="1"/>
  <c r="W414" i="1"/>
  <c r="W457" i="1"/>
  <c r="U459" i="1"/>
  <c r="AD508" i="1"/>
  <c r="V513" i="1"/>
  <c r="AB515" i="1"/>
  <c r="U520" i="1"/>
  <c r="AD523" i="1"/>
  <c r="AD524" i="1"/>
  <c r="X526" i="1"/>
  <c r="S530" i="1"/>
  <c r="AC530" i="1"/>
  <c r="T532" i="1"/>
  <c r="S533" i="1"/>
  <c r="U534" i="1"/>
  <c r="U535" i="1"/>
  <c r="T536" i="1"/>
  <c r="AC536" i="1"/>
  <c r="W539" i="1"/>
  <c r="T540" i="1"/>
  <c r="AC540" i="1"/>
  <c r="W542" i="1"/>
  <c r="U543" i="1"/>
  <c r="AD543" i="1"/>
  <c r="X545" i="1"/>
  <c r="U546" i="1"/>
  <c r="AD546" i="1"/>
  <c r="V549" i="1"/>
  <c r="S550" i="1"/>
  <c r="AB550" i="1"/>
  <c r="V552" i="1"/>
  <c r="S553" i="1"/>
  <c r="AC553" i="1"/>
  <c r="W555" i="1"/>
  <c r="T556" i="1"/>
  <c r="AC556" i="1"/>
  <c r="W558" i="1"/>
  <c r="U559" i="1"/>
  <c r="AD559" i="1"/>
  <c r="X561" i="1"/>
  <c r="U562" i="1"/>
  <c r="AD562" i="1"/>
  <c r="V565" i="1"/>
  <c r="S566" i="1"/>
  <c r="AB566" i="1"/>
  <c r="V568" i="1"/>
  <c r="S569" i="1"/>
  <c r="AC569" i="1"/>
  <c r="W571" i="1"/>
  <c r="T572" i="1"/>
  <c r="AC572" i="1"/>
  <c r="W574" i="1"/>
  <c r="U575" i="1"/>
  <c r="AD575" i="1"/>
  <c r="X577" i="1"/>
  <c r="U578" i="1"/>
  <c r="AD578" i="1"/>
  <c r="V581" i="1"/>
  <c r="S582" i="1"/>
  <c r="AB582" i="1"/>
  <c r="V584" i="1"/>
  <c r="S585" i="1"/>
  <c r="AC585" i="1"/>
  <c r="W587" i="1"/>
  <c r="T588" i="1"/>
  <c r="AC588" i="1"/>
  <c r="W590" i="1"/>
  <c r="U591" i="1"/>
  <c r="AD591" i="1"/>
  <c r="X593" i="1"/>
  <c r="U594" i="1"/>
  <c r="AD594" i="1"/>
  <c r="V597" i="1"/>
  <c r="S598" i="1"/>
  <c r="AB598" i="1"/>
  <c r="V600" i="1"/>
  <c r="S601" i="1"/>
  <c r="AC601" i="1"/>
  <c r="W603" i="1"/>
  <c r="T604" i="1"/>
  <c r="AC604" i="1"/>
  <c r="W606" i="1"/>
  <c r="U607" i="1"/>
  <c r="AD607" i="1"/>
  <c r="X609" i="1"/>
  <c r="U610" i="1"/>
  <c r="AD610" i="1"/>
  <c r="V613" i="1"/>
  <c r="S614" i="1"/>
  <c r="AB614" i="1"/>
  <c r="V616" i="1"/>
  <c r="S617" i="1"/>
  <c r="AC617" i="1"/>
  <c r="W619" i="1"/>
  <c r="T620" i="1"/>
  <c r="AC620" i="1"/>
  <c r="W622" i="1"/>
  <c r="U623" i="1"/>
  <c r="AD623" i="1"/>
  <c r="X625" i="1"/>
  <c r="U626" i="1"/>
  <c r="AD626" i="1"/>
  <c r="V629" i="1"/>
  <c r="S630" i="1"/>
  <c r="AB630" i="1"/>
  <c r="V632" i="1"/>
  <c r="S633" i="1"/>
  <c r="AC633" i="1"/>
  <c r="W635" i="1"/>
  <c r="T636" i="1"/>
  <c r="AC636" i="1"/>
  <c r="W638" i="1"/>
  <c r="U639" i="1"/>
  <c r="AD639" i="1"/>
  <c r="X641" i="1"/>
  <c r="U642" i="1"/>
  <c r="AD642" i="1"/>
  <c r="V645" i="1"/>
  <c r="S646" i="1"/>
  <c r="AB646" i="1"/>
  <c r="V648" i="1"/>
  <c r="S649" i="1"/>
  <c r="AC649" i="1"/>
  <c r="W651" i="1"/>
  <c r="T652" i="1"/>
  <c r="AC652" i="1"/>
  <c r="W654" i="1"/>
  <c r="U655" i="1"/>
  <c r="AD655" i="1"/>
  <c r="X657" i="1"/>
  <c r="U658" i="1"/>
  <c r="AD658" i="1"/>
  <c r="V661" i="1"/>
  <c r="S662" i="1"/>
  <c r="AB662" i="1"/>
  <c r="V664" i="1"/>
  <c r="S665" i="1"/>
  <c r="AC665" i="1"/>
  <c r="W667" i="1"/>
  <c r="T668" i="1"/>
  <c r="AC668" i="1"/>
  <c r="W670" i="1"/>
  <c r="U671" i="1"/>
  <c r="AD671" i="1"/>
  <c r="X673" i="1"/>
  <c r="U674" i="1"/>
  <c r="AD674" i="1"/>
  <c r="V677" i="1"/>
  <c r="S678" i="1"/>
  <c r="AB678" i="1"/>
  <c r="V680" i="1"/>
  <c r="S681" i="1"/>
  <c r="AC681" i="1"/>
  <c r="W683" i="1"/>
  <c r="T684" i="1"/>
  <c r="AC684" i="1"/>
  <c r="W686" i="1"/>
  <c r="U687" i="1"/>
  <c r="AD687" i="1"/>
  <c r="X689" i="1"/>
  <c r="U690" i="1"/>
  <c r="AD690" i="1"/>
  <c r="V693" i="1"/>
  <c r="S694" i="1"/>
  <c r="AB694" i="1"/>
  <c r="V696" i="1"/>
  <c r="S697" i="1"/>
  <c r="AC697" i="1"/>
  <c r="S378" i="1"/>
  <c r="AD449" i="1"/>
  <c r="V494" i="1"/>
  <c r="AB495" i="1"/>
  <c r="S498" i="1"/>
  <c r="W500" i="1"/>
  <c r="AC501" i="1"/>
  <c r="U504" i="1"/>
  <c r="X506" i="1"/>
  <c r="T509" i="1"/>
  <c r="AB511" i="1"/>
  <c r="AD515" i="1"/>
  <c r="AC518" i="1"/>
  <c r="W520" i="1"/>
  <c r="AC522" i="1"/>
  <c r="S524" i="1"/>
  <c r="T525" i="1"/>
  <c r="T530" i="1"/>
  <c r="S531" i="1"/>
  <c r="U532" i="1"/>
  <c r="W533" i="1"/>
  <c r="W534" i="1"/>
  <c r="W535" i="1"/>
  <c r="U536" i="1"/>
  <c r="AD536" i="1"/>
  <c r="AC537" i="1"/>
  <c r="X539" i="1"/>
  <c r="U540" i="1"/>
  <c r="AD540" i="1"/>
  <c r="V543" i="1"/>
  <c r="S544" i="1"/>
  <c r="AB544" i="1"/>
  <c r="V546" i="1"/>
  <c r="S547" i="1"/>
  <c r="AC547" i="1"/>
  <c r="W549" i="1"/>
  <c r="T550" i="1"/>
  <c r="AC550" i="1"/>
  <c r="W552" i="1"/>
  <c r="U553" i="1"/>
  <c r="AD553" i="1"/>
  <c r="X555" i="1"/>
  <c r="U556" i="1"/>
  <c r="AD556" i="1"/>
  <c r="V559" i="1"/>
  <c r="S560" i="1"/>
  <c r="AB560" i="1"/>
  <c r="V562" i="1"/>
  <c r="S563" i="1"/>
  <c r="AC563" i="1"/>
  <c r="W565" i="1"/>
  <c r="T566" i="1"/>
  <c r="AC566" i="1"/>
  <c r="W568" i="1"/>
  <c r="U569" i="1"/>
  <c r="AD569" i="1"/>
  <c r="X571" i="1"/>
  <c r="U572" i="1"/>
  <c r="AD572" i="1"/>
  <c r="V575" i="1"/>
  <c r="S576" i="1"/>
  <c r="AB576" i="1"/>
  <c r="V578" i="1"/>
  <c r="S579" i="1"/>
  <c r="AC579" i="1"/>
  <c r="W581" i="1"/>
  <c r="T582" i="1"/>
  <c r="AC582" i="1"/>
  <c r="W584" i="1"/>
  <c r="U585" i="1"/>
  <c r="AD585" i="1"/>
  <c r="X587" i="1"/>
  <c r="U588" i="1"/>
  <c r="AD588" i="1"/>
  <c r="V591" i="1"/>
  <c r="S592" i="1"/>
  <c r="AB592" i="1"/>
  <c r="V594" i="1"/>
  <c r="S595" i="1"/>
  <c r="AC595" i="1"/>
  <c r="W597" i="1"/>
  <c r="T598" i="1"/>
  <c r="AC598" i="1"/>
  <c r="W600" i="1"/>
  <c r="U601" i="1"/>
  <c r="AD601" i="1"/>
  <c r="X603" i="1"/>
  <c r="U604" i="1"/>
  <c r="AD604" i="1"/>
  <c r="V607" i="1"/>
  <c r="S608" i="1"/>
  <c r="AB608" i="1"/>
  <c r="V610" i="1"/>
  <c r="S611" i="1"/>
  <c r="AC611" i="1"/>
  <c r="W613" i="1"/>
  <c r="T614" i="1"/>
  <c r="AC614" i="1"/>
  <c r="W616" i="1"/>
  <c r="U617" i="1"/>
  <c r="AD617" i="1"/>
  <c r="X619" i="1"/>
  <c r="U620" i="1"/>
  <c r="AD620" i="1"/>
  <c r="V623" i="1"/>
  <c r="S624" i="1"/>
  <c r="AB624" i="1"/>
  <c r="V626" i="1"/>
  <c r="S627" i="1"/>
  <c r="AC627" i="1"/>
  <c r="W629" i="1"/>
  <c r="T630" i="1"/>
  <c r="AC630" i="1"/>
  <c r="W632" i="1"/>
  <c r="U633" i="1"/>
  <c r="AD633" i="1"/>
  <c r="X635" i="1"/>
  <c r="U636" i="1"/>
  <c r="AD636" i="1"/>
  <c r="V639" i="1"/>
  <c r="S640" i="1"/>
  <c r="AB640" i="1"/>
  <c r="V642" i="1"/>
  <c r="S643" i="1"/>
  <c r="AC643" i="1"/>
  <c r="W645" i="1"/>
  <c r="T646" i="1"/>
  <c r="AC646" i="1"/>
  <c r="W648" i="1"/>
  <c r="U649" i="1"/>
  <c r="AD649" i="1"/>
  <c r="X651" i="1"/>
  <c r="U652" i="1"/>
  <c r="AD652" i="1"/>
  <c r="V655" i="1"/>
  <c r="S656" i="1"/>
  <c r="AB656" i="1"/>
  <c r="V658" i="1"/>
  <c r="S659" i="1"/>
  <c r="AC659" i="1"/>
  <c r="U448" i="1"/>
  <c r="V478" i="1"/>
  <c r="AB479" i="1"/>
  <c r="S482" i="1"/>
  <c r="W484" i="1"/>
  <c r="AC485" i="1"/>
  <c r="U488" i="1"/>
  <c r="X490" i="1"/>
  <c r="AD491" i="1"/>
  <c r="AD507" i="1"/>
  <c r="AD511" i="1"/>
  <c r="AC514" i="1"/>
  <c r="W516" i="1"/>
  <c r="S519" i="1"/>
  <c r="U523" i="1"/>
  <c r="U524" i="1"/>
  <c r="AD528" i="1"/>
  <c r="U530" i="1"/>
  <c r="W531" i="1"/>
  <c r="W532" i="1"/>
  <c r="X533" i="1"/>
  <c r="X535" i="1"/>
  <c r="V536" i="1"/>
  <c r="S537" i="1"/>
  <c r="S538" i="1"/>
  <c r="AB538" i="1"/>
  <c r="V540" i="1"/>
  <c r="S541" i="1"/>
  <c r="AC541" i="1"/>
  <c r="W543" i="1"/>
  <c r="T544" i="1"/>
  <c r="AC544" i="1"/>
  <c r="W546" i="1"/>
  <c r="U547" i="1"/>
  <c r="AD547" i="1"/>
  <c r="X549" i="1"/>
  <c r="U550" i="1"/>
  <c r="AD550" i="1"/>
  <c r="V553" i="1"/>
  <c r="S554" i="1"/>
  <c r="AB554" i="1"/>
  <c r="V556" i="1"/>
  <c r="S557" i="1"/>
  <c r="AC557" i="1"/>
  <c r="W559" i="1"/>
  <c r="T560" i="1"/>
  <c r="AC560" i="1"/>
  <c r="W562" i="1"/>
  <c r="U563" i="1"/>
  <c r="AD563" i="1"/>
  <c r="X565" i="1"/>
  <c r="U566" i="1"/>
  <c r="AD566" i="1"/>
  <c r="V569" i="1"/>
  <c r="S570" i="1"/>
  <c r="AB570" i="1"/>
  <c r="V572" i="1"/>
  <c r="S573" i="1"/>
  <c r="AC573" i="1"/>
  <c r="W575" i="1"/>
  <c r="T576" i="1"/>
  <c r="AC576" i="1"/>
  <c r="W578" i="1"/>
  <c r="U579" i="1"/>
  <c r="AD579" i="1"/>
  <c r="X581" i="1"/>
  <c r="U582" i="1"/>
  <c r="AD582" i="1"/>
  <c r="V585" i="1"/>
  <c r="S586" i="1"/>
  <c r="AB586" i="1"/>
  <c r="V588" i="1"/>
  <c r="S589" i="1"/>
  <c r="AC589" i="1"/>
  <c r="W591" i="1"/>
  <c r="T592" i="1"/>
  <c r="AC592" i="1"/>
  <c r="W594" i="1"/>
  <c r="U595" i="1"/>
  <c r="AD595" i="1"/>
  <c r="X597" i="1"/>
  <c r="U598" i="1"/>
  <c r="AD598" i="1"/>
  <c r="V601" i="1"/>
  <c r="S602" i="1"/>
  <c r="AB602" i="1"/>
  <c r="V604" i="1"/>
  <c r="S605" i="1"/>
  <c r="AC605" i="1"/>
  <c r="W607" i="1"/>
  <c r="T608" i="1"/>
  <c r="AC608" i="1"/>
  <c r="W610" i="1"/>
  <c r="U611" i="1"/>
  <c r="AD611" i="1"/>
  <c r="X613" i="1"/>
  <c r="U614" i="1"/>
  <c r="AD614" i="1"/>
  <c r="V617" i="1"/>
  <c r="S618" i="1"/>
  <c r="AB618" i="1"/>
  <c r="V620" i="1"/>
  <c r="S621" i="1"/>
  <c r="AC621" i="1"/>
  <c r="W623" i="1"/>
  <c r="T624" i="1"/>
  <c r="AC624" i="1"/>
  <c r="W626" i="1"/>
  <c r="U627" i="1"/>
  <c r="AD627" i="1"/>
  <c r="X629" i="1"/>
  <c r="U630" i="1"/>
  <c r="AD630" i="1"/>
  <c r="V633" i="1"/>
  <c r="S634" i="1"/>
  <c r="AB634" i="1"/>
  <c r="V636" i="1"/>
  <c r="S637" i="1"/>
  <c r="AC637" i="1"/>
  <c r="W639" i="1"/>
  <c r="T640" i="1"/>
  <c r="AC640" i="1"/>
  <c r="W642" i="1"/>
  <c r="U643" i="1"/>
  <c r="AD643" i="1"/>
  <c r="X645" i="1"/>
  <c r="U646" i="1"/>
  <c r="AD646" i="1"/>
  <c r="V649" i="1"/>
  <c r="S650" i="1"/>
  <c r="AB650" i="1"/>
  <c r="V652" i="1"/>
  <c r="S653" i="1"/>
  <c r="AC653" i="1"/>
  <c r="W655" i="1"/>
  <c r="T656" i="1"/>
  <c r="AC656" i="1"/>
  <c r="W658" i="1"/>
  <c r="U659" i="1"/>
  <c r="AD659" i="1"/>
  <c r="X661" i="1"/>
  <c r="U662" i="1"/>
  <c r="AD662" i="1"/>
  <c r="V665" i="1"/>
  <c r="S666" i="1"/>
  <c r="AB666" i="1"/>
  <c r="V668" i="1"/>
  <c r="S669" i="1"/>
  <c r="AC669" i="1"/>
  <c r="W671" i="1"/>
  <c r="T672" i="1"/>
  <c r="AC672" i="1"/>
  <c r="W674" i="1"/>
  <c r="U675" i="1"/>
  <c r="AD675" i="1"/>
  <c r="X677" i="1"/>
  <c r="U678" i="1"/>
  <c r="AD678" i="1"/>
  <c r="V681" i="1"/>
  <c r="S682" i="1"/>
  <c r="AB682" i="1"/>
  <c r="V684" i="1"/>
  <c r="S685" i="1"/>
  <c r="AC685" i="1"/>
  <c r="W687" i="1"/>
  <c r="T688" i="1"/>
  <c r="AC688" i="1"/>
  <c r="W446" i="1"/>
  <c r="W453" i="1"/>
  <c r="V462" i="1"/>
  <c r="AB463" i="1"/>
  <c r="S466" i="1"/>
  <c r="W468" i="1"/>
  <c r="AC469" i="1"/>
  <c r="U472" i="1"/>
  <c r="X474" i="1"/>
  <c r="AD475" i="1"/>
  <c r="U508" i="1"/>
  <c r="S511" i="1"/>
  <c r="U512" i="1"/>
  <c r="S515" i="1"/>
  <c r="AC517" i="1"/>
  <c r="W519" i="1"/>
  <c r="AC521" i="1"/>
  <c r="V523" i="1"/>
  <c r="W524" i="1"/>
  <c r="AB527" i="1"/>
  <c r="V529" i="1"/>
  <c r="W530" i="1"/>
  <c r="X531" i="1"/>
  <c r="W536" i="1"/>
  <c r="U537" i="1"/>
  <c r="T538" i="1"/>
  <c r="AC538" i="1"/>
  <c r="W540" i="1"/>
  <c r="U541" i="1"/>
  <c r="AD541" i="1"/>
  <c r="X543" i="1"/>
  <c r="U544" i="1"/>
  <c r="AD544" i="1"/>
  <c r="AC442" i="1"/>
  <c r="V458" i="1"/>
  <c r="AD459" i="1"/>
  <c r="W508" i="1"/>
  <c r="U511" i="1"/>
  <c r="S514" i="1"/>
  <c r="U515" i="1"/>
  <c r="S518" i="1"/>
  <c r="S522" i="1"/>
  <c r="W523" i="1"/>
  <c r="S527" i="1"/>
  <c r="AC527" i="1"/>
  <c r="W529" i="1"/>
  <c r="W537" i="1"/>
  <c r="U538" i="1"/>
  <c r="AD538" i="1"/>
  <c r="V541" i="1"/>
  <c r="S542" i="1"/>
  <c r="AB542" i="1"/>
  <c r="V544" i="1"/>
  <c r="S545" i="1"/>
  <c r="AC545" i="1"/>
  <c r="W547" i="1"/>
  <c r="T548" i="1"/>
  <c r="AC548" i="1"/>
  <c r="W550" i="1"/>
  <c r="U551" i="1"/>
  <c r="AD551" i="1"/>
  <c r="X553" i="1"/>
  <c r="U554" i="1"/>
  <c r="AD554" i="1"/>
  <c r="V557" i="1"/>
  <c r="S558" i="1"/>
  <c r="AB558" i="1"/>
  <c r="V560" i="1"/>
  <c r="S561" i="1"/>
  <c r="AC561" i="1"/>
  <c r="W563" i="1"/>
  <c r="T564" i="1"/>
  <c r="AC564" i="1"/>
  <c r="W566" i="1"/>
  <c r="U567" i="1"/>
  <c r="AD567" i="1"/>
  <c r="X569" i="1"/>
  <c r="U570" i="1"/>
  <c r="AD570" i="1"/>
  <c r="V573" i="1"/>
  <c r="S574" i="1"/>
  <c r="AB574" i="1"/>
  <c r="V576" i="1"/>
  <c r="S577" i="1"/>
  <c r="AC577" i="1"/>
  <c r="W579" i="1"/>
  <c r="T580" i="1"/>
  <c r="AC580" i="1"/>
  <c r="W582" i="1"/>
  <c r="U583" i="1"/>
  <c r="AD583" i="1"/>
  <c r="X585" i="1"/>
  <c r="U586" i="1"/>
  <c r="AD586" i="1"/>
  <c r="V589" i="1"/>
  <c r="S590" i="1"/>
  <c r="AB590" i="1"/>
  <c r="V592" i="1"/>
  <c r="S593" i="1"/>
  <c r="AC593" i="1"/>
  <c r="W595" i="1"/>
  <c r="T596" i="1"/>
  <c r="AC596" i="1"/>
  <c r="W598" i="1"/>
  <c r="U599" i="1"/>
  <c r="AD599" i="1"/>
  <c r="X601" i="1"/>
  <c r="U602" i="1"/>
  <c r="AD602" i="1"/>
  <c r="V605" i="1"/>
  <c r="S606" i="1"/>
  <c r="AB606" i="1"/>
  <c r="V608" i="1"/>
  <c r="S609" i="1"/>
  <c r="AC609" i="1"/>
  <c r="W611" i="1"/>
  <c r="T612" i="1"/>
  <c r="AC612" i="1"/>
  <c r="W614" i="1"/>
  <c r="U615" i="1"/>
  <c r="AD615" i="1"/>
  <c r="X617" i="1"/>
  <c r="U618" i="1"/>
  <c r="AD618" i="1"/>
  <c r="V621" i="1"/>
  <c r="S622" i="1"/>
  <c r="AB622" i="1"/>
  <c r="V624" i="1"/>
  <c r="S625" i="1"/>
  <c r="AC625" i="1"/>
  <c r="W627" i="1"/>
  <c r="T628" i="1"/>
  <c r="AC628" i="1"/>
  <c r="W630" i="1"/>
  <c r="U631" i="1"/>
  <c r="AD631" i="1"/>
  <c r="X633" i="1"/>
  <c r="U634" i="1"/>
  <c r="AD634" i="1"/>
  <c r="V637" i="1"/>
  <c r="S638" i="1"/>
  <c r="AB638" i="1"/>
  <c r="V640" i="1"/>
  <c r="S641" i="1"/>
  <c r="AC641" i="1"/>
  <c r="W643" i="1"/>
  <c r="T644" i="1"/>
  <c r="AC644" i="1"/>
  <c r="W646" i="1"/>
  <c r="U647" i="1"/>
  <c r="AD647" i="1"/>
  <c r="X649" i="1"/>
  <c r="U650" i="1"/>
  <c r="AD650" i="1"/>
  <c r="V653" i="1"/>
  <c r="S654" i="1"/>
  <c r="AB654" i="1"/>
  <c r="V656" i="1"/>
  <c r="S657" i="1"/>
  <c r="AC657" i="1"/>
  <c r="W659" i="1"/>
  <c r="T660" i="1"/>
  <c r="AC660" i="1"/>
  <c r="W662" i="1"/>
  <c r="U663" i="1"/>
  <c r="AD663" i="1"/>
  <c r="X665" i="1"/>
  <c r="U666" i="1"/>
  <c r="AD666" i="1"/>
  <c r="V669" i="1"/>
  <c r="S670" i="1"/>
  <c r="AB670" i="1"/>
  <c r="V672" i="1"/>
  <c r="S673" i="1"/>
  <c r="AC673" i="1"/>
  <c r="W675" i="1"/>
  <c r="T676" i="1"/>
  <c r="AC676" i="1"/>
  <c r="W678" i="1"/>
  <c r="U679" i="1"/>
  <c r="AD679" i="1"/>
  <c r="X681" i="1"/>
  <c r="U682" i="1"/>
  <c r="AD682" i="1"/>
  <c r="V685" i="1"/>
  <c r="S686" i="1"/>
  <c r="AB686" i="1"/>
  <c r="V688" i="1"/>
  <c r="S689" i="1"/>
  <c r="AC689" i="1"/>
  <c r="AD387" i="1"/>
  <c r="S495" i="1"/>
  <c r="V497" i="1"/>
  <c r="AC498" i="1"/>
  <c r="T501" i="1"/>
  <c r="W503" i="1"/>
  <c r="AD504" i="1"/>
  <c r="U507" i="1"/>
  <c r="AC509" i="1"/>
  <c r="W511" i="1"/>
  <c r="V514" i="1"/>
  <c r="V518" i="1"/>
  <c r="AD520" i="1"/>
  <c r="X522" i="1"/>
  <c r="AC525" i="1"/>
  <c r="T527" i="1"/>
  <c r="AD527" i="1"/>
  <c r="AB534" i="1"/>
  <c r="X537" i="1"/>
  <c r="V538" i="1"/>
  <c r="S539" i="1"/>
  <c r="AC539" i="1"/>
  <c r="W541" i="1"/>
  <c r="T542" i="1"/>
  <c r="AC542" i="1"/>
  <c r="W544" i="1"/>
  <c r="U545" i="1"/>
  <c r="AD545" i="1"/>
  <c r="X547" i="1"/>
  <c r="U548" i="1"/>
  <c r="AD548" i="1"/>
  <c r="V551" i="1"/>
  <c r="S552" i="1"/>
  <c r="AB552" i="1"/>
  <c r="V554" i="1"/>
  <c r="S555" i="1"/>
  <c r="AC555" i="1"/>
  <c r="W557" i="1"/>
  <c r="T558" i="1"/>
  <c r="AC558" i="1"/>
  <c r="W560" i="1"/>
  <c r="U561" i="1"/>
  <c r="AD561" i="1"/>
  <c r="X563" i="1"/>
  <c r="U564" i="1"/>
  <c r="AD564" i="1"/>
  <c r="V567" i="1"/>
  <c r="S568" i="1"/>
  <c r="AB568" i="1"/>
  <c r="V570" i="1"/>
  <c r="S571" i="1"/>
  <c r="AC571" i="1"/>
  <c r="W573" i="1"/>
  <c r="T574" i="1"/>
  <c r="AC574" i="1"/>
  <c r="W576" i="1"/>
  <c r="U577" i="1"/>
  <c r="AD577" i="1"/>
  <c r="X579" i="1"/>
  <c r="U580" i="1"/>
  <c r="AD580" i="1"/>
  <c r="V583" i="1"/>
  <c r="S584" i="1"/>
  <c r="AB584" i="1"/>
  <c r="V586" i="1"/>
  <c r="S587" i="1"/>
  <c r="AC587" i="1"/>
  <c r="W589" i="1"/>
  <c r="T590" i="1"/>
  <c r="AC590" i="1"/>
  <c r="W592" i="1"/>
  <c r="U593" i="1"/>
  <c r="AD593" i="1"/>
  <c r="X595" i="1"/>
  <c r="U596" i="1"/>
  <c r="AD596" i="1"/>
  <c r="V599" i="1"/>
  <c r="S600" i="1"/>
  <c r="AB600" i="1"/>
  <c r="V602" i="1"/>
  <c r="S603" i="1"/>
  <c r="AC603" i="1"/>
  <c r="W605" i="1"/>
  <c r="T606" i="1"/>
  <c r="AC606" i="1"/>
  <c r="W608" i="1"/>
  <c r="U609" i="1"/>
  <c r="AD609" i="1"/>
  <c r="X611" i="1"/>
  <c r="U612" i="1"/>
  <c r="AD612" i="1"/>
  <c r="V615" i="1"/>
  <c r="S616" i="1"/>
  <c r="AB616" i="1"/>
  <c r="V618" i="1"/>
  <c r="S619" i="1"/>
  <c r="AC619" i="1"/>
  <c r="W621" i="1"/>
  <c r="T622" i="1"/>
  <c r="AC622" i="1"/>
  <c r="W624" i="1"/>
  <c r="U625" i="1"/>
  <c r="AD625" i="1"/>
  <c r="X627" i="1"/>
  <c r="U628" i="1"/>
  <c r="AD628" i="1"/>
  <c r="V631" i="1"/>
  <c r="S632" i="1"/>
  <c r="AB632" i="1"/>
  <c r="V634" i="1"/>
  <c r="S635" i="1"/>
  <c r="AC635" i="1"/>
  <c r="W637" i="1"/>
  <c r="T638" i="1"/>
  <c r="AC638" i="1"/>
  <c r="W640" i="1"/>
  <c r="U641" i="1"/>
  <c r="AD641" i="1"/>
  <c r="X643" i="1"/>
  <c r="U644" i="1"/>
  <c r="AD644" i="1"/>
  <c r="V647" i="1"/>
  <c r="S648" i="1"/>
  <c r="AB648" i="1"/>
  <c r="V650" i="1"/>
  <c r="S651" i="1"/>
  <c r="AC651" i="1"/>
  <c r="W653" i="1"/>
  <c r="T654" i="1"/>
  <c r="AC654" i="1"/>
  <c r="W656" i="1"/>
  <c r="U657" i="1"/>
  <c r="AD657" i="1"/>
  <c r="X659" i="1"/>
  <c r="U660" i="1"/>
  <c r="AD660" i="1"/>
  <c r="V663" i="1"/>
  <c r="S664" i="1"/>
  <c r="AB664" i="1"/>
  <c r="V666" i="1"/>
  <c r="S667" i="1"/>
  <c r="AC667" i="1"/>
  <c r="W669" i="1"/>
  <c r="T670" i="1"/>
  <c r="AC670" i="1"/>
  <c r="W672" i="1"/>
  <c r="U673" i="1"/>
  <c r="AD673" i="1"/>
  <c r="X675" i="1"/>
  <c r="U676" i="1"/>
  <c r="AD676" i="1"/>
  <c r="V679" i="1"/>
  <c r="S680" i="1"/>
  <c r="AB680" i="1"/>
  <c r="V682" i="1"/>
  <c r="S683" i="1"/>
  <c r="AC683" i="1"/>
  <c r="W685" i="1"/>
  <c r="T686" i="1"/>
  <c r="AC686" i="1"/>
  <c r="W688" i="1"/>
  <c r="S479" i="1"/>
  <c r="V481" i="1"/>
  <c r="AC482" i="1"/>
  <c r="T485" i="1"/>
  <c r="W487" i="1"/>
  <c r="AD488" i="1"/>
  <c r="U491" i="1"/>
  <c r="W507" i="1"/>
  <c r="V510" i="1"/>
  <c r="X514" i="1"/>
  <c r="T517" i="1"/>
  <c r="T521" i="1"/>
  <c r="V526" i="1"/>
  <c r="U527" i="1"/>
  <c r="U528" i="1"/>
  <c r="AB532" i="1"/>
  <c r="S534" i="1"/>
  <c r="AC534" i="1"/>
  <c r="AC535" i="1"/>
  <c r="W538" i="1"/>
  <c r="U539" i="1"/>
  <c r="AD539" i="1"/>
  <c r="X541" i="1"/>
  <c r="U542" i="1"/>
  <c r="AD542" i="1"/>
  <c r="V545" i="1"/>
  <c r="S546" i="1"/>
  <c r="AB546" i="1"/>
  <c r="V548" i="1"/>
  <c r="S549" i="1"/>
  <c r="AC549" i="1"/>
  <c r="W551" i="1"/>
  <c r="T552" i="1"/>
  <c r="AC552" i="1"/>
  <c r="W554" i="1"/>
  <c r="U555" i="1"/>
  <c r="AD555" i="1"/>
  <c r="X557" i="1"/>
  <c r="U558" i="1"/>
  <c r="AD558" i="1"/>
  <c r="V561" i="1"/>
  <c r="S562" i="1"/>
  <c r="AB562" i="1"/>
  <c r="V564" i="1"/>
  <c r="S565" i="1"/>
  <c r="AC565" i="1"/>
  <c r="W567" i="1"/>
  <c r="T568" i="1"/>
  <c r="AC568" i="1"/>
  <c r="W570" i="1"/>
  <c r="U571" i="1"/>
  <c r="AD571" i="1"/>
  <c r="X573" i="1"/>
  <c r="U574" i="1"/>
  <c r="AD574" i="1"/>
  <c r="V577" i="1"/>
  <c r="S578" i="1"/>
  <c r="AB578" i="1"/>
  <c r="V580" i="1"/>
  <c r="S581" i="1"/>
  <c r="AC581" i="1"/>
  <c r="W583" i="1"/>
  <c r="T584" i="1"/>
  <c r="AC584" i="1"/>
  <c r="W586" i="1"/>
  <c r="U587" i="1"/>
  <c r="AD587" i="1"/>
  <c r="X589" i="1"/>
  <c r="U590" i="1"/>
  <c r="AD590" i="1"/>
  <c r="V593" i="1"/>
  <c r="S594" i="1"/>
  <c r="AB594" i="1"/>
  <c r="V596" i="1"/>
  <c r="S597" i="1"/>
  <c r="AC597" i="1"/>
  <c r="W599" i="1"/>
  <c r="T600" i="1"/>
  <c r="AC600" i="1"/>
  <c r="W602" i="1"/>
  <c r="U603" i="1"/>
  <c r="AD603" i="1"/>
  <c r="X605" i="1"/>
  <c r="U606" i="1"/>
  <c r="AD606" i="1"/>
  <c r="V609" i="1"/>
  <c r="S610" i="1"/>
  <c r="AB610" i="1"/>
  <c r="V612" i="1"/>
  <c r="S613" i="1"/>
  <c r="AC613" i="1"/>
  <c r="W615" i="1"/>
  <c r="T616" i="1"/>
  <c r="AC616" i="1"/>
  <c r="W618" i="1"/>
  <c r="U619" i="1"/>
  <c r="AD619" i="1"/>
  <c r="X621" i="1"/>
  <c r="U622" i="1"/>
  <c r="AD622" i="1"/>
  <c r="V625" i="1"/>
  <c r="S626" i="1"/>
  <c r="AB626" i="1"/>
  <c r="V628" i="1"/>
  <c r="S629" i="1"/>
  <c r="AC629" i="1"/>
  <c r="W631" i="1"/>
  <c r="T632" i="1"/>
  <c r="AC632" i="1"/>
  <c r="W634" i="1"/>
  <c r="U635" i="1"/>
  <c r="AD635" i="1"/>
  <c r="X637" i="1"/>
  <c r="U638" i="1"/>
  <c r="AD638" i="1"/>
  <c r="V641" i="1"/>
  <c r="S642" i="1"/>
  <c r="AB642" i="1"/>
  <c r="V644" i="1"/>
  <c r="S645" i="1"/>
  <c r="AC645" i="1"/>
  <c r="W647" i="1"/>
  <c r="T648" i="1"/>
  <c r="AC648" i="1"/>
  <c r="W650" i="1"/>
  <c r="U651" i="1"/>
  <c r="AD651" i="1"/>
  <c r="X653" i="1"/>
  <c r="U654" i="1"/>
  <c r="AD654" i="1"/>
  <c r="V657" i="1"/>
  <c r="S658" i="1"/>
  <c r="AB658" i="1"/>
  <c r="V660" i="1"/>
  <c r="S661" i="1"/>
  <c r="AC661" i="1"/>
  <c r="W663" i="1"/>
  <c r="T664" i="1"/>
  <c r="AC664" i="1"/>
  <c r="W666" i="1"/>
  <c r="U667" i="1"/>
  <c r="AD667" i="1"/>
  <c r="X669" i="1"/>
  <c r="U670" i="1"/>
  <c r="AD670" i="1"/>
  <c r="V673" i="1"/>
  <c r="S674" i="1"/>
  <c r="AB674" i="1"/>
  <c r="V676" i="1"/>
  <c r="S677" i="1"/>
  <c r="AC677" i="1"/>
  <c r="W679" i="1"/>
  <c r="T680" i="1"/>
  <c r="AC680" i="1"/>
  <c r="W682" i="1"/>
  <c r="U683" i="1"/>
  <c r="AD683" i="1"/>
  <c r="V563" i="1"/>
  <c r="AB564" i="1"/>
  <c r="S567" i="1"/>
  <c r="W569" i="1"/>
  <c r="AC570" i="1"/>
  <c r="U573" i="1"/>
  <c r="X575" i="1"/>
  <c r="AD576" i="1"/>
  <c r="S628" i="1"/>
  <c r="V630" i="1"/>
  <c r="AC631" i="1"/>
  <c r="T634" i="1"/>
  <c r="W636" i="1"/>
  <c r="AD637" i="1"/>
  <c r="U640" i="1"/>
  <c r="V662" i="1"/>
  <c r="AC666" i="1"/>
  <c r="S672" i="1"/>
  <c r="T678" i="1"/>
  <c r="T682" i="1"/>
  <c r="AB684" i="1"/>
  <c r="U686" i="1"/>
  <c r="X687" i="1"/>
  <c r="X691" i="1"/>
  <c r="U692" i="1"/>
  <c r="AD692" i="1"/>
  <c r="AC693" i="1"/>
  <c r="W696" i="1"/>
  <c r="V697" i="1"/>
  <c r="T698" i="1"/>
  <c r="AC698" i="1"/>
  <c r="V700" i="1"/>
  <c r="AD700" i="1"/>
  <c r="V702" i="1"/>
  <c r="AD702" i="1"/>
  <c r="V547" i="1"/>
  <c r="AB548" i="1"/>
  <c r="S551" i="1"/>
  <c r="W553" i="1"/>
  <c r="AC554" i="1"/>
  <c r="U557" i="1"/>
  <c r="X559" i="1"/>
  <c r="AD560" i="1"/>
  <c r="S612" i="1"/>
  <c r="V614" i="1"/>
  <c r="AC615" i="1"/>
  <c r="T618" i="1"/>
  <c r="W620" i="1"/>
  <c r="AD621" i="1"/>
  <c r="U624" i="1"/>
  <c r="AC663" i="1"/>
  <c r="X667" i="1"/>
  <c r="U672" i="1"/>
  <c r="AB676" i="1"/>
  <c r="V678" i="1"/>
  <c r="AD680" i="1"/>
  <c r="AD684" i="1"/>
  <c r="V686" i="1"/>
  <c r="S596" i="1"/>
  <c r="V598" i="1"/>
  <c r="AC599" i="1"/>
  <c r="T602" i="1"/>
  <c r="W604" i="1"/>
  <c r="AD605" i="1"/>
  <c r="U608" i="1"/>
  <c r="V659" i="1"/>
  <c r="AB660" i="1"/>
  <c r="W664" i="1"/>
  <c r="AD668" i="1"/>
  <c r="V674" i="1"/>
  <c r="U677" i="1"/>
  <c r="U681" i="1"/>
  <c r="S684" i="1"/>
  <c r="U685" i="1"/>
  <c r="AB688" i="1"/>
  <c r="AD689" i="1"/>
  <c r="AB690" i="1"/>
  <c r="W692" i="1"/>
  <c r="U693" i="1"/>
  <c r="T694" i="1"/>
  <c r="AD694" i="1"/>
  <c r="S580" i="1"/>
  <c r="V582" i="1"/>
  <c r="AC583" i="1"/>
  <c r="T586" i="1"/>
  <c r="W588" i="1"/>
  <c r="AD589" i="1"/>
  <c r="U592" i="1"/>
  <c r="V643" i="1"/>
  <c r="AB644" i="1"/>
  <c r="S647" i="1"/>
  <c r="W649" i="1"/>
  <c r="AC650" i="1"/>
  <c r="U653" i="1"/>
  <c r="X655" i="1"/>
  <c r="AD656" i="1"/>
  <c r="W661" i="1"/>
  <c r="AD665" i="1"/>
  <c r="U669" i="1"/>
  <c r="V671" i="1"/>
  <c r="AC675" i="1"/>
  <c r="W677" i="1"/>
  <c r="AC679" i="1"/>
  <c r="W681" i="1"/>
  <c r="U684" i="1"/>
  <c r="X685" i="1"/>
  <c r="AD688" i="1"/>
  <c r="S690" i="1"/>
  <c r="AC690" i="1"/>
  <c r="W693" i="1"/>
  <c r="U694" i="1"/>
  <c r="S695" i="1"/>
  <c r="AC695" i="1"/>
  <c r="W698" i="1"/>
  <c r="U699" i="1"/>
  <c r="AC699" i="1"/>
  <c r="S564" i="1"/>
  <c r="V566" i="1"/>
  <c r="AC567" i="1"/>
  <c r="T570" i="1"/>
  <c r="W572" i="1"/>
  <c r="AD573" i="1"/>
  <c r="U576" i="1"/>
  <c r="V627" i="1"/>
  <c r="AB628" i="1"/>
  <c r="S631" i="1"/>
  <c r="W633" i="1"/>
  <c r="AC634" i="1"/>
  <c r="U637" i="1"/>
  <c r="X639" i="1"/>
  <c r="AD640" i="1"/>
  <c r="AC662" i="1"/>
  <c r="T666" i="1"/>
  <c r="X671" i="1"/>
  <c r="S676" i="1"/>
  <c r="U680" i="1"/>
  <c r="AC682" i="1"/>
  <c r="W684" i="1"/>
  <c r="S548" i="1"/>
  <c r="V550" i="1"/>
  <c r="AC551" i="1"/>
  <c r="T554" i="1"/>
  <c r="W556" i="1"/>
  <c r="AD557" i="1"/>
  <c r="U560" i="1"/>
  <c r="V611" i="1"/>
  <c r="AB612" i="1"/>
  <c r="S615" i="1"/>
  <c r="W617" i="1"/>
  <c r="AC618" i="1"/>
  <c r="U621" i="1"/>
  <c r="X623" i="1"/>
  <c r="AD624" i="1"/>
  <c r="S663" i="1"/>
  <c r="U668" i="1"/>
  <c r="AB672" i="1"/>
  <c r="W676" i="1"/>
  <c r="AC678" i="1"/>
  <c r="W680" i="1"/>
  <c r="V683" i="1"/>
  <c r="AD686" i="1"/>
  <c r="S688" i="1"/>
  <c r="V689" i="1"/>
  <c r="V690" i="1"/>
  <c r="U691" i="1"/>
  <c r="AD691" i="1"/>
  <c r="W694" i="1"/>
  <c r="V695" i="1"/>
  <c r="S696" i="1"/>
  <c r="AC696" i="1"/>
  <c r="W699" i="1"/>
  <c r="S700" i="1"/>
  <c r="W701" i="1"/>
  <c r="S702" i="1"/>
  <c r="W703" i="1"/>
  <c r="S704" i="1"/>
  <c r="W705" i="1"/>
  <c r="S706" i="1"/>
  <c r="V595" i="1"/>
  <c r="AB596" i="1"/>
  <c r="S599" i="1"/>
  <c r="W601" i="1"/>
  <c r="AC602" i="1"/>
  <c r="U605" i="1"/>
  <c r="X607" i="1"/>
  <c r="AD608" i="1"/>
  <c r="S660" i="1"/>
  <c r="U665" i="1"/>
  <c r="W668" i="1"/>
  <c r="AD672" i="1"/>
  <c r="S675" i="1"/>
  <c r="S679" i="1"/>
  <c r="X683" i="1"/>
  <c r="S687" i="1"/>
  <c r="U688" i="1"/>
  <c r="W689" i="1"/>
  <c r="W690" i="1"/>
  <c r="V691" i="1"/>
  <c r="S692" i="1"/>
  <c r="AB692" i="1"/>
  <c r="W695" i="1"/>
  <c r="T696" i="1"/>
  <c r="AD696" i="1"/>
  <c r="AD697" i="1"/>
  <c r="X699" i="1"/>
  <c r="T700" i="1"/>
  <c r="AB700" i="1"/>
  <c r="X701" i="1"/>
  <c r="T702" i="1"/>
  <c r="AB702" i="1"/>
  <c r="X703" i="1"/>
  <c r="T704" i="1"/>
  <c r="AB704" i="1"/>
  <c r="X705" i="1"/>
  <c r="T706" i="1"/>
  <c r="AB706" i="1"/>
  <c r="X707" i="1"/>
  <c r="T708" i="1"/>
  <c r="AB708" i="1"/>
  <c r="X709" i="1"/>
  <c r="T710" i="1"/>
  <c r="AB710" i="1"/>
  <c r="X711" i="1"/>
  <c r="T712" i="1"/>
  <c r="AB712" i="1"/>
  <c r="X713" i="1"/>
  <c r="T714" i="1"/>
  <c r="AB714" i="1"/>
  <c r="X715" i="1"/>
  <c r="T716" i="1"/>
  <c r="AB716" i="1"/>
  <c r="X717" i="1"/>
  <c r="T718" i="1"/>
  <c r="AB718" i="1"/>
  <c r="X719" i="1"/>
  <c r="T720" i="1"/>
  <c r="AB720" i="1"/>
  <c r="X721" i="1"/>
  <c r="T722" i="1"/>
  <c r="AB722" i="1"/>
  <c r="X723" i="1"/>
  <c r="T724" i="1"/>
  <c r="AB724" i="1"/>
  <c r="X725" i="1"/>
  <c r="T726" i="1"/>
  <c r="AB726" i="1"/>
  <c r="X727" i="1"/>
  <c r="T728" i="1"/>
  <c r="AB728" i="1"/>
  <c r="X729" i="1"/>
  <c r="T730" i="1"/>
  <c r="AB730" i="1"/>
  <c r="X731" i="1"/>
  <c r="T732" i="1"/>
  <c r="AB732" i="1"/>
  <c r="X733" i="1"/>
  <c r="T734" i="1"/>
  <c r="AB734" i="1"/>
  <c r="X735" i="1"/>
  <c r="T736" i="1"/>
  <c r="AB736" i="1"/>
  <c r="X737" i="1"/>
  <c r="T738" i="1"/>
  <c r="AB738" i="1"/>
  <c r="X739" i="1"/>
  <c r="T740" i="1"/>
  <c r="AB740" i="1"/>
  <c r="X741" i="1"/>
  <c r="T742" i="1"/>
  <c r="AB742" i="1"/>
  <c r="X743" i="1"/>
  <c r="T744" i="1"/>
  <c r="AB744" i="1"/>
  <c r="X745" i="1"/>
  <c r="T746" i="1"/>
  <c r="AB746" i="1"/>
  <c r="X747" i="1"/>
  <c r="T748" i="1"/>
  <c r="AB748" i="1"/>
  <c r="X749" i="1"/>
  <c r="T750" i="1"/>
  <c r="AB750" i="1"/>
  <c r="X751" i="1"/>
  <c r="T752" i="1"/>
  <c r="AB752" i="1"/>
  <c r="X753" i="1"/>
  <c r="T754" i="1"/>
  <c r="AB754" i="1"/>
  <c r="X755" i="1"/>
  <c r="T756" i="1"/>
  <c r="AB756" i="1"/>
  <c r="X757" i="1"/>
  <c r="T758" i="1"/>
  <c r="AB758" i="1"/>
  <c r="X759" i="1"/>
  <c r="T760" i="1"/>
  <c r="AB760" i="1"/>
  <c r="X761" i="1"/>
  <c r="T762" i="1"/>
  <c r="AB762" i="1"/>
  <c r="X763" i="1"/>
  <c r="T764" i="1"/>
  <c r="AB764" i="1"/>
  <c r="X765" i="1"/>
  <c r="T766" i="1"/>
  <c r="AB766" i="1"/>
  <c r="X767" i="1"/>
  <c r="T768" i="1"/>
  <c r="AB768" i="1"/>
  <c r="X769" i="1"/>
  <c r="T770" i="1"/>
  <c r="AB770" i="1"/>
  <c r="X771" i="1"/>
  <c r="T772" i="1"/>
  <c r="AB772" i="1"/>
  <c r="X773" i="1"/>
  <c r="T774" i="1"/>
  <c r="AB774" i="1"/>
  <c r="X775" i="1"/>
  <c r="T776" i="1"/>
  <c r="AB776" i="1"/>
  <c r="X777" i="1"/>
  <c r="T778" i="1"/>
  <c r="AB778" i="1"/>
  <c r="X779" i="1"/>
  <c r="T780" i="1"/>
  <c r="AB780" i="1"/>
  <c r="X781" i="1"/>
  <c r="T782" i="1"/>
  <c r="AB782" i="1"/>
  <c r="X783" i="1"/>
  <c r="T784" i="1"/>
  <c r="AB784" i="1"/>
  <c r="X785" i="1"/>
  <c r="T786" i="1"/>
  <c r="AB786" i="1"/>
  <c r="X787" i="1"/>
  <c r="T788" i="1"/>
  <c r="AB788" i="1"/>
  <c r="X789" i="1"/>
  <c r="T790" i="1"/>
  <c r="AB790" i="1"/>
  <c r="X791" i="1"/>
  <c r="T792" i="1"/>
  <c r="AB792" i="1"/>
  <c r="X793" i="1"/>
  <c r="T794" i="1"/>
  <c r="AB794" i="1"/>
  <c r="X795" i="1"/>
  <c r="T796" i="1"/>
  <c r="AB796" i="1"/>
  <c r="X797" i="1"/>
  <c r="T798" i="1"/>
  <c r="AB798" i="1"/>
  <c r="X799" i="1"/>
  <c r="T800" i="1"/>
  <c r="AB800" i="1"/>
  <c r="X801" i="1"/>
  <c r="T802" i="1"/>
  <c r="AB802" i="1"/>
  <c r="X803" i="1"/>
  <c r="T804" i="1"/>
  <c r="AB804" i="1"/>
  <c r="X805" i="1"/>
  <c r="T806" i="1"/>
  <c r="AB806" i="1"/>
  <c r="X807" i="1"/>
  <c r="T808" i="1"/>
  <c r="AB808" i="1"/>
  <c r="X809" i="1"/>
  <c r="T810" i="1"/>
  <c r="AB810" i="1"/>
  <c r="X811" i="1"/>
  <c r="T812" i="1"/>
  <c r="AB812" i="1"/>
  <c r="X813" i="1"/>
  <c r="T814" i="1"/>
  <c r="AB814" i="1"/>
  <c r="X815" i="1"/>
  <c r="T816" i="1"/>
  <c r="AB816" i="1"/>
  <c r="X817" i="1"/>
  <c r="T818" i="1"/>
  <c r="AB818" i="1"/>
  <c r="X819" i="1"/>
  <c r="T820" i="1"/>
  <c r="AB820" i="1"/>
  <c r="X821" i="1"/>
  <c r="T822" i="1"/>
  <c r="AB822" i="1"/>
  <c r="X823" i="1"/>
  <c r="T824" i="1"/>
  <c r="AB824" i="1"/>
  <c r="X825" i="1"/>
  <c r="T826" i="1"/>
  <c r="AB826" i="1"/>
  <c r="X827" i="1"/>
  <c r="T828" i="1"/>
  <c r="AB828" i="1"/>
  <c r="X829" i="1"/>
  <c r="T830" i="1"/>
  <c r="AB830" i="1"/>
  <c r="X831" i="1"/>
  <c r="T832" i="1"/>
  <c r="AB832" i="1"/>
  <c r="X833" i="1"/>
  <c r="T834" i="1"/>
  <c r="AB834" i="1"/>
  <c r="X835" i="1"/>
  <c r="T836" i="1"/>
  <c r="AB836" i="1"/>
  <c r="X837" i="1"/>
  <c r="T838" i="1"/>
  <c r="AB838" i="1"/>
  <c r="X839" i="1"/>
  <c r="T840" i="1"/>
  <c r="AB840" i="1"/>
  <c r="X841" i="1"/>
  <c r="T842" i="1"/>
  <c r="AB842" i="1"/>
  <c r="X843" i="1"/>
  <c r="T844" i="1"/>
  <c r="AB844" i="1"/>
  <c r="X845" i="1"/>
  <c r="T846" i="1"/>
  <c r="AB846" i="1"/>
  <c r="X847" i="1"/>
  <c r="T848" i="1"/>
  <c r="AB848" i="1"/>
  <c r="X849" i="1"/>
  <c r="T850" i="1"/>
  <c r="AB850" i="1"/>
  <c r="X851" i="1"/>
  <c r="T852" i="1"/>
  <c r="AB852" i="1"/>
  <c r="X853" i="1"/>
  <c r="T854" i="1"/>
  <c r="AB854" i="1"/>
  <c r="X855" i="1"/>
  <c r="T856" i="1"/>
  <c r="AB856" i="1"/>
  <c r="X857" i="1"/>
  <c r="T858" i="1"/>
  <c r="AB858" i="1"/>
  <c r="X859" i="1"/>
  <c r="T860" i="1"/>
  <c r="AB860" i="1"/>
  <c r="X861" i="1"/>
  <c r="T862" i="1"/>
  <c r="AB862" i="1"/>
  <c r="X863" i="1"/>
  <c r="T864" i="1"/>
  <c r="AB864" i="1"/>
  <c r="X865" i="1"/>
  <c r="T866" i="1"/>
  <c r="AB866" i="1"/>
  <c r="X867" i="1"/>
  <c r="T868" i="1"/>
  <c r="AB868" i="1"/>
  <c r="X869" i="1"/>
  <c r="T870" i="1"/>
  <c r="AB870" i="1"/>
  <c r="X871" i="1"/>
  <c r="T872" i="1"/>
  <c r="AB872" i="1"/>
  <c r="X873" i="1"/>
  <c r="T874" i="1"/>
  <c r="AB874" i="1"/>
  <c r="X875" i="1"/>
  <c r="T876" i="1"/>
  <c r="AB876" i="1"/>
  <c r="X877" i="1"/>
  <c r="T878" i="1"/>
  <c r="AB878" i="1"/>
  <c r="X879" i="1"/>
  <c r="T880" i="1"/>
  <c r="AB880" i="1"/>
  <c r="X881" i="1"/>
  <c r="T882" i="1"/>
  <c r="AB882" i="1"/>
  <c r="X883" i="1"/>
  <c r="T884" i="1"/>
  <c r="AB884" i="1"/>
  <c r="X885" i="1"/>
  <c r="T886" i="1"/>
  <c r="AB886" i="1"/>
  <c r="X887" i="1"/>
  <c r="T888" i="1"/>
  <c r="AB888" i="1"/>
  <c r="X889" i="1"/>
  <c r="T890" i="1"/>
  <c r="AB890" i="1"/>
  <c r="X891" i="1"/>
  <c r="T892" i="1"/>
  <c r="AB892" i="1"/>
  <c r="X893" i="1"/>
  <c r="T894" i="1"/>
  <c r="AB894" i="1"/>
  <c r="X895" i="1"/>
  <c r="T896" i="1"/>
  <c r="AB896" i="1"/>
  <c r="X897" i="1"/>
  <c r="T898" i="1"/>
  <c r="AB898" i="1"/>
  <c r="X899" i="1"/>
  <c r="T900" i="1"/>
  <c r="AB900" i="1"/>
  <c r="X901" i="1"/>
  <c r="T902" i="1"/>
  <c r="AB902" i="1"/>
  <c r="X903" i="1"/>
  <c r="T904" i="1"/>
  <c r="AB904" i="1"/>
  <c r="X905" i="1"/>
  <c r="T906" i="1"/>
  <c r="AB906" i="1"/>
  <c r="X907" i="1"/>
  <c r="V579" i="1"/>
  <c r="AB580" i="1"/>
  <c r="S583" i="1"/>
  <c r="W585" i="1"/>
  <c r="AC586" i="1"/>
  <c r="U589" i="1"/>
  <c r="X591" i="1"/>
  <c r="AD592" i="1"/>
  <c r="S644" i="1"/>
  <c r="V646" i="1"/>
  <c r="AC647" i="1"/>
  <c r="T650" i="1"/>
  <c r="W652" i="1"/>
  <c r="AD653" i="1"/>
  <c r="U656" i="1"/>
  <c r="T662" i="1"/>
  <c r="W665" i="1"/>
  <c r="AD669" i="1"/>
  <c r="V675" i="1"/>
  <c r="AD677" i="1"/>
  <c r="X679" i="1"/>
  <c r="AD681" i="1"/>
  <c r="AD685" i="1"/>
  <c r="V687" i="1"/>
  <c r="AC687" i="1"/>
  <c r="T690" i="1"/>
  <c r="S693" i="1"/>
  <c r="AD695" i="1"/>
  <c r="X697" i="1"/>
  <c r="X704" i="1"/>
  <c r="U705" i="1"/>
  <c r="U706" i="1"/>
  <c r="AD706" i="1"/>
  <c r="X708" i="1"/>
  <c r="U709" i="1"/>
  <c r="AD709" i="1"/>
  <c r="V712" i="1"/>
  <c r="S713" i="1"/>
  <c r="AB713" i="1"/>
  <c r="V715" i="1"/>
  <c r="S716" i="1"/>
  <c r="AC716" i="1"/>
  <c r="W718" i="1"/>
  <c r="T719" i="1"/>
  <c r="AC719" i="1"/>
  <c r="W721" i="1"/>
  <c r="U722" i="1"/>
  <c r="AD722" i="1"/>
  <c r="X724" i="1"/>
  <c r="U725" i="1"/>
  <c r="AD725" i="1"/>
  <c r="V728" i="1"/>
  <c r="S729" i="1"/>
  <c r="AB729" i="1"/>
  <c r="V731" i="1"/>
  <c r="S732" i="1"/>
  <c r="AC732" i="1"/>
  <c r="W734" i="1"/>
  <c r="T735" i="1"/>
  <c r="AC735" i="1"/>
  <c r="W737" i="1"/>
  <c r="U738" i="1"/>
  <c r="AD738" i="1"/>
  <c r="X740" i="1"/>
  <c r="U741" i="1"/>
  <c r="AD741" i="1"/>
  <c r="V744" i="1"/>
  <c r="S745" i="1"/>
  <c r="AB745" i="1"/>
  <c r="V747" i="1"/>
  <c r="S748" i="1"/>
  <c r="AC748" i="1"/>
  <c r="W750" i="1"/>
  <c r="T751" i="1"/>
  <c r="AC751" i="1"/>
  <c r="W753" i="1"/>
  <c r="U754" i="1"/>
  <c r="AD754" i="1"/>
  <c r="X756" i="1"/>
  <c r="U757" i="1"/>
  <c r="AD757" i="1"/>
  <c r="V760" i="1"/>
  <c r="S761" i="1"/>
  <c r="AB761" i="1"/>
  <c r="V763" i="1"/>
  <c r="S764" i="1"/>
  <c r="AC764" i="1"/>
  <c r="W766" i="1"/>
  <c r="T767" i="1"/>
  <c r="AC767" i="1"/>
  <c r="W769" i="1"/>
  <c r="U770" i="1"/>
  <c r="AD770" i="1"/>
  <c r="X772" i="1"/>
  <c r="U773" i="1"/>
  <c r="AD773" i="1"/>
  <c r="V776" i="1"/>
  <c r="S777" i="1"/>
  <c r="AB777" i="1"/>
  <c r="V779" i="1"/>
  <c r="S780" i="1"/>
  <c r="AC780" i="1"/>
  <c r="W782" i="1"/>
  <c r="T783" i="1"/>
  <c r="AC783" i="1"/>
  <c r="W785" i="1"/>
  <c r="U786" i="1"/>
  <c r="AD786" i="1"/>
  <c r="X788" i="1"/>
  <c r="U789" i="1"/>
  <c r="AD789" i="1"/>
  <c r="V792" i="1"/>
  <c r="S793" i="1"/>
  <c r="AB793" i="1"/>
  <c r="V795" i="1"/>
  <c r="S796" i="1"/>
  <c r="AC796" i="1"/>
  <c r="W798" i="1"/>
  <c r="T799" i="1"/>
  <c r="AC799" i="1"/>
  <c r="W801" i="1"/>
  <c r="U802" i="1"/>
  <c r="AD802" i="1"/>
  <c r="X804" i="1"/>
  <c r="U805" i="1"/>
  <c r="AD805" i="1"/>
  <c r="V808" i="1"/>
  <c r="S809" i="1"/>
  <c r="AB809" i="1"/>
  <c r="V811" i="1"/>
  <c r="S812" i="1"/>
  <c r="AC812" i="1"/>
  <c r="AC691" i="1"/>
  <c r="X693" i="1"/>
  <c r="U696" i="1"/>
  <c r="AB699" i="1"/>
  <c r="AC700" i="1"/>
  <c r="AB701" i="1"/>
  <c r="V705" i="1"/>
  <c r="V706" i="1"/>
  <c r="S707" i="1"/>
  <c r="AB707" i="1"/>
  <c r="V709" i="1"/>
  <c r="S710" i="1"/>
  <c r="AC710" i="1"/>
  <c r="W712" i="1"/>
  <c r="T713" i="1"/>
  <c r="AC713" i="1"/>
  <c r="W715" i="1"/>
  <c r="U716" i="1"/>
  <c r="AD716" i="1"/>
  <c r="X718" i="1"/>
  <c r="U719" i="1"/>
  <c r="AD719" i="1"/>
  <c r="V722" i="1"/>
  <c r="S723" i="1"/>
  <c r="AB723" i="1"/>
  <c r="V725" i="1"/>
  <c r="S726" i="1"/>
  <c r="AC726" i="1"/>
  <c r="W728" i="1"/>
  <c r="T729" i="1"/>
  <c r="AC729" i="1"/>
  <c r="W731" i="1"/>
  <c r="U732" i="1"/>
  <c r="AD732" i="1"/>
  <c r="X734" i="1"/>
  <c r="U735" i="1"/>
  <c r="AD735" i="1"/>
  <c r="V738" i="1"/>
  <c r="S739" i="1"/>
  <c r="AB739" i="1"/>
  <c r="V741" i="1"/>
  <c r="S742" i="1"/>
  <c r="AC742" i="1"/>
  <c r="W744" i="1"/>
  <c r="T745" i="1"/>
  <c r="AC745" i="1"/>
  <c r="W747" i="1"/>
  <c r="U748" i="1"/>
  <c r="AD748" i="1"/>
  <c r="X750" i="1"/>
  <c r="U751" i="1"/>
  <c r="AD751" i="1"/>
  <c r="V754" i="1"/>
  <c r="S755" i="1"/>
  <c r="AB755" i="1"/>
  <c r="V757" i="1"/>
  <c r="S758" i="1"/>
  <c r="AC758" i="1"/>
  <c r="W760" i="1"/>
  <c r="T761" i="1"/>
  <c r="AC761" i="1"/>
  <c r="W763" i="1"/>
  <c r="U764" i="1"/>
  <c r="AD764" i="1"/>
  <c r="X766" i="1"/>
  <c r="U767" i="1"/>
  <c r="AD767" i="1"/>
  <c r="V770" i="1"/>
  <c r="S771" i="1"/>
  <c r="AB771" i="1"/>
  <c r="V773" i="1"/>
  <c r="S774" i="1"/>
  <c r="AC774" i="1"/>
  <c r="W776" i="1"/>
  <c r="T777" i="1"/>
  <c r="AC777" i="1"/>
  <c r="W779" i="1"/>
  <c r="U780" i="1"/>
  <c r="AD780" i="1"/>
  <c r="X782" i="1"/>
  <c r="U783" i="1"/>
  <c r="AD783" i="1"/>
  <c r="V786" i="1"/>
  <c r="S787" i="1"/>
  <c r="AB787" i="1"/>
  <c r="V789" i="1"/>
  <c r="S790" i="1"/>
  <c r="AC790" i="1"/>
  <c r="W792" i="1"/>
  <c r="T793" i="1"/>
  <c r="AC793" i="1"/>
  <c r="W795" i="1"/>
  <c r="U796" i="1"/>
  <c r="AD796" i="1"/>
  <c r="X798" i="1"/>
  <c r="U799" i="1"/>
  <c r="AD799" i="1"/>
  <c r="V802" i="1"/>
  <c r="S803" i="1"/>
  <c r="AB803" i="1"/>
  <c r="V805" i="1"/>
  <c r="S806" i="1"/>
  <c r="AC806" i="1"/>
  <c r="W808" i="1"/>
  <c r="T809" i="1"/>
  <c r="AC809" i="1"/>
  <c r="T692" i="1"/>
  <c r="AC694" i="1"/>
  <c r="AB698" i="1"/>
  <c r="AD699" i="1"/>
  <c r="S701" i="1"/>
  <c r="AC701" i="1"/>
  <c r="AC702" i="1"/>
  <c r="AB703" i="1"/>
  <c r="W706" i="1"/>
  <c r="T707" i="1"/>
  <c r="AC707" i="1"/>
  <c r="W709" i="1"/>
  <c r="U710" i="1"/>
  <c r="AD710" i="1"/>
  <c r="X712" i="1"/>
  <c r="U713" i="1"/>
  <c r="AD713" i="1"/>
  <c r="V716" i="1"/>
  <c r="S717" i="1"/>
  <c r="AB717" i="1"/>
  <c r="V719" i="1"/>
  <c r="S720" i="1"/>
  <c r="AC720" i="1"/>
  <c r="W722" i="1"/>
  <c r="T723" i="1"/>
  <c r="AC723" i="1"/>
  <c r="W725" i="1"/>
  <c r="U726" i="1"/>
  <c r="AD726" i="1"/>
  <c r="X728" i="1"/>
  <c r="U729" i="1"/>
  <c r="AD729" i="1"/>
  <c r="V732" i="1"/>
  <c r="S733" i="1"/>
  <c r="AB733" i="1"/>
  <c r="V735" i="1"/>
  <c r="S736" i="1"/>
  <c r="AC736" i="1"/>
  <c r="W738" i="1"/>
  <c r="T739" i="1"/>
  <c r="AC739" i="1"/>
  <c r="W741" i="1"/>
  <c r="U742" i="1"/>
  <c r="AD742" i="1"/>
  <c r="X744" i="1"/>
  <c r="U745" i="1"/>
  <c r="AD745" i="1"/>
  <c r="V748" i="1"/>
  <c r="S749" i="1"/>
  <c r="AB749" i="1"/>
  <c r="V751" i="1"/>
  <c r="S752" i="1"/>
  <c r="AC752" i="1"/>
  <c r="W754" i="1"/>
  <c r="T755" i="1"/>
  <c r="AC755" i="1"/>
  <c r="W757" i="1"/>
  <c r="U758" i="1"/>
  <c r="AD758" i="1"/>
  <c r="X760" i="1"/>
  <c r="U761" i="1"/>
  <c r="AD761" i="1"/>
  <c r="V764" i="1"/>
  <c r="S765" i="1"/>
  <c r="AB765" i="1"/>
  <c r="V767" i="1"/>
  <c r="S768" i="1"/>
  <c r="AC768" i="1"/>
  <c r="W770" i="1"/>
  <c r="T771" i="1"/>
  <c r="AC771" i="1"/>
  <c r="W773" i="1"/>
  <c r="U774" i="1"/>
  <c r="AD774" i="1"/>
  <c r="X776" i="1"/>
  <c r="U777" i="1"/>
  <c r="AD777" i="1"/>
  <c r="V780" i="1"/>
  <c r="S781" i="1"/>
  <c r="AB781" i="1"/>
  <c r="V783" i="1"/>
  <c r="S784" i="1"/>
  <c r="AC784" i="1"/>
  <c r="W786" i="1"/>
  <c r="T787" i="1"/>
  <c r="AC787" i="1"/>
  <c r="W789" i="1"/>
  <c r="U790" i="1"/>
  <c r="AD790" i="1"/>
  <c r="X792" i="1"/>
  <c r="U793" i="1"/>
  <c r="AD793" i="1"/>
  <c r="V796" i="1"/>
  <c r="S797" i="1"/>
  <c r="AB797" i="1"/>
  <c r="V799" i="1"/>
  <c r="S800" i="1"/>
  <c r="AC800" i="1"/>
  <c r="W802" i="1"/>
  <c r="T803" i="1"/>
  <c r="AC803" i="1"/>
  <c r="W805" i="1"/>
  <c r="U806" i="1"/>
  <c r="AD806" i="1"/>
  <c r="X808" i="1"/>
  <c r="U809" i="1"/>
  <c r="AD809" i="1"/>
  <c r="V692" i="1"/>
  <c r="U695" i="1"/>
  <c r="AD698" i="1"/>
  <c r="U700" i="1"/>
  <c r="T701" i="1"/>
  <c r="AD701" i="1"/>
  <c r="S703" i="1"/>
  <c r="AC703" i="1"/>
  <c r="X706" i="1"/>
  <c r="U707" i="1"/>
  <c r="AD707" i="1"/>
  <c r="V710" i="1"/>
  <c r="S711" i="1"/>
  <c r="AB711" i="1"/>
  <c r="V713" i="1"/>
  <c r="S714" i="1"/>
  <c r="AC714" i="1"/>
  <c r="W716" i="1"/>
  <c r="T717" i="1"/>
  <c r="AC717" i="1"/>
  <c r="W719" i="1"/>
  <c r="U720" i="1"/>
  <c r="AD720" i="1"/>
  <c r="X722" i="1"/>
  <c r="U723" i="1"/>
  <c r="AD723" i="1"/>
  <c r="V726" i="1"/>
  <c r="S727" i="1"/>
  <c r="AB727" i="1"/>
  <c r="V729" i="1"/>
  <c r="S730" i="1"/>
  <c r="AC730" i="1"/>
  <c r="W732" i="1"/>
  <c r="T733" i="1"/>
  <c r="AC733" i="1"/>
  <c r="W735" i="1"/>
  <c r="U736" i="1"/>
  <c r="AD736" i="1"/>
  <c r="X738" i="1"/>
  <c r="U739" i="1"/>
  <c r="AD739" i="1"/>
  <c r="V742" i="1"/>
  <c r="S743" i="1"/>
  <c r="AB743" i="1"/>
  <c r="V745" i="1"/>
  <c r="S746" i="1"/>
  <c r="AC746" i="1"/>
  <c r="W748" i="1"/>
  <c r="T749" i="1"/>
  <c r="AC749" i="1"/>
  <c r="W751" i="1"/>
  <c r="U752" i="1"/>
  <c r="AD752" i="1"/>
  <c r="X754" i="1"/>
  <c r="U755" i="1"/>
  <c r="AD755" i="1"/>
  <c r="V758" i="1"/>
  <c r="S759" i="1"/>
  <c r="AB759" i="1"/>
  <c r="V761" i="1"/>
  <c r="S762" i="1"/>
  <c r="AC762" i="1"/>
  <c r="W764" i="1"/>
  <c r="T765" i="1"/>
  <c r="AC765" i="1"/>
  <c r="W767" i="1"/>
  <c r="U768" i="1"/>
  <c r="AD768" i="1"/>
  <c r="X770" i="1"/>
  <c r="U771" i="1"/>
  <c r="AD771" i="1"/>
  <c r="V774" i="1"/>
  <c r="S775" i="1"/>
  <c r="AB775" i="1"/>
  <c r="V777" i="1"/>
  <c r="S778" i="1"/>
  <c r="AC778" i="1"/>
  <c r="W780" i="1"/>
  <c r="T781" i="1"/>
  <c r="AC781" i="1"/>
  <c r="W783" i="1"/>
  <c r="U784" i="1"/>
  <c r="AD784" i="1"/>
  <c r="X786" i="1"/>
  <c r="U787" i="1"/>
  <c r="AD787" i="1"/>
  <c r="V790" i="1"/>
  <c r="S791" i="1"/>
  <c r="AB791" i="1"/>
  <c r="V793" i="1"/>
  <c r="S794" i="1"/>
  <c r="AC794" i="1"/>
  <c r="W796" i="1"/>
  <c r="T797" i="1"/>
  <c r="AC797" i="1"/>
  <c r="W799" i="1"/>
  <c r="U800" i="1"/>
  <c r="AD800" i="1"/>
  <c r="X802" i="1"/>
  <c r="U803" i="1"/>
  <c r="AD803" i="1"/>
  <c r="V806" i="1"/>
  <c r="S807" i="1"/>
  <c r="AB807" i="1"/>
  <c r="V809" i="1"/>
  <c r="S810" i="1"/>
  <c r="AC810" i="1"/>
  <c r="W812" i="1"/>
  <c r="T813" i="1"/>
  <c r="AC813" i="1"/>
  <c r="W815" i="1"/>
  <c r="U816" i="1"/>
  <c r="AD816" i="1"/>
  <c r="X818" i="1"/>
  <c r="U819" i="1"/>
  <c r="AD819" i="1"/>
  <c r="U689" i="1"/>
  <c r="S691" i="1"/>
  <c r="X695" i="1"/>
  <c r="S698" i="1"/>
  <c r="S699" i="1"/>
  <c r="W700" i="1"/>
  <c r="U701" i="1"/>
  <c r="U702" i="1"/>
  <c r="T703" i="1"/>
  <c r="AD703" i="1"/>
  <c r="AC704" i="1"/>
  <c r="V707" i="1"/>
  <c r="S708" i="1"/>
  <c r="AC708" i="1"/>
  <c r="W710" i="1"/>
  <c r="T711" i="1"/>
  <c r="AC711" i="1"/>
  <c r="W713" i="1"/>
  <c r="U714" i="1"/>
  <c r="AD714" i="1"/>
  <c r="X716" i="1"/>
  <c r="U717" i="1"/>
  <c r="AD717" i="1"/>
  <c r="V720" i="1"/>
  <c r="S721" i="1"/>
  <c r="AB721" i="1"/>
  <c r="V723" i="1"/>
  <c r="S724" i="1"/>
  <c r="AC724" i="1"/>
  <c r="W726" i="1"/>
  <c r="T727" i="1"/>
  <c r="AC727" i="1"/>
  <c r="W729" i="1"/>
  <c r="U730" i="1"/>
  <c r="AD730" i="1"/>
  <c r="X732" i="1"/>
  <c r="U733" i="1"/>
  <c r="AD733" i="1"/>
  <c r="V736" i="1"/>
  <c r="S737" i="1"/>
  <c r="AB737" i="1"/>
  <c r="V739" i="1"/>
  <c r="S740" i="1"/>
  <c r="AC740" i="1"/>
  <c r="W742" i="1"/>
  <c r="T743" i="1"/>
  <c r="AC743" i="1"/>
  <c r="W745" i="1"/>
  <c r="U746" i="1"/>
  <c r="AD746" i="1"/>
  <c r="X748" i="1"/>
  <c r="U749" i="1"/>
  <c r="AD749" i="1"/>
  <c r="V752" i="1"/>
  <c r="S753" i="1"/>
  <c r="AB753" i="1"/>
  <c r="V755" i="1"/>
  <c r="S756" i="1"/>
  <c r="AC756" i="1"/>
  <c r="W758" i="1"/>
  <c r="T759" i="1"/>
  <c r="AC759" i="1"/>
  <c r="W761" i="1"/>
  <c r="U762" i="1"/>
  <c r="AD762" i="1"/>
  <c r="X764" i="1"/>
  <c r="U765" i="1"/>
  <c r="AD765" i="1"/>
  <c r="V768" i="1"/>
  <c r="S769" i="1"/>
  <c r="AB769" i="1"/>
  <c r="V771" i="1"/>
  <c r="S772" i="1"/>
  <c r="AC772" i="1"/>
  <c r="W774" i="1"/>
  <c r="T775" i="1"/>
  <c r="AC775" i="1"/>
  <c r="W777" i="1"/>
  <c r="U778" i="1"/>
  <c r="AD778" i="1"/>
  <c r="W691" i="1"/>
  <c r="AD693" i="1"/>
  <c r="AB696" i="1"/>
  <c r="U698" i="1"/>
  <c r="V699" i="1"/>
  <c r="X700" i="1"/>
  <c r="V701" i="1"/>
  <c r="W702" i="1"/>
  <c r="U703" i="1"/>
  <c r="U704" i="1"/>
  <c r="AD704" i="1"/>
  <c r="AB705" i="1"/>
  <c r="W707" i="1"/>
  <c r="U708" i="1"/>
  <c r="AD708" i="1"/>
  <c r="X710" i="1"/>
  <c r="U711" i="1"/>
  <c r="AD711" i="1"/>
  <c r="V714" i="1"/>
  <c r="S715" i="1"/>
  <c r="AB715" i="1"/>
  <c r="V717" i="1"/>
  <c r="S718" i="1"/>
  <c r="AC718" i="1"/>
  <c r="W720" i="1"/>
  <c r="T721" i="1"/>
  <c r="AC721" i="1"/>
  <c r="W723" i="1"/>
  <c r="U724" i="1"/>
  <c r="AD724" i="1"/>
  <c r="X726" i="1"/>
  <c r="U727" i="1"/>
  <c r="AD727" i="1"/>
  <c r="V730" i="1"/>
  <c r="S731" i="1"/>
  <c r="AB731" i="1"/>
  <c r="V733" i="1"/>
  <c r="S734" i="1"/>
  <c r="AC734" i="1"/>
  <c r="W736" i="1"/>
  <c r="T737" i="1"/>
  <c r="AC737" i="1"/>
  <c r="W739" i="1"/>
  <c r="U740" i="1"/>
  <c r="AD740" i="1"/>
  <c r="X742" i="1"/>
  <c r="U743" i="1"/>
  <c r="AD743" i="1"/>
  <c r="V746" i="1"/>
  <c r="S747" i="1"/>
  <c r="AB747" i="1"/>
  <c r="V749" i="1"/>
  <c r="S750" i="1"/>
  <c r="AC750" i="1"/>
  <c r="W752" i="1"/>
  <c r="T753" i="1"/>
  <c r="AC753" i="1"/>
  <c r="W755" i="1"/>
  <c r="U756" i="1"/>
  <c r="AD756" i="1"/>
  <c r="X758" i="1"/>
  <c r="U759" i="1"/>
  <c r="AD759" i="1"/>
  <c r="V762" i="1"/>
  <c r="S763" i="1"/>
  <c r="AB763" i="1"/>
  <c r="V765" i="1"/>
  <c r="S766" i="1"/>
  <c r="AC766" i="1"/>
  <c r="W768" i="1"/>
  <c r="T769" i="1"/>
  <c r="AC769" i="1"/>
  <c r="W771" i="1"/>
  <c r="U772" i="1"/>
  <c r="AD772" i="1"/>
  <c r="X774" i="1"/>
  <c r="U775" i="1"/>
  <c r="AD775" i="1"/>
  <c r="V778" i="1"/>
  <c r="S779" i="1"/>
  <c r="AB779" i="1"/>
  <c r="V781" i="1"/>
  <c r="S782" i="1"/>
  <c r="AC782" i="1"/>
  <c r="W784" i="1"/>
  <c r="T785" i="1"/>
  <c r="AC785" i="1"/>
  <c r="W787" i="1"/>
  <c r="U788" i="1"/>
  <c r="AD788" i="1"/>
  <c r="X790" i="1"/>
  <c r="U791" i="1"/>
  <c r="AD791" i="1"/>
  <c r="V794" i="1"/>
  <c r="S795" i="1"/>
  <c r="AB795" i="1"/>
  <c r="V797" i="1"/>
  <c r="S798" i="1"/>
  <c r="AC798" i="1"/>
  <c r="W800" i="1"/>
  <c r="T801" i="1"/>
  <c r="AC801" i="1"/>
  <c r="W803" i="1"/>
  <c r="U804" i="1"/>
  <c r="AD804" i="1"/>
  <c r="X806" i="1"/>
  <c r="U807" i="1"/>
  <c r="AD807" i="1"/>
  <c r="V694" i="1"/>
  <c r="U697" i="1"/>
  <c r="V698" i="1"/>
  <c r="X702" i="1"/>
  <c r="V703" i="1"/>
  <c r="V704" i="1"/>
  <c r="S705" i="1"/>
  <c r="AC705" i="1"/>
  <c r="V708" i="1"/>
  <c r="S709" i="1"/>
  <c r="AB709" i="1"/>
  <c r="V711" i="1"/>
  <c r="S712" i="1"/>
  <c r="AC712" i="1"/>
  <c r="W714" i="1"/>
  <c r="T715" i="1"/>
  <c r="AC715" i="1"/>
  <c r="W717" i="1"/>
  <c r="U718" i="1"/>
  <c r="AD718" i="1"/>
  <c r="X720" i="1"/>
  <c r="U721" i="1"/>
  <c r="AD721" i="1"/>
  <c r="V724" i="1"/>
  <c r="S725" i="1"/>
  <c r="AB725" i="1"/>
  <c r="V727" i="1"/>
  <c r="S728" i="1"/>
  <c r="AC728" i="1"/>
  <c r="W730" i="1"/>
  <c r="T731" i="1"/>
  <c r="AC731" i="1"/>
  <c r="W733" i="1"/>
  <c r="U734" i="1"/>
  <c r="AD734" i="1"/>
  <c r="X736" i="1"/>
  <c r="U737" i="1"/>
  <c r="AD737" i="1"/>
  <c r="V740" i="1"/>
  <c r="S741" i="1"/>
  <c r="AB741" i="1"/>
  <c r="V743" i="1"/>
  <c r="S744" i="1"/>
  <c r="AC744" i="1"/>
  <c r="W746" i="1"/>
  <c r="T747" i="1"/>
  <c r="AC747" i="1"/>
  <c r="W749" i="1"/>
  <c r="U750" i="1"/>
  <c r="AD750" i="1"/>
  <c r="X752" i="1"/>
  <c r="U753" i="1"/>
  <c r="AD753" i="1"/>
  <c r="V756" i="1"/>
  <c r="S757" i="1"/>
  <c r="AB757" i="1"/>
  <c r="V759" i="1"/>
  <c r="S760" i="1"/>
  <c r="AC760" i="1"/>
  <c r="W762" i="1"/>
  <c r="T763" i="1"/>
  <c r="AC763" i="1"/>
  <c r="W765" i="1"/>
  <c r="U766" i="1"/>
  <c r="AD766" i="1"/>
  <c r="X768" i="1"/>
  <c r="U769" i="1"/>
  <c r="AD769" i="1"/>
  <c r="V772" i="1"/>
  <c r="S773" i="1"/>
  <c r="AB773" i="1"/>
  <c r="V775" i="1"/>
  <c r="S776" i="1"/>
  <c r="AC776" i="1"/>
  <c r="W778" i="1"/>
  <c r="T779" i="1"/>
  <c r="AC779" i="1"/>
  <c r="W781" i="1"/>
  <c r="U782" i="1"/>
  <c r="AD782" i="1"/>
  <c r="X784" i="1"/>
  <c r="U785" i="1"/>
  <c r="AD785" i="1"/>
  <c r="V788" i="1"/>
  <c r="S789" i="1"/>
  <c r="AB789" i="1"/>
  <c r="V791" i="1"/>
  <c r="S792" i="1"/>
  <c r="AC792" i="1"/>
  <c r="W794" i="1"/>
  <c r="T795" i="1"/>
  <c r="AC795" i="1"/>
  <c r="W797" i="1"/>
  <c r="U798" i="1"/>
  <c r="AD798" i="1"/>
  <c r="X800" i="1"/>
  <c r="U801" i="1"/>
  <c r="AD801" i="1"/>
  <c r="V804" i="1"/>
  <c r="S805" i="1"/>
  <c r="AB805" i="1"/>
  <c r="V807" i="1"/>
  <c r="S808" i="1"/>
  <c r="AC808" i="1"/>
  <c r="AC692" i="1"/>
  <c r="W697" i="1"/>
  <c r="W704" i="1"/>
  <c r="T705" i="1"/>
  <c r="AD705" i="1"/>
  <c r="AC706" i="1"/>
  <c r="W708" i="1"/>
  <c r="T709" i="1"/>
  <c r="AC709" i="1"/>
  <c r="W711" i="1"/>
  <c r="U712" i="1"/>
  <c r="AD712" i="1"/>
  <c r="X714" i="1"/>
  <c r="U715" i="1"/>
  <c r="AD715" i="1"/>
  <c r="V718" i="1"/>
  <c r="S719" i="1"/>
  <c r="AB719" i="1"/>
  <c r="V721" i="1"/>
  <c r="S722" i="1"/>
  <c r="AC722" i="1"/>
  <c r="W724" i="1"/>
  <c r="T725" i="1"/>
  <c r="AC725" i="1"/>
  <c r="W727" i="1"/>
  <c r="U728" i="1"/>
  <c r="AD728" i="1"/>
  <c r="X730" i="1"/>
  <c r="U731" i="1"/>
  <c r="AD731" i="1"/>
  <c r="V734" i="1"/>
  <c r="S735" i="1"/>
  <c r="AB735" i="1"/>
  <c r="V737" i="1"/>
  <c r="S738" i="1"/>
  <c r="AC738" i="1"/>
  <c r="W740" i="1"/>
  <c r="T741" i="1"/>
  <c r="AC741" i="1"/>
  <c r="W743" i="1"/>
  <c r="U744" i="1"/>
  <c r="AD744" i="1"/>
  <c r="X746" i="1"/>
  <c r="U747" i="1"/>
  <c r="AD747" i="1"/>
  <c r="V750" i="1"/>
  <c r="S751" i="1"/>
  <c r="AB751" i="1"/>
  <c r="V753" i="1"/>
  <c r="S754" i="1"/>
  <c r="AC754" i="1"/>
  <c r="W756" i="1"/>
  <c r="T757" i="1"/>
  <c r="AC757" i="1"/>
  <c r="W759" i="1"/>
  <c r="U760" i="1"/>
  <c r="AD760" i="1"/>
  <c r="X762" i="1"/>
  <c r="U763" i="1"/>
  <c r="AD763" i="1"/>
  <c r="V766" i="1"/>
  <c r="S767" i="1"/>
  <c r="AB767" i="1"/>
  <c r="V769" i="1"/>
  <c r="S770" i="1"/>
  <c r="AC770" i="1"/>
  <c r="W772" i="1"/>
  <c r="T773" i="1"/>
  <c r="AC773" i="1"/>
  <c r="W775" i="1"/>
  <c r="U776" i="1"/>
  <c r="AD776" i="1"/>
  <c r="X778" i="1"/>
  <c r="U779" i="1"/>
  <c r="AD779" i="1"/>
  <c r="V782" i="1"/>
  <c r="S783" i="1"/>
  <c r="AB783" i="1"/>
  <c r="V785" i="1"/>
  <c r="S786" i="1"/>
  <c r="AC786" i="1"/>
  <c r="W788" i="1"/>
  <c r="T789" i="1"/>
  <c r="AC789" i="1"/>
  <c r="W791" i="1"/>
  <c r="U792" i="1"/>
  <c r="AD792" i="1"/>
  <c r="X794" i="1"/>
  <c r="U795" i="1"/>
  <c r="AD795" i="1"/>
  <c r="V798" i="1"/>
  <c r="S799" i="1"/>
  <c r="AB799" i="1"/>
  <c r="V801" i="1"/>
  <c r="S802" i="1"/>
  <c r="AC802" i="1"/>
  <c r="W804" i="1"/>
  <c r="T805" i="1"/>
  <c r="AC805" i="1"/>
  <c r="W807" i="1"/>
  <c r="U808" i="1"/>
  <c r="AD808" i="1"/>
  <c r="X810" i="1"/>
  <c r="U811" i="1"/>
  <c r="AD811" i="1"/>
  <c r="U781" i="1"/>
  <c r="AD810" i="1"/>
  <c r="AC811" i="1"/>
  <c r="S813" i="1"/>
  <c r="AD813" i="1"/>
  <c r="X816" i="1"/>
  <c r="V817" i="1"/>
  <c r="S818" i="1"/>
  <c r="AD818" i="1"/>
  <c r="AB819" i="1"/>
  <c r="W821" i="1"/>
  <c r="U822" i="1"/>
  <c r="AD822" i="1"/>
  <c r="X824" i="1"/>
  <c r="U825" i="1"/>
  <c r="AD825" i="1"/>
  <c r="V828" i="1"/>
  <c r="S829" i="1"/>
  <c r="AB829" i="1"/>
  <c r="V831" i="1"/>
  <c r="S832" i="1"/>
  <c r="AC832" i="1"/>
  <c r="W834" i="1"/>
  <c r="T835" i="1"/>
  <c r="AC835" i="1"/>
  <c r="W837" i="1"/>
  <c r="U838" i="1"/>
  <c r="AD838" i="1"/>
  <c r="X840" i="1"/>
  <c r="U841" i="1"/>
  <c r="AD841" i="1"/>
  <c r="V844" i="1"/>
  <c r="S845" i="1"/>
  <c r="AB845" i="1"/>
  <c r="V847" i="1"/>
  <c r="S848" i="1"/>
  <c r="AC848" i="1"/>
  <c r="W850" i="1"/>
  <c r="T851" i="1"/>
  <c r="AC851" i="1"/>
  <c r="W853" i="1"/>
  <c r="U854" i="1"/>
  <c r="AD854" i="1"/>
  <c r="X856" i="1"/>
  <c r="U857" i="1"/>
  <c r="AD857" i="1"/>
  <c r="V860" i="1"/>
  <c r="S861" i="1"/>
  <c r="AB861" i="1"/>
  <c r="V863" i="1"/>
  <c r="S864" i="1"/>
  <c r="AC864" i="1"/>
  <c r="W866" i="1"/>
  <c r="T867" i="1"/>
  <c r="AC867" i="1"/>
  <c r="W869" i="1"/>
  <c r="U870" i="1"/>
  <c r="AD870" i="1"/>
  <c r="X872" i="1"/>
  <c r="U873" i="1"/>
  <c r="AD873" i="1"/>
  <c r="V876" i="1"/>
  <c r="S877" i="1"/>
  <c r="AB877" i="1"/>
  <c r="V879" i="1"/>
  <c r="S880" i="1"/>
  <c r="AC880" i="1"/>
  <c r="W882" i="1"/>
  <c r="T883" i="1"/>
  <c r="AC883" i="1"/>
  <c r="W885" i="1"/>
  <c r="U886" i="1"/>
  <c r="AD886" i="1"/>
  <c r="X888" i="1"/>
  <c r="U889" i="1"/>
  <c r="AD889" i="1"/>
  <c r="V892" i="1"/>
  <c r="S893" i="1"/>
  <c r="AB893" i="1"/>
  <c r="V895" i="1"/>
  <c r="S896" i="1"/>
  <c r="AC896" i="1"/>
  <c r="S811" i="1"/>
  <c r="U812" i="1"/>
  <c r="U813" i="1"/>
  <c r="S814" i="1"/>
  <c r="AC814" i="1"/>
  <c r="W817" i="1"/>
  <c r="U818" i="1"/>
  <c r="S819" i="1"/>
  <c r="AC819" i="1"/>
  <c r="V822" i="1"/>
  <c r="S823" i="1"/>
  <c r="AB823" i="1"/>
  <c r="V825" i="1"/>
  <c r="S826" i="1"/>
  <c r="AC826" i="1"/>
  <c r="W828" i="1"/>
  <c r="T829" i="1"/>
  <c r="AC829" i="1"/>
  <c r="W831" i="1"/>
  <c r="U832" i="1"/>
  <c r="AD832" i="1"/>
  <c r="X834" i="1"/>
  <c r="U835" i="1"/>
  <c r="AD835" i="1"/>
  <c r="V838" i="1"/>
  <c r="S839" i="1"/>
  <c r="AB839" i="1"/>
  <c r="V841" i="1"/>
  <c r="S842" i="1"/>
  <c r="AC842" i="1"/>
  <c r="W844" i="1"/>
  <c r="T845" i="1"/>
  <c r="AC845" i="1"/>
  <c r="W847" i="1"/>
  <c r="U848" i="1"/>
  <c r="AD848" i="1"/>
  <c r="X850" i="1"/>
  <c r="U851" i="1"/>
  <c r="AD851" i="1"/>
  <c r="V854" i="1"/>
  <c r="S855" i="1"/>
  <c r="AB855" i="1"/>
  <c r="V857" i="1"/>
  <c r="S858" i="1"/>
  <c r="AC858" i="1"/>
  <c r="W860" i="1"/>
  <c r="T861" i="1"/>
  <c r="AC861" i="1"/>
  <c r="W863" i="1"/>
  <c r="U864" i="1"/>
  <c r="AD864" i="1"/>
  <c r="X866" i="1"/>
  <c r="U867" i="1"/>
  <c r="AD867" i="1"/>
  <c r="V870" i="1"/>
  <c r="S871" i="1"/>
  <c r="AB871" i="1"/>
  <c r="V873" i="1"/>
  <c r="S874" i="1"/>
  <c r="AC874" i="1"/>
  <c r="W876" i="1"/>
  <c r="T877" i="1"/>
  <c r="AC877" i="1"/>
  <c r="W879" i="1"/>
  <c r="U880" i="1"/>
  <c r="AD880" i="1"/>
  <c r="X882" i="1"/>
  <c r="U883" i="1"/>
  <c r="AD883" i="1"/>
  <c r="V886" i="1"/>
  <c r="S887" i="1"/>
  <c r="AB887" i="1"/>
  <c r="V889" i="1"/>
  <c r="S890" i="1"/>
  <c r="AC890" i="1"/>
  <c r="W892" i="1"/>
  <c r="T893" i="1"/>
  <c r="AC893" i="1"/>
  <c r="W895" i="1"/>
  <c r="U896" i="1"/>
  <c r="AD896" i="1"/>
  <c r="X898" i="1"/>
  <c r="U899" i="1"/>
  <c r="AD899" i="1"/>
  <c r="V902" i="1"/>
  <c r="S903" i="1"/>
  <c r="AB903" i="1"/>
  <c r="V905" i="1"/>
  <c r="S906" i="1"/>
  <c r="AC906" i="1"/>
  <c r="V908" i="1"/>
  <c r="AD908" i="1"/>
  <c r="V910" i="1"/>
  <c r="AD910" i="1"/>
  <c r="V800" i="1"/>
  <c r="AB801" i="1"/>
  <c r="S804" i="1"/>
  <c r="W806" i="1"/>
  <c r="AC807" i="1"/>
  <c r="U810" i="1"/>
  <c r="T811" i="1"/>
  <c r="V812" i="1"/>
  <c r="V813" i="1"/>
  <c r="U814" i="1"/>
  <c r="AD814" i="1"/>
  <c r="AB815" i="1"/>
  <c r="V818" i="1"/>
  <c r="T819" i="1"/>
  <c r="S820" i="1"/>
  <c r="AC820" i="1"/>
  <c r="W822" i="1"/>
  <c r="T823" i="1"/>
  <c r="AC823" i="1"/>
  <c r="W825" i="1"/>
  <c r="U826" i="1"/>
  <c r="AD826" i="1"/>
  <c r="X828" i="1"/>
  <c r="U829" i="1"/>
  <c r="AD829" i="1"/>
  <c r="V832" i="1"/>
  <c r="S833" i="1"/>
  <c r="AB833" i="1"/>
  <c r="V835" i="1"/>
  <c r="S836" i="1"/>
  <c r="AC836" i="1"/>
  <c r="W838" i="1"/>
  <c r="T839" i="1"/>
  <c r="AC839" i="1"/>
  <c r="W841" i="1"/>
  <c r="U842" i="1"/>
  <c r="AD842" i="1"/>
  <c r="X844" i="1"/>
  <c r="U845" i="1"/>
  <c r="AD845" i="1"/>
  <c r="V848" i="1"/>
  <c r="S849" i="1"/>
  <c r="AB849" i="1"/>
  <c r="V851" i="1"/>
  <c r="S852" i="1"/>
  <c r="AC852" i="1"/>
  <c r="W854" i="1"/>
  <c r="T855" i="1"/>
  <c r="AC855" i="1"/>
  <c r="W857" i="1"/>
  <c r="U858" i="1"/>
  <c r="AD858" i="1"/>
  <c r="X860" i="1"/>
  <c r="U861" i="1"/>
  <c r="AD861" i="1"/>
  <c r="V864" i="1"/>
  <c r="S865" i="1"/>
  <c r="AB865" i="1"/>
  <c r="V867" i="1"/>
  <c r="S868" i="1"/>
  <c r="AC868" i="1"/>
  <c r="W870" i="1"/>
  <c r="T871" i="1"/>
  <c r="AC871" i="1"/>
  <c r="W873" i="1"/>
  <c r="U874" i="1"/>
  <c r="AD874" i="1"/>
  <c r="X876" i="1"/>
  <c r="U877" i="1"/>
  <c r="AD877" i="1"/>
  <c r="V880" i="1"/>
  <c r="S881" i="1"/>
  <c r="AB881" i="1"/>
  <c r="V883" i="1"/>
  <c r="S884" i="1"/>
  <c r="AC884" i="1"/>
  <c r="W886" i="1"/>
  <c r="T887" i="1"/>
  <c r="AC887" i="1"/>
  <c r="W889" i="1"/>
  <c r="U890" i="1"/>
  <c r="AD890" i="1"/>
  <c r="X892" i="1"/>
  <c r="U893" i="1"/>
  <c r="AD893" i="1"/>
  <c r="V896" i="1"/>
  <c r="S897" i="1"/>
  <c r="AB897" i="1"/>
  <c r="V899" i="1"/>
  <c r="S900" i="1"/>
  <c r="AC900" i="1"/>
  <c r="V784" i="1"/>
  <c r="AB785" i="1"/>
  <c r="S788" i="1"/>
  <c r="W790" i="1"/>
  <c r="AC791" i="1"/>
  <c r="U794" i="1"/>
  <c r="X796" i="1"/>
  <c r="AD797" i="1"/>
  <c r="V810" i="1"/>
  <c r="W811" i="1"/>
  <c r="X812" i="1"/>
  <c r="W813" i="1"/>
  <c r="V814" i="1"/>
  <c r="S815" i="1"/>
  <c r="AC815" i="1"/>
  <c r="W818" i="1"/>
  <c r="V819" i="1"/>
  <c r="U820" i="1"/>
  <c r="AD820" i="1"/>
  <c r="X822" i="1"/>
  <c r="U823" i="1"/>
  <c r="AD823" i="1"/>
  <c r="V826" i="1"/>
  <c r="S827" i="1"/>
  <c r="AB827" i="1"/>
  <c r="V829" i="1"/>
  <c r="S830" i="1"/>
  <c r="AC830" i="1"/>
  <c r="W832" i="1"/>
  <c r="T833" i="1"/>
  <c r="AC833" i="1"/>
  <c r="W835" i="1"/>
  <c r="U836" i="1"/>
  <c r="AD836" i="1"/>
  <c r="X838" i="1"/>
  <c r="U839" i="1"/>
  <c r="AD839" i="1"/>
  <c r="V842" i="1"/>
  <c r="S843" i="1"/>
  <c r="AB843" i="1"/>
  <c r="V845" i="1"/>
  <c r="S846" i="1"/>
  <c r="AC846" i="1"/>
  <c r="W848" i="1"/>
  <c r="T849" i="1"/>
  <c r="AC849" i="1"/>
  <c r="W851" i="1"/>
  <c r="U852" i="1"/>
  <c r="AD852" i="1"/>
  <c r="X854" i="1"/>
  <c r="U855" i="1"/>
  <c r="AD855" i="1"/>
  <c r="V858" i="1"/>
  <c r="S859" i="1"/>
  <c r="AB859" i="1"/>
  <c r="V861" i="1"/>
  <c r="S862" i="1"/>
  <c r="AC862" i="1"/>
  <c r="W864" i="1"/>
  <c r="T865" i="1"/>
  <c r="AC865" i="1"/>
  <c r="W867" i="1"/>
  <c r="U868" i="1"/>
  <c r="AD868" i="1"/>
  <c r="X870" i="1"/>
  <c r="U871" i="1"/>
  <c r="AD871" i="1"/>
  <c r="V874" i="1"/>
  <c r="S875" i="1"/>
  <c r="AB875" i="1"/>
  <c r="V877" i="1"/>
  <c r="S878" i="1"/>
  <c r="AC878" i="1"/>
  <c r="W880" i="1"/>
  <c r="T881" i="1"/>
  <c r="AC881" i="1"/>
  <c r="W883" i="1"/>
  <c r="U884" i="1"/>
  <c r="AD884" i="1"/>
  <c r="X886" i="1"/>
  <c r="U887" i="1"/>
  <c r="AD887" i="1"/>
  <c r="V890" i="1"/>
  <c r="S891" i="1"/>
  <c r="AB891" i="1"/>
  <c r="V893" i="1"/>
  <c r="S894" i="1"/>
  <c r="AC894" i="1"/>
  <c r="W896" i="1"/>
  <c r="T897" i="1"/>
  <c r="AC897" i="1"/>
  <c r="W899" i="1"/>
  <c r="U900" i="1"/>
  <c r="AD900" i="1"/>
  <c r="X902" i="1"/>
  <c r="U903" i="1"/>
  <c r="AD903" i="1"/>
  <c r="V906" i="1"/>
  <c r="S907" i="1"/>
  <c r="AB907" i="1"/>
  <c r="X908" i="1"/>
  <c r="T909" i="1"/>
  <c r="AB909" i="1"/>
  <c r="X910" i="1"/>
  <c r="T911" i="1"/>
  <c r="AB911" i="1"/>
  <c r="X912" i="1"/>
  <c r="T913" i="1"/>
  <c r="AB913" i="1"/>
  <c r="X914" i="1"/>
  <c r="T915" i="1"/>
  <c r="AB915" i="1"/>
  <c r="X916" i="1"/>
  <c r="T917" i="1"/>
  <c r="AB917" i="1"/>
  <c r="X918" i="1"/>
  <c r="T919" i="1"/>
  <c r="AB919" i="1"/>
  <c r="X920" i="1"/>
  <c r="T921" i="1"/>
  <c r="AB921" i="1"/>
  <c r="X922" i="1"/>
  <c r="T923" i="1"/>
  <c r="AB923" i="1"/>
  <c r="X924" i="1"/>
  <c r="T925" i="1"/>
  <c r="AB925" i="1"/>
  <c r="X926" i="1"/>
  <c r="T927" i="1"/>
  <c r="AB927" i="1"/>
  <c r="X928" i="1"/>
  <c r="T929" i="1"/>
  <c r="AB929" i="1"/>
  <c r="X930" i="1"/>
  <c r="T931" i="1"/>
  <c r="AB931" i="1"/>
  <c r="X932" i="1"/>
  <c r="T933" i="1"/>
  <c r="AB933" i="1"/>
  <c r="X934" i="1"/>
  <c r="T935" i="1"/>
  <c r="AB935" i="1"/>
  <c r="X936" i="1"/>
  <c r="T937" i="1"/>
  <c r="AB937" i="1"/>
  <c r="X938" i="1"/>
  <c r="T939" i="1"/>
  <c r="AB939" i="1"/>
  <c r="X940" i="1"/>
  <c r="T941" i="1"/>
  <c r="AB941" i="1"/>
  <c r="X942" i="1"/>
  <c r="T943" i="1"/>
  <c r="AB943" i="1"/>
  <c r="X944" i="1"/>
  <c r="T945" i="1"/>
  <c r="AB945" i="1"/>
  <c r="X946" i="1"/>
  <c r="T947" i="1"/>
  <c r="AB947" i="1"/>
  <c r="X948" i="1"/>
  <c r="T949" i="1"/>
  <c r="AB949" i="1"/>
  <c r="X950" i="1"/>
  <c r="T951" i="1"/>
  <c r="AB951" i="1"/>
  <c r="X952" i="1"/>
  <c r="T953" i="1"/>
  <c r="AB953" i="1"/>
  <c r="X954" i="1"/>
  <c r="T955" i="1"/>
  <c r="AB955" i="1"/>
  <c r="X956" i="1"/>
  <c r="T957" i="1"/>
  <c r="AB957" i="1"/>
  <c r="X958" i="1"/>
  <c r="T959" i="1"/>
  <c r="AB959" i="1"/>
  <c r="X960" i="1"/>
  <c r="T961" i="1"/>
  <c r="AB961" i="1"/>
  <c r="X962" i="1"/>
  <c r="T963" i="1"/>
  <c r="AB963" i="1"/>
  <c r="X964" i="1"/>
  <c r="T965" i="1"/>
  <c r="AB965" i="1"/>
  <c r="X966" i="1"/>
  <c r="T967" i="1"/>
  <c r="AB967" i="1"/>
  <c r="X968" i="1"/>
  <c r="T969" i="1"/>
  <c r="AB969" i="1"/>
  <c r="X970" i="1"/>
  <c r="T971" i="1"/>
  <c r="AB971" i="1"/>
  <c r="X972" i="1"/>
  <c r="T973" i="1"/>
  <c r="AB973" i="1"/>
  <c r="X974" i="1"/>
  <c r="T975" i="1"/>
  <c r="AB975" i="1"/>
  <c r="X976" i="1"/>
  <c r="T977" i="1"/>
  <c r="AB977" i="1"/>
  <c r="X978" i="1"/>
  <c r="T979" i="1"/>
  <c r="AB979" i="1"/>
  <c r="X980" i="1"/>
  <c r="T981" i="1"/>
  <c r="AB981" i="1"/>
  <c r="X982" i="1"/>
  <c r="T983" i="1"/>
  <c r="AB983" i="1"/>
  <c r="X984" i="1"/>
  <c r="T985" i="1"/>
  <c r="AB985" i="1"/>
  <c r="X986" i="1"/>
  <c r="T987" i="1"/>
  <c r="AB987" i="1"/>
  <c r="X988" i="1"/>
  <c r="T989" i="1"/>
  <c r="AB989" i="1"/>
  <c r="X990" i="1"/>
  <c r="T991" i="1"/>
  <c r="AB991" i="1"/>
  <c r="X992" i="1"/>
  <c r="T993" i="1"/>
  <c r="AB993" i="1"/>
  <c r="X994" i="1"/>
  <c r="T995" i="1"/>
  <c r="AB995" i="1"/>
  <c r="X996" i="1"/>
  <c r="T997" i="1"/>
  <c r="AB997" i="1"/>
  <c r="X998" i="1"/>
  <c r="T999" i="1"/>
  <c r="AB999" i="1"/>
  <c r="X1000" i="1"/>
  <c r="T1001" i="1"/>
  <c r="AB1001" i="1"/>
  <c r="X1002" i="1"/>
  <c r="T1003" i="1"/>
  <c r="AB1003" i="1"/>
  <c r="X1004" i="1"/>
  <c r="T1005" i="1"/>
  <c r="AB1005" i="1"/>
  <c r="X1006" i="1"/>
  <c r="T1007" i="1"/>
  <c r="AB1007" i="1"/>
  <c r="X1008" i="1"/>
  <c r="T1009" i="1"/>
  <c r="AB1009" i="1"/>
  <c r="X1010" i="1"/>
  <c r="T1011" i="1"/>
  <c r="AB1011" i="1"/>
  <c r="X1012" i="1"/>
  <c r="T1013" i="1"/>
  <c r="AB1013" i="1"/>
  <c r="X1014" i="1"/>
  <c r="T1015" i="1"/>
  <c r="AB1015" i="1"/>
  <c r="X1016" i="1"/>
  <c r="T1017" i="1"/>
  <c r="AB1017" i="1"/>
  <c r="X1018" i="1"/>
  <c r="T1019" i="1"/>
  <c r="AB1019" i="1"/>
  <c r="X1020" i="1"/>
  <c r="T1021" i="1"/>
  <c r="AB1021" i="1"/>
  <c r="X1022" i="1"/>
  <c r="T1023" i="1"/>
  <c r="AB1023" i="1"/>
  <c r="X1024" i="1"/>
  <c r="T1025" i="1"/>
  <c r="AB1025" i="1"/>
  <c r="X1026" i="1"/>
  <c r="T1027" i="1"/>
  <c r="AB1027" i="1"/>
  <c r="X1028" i="1"/>
  <c r="T1029" i="1"/>
  <c r="AB1029" i="1"/>
  <c r="X1030" i="1"/>
  <c r="T1031" i="1"/>
  <c r="AB1031" i="1"/>
  <c r="X1032" i="1"/>
  <c r="T1033" i="1"/>
  <c r="AB1033" i="1"/>
  <c r="X1034" i="1"/>
  <c r="T1035" i="1"/>
  <c r="AB1035" i="1"/>
  <c r="X1036" i="1"/>
  <c r="T1037" i="1"/>
  <c r="AB1037" i="1"/>
  <c r="X1038" i="1"/>
  <c r="T1039" i="1"/>
  <c r="AB1039" i="1"/>
  <c r="X1040" i="1"/>
  <c r="T1041" i="1"/>
  <c r="AB1041" i="1"/>
  <c r="X1042" i="1"/>
  <c r="T1043" i="1"/>
  <c r="AB1043" i="1"/>
  <c r="X1044" i="1"/>
  <c r="T1045" i="1"/>
  <c r="AB1045" i="1"/>
  <c r="X1046" i="1"/>
  <c r="T1047" i="1"/>
  <c r="AB1047" i="1"/>
  <c r="X1048" i="1"/>
  <c r="T1049" i="1"/>
  <c r="AB1049" i="1"/>
  <c r="X1050" i="1"/>
  <c r="T1051" i="1"/>
  <c r="AB1051" i="1"/>
  <c r="X1052" i="1"/>
  <c r="T1053" i="1"/>
  <c r="AB1053" i="1"/>
  <c r="X1054" i="1"/>
  <c r="T1055" i="1"/>
  <c r="AB1055" i="1"/>
  <c r="X1056" i="1"/>
  <c r="T1057" i="1"/>
  <c r="AB1057" i="1"/>
  <c r="X1058" i="1"/>
  <c r="T1059" i="1"/>
  <c r="AB1059" i="1"/>
  <c r="X1060" i="1"/>
  <c r="T1061" i="1"/>
  <c r="AB1061" i="1"/>
  <c r="X1062" i="1"/>
  <c r="T1063" i="1"/>
  <c r="AB1063" i="1"/>
  <c r="X1064" i="1"/>
  <c r="X780" i="1"/>
  <c r="AD781" i="1"/>
  <c r="W810" i="1"/>
  <c r="W814" i="1"/>
  <c r="T815" i="1"/>
  <c r="AD815" i="1"/>
  <c r="AC816" i="1"/>
  <c r="W819" i="1"/>
  <c r="V820" i="1"/>
  <c r="S821" i="1"/>
  <c r="AB821" i="1"/>
  <c r="V823" i="1"/>
  <c r="S824" i="1"/>
  <c r="AC824" i="1"/>
  <c r="W826" i="1"/>
  <c r="T827" i="1"/>
  <c r="AC827" i="1"/>
  <c r="W829" i="1"/>
  <c r="U830" i="1"/>
  <c r="AD830" i="1"/>
  <c r="X832" i="1"/>
  <c r="U833" i="1"/>
  <c r="AD833" i="1"/>
  <c r="V836" i="1"/>
  <c r="S837" i="1"/>
  <c r="AB837" i="1"/>
  <c r="V839" i="1"/>
  <c r="S840" i="1"/>
  <c r="AC840" i="1"/>
  <c r="W842" i="1"/>
  <c r="T843" i="1"/>
  <c r="AC843" i="1"/>
  <c r="W845" i="1"/>
  <c r="U846" i="1"/>
  <c r="AD846" i="1"/>
  <c r="X848" i="1"/>
  <c r="U849" i="1"/>
  <c r="AD849" i="1"/>
  <c r="V852" i="1"/>
  <c r="S853" i="1"/>
  <c r="AB853" i="1"/>
  <c r="V855" i="1"/>
  <c r="S856" i="1"/>
  <c r="AC856" i="1"/>
  <c r="W858" i="1"/>
  <c r="T859" i="1"/>
  <c r="AC859" i="1"/>
  <c r="W861" i="1"/>
  <c r="U862" i="1"/>
  <c r="AD862" i="1"/>
  <c r="X864" i="1"/>
  <c r="U865" i="1"/>
  <c r="AD865" i="1"/>
  <c r="V868" i="1"/>
  <c r="S869" i="1"/>
  <c r="AB869" i="1"/>
  <c r="V871" i="1"/>
  <c r="S872" i="1"/>
  <c r="AC872" i="1"/>
  <c r="W874" i="1"/>
  <c r="T875" i="1"/>
  <c r="AC875" i="1"/>
  <c r="W877" i="1"/>
  <c r="U878" i="1"/>
  <c r="AD878" i="1"/>
  <c r="X880" i="1"/>
  <c r="U881" i="1"/>
  <c r="AD881" i="1"/>
  <c r="V884" i="1"/>
  <c r="S885" i="1"/>
  <c r="AB885" i="1"/>
  <c r="V887" i="1"/>
  <c r="S888" i="1"/>
  <c r="AC888" i="1"/>
  <c r="W890" i="1"/>
  <c r="T891" i="1"/>
  <c r="AC891" i="1"/>
  <c r="W893" i="1"/>
  <c r="U894" i="1"/>
  <c r="AD894" i="1"/>
  <c r="X896" i="1"/>
  <c r="U897" i="1"/>
  <c r="AD897" i="1"/>
  <c r="X814" i="1"/>
  <c r="U815" i="1"/>
  <c r="S816" i="1"/>
  <c r="S817" i="1"/>
  <c r="AB817" i="1"/>
  <c r="W820" i="1"/>
  <c r="T821" i="1"/>
  <c r="AC821" i="1"/>
  <c r="W823" i="1"/>
  <c r="U824" i="1"/>
  <c r="AD824" i="1"/>
  <c r="X826" i="1"/>
  <c r="U827" i="1"/>
  <c r="AD827" i="1"/>
  <c r="V830" i="1"/>
  <c r="S831" i="1"/>
  <c r="AB831" i="1"/>
  <c r="V833" i="1"/>
  <c r="S834" i="1"/>
  <c r="AC834" i="1"/>
  <c r="W836" i="1"/>
  <c r="T837" i="1"/>
  <c r="AC837" i="1"/>
  <c r="W839" i="1"/>
  <c r="U840" i="1"/>
  <c r="AD840" i="1"/>
  <c r="X842" i="1"/>
  <c r="U843" i="1"/>
  <c r="AD843" i="1"/>
  <c r="V846" i="1"/>
  <c r="S847" i="1"/>
  <c r="AB847" i="1"/>
  <c r="V849" i="1"/>
  <c r="S850" i="1"/>
  <c r="AC850" i="1"/>
  <c r="W852" i="1"/>
  <c r="T853" i="1"/>
  <c r="AC853" i="1"/>
  <c r="W855" i="1"/>
  <c r="U856" i="1"/>
  <c r="AD856" i="1"/>
  <c r="X858" i="1"/>
  <c r="U859" i="1"/>
  <c r="AD859" i="1"/>
  <c r="V862" i="1"/>
  <c r="S863" i="1"/>
  <c r="AB863" i="1"/>
  <c r="V865" i="1"/>
  <c r="S866" i="1"/>
  <c r="AC866" i="1"/>
  <c r="W868" i="1"/>
  <c r="T869" i="1"/>
  <c r="AC869" i="1"/>
  <c r="W871" i="1"/>
  <c r="U872" i="1"/>
  <c r="AD872" i="1"/>
  <c r="X874" i="1"/>
  <c r="U875" i="1"/>
  <c r="AD875" i="1"/>
  <c r="V878" i="1"/>
  <c r="S879" i="1"/>
  <c r="AB879" i="1"/>
  <c r="V881" i="1"/>
  <c r="S882" i="1"/>
  <c r="AC882" i="1"/>
  <c r="W884" i="1"/>
  <c r="T885" i="1"/>
  <c r="AC885" i="1"/>
  <c r="W887" i="1"/>
  <c r="U888" i="1"/>
  <c r="AD888" i="1"/>
  <c r="X890" i="1"/>
  <c r="U891" i="1"/>
  <c r="AD891" i="1"/>
  <c r="V894" i="1"/>
  <c r="S895" i="1"/>
  <c r="AB895" i="1"/>
  <c r="V897" i="1"/>
  <c r="S898" i="1"/>
  <c r="AC898" i="1"/>
  <c r="W900" i="1"/>
  <c r="T901" i="1"/>
  <c r="AC901" i="1"/>
  <c r="W903" i="1"/>
  <c r="U904" i="1"/>
  <c r="AD904" i="1"/>
  <c r="S801" i="1"/>
  <c r="V803" i="1"/>
  <c r="AC804" i="1"/>
  <c r="T807" i="1"/>
  <c r="W809" i="1"/>
  <c r="V815" i="1"/>
  <c r="V816" i="1"/>
  <c r="T817" i="1"/>
  <c r="AC817" i="1"/>
  <c r="X820" i="1"/>
  <c r="U821" i="1"/>
  <c r="AD821" i="1"/>
  <c r="V824" i="1"/>
  <c r="S825" i="1"/>
  <c r="AB825" i="1"/>
  <c r="V827" i="1"/>
  <c r="S828" i="1"/>
  <c r="AC828" i="1"/>
  <c r="W830" i="1"/>
  <c r="T831" i="1"/>
  <c r="AC831" i="1"/>
  <c r="W833" i="1"/>
  <c r="U834" i="1"/>
  <c r="AD834" i="1"/>
  <c r="X836" i="1"/>
  <c r="U837" i="1"/>
  <c r="AD837" i="1"/>
  <c r="V840" i="1"/>
  <c r="S841" i="1"/>
  <c r="AB841" i="1"/>
  <c r="V843" i="1"/>
  <c r="S844" i="1"/>
  <c r="AC844" i="1"/>
  <c r="W846" i="1"/>
  <c r="T847" i="1"/>
  <c r="AC847" i="1"/>
  <c r="W849" i="1"/>
  <c r="U850" i="1"/>
  <c r="AD850" i="1"/>
  <c r="X852" i="1"/>
  <c r="U853" i="1"/>
  <c r="AD853" i="1"/>
  <c r="V856" i="1"/>
  <c r="S857" i="1"/>
  <c r="AB857" i="1"/>
  <c r="V859" i="1"/>
  <c r="S860" i="1"/>
  <c r="AC860" i="1"/>
  <c r="W862" i="1"/>
  <c r="T863" i="1"/>
  <c r="AC863" i="1"/>
  <c r="W865" i="1"/>
  <c r="U866" i="1"/>
  <c r="AD866" i="1"/>
  <c r="X868" i="1"/>
  <c r="U869" i="1"/>
  <c r="AD869" i="1"/>
  <c r="V872" i="1"/>
  <c r="S873" i="1"/>
  <c r="AB873" i="1"/>
  <c r="V875" i="1"/>
  <c r="S876" i="1"/>
  <c r="AC876" i="1"/>
  <c r="W878" i="1"/>
  <c r="T879" i="1"/>
  <c r="AC879" i="1"/>
  <c r="W881" i="1"/>
  <c r="U882" i="1"/>
  <c r="AD882" i="1"/>
  <c r="X884" i="1"/>
  <c r="U885" i="1"/>
  <c r="AD885" i="1"/>
  <c r="S785" i="1"/>
  <c r="V787" i="1"/>
  <c r="AC788" i="1"/>
  <c r="T791" i="1"/>
  <c r="W793" i="1"/>
  <c r="AD794" i="1"/>
  <c r="U797" i="1"/>
  <c r="AB811" i="1"/>
  <c r="AD812" i="1"/>
  <c r="AB813" i="1"/>
  <c r="W816" i="1"/>
  <c r="U817" i="1"/>
  <c r="AD817" i="1"/>
  <c r="AC818" i="1"/>
  <c r="V821" i="1"/>
  <c r="S822" i="1"/>
  <c r="AC822" i="1"/>
  <c r="W824" i="1"/>
  <c r="T825" i="1"/>
  <c r="AC825" i="1"/>
  <c r="W827" i="1"/>
  <c r="U828" i="1"/>
  <c r="AD828" i="1"/>
  <c r="X830" i="1"/>
  <c r="U831" i="1"/>
  <c r="AD831" i="1"/>
  <c r="V834" i="1"/>
  <c r="S835" i="1"/>
  <c r="AB835" i="1"/>
  <c r="V837" i="1"/>
  <c r="S838" i="1"/>
  <c r="AC838" i="1"/>
  <c r="W840" i="1"/>
  <c r="T841" i="1"/>
  <c r="AC841" i="1"/>
  <c r="W843" i="1"/>
  <c r="U844" i="1"/>
  <c r="AD844" i="1"/>
  <c r="X846" i="1"/>
  <c r="U847" i="1"/>
  <c r="AD847" i="1"/>
  <c r="V850" i="1"/>
  <c r="S851" i="1"/>
  <c r="AB851" i="1"/>
  <c r="V853" i="1"/>
  <c r="S854" i="1"/>
  <c r="AC854" i="1"/>
  <c r="W856" i="1"/>
  <c r="T857" i="1"/>
  <c r="AC857" i="1"/>
  <c r="W859" i="1"/>
  <c r="U860" i="1"/>
  <c r="AD860" i="1"/>
  <c r="X862" i="1"/>
  <c r="U863" i="1"/>
  <c r="AD863" i="1"/>
  <c r="V866" i="1"/>
  <c r="S867" i="1"/>
  <c r="AB867" i="1"/>
  <c r="V869" i="1"/>
  <c r="S870" i="1"/>
  <c r="AC870" i="1"/>
  <c r="W872" i="1"/>
  <c r="T873" i="1"/>
  <c r="AC873" i="1"/>
  <c r="W875" i="1"/>
  <c r="U876" i="1"/>
  <c r="AD876" i="1"/>
  <c r="X878" i="1"/>
  <c r="U879" i="1"/>
  <c r="AD879" i="1"/>
  <c r="V882" i="1"/>
  <c r="S883" i="1"/>
  <c r="AB883" i="1"/>
  <c r="V885" i="1"/>
  <c r="S886" i="1"/>
  <c r="AC886" i="1"/>
  <c r="W888" i="1"/>
  <c r="T889" i="1"/>
  <c r="AC889" i="1"/>
  <c r="W891" i="1"/>
  <c r="U892" i="1"/>
  <c r="AD892" i="1"/>
  <c r="X894" i="1"/>
  <c r="U895" i="1"/>
  <c r="AD895" i="1"/>
  <c r="V898" i="1"/>
  <c r="S899" i="1"/>
  <c r="AB899" i="1"/>
  <c r="V901" i="1"/>
  <c r="S902" i="1"/>
  <c r="AC902" i="1"/>
  <c r="W904" i="1"/>
  <c r="T905" i="1"/>
  <c r="AC905" i="1"/>
  <c r="V888" i="1"/>
  <c r="AB889" i="1"/>
  <c r="S892" i="1"/>
  <c r="W894" i="1"/>
  <c r="AC895" i="1"/>
  <c r="U898" i="1"/>
  <c r="S901" i="1"/>
  <c r="U902" i="1"/>
  <c r="X909" i="1"/>
  <c r="U910" i="1"/>
  <c r="U911" i="1"/>
  <c r="AD911" i="1"/>
  <c r="X913" i="1"/>
  <c r="U914" i="1"/>
  <c r="AD914" i="1"/>
  <c r="V917" i="1"/>
  <c r="S918" i="1"/>
  <c r="AB918" i="1"/>
  <c r="V920" i="1"/>
  <c r="S921" i="1"/>
  <c r="AC921" i="1"/>
  <c r="W923" i="1"/>
  <c r="T924" i="1"/>
  <c r="AC924" i="1"/>
  <c r="W926" i="1"/>
  <c r="U927" i="1"/>
  <c r="AD927" i="1"/>
  <c r="X929" i="1"/>
  <c r="U930" i="1"/>
  <c r="AD930" i="1"/>
  <c r="V933" i="1"/>
  <c r="S934" i="1"/>
  <c r="AB934" i="1"/>
  <c r="V936" i="1"/>
  <c r="S937" i="1"/>
  <c r="AC937" i="1"/>
  <c r="W939" i="1"/>
  <c r="T940" i="1"/>
  <c r="AC940" i="1"/>
  <c r="W942" i="1"/>
  <c r="U943" i="1"/>
  <c r="AD943" i="1"/>
  <c r="X945" i="1"/>
  <c r="U946" i="1"/>
  <c r="AD946" i="1"/>
  <c r="V949" i="1"/>
  <c r="S950" i="1"/>
  <c r="AB950" i="1"/>
  <c r="V952" i="1"/>
  <c r="S953" i="1"/>
  <c r="AC953" i="1"/>
  <c r="W955" i="1"/>
  <c r="T956" i="1"/>
  <c r="AC956" i="1"/>
  <c r="W958" i="1"/>
  <c r="U959" i="1"/>
  <c r="AD959" i="1"/>
  <c r="X961" i="1"/>
  <c r="U962" i="1"/>
  <c r="AD962" i="1"/>
  <c r="V965" i="1"/>
  <c r="S966" i="1"/>
  <c r="AB966" i="1"/>
  <c r="V968" i="1"/>
  <c r="S969" i="1"/>
  <c r="AC969" i="1"/>
  <c r="W971" i="1"/>
  <c r="T972" i="1"/>
  <c r="AC972" i="1"/>
  <c r="W974" i="1"/>
  <c r="U975" i="1"/>
  <c r="AD975" i="1"/>
  <c r="X977" i="1"/>
  <c r="U978" i="1"/>
  <c r="AD978" i="1"/>
  <c r="V981" i="1"/>
  <c r="S982" i="1"/>
  <c r="AB982" i="1"/>
  <c r="V984" i="1"/>
  <c r="S985" i="1"/>
  <c r="AC985" i="1"/>
  <c r="W987" i="1"/>
  <c r="T988" i="1"/>
  <c r="AC988" i="1"/>
  <c r="W990" i="1"/>
  <c r="U991" i="1"/>
  <c r="AD991" i="1"/>
  <c r="X993" i="1"/>
  <c r="U994" i="1"/>
  <c r="AD994" i="1"/>
  <c r="V997" i="1"/>
  <c r="S998" i="1"/>
  <c r="AB998" i="1"/>
  <c r="V1000" i="1"/>
  <c r="S1001" i="1"/>
  <c r="AC1001" i="1"/>
  <c r="W1003" i="1"/>
  <c r="T1004" i="1"/>
  <c r="AC1004" i="1"/>
  <c r="W1006" i="1"/>
  <c r="U1007" i="1"/>
  <c r="AD1007" i="1"/>
  <c r="X1009" i="1"/>
  <c r="U1010" i="1"/>
  <c r="AD1010" i="1"/>
  <c r="V1013" i="1"/>
  <c r="S1014" i="1"/>
  <c r="AB1014" i="1"/>
  <c r="V1016" i="1"/>
  <c r="S1017" i="1"/>
  <c r="AC1017" i="1"/>
  <c r="W1019" i="1"/>
  <c r="T1020" i="1"/>
  <c r="AC1020" i="1"/>
  <c r="W1022" i="1"/>
  <c r="U1023" i="1"/>
  <c r="AD1023" i="1"/>
  <c r="X1025" i="1"/>
  <c r="U1026" i="1"/>
  <c r="AD1026" i="1"/>
  <c r="V1029" i="1"/>
  <c r="S1030" i="1"/>
  <c r="AB1030" i="1"/>
  <c r="V1032" i="1"/>
  <c r="S1033" i="1"/>
  <c r="AC1033" i="1"/>
  <c r="W1035" i="1"/>
  <c r="T1036" i="1"/>
  <c r="AC1036" i="1"/>
  <c r="W1038" i="1"/>
  <c r="U1039" i="1"/>
  <c r="AD1039" i="1"/>
  <c r="X1041" i="1"/>
  <c r="U1042" i="1"/>
  <c r="AD1042" i="1"/>
  <c r="V1045" i="1"/>
  <c r="S1046" i="1"/>
  <c r="AB1046" i="1"/>
  <c r="V1048" i="1"/>
  <c r="S1049" i="1"/>
  <c r="AC1049" i="1"/>
  <c r="W1051" i="1"/>
  <c r="T1052" i="1"/>
  <c r="AC1052" i="1"/>
  <c r="W1054" i="1"/>
  <c r="U1055" i="1"/>
  <c r="AD1055" i="1"/>
  <c r="W898" i="1"/>
  <c r="U901" i="1"/>
  <c r="W902" i="1"/>
  <c r="AB905" i="1"/>
  <c r="AD906" i="1"/>
  <c r="AC907" i="1"/>
  <c r="W910" i="1"/>
  <c r="V911" i="1"/>
  <c r="S912" i="1"/>
  <c r="AB912" i="1"/>
  <c r="V914" i="1"/>
  <c r="S915" i="1"/>
  <c r="AC915" i="1"/>
  <c r="W917" i="1"/>
  <c r="T918" i="1"/>
  <c r="AC918" i="1"/>
  <c r="W920" i="1"/>
  <c r="U921" i="1"/>
  <c r="AD921" i="1"/>
  <c r="X923" i="1"/>
  <c r="U924" i="1"/>
  <c r="AD924" i="1"/>
  <c r="V927" i="1"/>
  <c r="S928" i="1"/>
  <c r="AB928" i="1"/>
  <c r="V930" i="1"/>
  <c r="S931" i="1"/>
  <c r="AC931" i="1"/>
  <c r="W933" i="1"/>
  <c r="T934" i="1"/>
  <c r="AC934" i="1"/>
  <c r="W936" i="1"/>
  <c r="U937" i="1"/>
  <c r="AD937" i="1"/>
  <c r="X939" i="1"/>
  <c r="U940" i="1"/>
  <c r="AD940" i="1"/>
  <c r="V943" i="1"/>
  <c r="S944" i="1"/>
  <c r="AB944" i="1"/>
  <c r="V946" i="1"/>
  <c r="S947" i="1"/>
  <c r="AC947" i="1"/>
  <c r="W949" i="1"/>
  <c r="T950" i="1"/>
  <c r="AC950" i="1"/>
  <c r="W952" i="1"/>
  <c r="U953" i="1"/>
  <c r="AD953" i="1"/>
  <c r="X955" i="1"/>
  <c r="U956" i="1"/>
  <c r="AD956" i="1"/>
  <c r="V959" i="1"/>
  <c r="S960" i="1"/>
  <c r="AB960" i="1"/>
  <c r="V962" i="1"/>
  <c r="S963" i="1"/>
  <c r="AC963" i="1"/>
  <c r="W965" i="1"/>
  <c r="T966" i="1"/>
  <c r="AC966" i="1"/>
  <c r="W968" i="1"/>
  <c r="U969" i="1"/>
  <c r="AD969" i="1"/>
  <c r="X971" i="1"/>
  <c r="U972" i="1"/>
  <c r="AD972" i="1"/>
  <c r="V975" i="1"/>
  <c r="S976" i="1"/>
  <c r="AB976" i="1"/>
  <c r="V978" i="1"/>
  <c r="S979" i="1"/>
  <c r="AC979" i="1"/>
  <c r="W981" i="1"/>
  <c r="T982" i="1"/>
  <c r="AC982" i="1"/>
  <c r="W984" i="1"/>
  <c r="U985" i="1"/>
  <c r="AD985" i="1"/>
  <c r="X987" i="1"/>
  <c r="U988" i="1"/>
  <c r="AD988" i="1"/>
  <c r="V991" i="1"/>
  <c r="S992" i="1"/>
  <c r="AB992" i="1"/>
  <c r="V994" i="1"/>
  <c r="S995" i="1"/>
  <c r="AC995" i="1"/>
  <c r="W997" i="1"/>
  <c r="T998" i="1"/>
  <c r="AC998" i="1"/>
  <c r="W1000" i="1"/>
  <c r="U1001" i="1"/>
  <c r="AD1001" i="1"/>
  <c r="X1003" i="1"/>
  <c r="U1004" i="1"/>
  <c r="AD1004" i="1"/>
  <c r="V1007" i="1"/>
  <c r="S1008" i="1"/>
  <c r="AB1008" i="1"/>
  <c r="V1010" i="1"/>
  <c r="S1011" i="1"/>
  <c r="AC1011" i="1"/>
  <c r="W1013" i="1"/>
  <c r="T1014" i="1"/>
  <c r="AC1014" i="1"/>
  <c r="W1016" i="1"/>
  <c r="U1017" i="1"/>
  <c r="AD1017" i="1"/>
  <c r="X1019" i="1"/>
  <c r="U1020" i="1"/>
  <c r="AD1020" i="1"/>
  <c r="V1023" i="1"/>
  <c r="S1024" i="1"/>
  <c r="AB1024" i="1"/>
  <c r="V1026" i="1"/>
  <c r="S1027" i="1"/>
  <c r="AC1027" i="1"/>
  <c r="W1029" i="1"/>
  <c r="T1030" i="1"/>
  <c r="AC1030" i="1"/>
  <c r="W1032" i="1"/>
  <c r="U1033" i="1"/>
  <c r="AD1033" i="1"/>
  <c r="X1035" i="1"/>
  <c r="U1036" i="1"/>
  <c r="AD1036" i="1"/>
  <c r="V1039" i="1"/>
  <c r="S1040" i="1"/>
  <c r="AB1040" i="1"/>
  <c r="V1042" i="1"/>
  <c r="S1043" i="1"/>
  <c r="AC1043" i="1"/>
  <c r="AC899" i="1"/>
  <c r="W901" i="1"/>
  <c r="AC904" i="1"/>
  <c r="AD905" i="1"/>
  <c r="T907" i="1"/>
  <c r="AD907" i="1"/>
  <c r="AB908" i="1"/>
  <c r="W911" i="1"/>
  <c r="T912" i="1"/>
  <c r="AC912" i="1"/>
  <c r="W914" i="1"/>
  <c r="U915" i="1"/>
  <c r="AD915" i="1"/>
  <c r="X917" i="1"/>
  <c r="U918" i="1"/>
  <c r="AD918" i="1"/>
  <c r="V921" i="1"/>
  <c r="S922" i="1"/>
  <c r="AB922" i="1"/>
  <c r="V924" i="1"/>
  <c r="S925" i="1"/>
  <c r="AC925" i="1"/>
  <c r="W927" i="1"/>
  <c r="T928" i="1"/>
  <c r="AC928" i="1"/>
  <c r="W930" i="1"/>
  <c r="U931" i="1"/>
  <c r="AD931" i="1"/>
  <c r="X933" i="1"/>
  <c r="U934" i="1"/>
  <c r="AD934" i="1"/>
  <c r="V937" i="1"/>
  <c r="S938" i="1"/>
  <c r="AB938" i="1"/>
  <c r="V940" i="1"/>
  <c r="S941" i="1"/>
  <c r="AC941" i="1"/>
  <c r="W943" i="1"/>
  <c r="T944" i="1"/>
  <c r="AC944" i="1"/>
  <c r="W946" i="1"/>
  <c r="U947" i="1"/>
  <c r="AD947" i="1"/>
  <c r="X949" i="1"/>
  <c r="U950" i="1"/>
  <c r="AD950" i="1"/>
  <c r="V953" i="1"/>
  <c r="S954" i="1"/>
  <c r="AB954" i="1"/>
  <c r="V956" i="1"/>
  <c r="S957" i="1"/>
  <c r="AC957" i="1"/>
  <c r="W959" i="1"/>
  <c r="T960" i="1"/>
  <c r="AC960" i="1"/>
  <c r="W962" i="1"/>
  <c r="U963" i="1"/>
  <c r="AD963" i="1"/>
  <c r="X965" i="1"/>
  <c r="U966" i="1"/>
  <c r="AD966" i="1"/>
  <c r="V969" i="1"/>
  <c r="S970" i="1"/>
  <c r="AB970" i="1"/>
  <c r="V972" i="1"/>
  <c r="S973" i="1"/>
  <c r="AC973" i="1"/>
  <c r="W975" i="1"/>
  <c r="T976" i="1"/>
  <c r="AC976" i="1"/>
  <c r="W978" i="1"/>
  <c r="U979" i="1"/>
  <c r="AD979" i="1"/>
  <c r="X981" i="1"/>
  <c r="U982" i="1"/>
  <c r="AD982" i="1"/>
  <c r="V985" i="1"/>
  <c r="S986" i="1"/>
  <c r="AB986" i="1"/>
  <c r="V988" i="1"/>
  <c r="S989" i="1"/>
  <c r="AC989" i="1"/>
  <c r="W991" i="1"/>
  <c r="T992" i="1"/>
  <c r="AC992" i="1"/>
  <c r="W994" i="1"/>
  <c r="U995" i="1"/>
  <c r="AD995" i="1"/>
  <c r="X997" i="1"/>
  <c r="U998" i="1"/>
  <c r="AD998" i="1"/>
  <c r="V1001" i="1"/>
  <c r="S1002" i="1"/>
  <c r="AB1002" i="1"/>
  <c r="V1004" i="1"/>
  <c r="S1005" i="1"/>
  <c r="AC1005" i="1"/>
  <c r="W1007" i="1"/>
  <c r="T1008" i="1"/>
  <c r="AC1008" i="1"/>
  <c r="W1010" i="1"/>
  <c r="U1011" i="1"/>
  <c r="AD1011" i="1"/>
  <c r="X1013" i="1"/>
  <c r="U1014" i="1"/>
  <c r="AD1014" i="1"/>
  <c r="V1017" i="1"/>
  <c r="S1018" i="1"/>
  <c r="AB1018" i="1"/>
  <c r="V1020" i="1"/>
  <c r="S1021" i="1"/>
  <c r="AC1021" i="1"/>
  <c r="W1023" i="1"/>
  <c r="T1024" i="1"/>
  <c r="AC1024" i="1"/>
  <c r="W1026" i="1"/>
  <c r="U1027" i="1"/>
  <c r="AD1027" i="1"/>
  <c r="X1029" i="1"/>
  <c r="U1030" i="1"/>
  <c r="AD1030" i="1"/>
  <c r="V1033" i="1"/>
  <c r="S1034" i="1"/>
  <c r="AB1034" i="1"/>
  <c r="V1036" i="1"/>
  <c r="S1037" i="1"/>
  <c r="AC1037" i="1"/>
  <c r="W1039" i="1"/>
  <c r="T1040" i="1"/>
  <c r="AC1040" i="1"/>
  <c r="W1042" i="1"/>
  <c r="U1043" i="1"/>
  <c r="AD1043" i="1"/>
  <c r="X1045" i="1"/>
  <c r="U1046" i="1"/>
  <c r="AD1046" i="1"/>
  <c r="V1049" i="1"/>
  <c r="S1050" i="1"/>
  <c r="AB1050" i="1"/>
  <c r="V900" i="1"/>
  <c r="AC903" i="1"/>
  <c r="S905" i="1"/>
  <c r="U906" i="1"/>
  <c r="U907" i="1"/>
  <c r="S908" i="1"/>
  <c r="AC908" i="1"/>
  <c r="X911" i="1"/>
  <c r="U912" i="1"/>
  <c r="AD912" i="1"/>
  <c r="V915" i="1"/>
  <c r="S916" i="1"/>
  <c r="AB916" i="1"/>
  <c r="V918" i="1"/>
  <c r="S919" i="1"/>
  <c r="AC919" i="1"/>
  <c r="W921" i="1"/>
  <c r="T922" i="1"/>
  <c r="AC922" i="1"/>
  <c r="W924" i="1"/>
  <c r="U925" i="1"/>
  <c r="AD925" i="1"/>
  <c r="X927" i="1"/>
  <c r="U928" i="1"/>
  <c r="AD928" i="1"/>
  <c r="V931" i="1"/>
  <c r="S932" i="1"/>
  <c r="AB932" i="1"/>
  <c r="V934" i="1"/>
  <c r="S935" i="1"/>
  <c r="AC935" i="1"/>
  <c r="W937" i="1"/>
  <c r="T938" i="1"/>
  <c r="AC938" i="1"/>
  <c r="W940" i="1"/>
  <c r="U941" i="1"/>
  <c r="AD941" i="1"/>
  <c r="X943" i="1"/>
  <c r="U944" i="1"/>
  <c r="AD944" i="1"/>
  <c r="V947" i="1"/>
  <c r="S948" i="1"/>
  <c r="AB948" i="1"/>
  <c r="V950" i="1"/>
  <c r="S951" i="1"/>
  <c r="AC951" i="1"/>
  <c r="W953" i="1"/>
  <c r="T954" i="1"/>
  <c r="AC954" i="1"/>
  <c r="W956" i="1"/>
  <c r="U957" i="1"/>
  <c r="AD957" i="1"/>
  <c r="X959" i="1"/>
  <c r="U960" i="1"/>
  <c r="AD960" i="1"/>
  <c r="V963" i="1"/>
  <c r="S964" i="1"/>
  <c r="AB964" i="1"/>
  <c r="V966" i="1"/>
  <c r="S967" i="1"/>
  <c r="AC967" i="1"/>
  <c r="W969" i="1"/>
  <c r="T970" i="1"/>
  <c r="AC970" i="1"/>
  <c r="W972" i="1"/>
  <c r="U973" i="1"/>
  <c r="AD973" i="1"/>
  <c r="X975" i="1"/>
  <c r="U976" i="1"/>
  <c r="AD976" i="1"/>
  <c r="V979" i="1"/>
  <c r="S980" i="1"/>
  <c r="AB980" i="1"/>
  <c r="V982" i="1"/>
  <c r="S983" i="1"/>
  <c r="AC983" i="1"/>
  <c r="W985" i="1"/>
  <c r="T986" i="1"/>
  <c r="AC986" i="1"/>
  <c r="W988" i="1"/>
  <c r="U989" i="1"/>
  <c r="AD989" i="1"/>
  <c r="X991" i="1"/>
  <c r="U992" i="1"/>
  <c r="AD992" i="1"/>
  <c r="V995" i="1"/>
  <c r="S996" i="1"/>
  <c r="AB996" i="1"/>
  <c r="V998" i="1"/>
  <c r="S999" i="1"/>
  <c r="AC999" i="1"/>
  <c r="W1001" i="1"/>
  <c r="T1002" i="1"/>
  <c r="AC1002" i="1"/>
  <c r="W1004" i="1"/>
  <c r="U1005" i="1"/>
  <c r="AD1005" i="1"/>
  <c r="X1007" i="1"/>
  <c r="U1008" i="1"/>
  <c r="AD1008" i="1"/>
  <c r="V1011" i="1"/>
  <c r="S1012" i="1"/>
  <c r="AB1012" i="1"/>
  <c r="V1014" i="1"/>
  <c r="S1015" i="1"/>
  <c r="AC1015" i="1"/>
  <c r="W1017" i="1"/>
  <c r="T1018" i="1"/>
  <c r="AC1018" i="1"/>
  <c r="W1020" i="1"/>
  <c r="U1021" i="1"/>
  <c r="AD1021" i="1"/>
  <c r="X1023" i="1"/>
  <c r="U1024" i="1"/>
  <c r="AD1024" i="1"/>
  <c r="V1027" i="1"/>
  <c r="S1028" i="1"/>
  <c r="AB1028" i="1"/>
  <c r="V1030" i="1"/>
  <c r="S1031" i="1"/>
  <c r="AC1031" i="1"/>
  <c r="W1033" i="1"/>
  <c r="T1034" i="1"/>
  <c r="AC1034" i="1"/>
  <c r="W1036" i="1"/>
  <c r="U1037" i="1"/>
  <c r="AD1037" i="1"/>
  <c r="X1039" i="1"/>
  <c r="U1040" i="1"/>
  <c r="AD1040" i="1"/>
  <c r="V1043" i="1"/>
  <c r="S1044" i="1"/>
  <c r="AB1044" i="1"/>
  <c r="V1046" i="1"/>
  <c r="S1047" i="1"/>
  <c r="AC1047" i="1"/>
  <c r="S889" i="1"/>
  <c r="V891" i="1"/>
  <c r="AC892" i="1"/>
  <c r="T895" i="1"/>
  <c r="W897" i="1"/>
  <c r="X900" i="1"/>
  <c r="S904" i="1"/>
  <c r="U905" i="1"/>
  <c r="W906" i="1"/>
  <c r="V907" i="1"/>
  <c r="T908" i="1"/>
  <c r="S909" i="1"/>
  <c r="AC909" i="1"/>
  <c r="V912" i="1"/>
  <c r="S913" i="1"/>
  <c r="AC913" i="1"/>
  <c r="W915" i="1"/>
  <c r="T916" i="1"/>
  <c r="AC916" i="1"/>
  <c r="W918" i="1"/>
  <c r="U919" i="1"/>
  <c r="AD919" i="1"/>
  <c r="X921" i="1"/>
  <c r="U922" i="1"/>
  <c r="AD922" i="1"/>
  <c r="V925" i="1"/>
  <c r="S926" i="1"/>
  <c r="AB926" i="1"/>
  <c r="V928" i="1"/>
  <c r="S929" i="1"/>
  <c r="AC929" i="1"/>
  <c r="W931" i="1"/>
  <c r="T932" i="1"/>
  <c r="AC932" i="1"/>
  <c r="W934" i="1"/>
  <c r="U935" i="1"/>
  <c r="AD935" i="1"/>
  <c r="X937" i="1"/>
  <c r="U938" i="1"/>
  <c r="AD938" i="1"/>
  <c r="V941" i="1"/>
  <c r="S942" i="1"/>
  <c r="AB942" i="1"/>
  <c r="V944" i="1"/>
  <c r="S945" i="1"/>
  <c r="AC945" i="1"/>
  <c r="W947" i="1"/>
  <c r="T948" i="1"/>
  <c r="AC948" i="1"/>
  <c r="W950" i="1"/>
  <c r="U951" i="1"/>
  <c r="AD951" i="1"/>
  <c r="X953" i="1"/>
  <c r="U954" i="1"/>
  <c r="AD954" i="1"/>
  <c r="V957" i="1"/>
  <c r="S958" i="1"/>
  <c r="AB958" i="1"/>
  <c r="V960" i="1"/>
  <c r="S961" i="1"/>
  <c r="AC961" i="1"/>
  <c r="W963" i="1"/>
  <c r="T964" i="1"/>
  <c r="AC964" i="1"/>
  <c r="W966" i="1"/>
  <c r="U967" i="1"/>
  <c r="AD967" i="1"/>
  <c r="X969" i="1"/>
  <c r="U970" i="1"/>
  <c r="AD970" i="1"/>
  <c r="V973" i="1"/>
  <c r="S974" i="1"/>
  <c r="AB974" i="1"/>
  <c r="V976" i="1"/>
  <c r="S977" i="1"/>
  <c r="AC977" i="1"/>
  <c r="W979" i="1"/>
  <c r="T980" i="1"/>
  <c r="AC980" i="1"/>
  <c r="W982" i="1"/>
  <c r="U983" i="1"/>
  <c r="AD983" i="1"/>
  <c r="X985" i="1"/>
  <c r="U986" i="1"/>
  <c r="AD986" i="1"/>
  <c r="V989" i="1"/>
  <c r="S990" i="1"/>
  <c r="AB990" i="1"/>
  <c r="V992" i="1"/>
  <c r="S993" i="1"/>
  <c r="AC993" i="1"/>
  <c r="W995" i="1"/>
  <c r="T996" i="1"/>
  <c r="AC996" i="1"/>
  <c r="W998" i="1"/>
  <c r="U999" i="1"/>
  <c r="AD999" i="1"/>
  <c r="X1001" i="1"/>
  <c r="U1002" i="1"/>
  <c r="AD1002" i="1"/>
  <c r="V1005" i="1"/>
  <c r="S1006" i="1"/>
  <c r="AB1006" i="1"/>
  <c r="V1008" i="1"/>
  <c r="S1009" i="1"/>
  <c r="AC1009" i="1"/>
  <c r="W1011" i="1"/>
  <c r="T1012" i="1"/>
  <c r="AC1012" i="1"/>
  <c r="W1014" i="1"/>
  <c r="U1015" i="1"/>
  <c r="AD1015" i="1"/>
  <c r="X1017" i="1"/>
  <c r="U1018" i="1"/>
  <c r="AD1018" i="1"/>
  <c r="V1021" i="1"/>
  <c r="S1022" i="1"/>
  <c r="AB1022" i="1"/>
  <c r="V1024" i="1"/>
  <c r="S1025" i="1"/>
  <c r="AC1025" i="1"/>
  <c r="W1027" i="1"/>
  <c r="T1028" i="1"/>
  <c r="AC1028" i="1"/>
  <c r="W1030" i="1"/>
  <c r="U1031" i="1"/>
  <c r="AD1031" i="1"/>
  <c r="X1033" i="1"/>
  <c r="U1034" i="1"/>
  <c r="AD1034" i="1"/>
  <c r="V1037" i="1"/>
  <c r="S1038" i="1"/>
  <c r="AB1038" i="1"/>
  <c r="V1040" i="1"/>
  <c r="S1041" i="1"/>
  <c r="AC1041" i="1"/>
  <c r="W1043" i="1"/>
  <c r="T1044" i="1"/>
  <c r="AC1044" i="1"/>
  <c r="W1046" i="1"/>
  <c r="U1047" i="1"/>
  <c r="AD1047" i="1"/>
  <c r="X1049" i="1"/>
  <c r="U1050" i="1"/>
  <c r="AD1050" i="1"/>
  <c r="V1053" i="1"/>
  <c r="S1054" i="1"/>
  <c r="AB1054" i="1"/>
  <c r="V1056" i="1"/>
  <c r="S1057" i="1"/>
  <c r="AC1057" i="1"/>
  <c r="W1059" i="1"/>
  <c r="T1060" i="1"/>
  <c r="AC1060" i="1"/>
  <c r="AD898" i="1"/>
  <c r="AD902" i="1"/>
  <c r="V904" i="1"/>
  <c r="W905" i="1"/>
  <c r="X906" i="1"/>
  <c r="W907" i="1"/>
  <c r="U908" i="1"/>
  <c r="U909" i="1"/>
  <c r="AD909" i="1"/>
  <c r="AB910" i="1"/>
  <c r="W912" i="1"/>
  <c r="U913" i="1"/>
  <c r="AD913" i="1"/>
  <c r="X915" i="1"/>
  <c r="U916" i="1"/>
  <c r="AD916" i="1"/>
  <c r="V919" i="1"/>
  <c r="S920" i="1"/>
  <c r="AB920" i="1"/>
  <c r="V922" i="1"/>
  <c r="S923" i="1"/>
  <c r="AC923" i="1"/>
  <c r="W925" i="1"/>
  <c r="T926" i="1"/>
  <c r="AC926" i="1"/>
  <c r="W928" i="1"/>
  <c r="U929" i="1"/>
  <c r="AD929" i="1"/>
  <c r="X931" i="1"/>
  <c r="U932" i="1"/>
  <c r="AD932" i="1"/>
  <c r="V935" i="1"/>
  <c r="S936" i="1"/>
  <c r="AB936" i="1"/>
  <c r="V938" i="1"/>
  <c r="S939" i="1"/>
  <c r="AC939" i="1"/>
  <c r="W941" i="1"/>
  <c r="T942" i="1"/>
  <c r="AC942" i="1"/>
  <c r="W944" i="1"/>
  <c r="U945" i="1"/>
  <c r="AD945" i="1"/>
  <c r="X947" i="1"/>
  <c r="U948" i="1"/>
  <c r="AD948" i="1"/>
  <c r="V951" i="1"/>
  <c r="S952" i="1"/>
  <c r="AB952" i="1"/>
  <c r="V954" i="1"/>
  <c r="S955" i="1"/>
  <c r="AC955" i="1"/>
  <c r="W957" i="1"/>
  <c r="T958" i="1"/>
  <c r="AC958" i="1"/>
  <c r="W960" i="1"/>
  <c r="U961" i="1"/>
  <c r="AD961" i="1"/>
  <c r="X963" i="1"/>
  <c r="U964" i="1"/>
  <c r="AD964" i="1"/>
  <c r="V967" i="1"/>
  <c r="S968" i="1"/>
  <c r="AB968" i="1"/>
  <c r="V970" i="1"/>
  <c r="S971" i="1"/>
  <c r="AC971" i="1"/>
  <c r="W973" i="1"/>
  <c r="T974" i="1"/>
  <c r="AC974" i="1"/>
  <c r="W976" i="1"/>
  <c r="U977" i="1"/>
  <c r="AD977" i="1"/>
  <c r="X979" i="1"/>
  <c r="U980" i="1"/>
  <c r="AD980" i="1"/>
  <c r="V983" i="1"/>
  <c r="S984" i="1"/>
  <c r="AB984" i="1"/>
  <c r="V986" i="1"/>
  <c r="S987" i="1"/>
  <c r="AC987" i="1"/>
  <c r="W989" i="1"/>
  <c r="T990" i="1"/>
  <c r="AC990" i="1"/>
  <c r="W992" i="1"/>
  <c r="U993" i="1"/>
  <c r="AD993" i="1"/>
  <c r="X995" i="1"/>
  <c r="U996" i="1"/>
  <c r="AD996" i="1"/>
  <c r="V999" i="1"/>
  <c r="S1000" i="1"/>
  <c r="AB1000" i="1"/>
  <c r="V1002" i="1"/>
  <c r="S1003" i="1"/>
  <c r="AC1003" i="1"/>
  <c r="W1005" i="1"/>
  <c r="T1006" i="1"/>
  <c r="AC1006" i="1"/>
  <c r="W1008" i="1"/>
  <c r="U1009" i="1"/>
  <c r="AD1009" i="1"/>
  <c r="X1011" i="1"/>
  <c r="U1012" i="1"/>
  <c r="AD1012" i="1"/>
  <c r="V1015" i="1"/>
  <c r="S1016" i="1"/>
  <c r="AB1016" i="1"/>
  <c r="V1018" i="1"/>
  <c r="S1019" i="1"/>
  <c r="AC1019" i="1"/>
  <c r="W1021" i="1"/>
  <c r="T1022" i="1"/>
  <c r="AC1022" i="1"/>
  <c r="W1024" i="1"/>
  <c r="U1025" i="1"/>
  <c r="AD1025" i="1"/>
  <c r="X1027" i="1"/>
  <c r="U1028" i="1"/>
  <c r="AD1028" i="1"/>
  <c r="V1031" i="1"/>
  <c r="S1032" i="1"/>
  <c r="AB1032" i="1"/>
  <c r="V1034" i="1"/>
  <c r="S1035" i="1"/>
  <c r="AC1035" i="1"/>
  <c r="W1037" i="1"/>
  <c r="T1038" i="1"/>
  <c r="AC1038" i="1"/>
  <c r="W1040" i="1"/>
  <c r="U1041" i="1"/>
  <c r="AD1041" i="1"/>
  <c r="X1043" i="1"/>
  <c r="U1044" i="1"/>
  <c r="AD1044" i="1"/>
  <c r="V1047" i="1"/>
  <c r="S1048" i="1"/>
  <c r="AB1048" i="1"/>
  <c r="V1050" i="1"/>
  <c r="S1051" i="1"/>
  <c r="AC1051" i="1"/>
  <c r="W1053" i="1"/>
  <c r="T1054" i="1"/>
  <c r="AC1054" i="1"/>
  <c r="W1056" i="1"/>
  <c r="U1057" i="1"/>
  <c r="AD1057" i="1"/>
  <c r="X1059" i="1"/>
  <c r="U1060" i="1"/>
  <c r="AD1060" i="1"/>
  <c r="V1063" i="1"/>
  <c r="S1064" i="1"/>
  <c r="AB1064" i="1"/>
  <c r="X1065" i="1"/>
  <c r="T1066" i="1"/>
  <c r="AB1066" i="1"/>
  <c r="X1067" i="1"/>
  <c r="T1068" i="1"/>
  <c r="AB1068" i="1"/>
  <c r="X1069" i="1"/>
  <c r="T1070" i="1"/>
  <c r="AB1070" i="1"/>
  <c r="X1071" i="1"/>
  <c r="T1072" i="1"/>
  <c r="AB1072" i="1"/>
  <c r="X1073" i="1"/>
  <c r="T1074" i="1"/>
  <c r="AB1074" i="1"/>
  <c r="X1075" i="1"/>
  <c r="T1076" i="1"/>
  <c r="AB1076" i="1"/>
  <c r="X1077" i="1"/>
  <c r="T1078" i="1"/>
  <c r="AB1078" i="1"/>
  <c r="X1079" i="1"/>
  <c r="T1080" i="1"/>
  <c r="AB1080" i="1"/>
  <c r="X1081" i="1"/>
  <c r="T1082" i="1"/>
  <c r="AB1082" i="1"/>
  <c r="X1083" i="1"/>
  <c r="T1084" i="1"/>
  <c r="AB1084" i="1"/>
  <c r="X1085" i="1"/>
  <c r="T1086" i="1"/>
  <c r="AB1086" i="1"/>
  <c r="X1087" i="1"/>
  <c r="T1088" i="1"/>
  <c r="AB1088" i="1"/>
  <c r="X1089" i="1"/>
  <c r="T1090" i="1"/>
  <c r="AB1090" i="1"/>
  <c r="X1091" i="1"/>
  <c r="T1092" i="1"/>
  <c r="AB1092" i="1"/>
  <c r="X1093" i="1"/>
  <c r="T1094" i="1"/>
  <c r="AB1094" i="1"/>
  <c r="X1095" i="1"/>
  <c r="T1096" i="1"/>
  <c r="AB1096" i="1"/>
  <c r="X1097" i="1"/>
  <c r="T1098" i="1"/>
  <c r="AB1098" i="1"/>
  <c r="X1099" i="1"/>
  <c r="T1100" i="1"/>
  <c r="AB1100" i="1"/>
  <c r="X1101" i="1"/>
  <c r="T1102" i="1"/>
  <c r="AB1102" i="1"/>
  <c r="X1103" i="1"/>
  <c r="T1104" i="1"/>
  <c r="AB1104" i="1"/>
  <c r="X1105" i="1"/>
  <c r="T1106" i="1"/>
  <c r="AB1106" i="1"/>
  <c r="X1107" i="1"/>
  <c r="T1108" i="1"/>
  <c r="AB1108" i="1"/>
  <c r="X1109" i="1"/>
  <c r="T1110" i="1"/>
  <c r="AB1110" i="1"/>
  <c r="X1111" i="1"/>
  <c r="T1112" i="1"/>
  <c r="AB1112" i="1"/>
  <c r="X1113" i="1"/>
  <c r="T1114" i="1"/>
  <c r="AB1114" i="1"/>
  <c r="X1115" i="1"/>
  <c r="T1116" i="1"/>
  <c r="AB1116" i="1"/>
  <c r="X1117" i="1"/>
  <c r="T1118" i="1"/>
  <c r="AB1118" i="1"/>
  <c r="X1119" i="1"/>
  <c r="T1120" i="1"/>
  <c r="AB1120" i="1"/>
  <c r="X1121" i="1"/>
  <c r="T1122" i="1"/>
  <c r="AB1122" i="1"/>
  <c r="X1123" i="1"/>
  <c r="T1124" i="1"/>
  <c r="AB1124" i="1"/>
  <c r="X1125" i="1"/>
  <c r="T1126" i="1"/>
  <c r="AB1126" i="1"/>
  <c r="X1127" i="1"/>
  <c r="T1128" i="1"/>
  <c r="AB1128" i="1"/>
  <c r="X1129" i="1"/>
  <c r="T1130" i="1"/>
  <c r="AB1130" i="1"/>
  <c r="X1131" i="1"/>
  <c r="T1132" i="1"/>
  <c r="AB1132" i="1"/>
  <c r="X1133" i="1"/>
  <c r="T1134" i="1"/>
  <c r="AB1134" i="1"/>
  <c r="X1135" i="1"/>
  <c r="T1136" i="1"/>
  <c r="AB1136" i="1"/>
  <c r="X1137" i="1"/>
  <c r="T1138" i="1"/>
  <c r="AB1138" i="1"/>
  <c r="X1139" i="1"/>
  <c r="T1140" i="1"/>
  <c r="AB1140" i="1"/>
  <c r="X1141" i="1"/>
  <c r="T1142" i="1"/>
  <c r="AB1142" i="1"/>
  <c r="X1143" i="1"/>
  <c r="T1144" i="1"/>
  <c r="AB1144" i="1"/>
  <c r="X1145" i="1"/>
  <c r="T1146" i="1"/>
  <c r="AB1146" i="1"/>
  <c r="X1147" i="1"/>
  <c r="T1148" i="1"/>
  <c r="AB1148" i="1"/>
  <c r="X1149" i="1"/>
  <c r="T1150" i="1"/>
  <c r="AB1150" i="1"/>
  <c r="X1151" i="1"/>
  <c r="T1152" i="1"/>
  <c r="AB1152" i="1"/>
  <c r="X1153" i="1"/>
  <c r="T1154" i="1"/>
  <c r="AB1154" i="1"/>
  <c r="X1155" i="1"/>
  <c r="T1156" i="1"/>
  <c r="AB1156" i="1"/>
  <c r="X1157" i="1"/>
  <c r="T1158" i="1"/>
  <c r="AB1158" i="1"/>
  <c r="X1159" i="1"/>
  <c r="T1160" i="1"/>
  <c r="AB1160" i="1"/>
  <c r="X1161" i="1"/>
  <c r="T1162" i="1"/>
  <c r="AB1162" i="1"/>
  <c r="X1163" i="1"/>
  <c r="T1164" i="1"/>
  <c r="AB1164" i="1"/>
  <c r="X1165" i="1"/>
  <c r="T1166" i="1"/>
  <c r="AB1166" i="1"/>
  <c r="X1167" i="1"/>
  <c r="T1168" i="1"/>
  <c r="AB1168" i="1"/>
  <c r="X1169" i="1"/>
  <c r="T1170" i="1"/>
  <c r="AB1170" i="1"/>
  <c r="X1171" i="1"/>
  <c r="T1172" i="1"/>
  <c r="AB1172" i="1"/>
  <c r="X1173" i="1"/>
  <c r="T1174" i="1"/>
  <c r="AB1174" i="1"/>
  <c r="X1175" i="1"/>
  <c r="T1176" i="1"/>
  <c r="AB1176" i="1"/>
  <c r="X1177" i="1"/>
  <c r="T1178" i="1"/>
  <c r="AB1178" i="1"/>
  <c r="X1179" i="1"/>
  <c r="T1180" i="1"/>
  <c r="AB1180" i="1"/>
  <c r="X1181" i="1"/>
  <c r="T1182" i="1"/>
  <c r="AB1182" i="1"/>
  <c r="X1183" i="1"/>
  <c r="T1184" i="1"/>
  <c r="AB1184" i="1"/>
  <c r="X1185" i="1"/>
  <c r="T1186" i="1"/>
  <c r="AB1186" i="1"/>
  <c r="X1187" i="1"/>
  <c r="T1188" i="1"/>
  <c r="AB1188" i="1"/>
  <c r="X1189" i="1"/>
  <c r="T1190" i="1"/>
  <c r="AB1190" i="1"/>
  <c r="X1191" i="1"/>
  <c r="T1192" i="1"/>
  <c r="AB1192" i="1"/>
  <c r="X1193" i="1"/>
  <c r="T1194" i="1"/>
  <c r="AB1194" i="1"/>
  <c r="X1195" i="1"/>
  <c r="T1196" i="1"/>
  <c r="AB1196" i="1"/>
  <c r="X1197" i="1"/>
  <c r="T1198" i="1"/>
  <c r="AB1198" i="1"/>
  <c r="X1199" i="1"/>
  <c r="T1200" i="1"/>
  <c r="AB1200" i="1"/>
  <c r="X1201" i="1"/>
  <c r="T1202" i="1"/>
  <c r="AB1202" i="1"/>
  <c r="X1203" i="1"/>
  <c r="T1204" i="1"/>
  <c r="AB1204" i="1"/>
  <c r="X1205" i="1"/>
  <c r="T1206" i="1"/>
  <c r="AB1206" i="1"/>
  <c r="X1207" i="1"/>
  <c r="T1208" i="1"/>
  <c r="AB1208" i="1"/>
  <c r="X1209" i="1"/>
  <c r="T1210" i="1"/>
  <c r="AB1210" i="1"/>
  <c r="X1211" i="1"/>
  <c r="T1212" i="1"/>
  <c r="AB1212" i="1"/>
  <c r="X1213" i="1"/>
  <c r="T1214" i="1"/>
  <c r="AB1214" i="1"/>
  <c r="X1215" i="1"/>
  <c r="T1216" i="1"/>
  <c r="AB1216" i="1"/>
  <c r="X1217" i="1"/>
  <c r="T1218" i="1"/>
  <c r="AB1218" i="1"/>
  <c r="X1219" i="1"/>
  <c r="T1220" i="1"/>
  <c r="AB1220" i="1"/>
  <c r="X1221" i="1"/>
  <c r="T1222" i="1"/>
  <c r="AB1222" i="1"/>
  <c r="X1223" i="1"/>
  <c r="T1224" i="1"/>
  <c r="AB1224" i="1"/>
  <c r="X1225" i="1"/>
  <c r="T1226" i="1"/>
  <c r="AB1226" i="1"/>
  <c r="X1227" i="1"/>
  <c r="T1228" i="1"/>
  <c r="AB1228" i="1"/>
  <c r="X1229" i="1"/>
  <c r="T1230" i="1"/>
  <c r="AB1230" i="1"/>
  <c r="X1231" i="1"/>
  <c r="T1232" i="1"/>
  <c r="AB1232" i="1"/>
  <c r="X1233" i="1"/>
  <c r="T1234" i="1"/>
  <c r="AB1234" i="1"/>
  <c r="X1235" i="1"/>
  <c r="T1236" i="1"/>
  <c r="AB1236" i="1"/>
  <c r="X1237" i="1"/>
  <c r="T1238" i="1"/>
  <c r="AB1238" i="1"/>
  <c r="X1239" i="1"/>
  <c r="T1240" i="1"/>
  <c r="AB1240" i="1"/>
  <c r="X1241" i="1"/>
  <c r="T1242" i="1"/>
  <c r="AB1242" i="1"/>
  <c r="X1243" i="1"/>
  <c r="T1244" i="1"/>
  <c r="AB1244" i="1"/>
  <c r="X1245" i="1"/>
  <c r="T1246" i="1"/>
  <c r="AB1246" i="1"/>
  <c r="X1247" i="1"/>
  <c r="T1248" i="1"/>
  <c r="AB1248" i="1"/>
  <c r="X1249" i="1"/>
  <c r="T1250" i="1"/>
  <c r="AB1250" i="1"/>
  <c r="X1251" i="1"/>
  <c r="T1252" i="1"/>
  <c r="AB1252" i="1"/>
  <c r="X1253" i="1"/>
  <c r="T1254" i="1"/>
  <c r="AB1254" i="1"/>
  <c r="X1255" i="1"/>
  <c r="T1256" i="1"/>
  <c r="AB1256" i="1"/>
  <c r="X1257" i="1"/>
  <c r="T1258" i="1"/>
  <c r="AB1258" i="1"/>
  <c r="X1259" i="1"/>
  <c r="T1260" i="1"/>
  <c r="AB1260" i="1"/>
  <c r="X1261" i="1"/>
  <c r="T1262" i="1"/>
  <c r="AB1262" i="1"/>
  <c r="X1263" i="1"/>
  <c r="T1264" i="1"/>
  <c r="AB1264" i="1"/>
  <c r="X1265" i="1"/>
  <c r="T1266" i="1"/>
  <c r="AB1266" i="1"/>
  <c r="X1267" i="1"/>
  <c r="T1268" i="1"/>
  <c r="AB1268" i="1"/>
  <c r="X1269" i="1"/>
  <c r="T1270" i="1"/>
  <c r="AB1270" i="1"/>
  <c r="X1271" i="1"/>
  <c r="T1272" i="1"/>
  <c r="AB1272" i="1"/>
  <c r="X1273" i="1"/>
  <c r="T1274" i="1"/>
  <c r="AB1274" i="1"/>
  <c r="X1275" i="1"/>
  <c r="T1276" i="1"/>
  <c r="AB1276" i="1"/>
  <c r="X1277" i="1"/>
  <c r="T1278" i="1"/>
  <c r="AB1278" i="1"/>
  <c r="X1279" i="1"/>
  <c r="T1280" i="1"/>
  <c r="AB1280" i="1"/>
  <c r="X1281" i="1"/>
  <c r="T1282" i="1"/>
  <c r="AB1282" i="1"/>
  <c r="X1283" i="1"/>
  <c r="T1284" i="1"/>
  <c r="AB1284" i="1"/>
  <c r="X1285" i="1"/>
  <c r="T1286" i="1"/>
  <c r="AB1286" i="1"/>
  <c r="X1287" i="1"/>
  <c r="T1288" i="1"/>
  <c r="AB1288" i="1"/>
  <c r="X1289" i="1"/>
  <c r="T1290" i="1"/>
  <c r="AB1290" i="1"/>
  <c r="X1291" i="1"/>
  <c r="T1292" i="1"/>
  <c r="AB1292" i="1"/>
  <c r="X1293" i="1"/>
  <c r="T1294" i="1"/>
  <c r="AB1294" i="1"/>
  <c r="X1295" i="1"/>
  <c r="T1296" i="1"/>
  <c r="AB1296" i="1"/>
  <c r="X1297" i="1"/>
  <c r="T1298" i="1"/>
  <c r="AB1298" i="1"/>
  <c r="X1299" i="1"/>
  <c r="T1300" i="1"/>
  <c r="AB1300" i="1"/>
  <c r="T899" i="1"/>
  <c r="AB901" i="1"/>
  <c r="T903" i="1"/>
  <c r="X904" i="1"/>
  <c r="W908" i="1"/>
  <c r="V909" i="1"/>
  <c r="S910" i="1"/>
  <c r="AC910" i="1"/>
  <c r="V913" i="1"/>
  <c r="S914" i="1"/>
  <c r="AB914" i="1"/>
  <c r="V916" i="1"/>
  <c r="S917" i="1"/>
  <c r="AC917" i="1"/>
  <c r="W919" i="1"/>
  <c r="T920" i="1"/>
  <c r="AC920" i="1"/>
  <c r="W922" i="1"/>
  <c r="U923" i="1"/>
  <c r="AD923" i="1"/>
  <c r="X925" i="1"/>
  <c r="U926" i="1"/>
  <c r="AD926" i="1"/>
  <c r="V929" i="1"/>
  <c r="S930" i="1"/>
  <c r="AB930" i="1"/>
  <c r="V932" i="1"/>
  <c r="S933" i="1"/>
  <c r="AC933" i="1"/>
  <c r="W935" i="1"/>
  <c r="T936" i="1"/>
  <c r="AC936" i="1"/>
  <c r="W938" i="1"/>
  <c r="U939" i="1"/>
  <c r="AD939" i="1"/>
  <c r="X941" i="1"/>
  <c r="U942" i="1"/>
  <c r="AD942" i="1"/>
  <c r="V945" i="1"/>
  <c r="S946" i="1"/>
  <c r="AB946" i="1"/>
  <c r="V948" i="1"/>
  <c r="S949" i="1"/>
  <c r="AC949" i="1"/>
  <c r="W951" i="1"/>
  <c r="T952" i="1"/>
  <c r="AC952" i="1"/>
  <c r="W954" i="1"/>
  <c r="U955" i="1"/>
  <c r="AD955" i="1"/>
  <c r="X957" i="1"/>
  <c r="U958" i="1"/>
  <c r="AD958" i="1"/>
  <c r="V961" i="1"/>
  <c r="S962" i="1"/>
  <c r="AB962" i="1"/>
  <c r="V964" i="1"/>
  <c r="S965" i="1"/>
  <c r="AC965" i="1"/>
  <c r="W967" i="1"/>
  <c r="T968" i="1"/>
  <c r="AC968" i="1"/>
  <c r="W970" i="1"/>
  <c r="U971" i="1"/>
  <c r="AD971" i="1"/>
  <c r="X973" i="1"/>
  <c r="U974" i="1"/>
  <c r="AD974" i="1"/>
  <c r="V977" i="1"/>
  <c r="S978" i="1"/>
  <c r="AB978" i="1"/>
  <c r="V980" i="1"/>
  <c r="S981" i="1"/>
  <c r="AC981" i="1"/>
  <c r="W983" i="1"/>
  <c r="T984" i="1"/>
  <c r="AC984" i="1"/>
  <c r="W986" i="1"/>
  <c r="U987" i="1"/>
  <c r="AD987" i="1"/>
  <c r="X989" i="1"/>
  <c r="U990" i="1"/>
  <c r="AD990" i="1"/>
  <c r="V993" i="1"/>
  <c r="S994" i="1"/>
  <c r="AB994" i="1"/>
  <c r="V996" i="1"/>
  <c r="S997" i="1"/>
  <c r="AC997" i="1"/>
  <c r="W999" i="1"/>
  <c r="T1000" i="1"/>
  <c r="AC1000" i="1"/>
  <c r="W1002" i="1"/>
  <c r="U1003" i="1"/>
  <c r="AD1003" i="1"/>
  <c r="X1005" i="1"/>
  <c r="U1006" i="1"/>
  <c r="AD1006" i="1"/>
  <c r="V1009" i="1"/>
  <c r="S1010" i="1"/>
  <c r="AB1010" i="1"/>
  <c r="V1012" i="1"/>
  <c r="S1013" i="1"/>
  <c r="AC1013" i="1"/>
  <c r="W1015" i="1"/>
  <c r="T1016" i="1"/>
  <c r="AC1016" i="1"/>
  <c r="W1018" i="1"/>
  <c r="U1019" i="1"/>
  <c r="AD1019" i="1"/>
  <c r="X1021" i="1"/>
  <c r="U1022" i="1"/>
  <c r="AD1022" i="1"/>
  <c r="V1025" i="1"/>
  <c r="S1026" i="1"/>
  <c r="AB1026" i="1"/>
  <c r="V1028" i="1"/>
  <c r="S1029" i="1"/>
  <c r="AC1029" i="1"/>
  <c r="W1031" i="1"/>
  <c r="T1032" i="1"/>
  <c r="AC1032" i="1"/>
  <c r="W1034" i="1"/>
  <c r="U1035" i="1"/>
  <c r="AD1035" i="1"/>
  <c r="X1037" i="1"/>
  <c r="U1038" i="1"/>
  <c r="AD1038" i="1"/>
  <c r="V1041" i="1"/>
  <c r="S1042" i="1"/>
  <c r="AB1042" i="1"/>
  <c r="V1044" i="1"/>
  <c r="S1045" i="1"/>
  <c r="AC1045" i="1"/>
  <c r="W1047" i="1"/>
  <c r="T1048" i="1"/>
  <c r="AC1048" i="1"/>
  <c r="W1050" i="1"/>
  <c r="U1051" i="1"/>
  <c r="AD1051" i="1"/>
  <c r="X1053" i="1"/>
  <c r="U1054" i="1"/>
  <c r="AD1054" i="1"/>
  <c r="AD901" i="1"/>
  <c r="V903" i="1"/>
  <c r="W909" i="1"/>
  <c r="T910" i="1"/>
  <c r="S911" i="1"/>
  <c r="AC911" i="1"/>
  <c r="W913" i="1"/>
  <c r="T914" i="1"/>
  <c r="AC914" i="1"/>
  <c r="W916" i="1"/>
  <c r="U917" i="1"/>
  <c r="AD917" i="1"/>
  <c r="X919" i="1"/>
  <c r="U920" i="1"/>
  <c r="AD920" i="1"/>
  <c r="V923" i="1"/>
  <c r="S924" i="1"/>
  <c r="AB924" i="1"/>
  <c r="V926" i="1"/>
  <c r="S927" i="1"/>
  <c r="AC927" i="1"/>
  <c r="W929" i="1"/>
  <c r="T930" i="1"/>
  <c r="AC930" i="1"/>
  <c r="W932" i="1"/>
  <c r="U933" i="1"/>
  <c r="AD933" i="1"/>
  <c r="X935" i="1"/>
  <c r="U936" i="1"/>
  <c r="AD936" i="1"/>
  <c r="V939" i="1"/>
  <c r="S940" i="1"/>
  <c r="AB940" i="1"/>
  <c r="V942" i="1"/>
  <c r="S943" i="1"/>
  <c r="AC943" i="1"/>
  <c r="W945" i="1"/>
  <c r="T946" i="1"/>
  <c r="AC946" i="1"/>
  <c r="W948" i="1"/>
  <c r="U949" i="1"/>
  <c r="AD949" i="1"/>
  <c r="X951" i="1"/>
  <c r="U952" i="1"/>
  <c r="AD952" i="1"/>
  <c r="V955" i="1"/>
  <c r="S956" i="1"/>
  <c r="AB956" i="1"/>
  <c r="V958" i="1"/>
  <c r="S959" i="1"/>
  <c r="AC959" i="1"/>
  <c r="W961" i="1"/>
  <c r="T962" i="1"/>
  <c r="AC962" i="1"/>
  <c r="W964" i="1"/>
  <c r="U965" i="1"/>
  <c r="AD965" i="1"/>
  <c r="X967" i="1"/>
  <c r="U968" i="1"/>
  <c r="AD968" i="1"/>
  <c r="V971" i="1"/>
  <c r="S972" i="1"/>
  <c r="AB972" i="1"/>
  <c r="V974" i="1"/>
  <c r="S975" i="1"/>
  <c r="AC975" i="1"/>
  <c r="W977" i="1"/>
  <c r="T978" i="1"/>
  <c r="AC978" i="1"/>
  <c r="W980" i="1"/>
  <c r="U981" i="1"/>
  <c r="AD981" i="1"/>
  <c r="X983" i="1"/>
  <c r="U984" i="1"/>
  <c r="AD984" i="1"/>
  <c r="V987" i="1"/>
  <c r="S988" i="1"/>
  <c r="AB988" i="1"/>
  <c r="V990" i="1"/>
  <c r="S991" i="1"/>
  <c r="AC991" i="1"/>
  <c r="W993" i="1"/>
  <c r="T994" i="1"/>
  <c r="AC994" i="1"/>
  <c r="W996" i="1"/>
  <c r="U997" i="1"/>
  <c r="AD997" i="1"/>
  <c r="X999" i="1"/>
  <c r="U1000" i="1"/>
  <c r="AD1000" i="1"/>
  <c r="V1003" i="1"/>
  <c r="S1004" i="1"/>
  <c r="AB1004" i="1"/>
  <c r="V1006" i="1"/>
  <c r="S1007" i="1"/>
  <c r="AC1007" i="1"/>
  <c r="W1009" i="1"/>
  <c r="T1010" i="1"/>
  <c r="AC1010" i="1"/>
  <c r="W1012" i="1"/>
  <c r="U1013" i="1"/>
  <c r="AD1013" i="1"/>
  <c r="X1015" i="1"/>
  <c r="U1016" i="1"/>
  <c r="AD1016" i="1"/>
  <c r="V1019" i="1"/>
  <c r="S1020" i="1"/>
  <c r="AB1020" i="1"/>
  <c r="V1022" i="1"/>
  <c r="S1023" i="1"/>
  <c r="AC1023" i="1"/>
  <c r="W1025" i="1"/>
  <c r="T1026" i="1"/>
  <c r="AC1026" i="1"/>
  <c r="W1028" i="1"/>
  <c r="U1029" i="1"/>
  <c r="AD1029" i="1"/>
  <c r="X1031" i="1"/>
  <c r="U1032" i="1"/>
  <c r="AD1032" i="1"/>
  <c r="V1035" i="1"/>
  <c r="S1036" i="1"/>
  <c r="AB1036" i="1"/>
  <c r="V1038" i="1"/>
  <c r="S1039" i="1"/>
  <c r="AC1039" i="1"/>
  <c r="W1041" i="1"/>
  <c r="T1042" i="1"/>
  <c r="AC1042" i="1"/>
  <c r="W1044" i="1"/>
  <c r="U1045" i="1"/>
  <c r="AD1045" i="1"/>
  <c r="X1047" i="1"/>
  <c r="U1048" i="1"/>
  <c r="AD1048" i="1"/>
  <c r="V1051" i="1"/>
  <c r="S1052" i="1"/>
  <c r="AB1052" i="1"/>
  <c r="V1054" i="1"/>
  <c r="S1055" i="1"/>
  <c r="AC1055" i="1"/>
  <c r="W1057" i="1"/>
  <c r="T1058" i="1"/>
  <c r="AC1058" i="1"/>
  <c r="W1060" i="1"/>
  <c r="U1061" i="1"/>
  <c r="AD1061" i="1"/>
  <c r="W1049" i="1"/>
  <c r="W1052" i="1"/>
  <c r="W1055" i="1"/>
  <c r="X1063" i="1"/>
  <c r="V1064" i="1"/>
  <c r="T1065" i="1"/>
  <c r="AC1065" i="1"/>
  <c r="W1067" i="1"/>
  <c r="U1068" i="1"/>
  <c r="AD1068" i="1"/>
  <c r="X1070" i="1"/>
  <c r="U1071" i="1"/>
  <c r="AD1071" i="1"/>
  <c r="V1074" i="1"/>
  <c r="S1075" i="1"/>
  <c r="AB1075" i="1"/>
  <c r="V1077" i="1"/>
  <c r="S1078" i="1"/>
  <c r="AC1078" i="1"/>
  <c r="W1080" i="1"/>
  <c r="T1081" i="1"/>
  <c r="AC1081" i="1"/>
  <c r="W1083" i="1"/>
  <c r="U1084" i="1"/>
  <c r="AD1084" i="1"/>
  <c r="X1086" i="1"/>
  <c r="U1087" i="1"/>
  <c r="AD1087" i="1"/>
  <c r="V1090" i="1"/>
  <c r="S1091" i="1"/>
  <c r="AB1091" i="1"/>
  <c r="V1093" i="1"/>
  <c r="S1094" i="1"/>
  <c r="AC1094" i="1"/>
  <c r="W1096" i="1"/>
  <c r="T1097" i="1"/>
  <c r="AC1097" i="1"/>
  <c r="W1099" i="1"/>
  <c r="U1100" i="1"/>
  <c r="AD1100" i="1"/>
  <c r="X1102" i="1"/>
  <c r="U1103" i="1"/>
  <c r="AD1103" i="1"/>
  <c r="V1106" i="1"/>
  <c r="S1107" i="1"/>
  <c r="AB1107" i="1"/>
  <c r="V1109" i="1"/>
  <c r="S1110" i="1"/>
  <c r="AC1110" i="1"/>
  <c r="W1112" i="1"/>
  <c r="T1113" i="1"/>
  <c r="AC1113" i="1"/>
  <c r="W1115" i="1"/>
  <c r="U1116" i="1"/>
  <c r="AD1116" i="1"/>
  <c r="X1118" i="1"/>
  <c r="U1119" i="1"/>
  <c r="AD1119" i="1"/>
  <c r="V1122" i="1"/>
  <c r="S1123" i="1"/>
  <c r="AB1123" i="1"/>
  <c r="V1125" i="1"/>
  <c r="S1126" i="1"/>
  <c r="AC1126" i="1"/>
  <c r="W1128" i="1"/>
  <c r="T1129" i="1"/>
  <c r="AC1129" i="1"/>
  <c r="W1131" i="1"/>
  <c r="U1132" i="1"/>
  <c r="AD1132" i="1"/>
  <c r="X1134" i="1"/>
  <c r="U1135" i="1"/>
  <c r="AD1135" i="1"/>
  <c r="V1138" i="1"/>
  <c r="S1139" i="1"/>
  <c r="AB1139" i="1"/>
  <c r="V1141" i="1"/>
  <c r="S1142" i="1"/>
  <c r="AC1142" i="1"/>
  <c r="W1144" i="1"/>
  <c r="T1145" i="1"/>
  <c r="AC1145" i="1"/>
  <c r="W1147" i="1"/>
  <c r="U1148" i="1"/>
  <c r="AD1148" i="1"/>
  <c r="X1150" i="1"/>
  <c r="U1151" i="1"/>
  <c r="AD1151" i="1"/>
  <c r="V1154" i="1"/>
  <c r="S1155" i="1"/>
  <c r="AB1155" i="1"/>
  <c r="V1157" i="1"/>
  <c r="S1158" i="1"/>
  <c r="AC1158" i="1"/>
  <c r="W1160" i="1"/>
  <c r="T1161" i="1"/>
  <c r="AC1161" i="1"/>
  <c r="W1163" i="1"/>
  <c r="U1164" i="1"/>
  <c r="AD1164" i="1"/>
  <c r="X1166" i="1"/>
  <c r="U1167" i="1"/>
  <c r="AD1167" i="1"/>
  <c r="V1170" i="1"/>
  <c r="S1171" i="1"/>
  <c r="AB1171" i="1"/>
  <c r="V1173" i="1"/>
  <c r="S1174" i="1"/>
  <c r="AC1174" i="1"/>
  <c r="W1176" i="1"/>
  <c r="T1177" i="1"/>
  <c r="AC1177" i="1"/>
  <c r="W1179" i="1"/>
  <c r="U1180" i="1"/>
  <c r="AD1180" i="1"/>
  <c r="X1182" i="1"/>
  <c r="U1183" i="1"/>
  <c r="AD1183" i="1"/>
  <c r="V1186" i="1"/>
  <c r="S1187" i="1"/>
  <c r="AB1187" i="1"/>
  <c r="V1189" i="1"/>
  <c r="S1190" i="1"/>
  <c r="AC1190" i="1"/>
  <c r="W1192" i="1"/>
  <c r="T1193" i="1"/>
  <c r="AC1193" i="1"/>
  <c r="W1195" i="1"/>
  <c r="U1196" i="1"/>
  <c r="AD1196" i="1"/>
  <c r="X1198" i="1"/>
  <c r="U1199" i="1"/>
  <c r="AD1199" i="1"/>
  <c r="V1202" i="1"/>
  <c r="S1203" i="1"/>
  <c r="AB1203" i="1"/>
  <c r="V1205" i="1"/>
  <c r="S1206" i="1"/>
  <c r="AC1206" i="1"/>
  <c r="W1208" i="1"/>
  <c r="T1209" i="1"/>
  <c r="AC1209" i="1"/>
  <c r="W1211" i="1"/>
  <c r="U1212" i="1"/>
  <c r="AD1212" i="1"/>
  <c r="X1214" i="1"/>
  <c r="U1215" i="1"/>
  <c r="AD1215" i="1"/>
  <c r="V1218" i="1"/>
  <c r="S1219" i="1"/>
  <c r="AB1219" i="1"/>
  <c r="V1221" i="1"/>
  <c r="S1222" i="1"/>
  <c r="AC1222" i="1"/>
  <c r="W1224" i="1"/>
  <c r="T1225" i="1"/>
  <c r="AC1225" i="1"/>
  <c r="AC1050" i="1"/>
  <c r="X1055" i="1"/>
  <c r="AB1060" i="1"/>
  <c r="AC1061" i="1"/>
  <c r="W1064" i="1"/>
  <c r="U1065" i="1"/>
  <c r="AD1065" i="1"/>
  <c r="V1068" i="1"/>
  <c r="S1069" i="1"/>
  <c r="AB1069" i="1"/>
  <c r="V1071" i="1"/>
  <c r="S1072" i="1"/>
  <c r="AC1072" i="1"/>
  <c r="W1074" i="1"/>
  <c r="T1075" i="1"/>
  <c r="AC1075" i="1"/>
  <c r="W1077" i="1"/>
  <c r="U1078" i="1"/>
  <c r="AD1078" i="1"/>
  <c r="X1080" i="1"/>
  <c r="U1081" i="1"/>
  <c r="AD1081" i="1"/>
  <c r="V1084" i="1"/>
  <c r="S1085" i="1"/>
  <c r="AB1085" i="1"/>
  <c r="V1087" i="1"/>
  <c r="S1088" i="1"/>
  <c r="AC1088" i="1"/>
  <c r="W1090" i="1"/>
  <c r="T1091" i="1"/>
  <c r="AC1091" i="1"/>
  <c r="W1093" i="1"/>
  <c r="U1094" i="1"/>
  <c r="AD1094" i="1"/>
  <c r="X1096" i="1"/>
  <c r="U1097" i="1"/>
  <c r="AD1097" i="1"/>
  <c r="V1100" i="1"/>
  <c r="S1101" i="1"/>
  <c r="AB1101" i="1"/>
  <c r="V1103" i="1"/>
  <c r="S1104" i="1"/>
  <c r="AC1104" i="1"/>
  <c r="W1106" i="1"/>
  <c r="T1107" i="1"/>
  <c r="AC1107" i="1"/>
  <c r="W1109" i="1"/>
  <c r="U1110" i="1"/>
  <c r="AD1110" i="1"/>
  <c r="X1112" i="1"/>
  <c r="U1113" i="1"/>
  <c r="AD1113" i="1"/>
  <c r="V1116" i="1"/>
  <c r="S1117" i="1"/>
  <c r="AB1117" i="1"/>
  <c r="V1119" i="1"/>
  <c r="S1120" i="1"/>
  <c r="AC1120" i="1"/>
  <c r="W1122" i="1"/>
  <c r="T1123" i="1"/>
  <c r="AC1123" i="1"/>
  <c r="W1125" i="1"/>
  <c r="U1126" i="1"/>
  <c r="AD1126" i="1"/>
  <c r="X1128" i="1"/>
  <c r="U1129" i="1"/>
  <c r="AD1129" i="1"/>
  <c r="V1132" i="1"/>
  <c r="S1133" i="1"/>
  <c r="AB1133" i="1"/>
  <c r="V1135" i="1"/>
  <c r="S1136" i="1"/>
  <c r="AC1136" i="1"/>
  <c r="W1138" i="1"/>
  <c r="T1139" i="1"/>
  <c r="AC1139" i="1"/>
  <c r="W1141" i="1"/>
  <c r="U1142" i="1"/>
  <c r="AD1142" i="1"/>
  <c r="X1144" i="1"/>
  <c r="U1145" i="1"/>
  <c r="AD1145" i="1"/>
  <c r="V1148" i="1"/>
  <c r="S1149" i="1"/>
  <c r="AB1149" i="1"/>
  <c r="V1151" i="1"/>
  <c r="S1152" i="1"/>
  <c r="AC1152" i="1"/>
  <c r="W1154" i="1"/>
  <c r="T1155" i="1"/>
  <c r="AC1155" i="1"/>
  <c r="W1157" i="1"/>
  <c r="U1158" i="1"/>
  <c r="AD1158" i="1"/>
  <c r="X1160" i="1"/>
  <c r="U1161" i="1"/>
  <c r="AD1161" i="1"/>
  <c r="V1164" i="1"/>
  <c r="S1165" i="1"/>
  <c r="AB1165" i="1"/>
  <c r="V1167" i="1"/>
  <c r="S1168" i="1"/>
  <c r="AC1168" i="1"/>
  <c r="W1170" i="1"/>
  <c r="T1171" i="1"/>
  <c r="AC1171" i="1"/>
  <c r="W1173" i="1"/>
  <c r="U1174" i="1"/>
  <c r="AD1174" i="1"/>
  <c r="X1176" i="1"/>
  <c r="U1177" i="1"/>
  <c r="AD1177" i="1"/>
  <c r="V1180" i="1"/>
  <c r="S1181" i="1"/>
  <c r="AB1181" i="1"/>
  <c r="V1183" i="1"/>
  <c r="S1184" i="1"/>
  <c r="AC1184" i="1"/>
  <c r="W1186" i="1"/>
  <c r="T1187" i="1"/>
  <c r="AC1187" i="1"/>
  <c r="W1189" i="1"/>
  <c r="U1190" i="1"/>
  <c r="AD1190" i="1"/>
  <c r="X1192" i="1"/>
  <c r="U1193" i="1"/>
  <c r="AD1193" i="1"/>
  <c r="V1196" i="1"/>
  <c r="S1197" i="1"/>
  <c r="AB1197" i="1"/>
  <c r="V1199" i="1"/>
  <c r="S1200" i="1"/>
  <c r="AC1200" i="1"/>
  <c r="W1202" i="1"/>
  <c r="T1203" i="1"/>
  <c r="AC1203" i="1"/>
  <c r="W1205" i="1"/>
  <c r="U1206" i="1"/>
  <c r="AD1206" i="1"/>
  <c r="X1208" i="1"/>
  <c r="U1209" i="1"/>
  <c r="AD1209" i="1"/>
  <c r="V1212" i="1"/>
  <c r="S1213" i="1"/>
  <c r="AB1213" i="1"/>
  <c r="V1215" i="1"/>
  <c r="S1216" i="1"/>
  <c r="AC1216" i="1"/>
  <c r="W1218" i="1"/>
  <c r="T1219" i="1"/>
  <c r="AC1219" i="1"/>
  <c r="W1221" i="1"/>
  <c r="U1222" i="1"/>
  <c r="AD1222" i="1"/>
  <c r="X1224" i="1"/>
  <c r="U1225" i="1"/>
  <c r="AD1225" i="1"/>
  <c r="V1228" i="1"/>
  <c r="S1229" i="1"/>
  <c r="AB1229" i="1"/>
  <c r="V1231" i="1"/>
  <c r="S1232" i="1"/>
  <c r="AC1232" i="1"/>
  <c r="X1051" i="1"/>
  <c r="AC1053" i="1"/>
  <c r="AB1058" i="1"/>
  <c r="AC1059" i="1"/>
  <c r="S1061" i="1"/>
  <c r="S1062" i="1"/>
  <c r="AB1062" i="1"/>
  <c r="V1065" i="1"/>
  <c r="S1066" i="1"/>
  <c r="AC1066" i="1"/>
  <c r="W1068" i="1"/>
  <c r="T1069" i="1"/>
  <c r="AC1069" i="1"/>
  <c r="W1071" i="1"/>
  <c r="U1072" i="1"/>
  <c r="AD1072" i="1"/>
  <c r="X1074" i="1"/>
  <c r="U1075" i="1"/>
  <c r="AD1075" i="1"/>
  <c r="V1078" i="1"/>
  <c r="S1079" i="1"/>
  <c r="AB1079" i="1"/>
  <c r="V1081" i="1"/>
  <c r="S1082" i="1"/>
  <c r="AC1082" i="1"/>
  <c r="W1084" i="1"/>
  <c r="T1085" i="1"/>
  <c r="AC1085" i="1"/>
  <c r="W1087" i="1"/>
  <c r="U1088" i="1"/>
  <c r="AD1088" i="1"/>
  <c r="X1090" i="1"/>
  <c r="U1091" i="1"/>
  <c r="AD1091" i="1"/>
  <c r="V1094" i="1"/>
  <c r="S1095" i="1"/>
  <c r="AB1095" i="1"/>
  <c r="V1097" i="1"/>
  <c r="S1098" i="1"/>
  <c r="AC1098" i="1"/>
  <c r="W1100" i="1"/>
  <c r="T1101" i="1"/>
  <c r="AC1101" i="1"/>
  <c r="W1103" i="1"/>
  <c r="U1104" i="1"/>
  <c r="AD1104" i="1"/>
  <c r="X1106" i="1"/>
  <c r="U1107" i="1"/>
  <c r="AD1107" i="1"/>
  <c r="V1110" i="1"/>
  <c r="S1111" i="1"/>
  <c r="AB1111" i="1"/>
  <c r="V1113" i="1"/>
  <c r="S1114" i="1"/>
  <c r="AC1114" i="1"/>
  <c r="W1116" i="1"/>
  <c r="T1117" i="1"/>
  <c r="AC1117" i="1"/>
  <c r="W1119" i="1"/>
  <c r="U1120" i="1"/>
  <c r="AD1120" i="1"/>
  <c r="X1122" i="1"/>
  <c r="U1123" i="1"/>
  <c r="AD1123" i="1"/>
  <c r="V1126" i="1"/>
  <c r="S1127" i="1"/>
  <c r="AB1127" i="1"/>
  <c r="V1129" i="1"/>
  <c r="S1130" i="1"/>
  <c r="AC1130" i="1"/>
  <c r="W1132" i="1"/>
  <c r="T1133" i="1"/>
  <c r="AC1133" i="1"/>
  <c r="W1135" i="1"/>
  <c r="U1136" i="1"/>
  <c r="AD1136" i="1"/>
  <c r="X1138" i="1"/>
  <c r="U1139" i="1"/>
  <c r="AD1139" i="1"/>
  <c r="V1142" i="1"/>
  <c r="S1143" i="1"/>
  <c r="AB1143" i="1"/>
  <c r="V1145" i="1"/>
  <c r="S1146" i="1"/>
  <c r="AC1146" i="1"/>
  <c r="W1148" i="1"/>
  <c r="T1149" i="1"/>
  <c r="AC1149" i="1"/>
  <c r="W1151" i="1"/>
  <c r="U1152" i="1"/>
  <c r="AD1152" i="1"/>
  <c r="X1154" i="1"/>
  <c r="U1155" i="1"/>
  <c r="AD1155" i="1"/>
  <c r="V1158" i="1"/>
  <c r="S1159" i="1"/>
  <c r="AB1159" i="1"/>
  <c r="V1161" i="1"/>
  <c r="S1162" i="1"/>
  <c r="AC1162" i="1"/>
  <c r="W1164" i="1"/>
  <c r="T1165" i="1"/>
  <c r="AC1165" i="1"/>
  <c r="W1167" i="1"/>
  <c r="U1168" i="1"/>
  <c r="AD1168" i="1"/>
  <c r="X1170" i="1"/>
  <c r="U1171" i="1"/>
  <c r="AD1171" i="1"/>
  <c r="V1174" i="1"/>
  <c r="S1175" i="1"/>
  <c r="AB1175" i="1"/>
  <c r="V1177" i="1"/>
  <c r="S1178" i="1"/>
  <c r="AC1178" i="1"/>
  <c r="W1180" i="1"/>
  <c r="T1181" i="1"/>
  <c r="AC1181" i="1"/>
  <c r="W1183" i="1"/>
  <c r="U1184" i="1"/>
  <c r="AD1184" i="1"/>
  <c r="X1186" i="1"/>
  <c r="U1187" i="1"/>
  <c r="AD1187" i="1"/>
  <c r="V1190" i="1"/>
  <c r="S1191" i="1"/>
  <c r="AB1191" i="1"/>
  <c r="V1193" i="1"/>
  <c r="S1194" i="1"/>
  <c r="AC1194" i="1"/>
  <c r="W1196" i="1"/>
  <c r="T1197" i="1"/>
  <c r="AC1197" i="1"/>
  <c r="W1199" i="1"/>
  <c r="U1200" i="1"/>
  <c r="AD1200" i="1"/>
  <c r="X1202" i="1"/>
  <c r="U1203" i="1"/>
  <c r="AD1203" i="1"/>
  <c r="T1046" i="1"/>
  <c r="W1048" i="1"/>
  <c r="AD1053" i="1"/>
  <c r="AB1056" i="1"/>
  <c r="S1058" i="1"/>
  <c r="AD1058" i="1"/>
  <c r="AD1059" i="1"/>
  <c r="V1061" i="1"/>
  <c r="T1062" i="1"/>
  <c r="AC1062" i="1"/>
  <c r="W1065" i="1"/>
  <c r="U1066" i="1"/>
  <c r="AD1066" i="1"/>
  <c r="X1068" i="1"/>
  <c r="U1069" i="1"/>
  <c r="AD1069" i="1"/>
  <c r="V1072" i="1"/>
  <c r="S1073" i="1"/>
  <c r="AB1073" i="1"/>
  <c r="V1075" i="1"/>
  <c r="S1076" i="1"/>
  <c r="AC1076" i="1"/>
  <c r="W1078" i="1"/>
  <c r="T1079" i="1"/>
  <c r="AC1079" i="1"/>
  <c r="W1081" i="1"/>
  <c r="U1082" i="1"/>
  <c r="AD1082" i="1"/>
  <c r="X1084" i="1"/>
  <c r="U1085" i="1"/>
  <c r="AD1085" i="1"/>
  <c r="V1088" i="1"/>
  <c r="S1089" i="1"/>
  <c r="AB1089" i="1"/>
  <c r="V1091" i="1"/>
  <c r="S1092" i="1"/>
  <c r="AC1092" i="1"/>
  <c r="W1094" i="1"/>
  <c r="T1095" i="1"/>
  <c r="AC1095" i="1"/>
  <c r="W1097" i="1"/>
  <c r="U1098" i="1"/>
  <c r="AD1098" i="1"/>
  <c r="X1100" i="1"/>
  <c r="U1101" i="1"/>
  <c r="AD1101" i="1"/>
  <c r="V1104" i="1"/>
  <c r="S1105" i="1"/>
  <c r="AB1105" i="1"/>
  <c r="V1107" i="1"/>
  <c r="S1108" i="1"/>
  <c r="AC1108" i="1"/>
  <c r="W1110" i="1"/>
  <c r="T1111" i="1"/>
  <c r="AC1111" i="1"/>
  <c r="W1113" i="1"/>
  <c r="U1114" i="1"/>
  <c r="AD1114" i="1"/>
  <c r="X1116" i="1"/>
  <c r="U1117" i="1"/>
  <c r="AD1117" i="1"/>
  <c r="V1120" i="1"/>
  <c r="S1121" i="1"/>
  <c r="AB1121" i="1"/>
  <c r="V1123" i="1"/>
  <c r="S1124" i="1"/>
  <c r="AC1124" i="1"/>
  <c r="W1126" i="1"/>
  <c r="T1127" i="1"/>
  <c r="AC1127" i="1"/>
  <c r="W1129" i="1"/>
  <c r="U1130" i="1"/>
  <c r="AD1130" i="1"/>
  <c r="X1132" i="1"/>
  <c r="U1133" i="1"/>
  <c r="AD1133" i="1"/>
  <c r="V1136" i="1"/>
  <c r="S1137" i="1"/>
  <c r="AB1137" i="1"/>
  <c r="V1139" i="1"/>
  <c r="S1140" i="1"/>
  <c r="AC1140" i="1"/>
  <c r="W1142" i="1"/>
  <c r="T1143" i="1"/>
  <c r="AC1143" i="1"/>
  <c r="W1145" i="1"/>
  <c r="U1146" i="1"/>
  <c r="AD1146" i="1"/>
  <c r="X1148" i="1"/>
  <c r="U1149" i="1"/>
  <c r="AD1149" i="1"/>
  <c r="V1152" i="1"/>
  <c r="S1153" i="1"/>
  <c r="AB1153" i="1"/>
  <c r="V1155" i="1"/>
  <c r="S1156" i="1"/>
  <c r="AC1156" i="1"/>
  <c r="W1158" i="1"/>
  <c r="T1159" i="1"/>
  <c r="AC1159" i="1"/>
  <c r="W1161" i="1"/>
  <c r="U1162" i="1"/>
  <c r="AD1162" i="1"/>
  <c r="X1164" i="1"/>
  <c r="U1165" i="1"/>
  <c r="AD1165" i="1"/>
  <c r="V1168" i="1"/>
  <c r="S1169" i="1"/>
  <c r="AB1169" i="1"/>
  <c r="V1171" i="1"/>
  <c r="S1172" i="1"/>
  <c r="AC1172" i="1"/>
  <c r="W1174" i="1"/>
  <c r="T1175" i="1"/>
  <c r="AC1175" i="1"/>
  <c r="W1177" i="1"/>
  <c r="U1178" i="1"/>
  <c r="AD1178" i="1"/>
  <c r="X1180" i="1"/>
  <c r="U1181" i="1"/>
  <c r="AD1181" i="1"/>
  <c r="V1184" i="1"/>
  <c r="S1185" i="1"/>
  <c r="AB1185" i="1"/>
  <c r="V1187" i="1"/>
  <c r="S1188" i="1"/>
  <c r="AC1188" i="1"/>
  <c r="W1190" i="1"/>
  <c r="T1191" i="1"/>
  <c r="AC1191" i="1"/>
  <c r="W1193" i="1"/>
  <c r="U1194" i="1"/>
  <c r="AD1194" i="1"/>
  <c r="X1196" i="1"/>
  <c r="U1197" i="1"/>
  <c r="AD1197" i="1"/>
  <c r="V1200" i="1"/>
  <c r="S1201" i="1"/>
  <c r="AB1201" i="1"/>
  <c r="V1203" i="1"/>
  <c r="S1204" i="1"/>
  <c r="AC1204" i="1"/>
  <c r="W1206" i="1"/>
  <c r="T1207" i="1"/>
  <c r="AC1207" i="1"/>
  <c r="W1209" i="1"/>
  <c r="U1210" i="1"/>
  <c r="AD1210" i="1"/>
  <c r="X1212" i="1"/>
  <c r="U1213" i="1"/>
  <c r="AD1213" i="1"/>
  <c r="V1216" i="1"/>
  <c r="S1217" i="1"/>
  <c r="AB1217" i="1"/>
  <c r="V1219" i="1"/>
  <c r="S1220" i="1"/>
  <c r="AC1220" i="1"/>
  <c r="W1222" i="1"/>
  <c r="T1223" i="1"/>
  <c r="AC1223" i="1"/>
  <c r="W1225" i="1"/>
  <c r="U1226" i="1"/>
  <c r="AD1226" i="1"/>
  <c r="X1228" i="1"/>
  <c r="U1229" i="1"/>
  <c r="AD1229" i="1"/>
  <c r="V1232" i="1"/>
  <c r="S1233" i="1"/>
  <c r="AB1233" i="1"/>
  <c r="V1235" i="1"/>
  <c r="S1236" i="1"/>
  <c r="AC1236" i="1"/>
  <c r="W1238" i="1"/>
  <c r="T1239" i="1"/>
  <c r="AC1239" i="1"/>
  <c r="W1241" i="1"/>
  <c r="U1242" i="1"/>
  <c r="AD1242" i="1"/>
  <c r="X1244" i="1"/>
  <c r="U1245" i="1"/>
  <c r="AD1245" i="1"/>
  <c r="V1248" i="1"/>
  <c r="S1249" i="1"/>
  <c r="AB1249" i="1"/>
  <c r="V1251" i="1"/>
  <c r="S1252" i="1"/>
  <c r="AC1252" i="1"/>
  <c r="W1254" i="1"/>
  <c r="T1255" i="1"/>
  <c r="AC1255" i="1"/>
  <c r="W1257" i="1"/>
  <c r="U1258" i="1"/>
  <c r="AD1258" i="1"/>
  <c r="X1260" i="1"/>
  <c r="U1261" i="1"/>
  <c r="AD1261" i="1"/>
  <c r="V1264" i="1"/>
  <c r="S1265" i="1"/>
  <c r="AB1265" i="1"/>
  <c r="V1267" i="1"/>
  <c r="S1268" i="1"/>
  <c r="AC1268" i="1"/>
  <c r="W1270" i="1"/>
  <c r="T1271" i="1"/>
  <c r="AC1271" i="1"/>
  <c r="W1273" i="1"/>
  <c r="U1274" i="1"/>
  <c r="AD1274" i="1"/>
  <c r="X1276" i="1"/>
  <c r="U1277" i="1"/>
  <c r="AD1277" i="1"/>
  <c r="V1280" i="1"/>
  <c r="S1281" i="1"/>
  <c r="AB1281" i="1"/>
  <c r="AD1049" i="1"/>
  <c r="AD1052" i="1"/>
  <c r="AC1056" i="1"/>
  <c r="U1058" i="1"/>
  <c r="S1059" i="1"/>
  <c r="S1060" i="1"/>
  <c r="W1061" i="1"/>
  <c r="U1062" i="1"/>
  <c r="AD1062" i="1"/>
  <c r="AC1063" i="1"/>
  <c r="V1066" i="1"/>
  <c r="S1067" i="1"/>
  <c r="AB1067" i="1"/>
  <c r="V1069" i="1"/>
  <c r="S1070" i="1"/>
  <c r="AC1070" i="1"/>
  <c r="W1072" i="1"/>
  <c r="T1073" i="1"/>
  <c r="AC1073" i="1"/>
  <c r="W1075" i="1"/>
  <c r="U1076" i="1"/>
  <c r="AD1076" i="1"/>
  <c r="X1078" i="1"/>
  <c r="U1079" i="1"/>
  <c r="AD1079" i="1"/>
  <c r="V1082" i="1"/>
  <c r="S1083" i="1"/>
  <c r="AB1083" i="1"/>
  <c r="V1085" i="1"/>
  <c r="S1086" i="1"/>
  <c r="AC1086" i="1"/>
  <c r="W1088" i="1"/>
  <c r="T1089" i="1"/>
  <c r="AC1089" i="1"/>
  <c r="W1091" i="1"/>
  <c r="U1092" i="1"/>
  <c r="AD1092" i="1"/>
  <c r="X1094" i="1"/>
  <c r="U1095" i="1"/>
  <c r="AD1095" i="1"/>
  <c r="V1098" i="1"/>
  <c r="S1099" i="1"/>
  <c r="AB1099" i="1"/>
  <c r="V1101" i="1"/>
  <c r="S1102" i="1"/>
  <c r="AC1102" i="1"/>
  <c r="W1104" i="1"/>
  <c r="T1105" i="1"/>
  <c r="AC1105" i="1"/>
  <c r="W1107" i="1"/>
  <c r="U1108" i="1"/>
  <c r="AD1108" i="1"/>
  <c r="X1110" i="1"/>
  <c r="U1111" i="1"/>
  <c r="AD1111" i="1"/>
  <c r="V1114" i="1"/>
  <c r="S1115" i="1"/>
  <c r="AB1115" i="1"/>
  <c r="V1117" i="1"/>
  <c r="S1118" i="1"/>
  <c r="AC1118" i="1"/>
  <c r="W1120" i="1"/>
  <c r="T1121" i="1"/>
  <c r="AC1121" i="1"/>
  <c r="W1123" i="1"/>
  <c r="U1124" i="1"/>
  <c r="AD1124" i="1"/>
  <c r="X1126" i="1"/>
  <c r="U1127" i="1"/>
  <c r="AD1127" i="1"/>
  <c r="V1130" i="1"/>
  <c r="S1131" i="1"/>
  <c r="AB1131" i="1"/>
  <c r="V1133" i="1"/>
  <c r="S1134" i="1"/>
  <c r="AC1134" i="1"/>
  <c r="W1136" i="1"/>
  <c r="T1137" i="1"/>
  <c r="AC1137" i="1"/>
  <c r="W1139" i="1"/>
  <c r="U1140" i="1"/>
  <c r="AD1140" i="1"/>
  <c r="X1142" i="1"/>
  <c r="U1143" i="1"/>
  <c r="AD1143" i="1"/>
  <c r="V1146" i="1"/>
  <c r="S1147" i="1"/>
  <c r="AB1147" i="1"/>
  <c r="V1149" i="1"/>
  <c r="S1150" i="1"/>
  <c r="AC1150" i="1"/>
  <c r="W1152" i="1"/>
  <c r="T1153" i="1"/>
  <c r="AC1153" i="1"/>
  <c r="W1155" i="1"/>
  <c r="U1156" i="1"/>
  <c r="AD1156" i="1"/>
  <c r="X1158" i="1"/>
  <c r="U1159" i="1"/>
  <c r="AD1159" i="1"/>
  <c r="V1162" i="1"/>
  <c r="S1163" i="1"/>
  <c r="AB1163" i="1"/>
  <c r="V1165" i="1"/>
  <c r="S1166" i="1"/>
  <c r="AC1166" i="1"/>
  <c r="W1168" i="1"/>
  <c r="T1169" i="1"/>
  <c r="AC1169" i="1"/>
  <c r="W1171" i="1"/>
  <c r="U1172" i="1"/>
  <c r="AD1172" i="1"/>
  <c r="X1174" i="1"/>
  <c r="U1175" i="1"/>
  <c r="AD1175" i="1"/>
  <c r="V1178" i="1"/>
  <c r="S1179" i="1"/>
  <c r="AB1179" i="1"/>
  <c r="V1181" i="1"/>
  <c r="S1182" i="1"/>
  <c r="AC1182" i="1"/>
  <c r="W1184" i="1"/>
  <c r="T1185" i="1"/>
  <c r="AC1185" i="1"/>
  <c r="W1187" i="1"/>
  <c r="U1188" i="1"/>
  <c r="AD1188" i="1"/>
  <c r="X1190" i="1"/>
  <c r="U1191" i="1"/>
  <c r="AD1191" i="1"/>
  <c r="V1194" i="1"/>
  <c r="S1195" i="1"/>
  <c r="AB1195" i="1"/>
  <c r="V1197" i="1"/>
  <c r="S1198" i="1"/>
  <c r="AC1198" i="1"/>
  <c r="W1200" i="1"/>
  <c r="T1201" i="1"/>
  <c r="AC1201" i="1"/>
  <c r="W1203" i="1"/>
  <c r="U1204" i="1"/>
  <c r="AD1204" i="1"/>
  <c r="X1206" i="1"/>
  <c r="U1207" i="1"/>
  <c r="AD1207" i="1"/>
  <c r="V1210" i="1"/>
  <c r="S1211" i="1"/>
  <c r="AB1211" i="1"/>
  <c r="V1213" i="1"/>
  <c r="S1214" i="1"/>
  <c r="AC1214" i="1"/>
  <c r="W1216" i="1"/>
  <c r="T1217" i="1"/>
  <c r="AC1217" i="1"/>
  <c r="W1219" i="1"/>
  <c r="U1220" i="1"/>
  <c r="AD1220" i="1"/>
  <c r="X1222" i="1"/>
  <c r="U1223" i="1"/>
  <c r="AD1223" i="1"/>
  <c r="V1226" i="1"/>
  <c r="S1227" i="1"/>
  <c r="AB1227" i="1"/>
  <c r="V1229" i="1"/>
  <c r="S1230" i="1"/>
  <c r="AC1230" i="1"/>
  <c r="W1232" i="1"/>
  <c r="T1233" i="1"/>
  <c r="AC1233" i="1"/>
  <c r="T1050" i="1"/>
  <c r="S1053" i="1"/>
  <c r="S1056" i="1"/>
  <c r="AD1056" i="1"/>
  <c r="V1058" i="1"/>
  <c r="U1059" i="1"/>
  <c r="V1060" i="1"/>
  <c r="X1061" i="1"/>
  <c r="V1062" i="1"/>
  <c r="S1063" i="1"/>
  <c r="AD1063" i="1"/>
  <c r="AC1064" i="1"/>
  <c r="W1066" i="1"/>
  <c r="T1067" i="1"/>
  <c r="AC1067" i="1"/>
  <c r="W1069" i="1"/>
  <c r="U1070" i="1"/>
  <c r="AD1070" i="1"/>
  <c r="X1072" i="1"/>
  <c r="U1073" i="1"/>
  <c r="AD1073" i="1"/>
  <c r="V1076" i="1"/>
  <c r="S1077" i="1"/>
  <c r="AB1077" i="1"/>
  <c r="V1079" i="1"/>
  <c r="S1080" i="1"/>
  <c r="AC1080" i="1"/>
  <c r="W1082" i="1"/>
  <c r="T1083" i="1"/>
  <c r="AC1083" i="1"/>
  <c r="W1085" i="1"/>
  <c r="U1086" i="1"/>
  <c r="AD1086" i="1"/>
  <c r="X1088" i="1"/>
  <c r="U1089" i="1"/>
  <c r="AD1089" i="1"/>
  <c r="V1092" i="1"/>
  <c r="S1093" i="1"/>
  <c r="AB1093" i="1"/>
  <c r="V1095" i="1"/>
  <c r="S1096" i="1"/>
  <c r="AC1096" i="1"/>
  <c r="W1098" i="1"/>
  <c r="T1099" i="1"/>
  <c r="AC1099" i="1"/>
  <c r="W1101" i="1"/>
  <c r="U1102" i="1"/>
  <c r="AD1102" i="1"/>
  <c r="X1104" i="1"/>
  <c r="U1105" i="1"/>
  <c r="AD1105" i="1"/>
  <c r="V1108" i="1"/>
  <c r="S1109" i="1"/>
  <c r="AB1109" i="1"/>
  <c r="V1111" i="1"/>
  <c r="S1112" i="1"/>
  <c r="AC1112" i="1"/>
  <c r="W1114" i="1"/>
  <c r="T1115" i="1"/>
  <c r="AC1115" i="1"/>
  <c r="W1117" i="1"/>
  <c r="U1118" i="1"/>
  <c r="AD1118" i="1"/>
  <c r="X1120" i="1"/>
  <c r="U1121" i="1"/>
  <c r="AD1121" i="1"/>
  <c r="V1124" i="1"/>
  <c r="S1125" i="1"/>
  <c r="AB1125" i="1"/>
  <c r="V1127" i="1"/>
  <c r="S1128" i="1"/>
  <c r="AC1128" i="1"/>
  <c r="W1130" i="1"/>
  <c r="T1131" i="1"/>
  <c r="AC1131" i="1"/>
  <c r="W1133" i="1"/>
  <c r="U1134" i="1"/>
  <c r="AD1134" i="1"/>
  <c r="X1136" i="1"/>
  <c r="U1137" i="1"/>
  <c r="AD1137" i="1"/>
  <c r="V1140" i="1"/>
  <c r="S1141" i="1"/>
  <c r="AB1141" i="1"/>
  <c r="V1143" i="1"/>
  <c r="S1144" i="1"/>
  <c r="AC1144" i="1"/>
  <c r="W1146" i="1"/>
  <c r="T1147" i="1"/>
  <c r="AC1147" i="1"/>
  <c r="W1149" i="1"/>
  <c r="U1150" i="1"/>
  <c r="AD1150" i="1"/>
  <c r="X1152" i="1"/>
  <c r="U1153" i="1"/>
  <c r="AD1153" i="1"/>
  <c r="V1156" i="1"/>
  <c r="S1157" i="1"/>
  <c r="AB1157" i="1"/>
  <c r="V1159" i="1"/>
  <c r="S1160" i="1"/>
  <c r="AC1160" i="1"/>
  <c r="W1162" i="1"/>
  <c r="T1163" i="1"/>
  <c r="AC1163" i="1"/>
  <c r="W1165" i="1"/>
  <c r="U1166" i="1"/>
  <c r="AD1166" i="1"/>
  <c r="X1168" i="1"/>
  <c r="U1169" i="1"/>
  <c r="AD1169" i="1"/>
  <c r="V1172" i="1"/>
  <c r="S1173" i="1"/>
  <c r="AB1173" i="1"/>
  <c r="V1175" i="1"/>
  <c r="S1176" i="1"/>
  <c r="AC1176" i="1"/>
  <c r="W1178" i="1"/>
  <c r="T1179" i="1"/>
  <c r="AC1179" i="1"/>
  <c r="W1181" i="1"/>
  <c r="U1182" i="1"/>
  <c r="AD1182" i="1"/>
  <c r="X1184" i="1"/>
  <c r="U1185" i="1"/>
  <c r="AD1185" i="1"/>
  <c r="V1188" i="1"/>
  <c r="S1189" i="1"/>
  <c r="AB1189" i="1"/>
  <c r="V1191" i="1"/>
  <c r="S1192" i="1"/>
  <c r="AC1192" i="1"/>
  <c r="W1194" i="1"/>
  <c r="T1195" i="1"/>
  <c r="AC1195" i="1"/>
  <c r="W1197" i="1"/>
  <c r="U1198" i="1"/>
  <c r="AD1198" i="1"/>
  <c r="X1200" i="1"/>
  <c r="U1201" i="1"/>
  <c r="AD1201" i="1"/>
  <c r="V1204" i="1"/>
  <c r="S1205" i="1"/>
  <c r="AB1205" i="1"/>
  <c r="V1207" i="1"/>
  <c r="S1208" i="1"/>
  <c r="AC1208" i="1"/>
  <c r="W1210" i="1"/>
  <c r="T1211" i="1"/>
  <c r="AC1211" i="1"/>
  <c r="W1213" i="1"/>
  <c r="U1214" i="1"/>
  <c r="AD1214" i="1"/>
  <c r="X1216" i="1"/>
  <c r="U1217" i="1"/>
  <c r="AD1217" i="1"/>
  <c r="V1220" i="1"/>
  <c r="S1221" i="1"/>
  <c r="AB1221" i="1"/>
  <c r="V1223" i="1"/>
  <c r="S1224" i="1"/>
  <c r="AC1224" i="1"/>
  <c r="W1226" i="1"/>
  <c r="T1227" i="1"/>
  <c r="AC1227" i="1"/>
  <c r="W1229" i="1"/>
  <c r="U1230" i="1"/>
  <c r="AD1230" i="1"/>
  <c r="X1232" i="1"/>
  <c r="U1233" i="1"/>
  <c r="AD1233" i="1"/>
  <c r="V1236" i="1"/>
  <c r="S1237" i="1"/>
  <c r="AB1237" i="1"/>
  <c r="V1239" i="1"/>
  <c r="S1240" i="1"/>
  <c r="AC1240" i="1"/>
  <c r="W1242" i="1"/>
  <c r="T1243" i="1"/>
  <c r="AC1243" i="1"/>
  <c r="W1245" i="1"/>
  <c r="U1246" i="1"/>
  <c r="AD1246" i="1"/>
  <c r="X1248" i="1"/>
  <c r="U1249" i="1"/>
  <c r="AD1249" i="1"/>
  <c r="V1252" i="1"/>
  <c r="S1253" i="1"/>
  <c r="AB1253" i="1"/>
  <c r="V1255" i="1"/>
  <c r="S1256" i="1"/>
  <c r="AC1256" i="1"/>
  <c r="W1258" i="1"/>
  <c r="T1259" i="1"/>
  <c r="AC1259" i="1"/>
  <c r="W1261" i="1"/>
  <c r="U1262" i="1"/>
  <c r="AD1262" i="1"/>
  <c r="X1264" i="1"/>
  <c r="U1265" i="1"/>
  <c r="AD1265" i="1"/>
  <c r="V1268" i="1"/>
  <c r="S1269" i="1"/>
  <c r="AB1269" i="1"/>
  <c r="V1271" i="1"/>
  <c r="S1272" i="1"/>
  <c r="AC1272" i="1"/>
  <c r="U1052" i="1"/>
  <c r="U1053" i="1"/>
  <c r="T1056" i="1"/>
  <c r="V1057" i="1"/>
  <c r="W1058" i="1"/>
  <c r="V1059" i="1"/>
  <c r="W1062" i="1"/>
  <c r="U1063" i="1"/>
  <c r="T1064" i="1"/>
  <c r="AD1064" i="1"/>
  <c r="X1066" i="1"/>
  <c r="U1067" i="1"/>
  <c r="AD1067" i="1"/>
  <c r="V1070" i="1"/>
  <c r="S1071" i="1"/>
  <c r="AB1071" i="1"/>
  <c r="V1073" i="1"/>
  <c r="S1074" i="1"/>
  <c r="AC1074" i="1"/>
  <c r="W1076" i="1"/>
  <c r="T1077" i="1"/>
  <c r="AC1077" i="1"/>
  <c r="W1079" i="1"/>
  <c r="U1080" i="1"/>
  <c r="AD1080" i="1"/>
  <c r="X1082" i="1"/>
  <c r="U1083" i="1"/>
  <c r="AD1083" i="1"/>
  <c r="V1086" i="1"/>
  <c r="S1087" i="1"/>
  <c r="AB1087" i="1"/>
  <c r="V1089" i="1"/>
  <c r="S1090" i="1"/>
  <c r="AC1090" i="1"/>
  <c r="W1092" i="1"/>
  <c r="T1093" i="1"/>
  <c r="AC1093" i="1"/>
  <c r="W1095" i="1"/>
  <c r="U1096" i="1"/>
  <c r="AD1096" i="1"/>
  <c r="X1098" i="1"/>
  <c r="U1099" i="1"/>
  <c r="AD1099" i="1"/>
  <c r="V1102" i="1"/>
  <c r="S1103" i="1"/>
  <c r="AB1103" i="1"/>
  <c r="V1105" i="1"/>
  <c r="S1106" i="1"/>
  <c r="AC1106" i="1"/>
  <c r="W1108" i="1"/>
  <c r="T1109" i="1"/>
  <c r="AC1109" i="1"/>
  <c r="W1111" i="1"/>
  <c r="U1112" i="1"/>
  <c r="AD1112" i="1"/>
  <c r="X1114" i="1"/>
  <c r="U1115" i="1"/>
  <c r="AD1115" i="1"/>
  <c r="V1118" i="1"/>
  <c r="S1119" i="1"/>
  <c r="AB1119" i="1"/>
  <c r="V1121" i="1"/>
  <c r="S1122" i="1"/>
  <c r="AC1122" i="1"/>
  <c r="W1124" i="1"/>
  <c r="T1125" i="1"/>
  <c r="AC1125" i="1"/>
  <c r="W1127" i="1"/>
  <c r="U1128" i="1"/>
  <c r="AD1128" i="1"/>
  <c r="X1130" i="1"/>
  <c r="U1131" i="1"/>
  <c r="AD1131" i="1"/>
  <c r="V1134" i="1"/>
  <c r="S1135" i="1"/>
  <c r="AB1135" i="1"/>
  <c r="V1137" i="1"/>
  <c r="S1138" i="1"/>
  <c r="AC1138" i="1"/>
  <c r="W1140" i="1"/>
  <c r="T1141" i="1"/>
  <c r="AC1141" i="1"/>
  <c r="W1143" i="1"/>
  <c r="U1144" i="1"/>
  <c r="AD1144" i="1"/>
  <c r="X1146" i="1"/>
  <c r="U1147" i="1"/>
  <c r="AD1147" i="1"/>
  <c r="V1150" i="1"/>
  <c r="S1151" i="1"/>
  <c r="AB1151" i="1"/>
  <c r="V1153" i="1"/>
  <c r="S1154" i="1"/>
  <c r="AC1154" i="1"/>
  <c r="W1156" i="1"/>
  <c r="T1157" i="1"/>
  <c r="AC1157" i="1"/>
  <c r="W1159" i="1"/>
  <c r="U1160" i="1"/>
  <c r="AD1160" i="1"/>
  <c r="X1162" i="1"/>
  <c r="U1163" i="1"/>
  <c r="AD1163" i="1"/>
  <c r="V1166" i="1"/>
  <c r="S1167" i="1"/>
  <c r="AB1167" i="1"/>
  <c r="V1169" i="1"/>
  <c r="S1170" i="1"/>
  <c r="AC1170" i="1"/>
  <c r="W1172" i="1"/>
  <c r="T1173" i="1"/>
  <c r="AC1173" i="1"/>
  <c r="W1175" i="1"/>
  <c r="U1176" i="1"/>
  <c r="AD1176" i="1"/>
  <c r="X1178" i="1"/>
  <c r="U1179" i="1"/>
  <c r="AD1179" i="1"/>
  <c r="V1182" i="1"/>
  <c r="S1183" i="1"/>
  <c r="AB1183" i="1"/>
  <c r="V1185" i="1"/>
  <c r="S1186" i="1"/>
  <c r="AC1186" i="1"/>
  <c r="W1188" i="1"/>
  <c r="T1189" i="1"/>
  <c r="AC1189" i="1"/>
  <c r="W1191" i="1"/>
  <c r="U1192" i="1"/>
  <c r="AD1192" i="1"/>
  <c r="X1194" i="1"/>
  <c r="U1195" i="1"/>
  <c r="AD1195" i="1"/>
  <c r="V1198" i="1"/>
  <c r="S1199" i="1"/>
  <c r="AB1199" i="1"/>
  <c r="V1201" i="1"/>
  <c r="S1202" i="1"/>
  <c r="AC1202" i="1"/>
  <c r="W1204" i="1"/>
  <c r="T1205" i="1"/>
  <c r="AC1205" i="1"/>
  <c r="W1207" i="1"/>
  <c r="U1208" i="1"/>
  <c r="AD1208" i="1"/>
  <c r="X1210" i="1"/>
  <c r="U1211" i="1"/>
  <c r="AD1211" i="1"/>
  <c r="V1214" i="1"/>
  <c r="S1215" i="1"/>
  <c r="AB1215" i="1"/>
  <c r="V1217" i="1"/>
  <c r="S1218" i="1"/>
  <c r="AC1218" i="1"/>
  <c r="W1220" i="1"/>
  <c r="T1221" i="1"/>
  <c r="AC1221" i="1"/>
  <c r="W1223" i="1"/>
  <c r="U1224" i="1"/>
  <c r="AD1224" i="1"/>
  <c r="X1226" i="1"/>
  <c r="U1227" i="1"/>
  <c r="AD1227" i="1"/>
  <c r="V1230" i="1"/>
  <c r="S1231" i="1"/>
  <c r="AB1231" i="1"/>
  <c r="V1233" i="1"/>
  <c r="S1234" i="1"/>
  <c r="AC1234" i="1"/>
  <c r="W1236" i="1"/>
  <c r="T1237" i="1"/>
  <c r="AC1237" i="1"/>
  <c r="W1239" i="1"/>
  <c r="U1240" i="1"/>
  <c r="AD1240" i="1"/>
  <c r="X1242" i="1"/>
  <c r="U1243" i="1"/>
  <c r="AD1243" i="1"/>
  <c r="V1246" i="1"/>
  <c r="S1247" i="1"/>
  <c r="AB1247" i="1"/>
  <c r="V1249" i="1"/>
  <c r="S1250" i="1"/>
  <c r="AC1250" i="1"/>
  <c r="W1252" i="1"/>
  <c r="T1253" i="1"/>
  <c r="AC1253" i="1"/>
  <c r="W1255" i="1"/>
  <c r="U1256" i="1"/>
  <c r="AD1256" i="1"/>
  <c r="X1258" i="1"/>
  <c r="U1259" i="1"/>
  <c r="AD1259" i="1"/>
  <c r="V1262" i="1"/>
  <c r="S1263" i="1"/>
  <c r="AB1263" i="1"/>
  <c r="V1265" i="1"/>
  <c r="S1266" i="1"/>
  <c r="AC1266" i="1"/>
  <c r="W1268" i="1"/>
  <c r="T1269" i="1"/>
  <c r="AC1269" i="1"/>
  <c r="W1271" i="1"/>
  <c r="U1272" i="1"/>
  <c r="AD1272" i="1"/>
  <c r="X1274" i="1"/>
  <c r="U1275" i="1"/>
  <c r="AD1275" i="1"/>
  <c r="V1278" i="1"/>
  <c r="S1279" i="1"/>
  <c r="AB1279" i="1"/>
  <c r="V1281" i="1"/>
  <c r="S1282" i="1"/>
  <c r="AC1282" i="1"/>
  <c r="W1284" i="1"/>
  <c r="T1285" i="1"/>
  <c r="AC1285" i="1"/>
  <c r="W1287" i="1"/>
  <c r="U1288" i="1"/>
  <c r="AD1288" i="1"/>
  <c r="W1045" i="1"/>
  <c r="AC1046" i="1"/>
  <c r="U1049" i="1"/>
  <c r="V1052" i="1"/>
  <c r="V1055" i="1"/>
  <c r="U1056" i="1"/>
  <c r="X1057" i="1"/>
  <c r="W1063" i="1"/>
  <c r="U1064" i="1"/>
  <c r="S1065" i="1"/>
  <c r="AB1065" i="1"/>
  <c r="V1067" i="1"/>
  <c r="S1068" i="1"/>
  <c r="AC1068" i="1"/>
  <c r="W1070" i="1"/>
  <c r="T1071" i="1"/>
  <c r="AC1071" i="1"/>
  <c r="W1073" i="1"/>
  <c r="U1074" i="1"/>
  <c r="AD1074" i="1"/>
  <c r="X1076" i="1"/>
  <c r="U1077" i="1"/>
  <c r="AD1077" i="1"/>
  <c r="V1080" i="1"/>
  <c r="S1081" i="1"/>
  <c r="AB1081" i="1"/>
  <c r="V1083" i="1"/>
  <c r="S1084" i="1"/>
  <c r="AC1084" i="1"/>
  <c r="W1086" i="1"/>
  <c r="T1087" i="1"/>
  <c r="AC1087" i="1"/>
  <c r="W1089" i="1"/>
  <c r="U1090" i="1"/>
  <c r="AD1090" i="1"/>
  <c r="X1092" i="1"/>
  <c r="U1093" i="1"/>
  <c r="AD1093" i="1"/>
  <c r="V1096" i="1"/>
  <c r="S1097" i="1"/>
  <c r="AB1097" i="1"/>
  <c r="V1099" i="1"/>
  <c r="S1100" i="1"/>
  <c r="AC1100" i="1"/>
  <c r="W1102" i="1"/>
  <c r="T1103" i="1"/>
  <c r="AC1103" i="1"/>
  <c r="W1105" i="1"/>
  <c r="U1106" i="1"/>
  <c r="AD1106" i="1"/>
  <c r="X1108" i="1"/>
  <c r="U1109" i="1"/>
  <c r="AD1109" i="1"/>
  <c r="V1112" i="1"/>
  <c r="S1113" i="1"/>
  <c r="AB1113" i="1"/>
  <c r="V1115" i="1"/>
  <c r="S1116" i="1"/>
  <c r="AC1116" i="1"/>
  <c r="W1118" i="1"/>
  <c r="T1119" i="1"/>
  <c r="AC1119" i="1"/>
  <c r="W1121" i="1"/>
  <c r="U1122" i="1"/>
  <c r="AD1122" i="1"/>
  <c r="X1124" i="1"/>
  <c r="U1125" i="1"/>
  <c r="AD1125" i="1"/>
  <c r="V1128" i="1"/>
  <c r="S1129" i="1"/>
  <c r="AB1129" i="1"/>
  <c r="V1131" i="1"/>
  <c r="S1132" i="1"/>
  <c r="AC1132" i="1"/>
  <c r="W1134" i="1"/>
  <c r="T1135" i="1"/>
  <c r="AC1135" i="1"/>
  <c r="W1137" i="1"/>
  <c r="U1138" i="1"/>
  <c r="AD1138" i="1"/>
  <c r="X1140" i="1"/>
  <c r="U1141" i="1"/>
  <c r="AD1141" i="1"/>
  <c r="V1144" i="1"/>
  <c r="S1145" i="1"/>
  <c r="AB1145" i="1"/>
  <c r="V1147" i="1"/>
  <c r="S1148" i="1"/>
  <c r="AC1148" i="1"/>
  <c r="W1150" i="1"/>
  <c r="T1151" i="1"/>
  <c r="AC1151" i="1"/>
  <c r="W1153" i="1"/>
  <c r="U1154" i="1"/>
  <c r="AD1154" i="1"/>
  <c r="X1156" i="1"/>
  <c r="U1157" i="1"/>
  <c r="AD1157" i="1"/>
  <c r="V1160" i="1"/>
  <c r="S1161" i="1"/>
  <c r="AB1161" i="1"/>
  <c r="V1163" i="1"/>
  <c r="S1164" i="1"/>
  <c r="AC1164" i="1"/>
  <c r="W1166" i="1"/>
  <c r="T1167" i="1"/>
  <c r="AC1167" i="1"/>
  <c r="W1169" i="1"/>
  <c r="U1170" i="1"/>
  <c r="AD1170" i="1"/>
  <c r="X1172" i="1"/>
  <c r="U1173" i="1"/>
  <c r="AD1173" i="1"/>
  <c r="V1176" i="1"/>
  <c r="AB1177" i="1"/>
  <c r="S1180" i="1"/>
  <c r="W1182" i="1"/>
  <c r="AC1183" i="1"/>
  <c r="U1186" i="1"/>
  <c r="X1188" i="1"/>
  <c r="AD1189" i="1"/>
  <c r="V1206" i="1"/>
  <c r="AB1207" i="1"/>
  <c r="V1211" i="1"/>
  <c r="AC1215" i="1"/>
  <c r="U1219" i="1"/>
  <c r="AB1225" i="1"/>
  <c r="W1230" i="1"/>
  <c r="W1234" i="1"/>
  <c r="U1235" i="1"/>
  <c r="U1236" i="1"/>
  <c r="W1237" i="1"/>
  <c r="X1238" i="1"/>
  <c r="AB1273" i="1"/>
  <c r="X1300" i="1"/>
  <c r="S1299" i="1"/>
  <c r="V1208" i="1"/>
  <c r="AC1212" i="1"/>
  <c r="U1216" i="1"/>
  <c r="U1221" i="1"/>
  <c r="S1226" i="1"/>
  <c r="AC1228" i="1"/>
  <c r="X1230" i="1"/>
  <c r="AD1232" i="1"/>
  <c r="X1234" i="1"/>
  <c r="W1235" i="1"/>
  <c r="X1236" i="1"/>
  <c r="AB1243" i="1"/>
  <c r="AC1244" i="1"/>
  <c r="AB1245" i="1"/>
  <c r="AC1246" i="1"/>
  <c r="AC1247" i="1"/>
  <c r="AC1248" i="1"/>
  <c r="U1250" i="1"/>
  <c r="S1251" i="1"/>
  <c r="AC1251" i="1"/>
  <c r="U1253" i="1"/>
  <c r="U1254" i="1"/>
  <c r="S1255" i="1"/>
  <c r="W1256" i="1"/>
  <c r="V1257" i="1"/>
  <c r="V1258" i="1"/>
  <c r="AB1271" i="1"/>
  <c r="S1273" i="1"/>
  <c r="AC1273" i="1"/>
  <c r="AC1274" i="1"/>
  <c r="AB1275" i="1"/>
  <c r="W1279" i="1"/>
  <c r="W1280" i="1"/>
  <c r="U1281" i="1"/>
  <c r="V1282" i="1"/>
  <c r="T1283" i="1"/>
  <c r="AC1283" i="1"/>
  <c r="X1286" i="1"/>
  <c r="U1287" i="1"/>
  <c r="S1288" i="1"/>
  <c r="S1289" i="1"/>
  <c r="AB1289" i="1"/>
  <c r="V1291" i="1"/>
  <c r="S1292" i="1"/>
  <c r="AC1292" i="1"/>
  <c r="W1294" i="1"/>
  <c r="T1295" i="1"/>
  <c r="AC1295" i="1"/>
  <c r="W1297" i="1"/>
  <c r="U1298" i="1"/>
  <c r="AD1298" i="1"/>
  <c r="AB1209" i="1"/>
  <c r="T1213" i="1"/>
  <c r="U1218" i="1"/>
  <c r="S1223" i="1"/>
  <c r="AD1228" i="1"/>
  <c r="W1233" i="1"/>
  <c r="AB1241" i="1"/>
  <c r="AC1242" i="1"/>
  <c r="S1244" i="1"/>
  <c r="AD1244" i="1"/>
  <c r="AC1245" i="1"/>
  <c r="T1247" i="1"/>
  <c r="AD1247" i="1"/>
  <c r="AD1248" i="1"/>
  <c r="V1250" i="1"/>
  <c r="T1251" i="1"/>
  <c r="AD1251" i="1"/>
  <c r="V1253" i="1"/>
  <c r="V1254" i="1"/>
  <c r="U1255" i="1"/>
  <c r="X1256" i="1"/>
  <c r="AD1269" i="1"/>
  <c r="AC1270" i="1"/>
  <c r="AD1271" i="1"/>
  <c r="T1273" i="1"/>
  <c r="AD1273" i="1"/>
  <c r="S1275" i="1"/>
  <c r="AC1275" i="1"/>
  <c r="AC1276" i="1"/>
  <c r="X1280" i="1"/>
  <c r="W1281" i="1"/>
  <c r="W1282" i="1"/>
  <c r="U1283" i="1"/>
  <c r="AD1283" i="1"/>
  <c r="AC1284" i="1"/>
  <c r="V1287" i="1"/>
  <c r="V1288" i="1"/>
  <c r="T1289" i="1"/>
  <c r="AC1289" i="1"/>
  <c r="W1291" i="1"/>
  <c r="U1292" i="1"/>
  <c r="AD1292" i="1"/>
  <c r="X1294" i="1"/>
  <c r="U1295" i="1"/>
  <c r="AD1295" i="1"/>
  <c r="S1193" i="1"/>
  <c r="V1195" i="1"/>
  <c r="AC1196" i="1"/>
  <c r="T1199" i="1"/>
  <c r="W1201" i="1"/>
  <c r="AD1202" i="1"/>
  <c r="U1205" i="1"/>
  <c r="S1210" i="1"/>
  <c r="T1215" i="1"/>
  <c r="X1218" i="1"/>
  <c r="S1225" i="1"/>
  <c r="S1228" i="1"/>
  <c r="T1229" i="1"/>
  <c r="AC1231" i="1"/>
  <c r="AB1239" i="1"/>
  <c r="S1241" i="1"/>
  <c r="AC1241" i="1"/>
  <c r="S1243" i="1"/>
  <c r="U1244" i="1"/>
  <c r="S1245" i="1"/>
  <c r="S1246" i="1"/>
  <c r="U1247" i="1"/>
  <c r="S1248" i="1"/>
  <c r="T1249" i="1"/>
  <c r="W1250" i="1"/>
  <c r="U1251" i="1"/>
  <c r="U1252" i="1"/>
  <c r="W1253" i="1"/>
  <c r="X1254" i="1"/>
  <c r="AC1265" i="1"/>
  <c r="AD1266" i="1"/>
  <c r="AB1267" i="1"/>
  <c r="AD1268" i="1"/>
  <c r="S1270" i="1"/>
  <c r="AD1270" i="1"/>
  <c r="V1272" i="1"/>
  <c r="U1273" i="1"/>
  <c r="S1274" i="1"/>
  <c r="T1275" i="1"/>
  <c r="S1276" i="1"/>
  <c r="AD1276" i="1"/>
  <c r="AB1277" i="1"/>
  <c r="X1282" i="1"/>
  <c r="V1283" i="1"/>
  <c r="S1284" i="1"/>
  <c r="AD1284" i="1"/>
  <c r="AB1285" i="1"/>
  <c r="W1288" i="1"/>
  <c r="U1289" i="1"/>
  <c r="AD1289" i="1"/>
  <c r="V1292" i="1"/>
  <c r="S1293" i="1"/>
  <c r="AB1293" i="1"/>
  <c r="V1295" i="1"/>
  <c r="S1296" i="1"/>
  <c r="AC1296" i="1"/>
  <c r="W1298" i="1"/>
  <c r="T1299" i="1"/>
  <c r="AC1299" i="1"/>
  <c r="S1177" i="1"/>
  <c r="V1179" i="1"/>
  <c r="AC1180" i="1"/>
  <c r="T1183" i="1"/>
  <c r="W1185" i="1"/>
  <c r="AD1186" i="1"/>
  <c r="U1189" i="1"/>
  <c r="S1207" i="1"/>
  <c r="S1212" i="1"/>
  <c r="W1215" i="1"/>
  <c r="AD1219" i="1"/>
  <c r="V1225" i="1"/>
  <c r="U1228" i="1"/>
  <c r="AD1231" i="1"/>
  <c r="AD1237" i="1"/>
  <c r="AC1238" i="1"/>
  <c r="AD1239" i="1"/>
  <c r="T1241" i="1"/>
  <c r="AD1241" i="1"/>
  <c r="V1243" i="1"/>
  <c r="V1244" i="1"/>
  <c r="T1245" i="1"/>
  <c r="W1246" i="1"/>
  <c r="V1247" i="1"/>
  <c r="U1248" i="1"/>
  <c r="W1249" i="1"/>
  <c r="X1250" i="1"/>
  <c r="W1251" i="1"/>
  <c r="X1252" i="1"/>
  <c r="AB1259" i="1"/>
  <c r="AC1260" i="1"/>
  <c r="AB1261" i="1"/>
  <c r="AC1262" i="1"/>
  <c r="AC1263" i="1"/>
  <c r="AC1264" i="1"/>
  <c r="U1266" i="1"/>
  <c r="S1267" i="1"/>
  <c r="AC1267" i="1"/>
  <c r="U1269" i="1"/>
  <c r="U1270" i="1"/>
  <c r="S1271" i="1"/>
  <c r="W1272" i="1"/>
  <c r="V1273" i="1"/>
  <c r="V1274" i="1"/>
  <c r="V1275" i="1"/>
  <c r="U1276" i="1"/>
  <c r="S1277" i="1"/>
  <c r="AC1277" i="1"/>
  <c r="AC1278" i="1"/>
  <c r="W1283" i="1"/>
  <c r="U1284" i="1"/>
  <c r="S1285" i="1"/>
  <c r="AD1285" i="1"/>
  <c r="X1288" i="1"/>
  <c r="V1289" i="1"/>
  <c r="S1290" i="1"/>
  <c r="AC1290" i="1"/>
  <c r="W1292" i="1"/>
  <c r="T1293" i="1"/>
  <c r="AC1293" i="1"/>
  <c r="W1295" i="1"/>
  <c r="U1296" i="1"/>
  <c r="AD1296" i="1"/>
  <c r="X1298" i="1"/>
  <c r="U1299" i="1"/>
  <c r="AD1299" i="1"/>
  <c r="V1299" i="1"/>
  <c r="S1300" i="1"/>
  <c r="AC1300" i="1"/>
  <c r="V1290" i="1"/>
  <c r="AB1251" i="1"/>
  <c r="W1259" i="1"/>
  <c r="X1262" i="1"/>
  <c r="W1286" i="1"/>
  <c r="T1287" i="1"/>
  <c r="AD1287" i="1"/>
  <c r="AC1288" i="1"/>
  <c r="X1290" i="1"/>
  <c r="U1291" i="1"/>
  <c r="AD1291" i="1"/>
  <c r="V1298" i="1"/>
  <c r="S1209" i="1"/>
  <c r="W1212" i="1"/>
  <c r="AD1216" i="1"/>
  <c r="X1220" i="1"/>
  <c r="AD1221" i="1"/>
  <c r="AC1226" i="1"/>
  <c r="W1228" i="1"/>
  <c r="T1231" i="1"/>
  <c r="U1232" i="1"/>
  <c r="AD1234" i="1"/>
  <c r="AB1235" i="1"/>
  <c r="AD1236" i="1"/>
  <c r="S1238" i="1"/>
  <c r="AD1238" i="1"/>
  <c r="V1240" i="1"/>
  <c r="U1241" i="1"/>
  <c r="S1242" i="1"/>
  <c r="W1243" i="1"/>
  <c r="W1244" i="1"/>
  <c r="V1245" i="1"/>
  <c r="X1246" i="1"/>
  <c r="W1247" i="1"/>
  <c r="W1248" i="1"/>
  <c r="AB1257" i="1"/>
  <c r="AC1258" i="1"/>
  <c r="S1260" i="1"/>
  <c r="AD1260" i="1"/>
  <c r="AC1261" i="1"/>
  <c r="T1263" i="1"/>
  <c r="AD1263" i="1"/>
  <c r="AD1264" i="1"/>
  <c r="V1266" i="1"/>
  <c r="T1267" i="1"/>
  <c r="AD1267" i="1"/>
  <c r="V1269" i="1"/>
  <c r="V1270" i="1"/>
  <c r="U1271" i="1"/>
  <c r="X1272" i="1"/>
  <c r="W1274" i="1"/>
  <c r="W1275" i="1"/>
  <c r="V1276" i="1"/>
  <c r="T1277" i="1"/>
  <c r="S1278" i="1"/>
  <c r="AD1278" i="1"/>
  <c r="AC1279" i="1"/>
  <c r="V1284" i="1"/>
  <c r="U1285" i="1"/>
  <c r="S1286" i="1"/>
  <c r="AC1286" i="1"/>
  <c r="W1289" i="1"/>
  <c r="U1290" i="1"/>
  <c r="AD1290" i="1"/>
  <c r="X1292" i="1"/>
  <c r="U1293" i="1"/>
  <c r="AD1293" i="1"/>
  <c r="V1296" i="1"/>
  <c r="S1297" i="1"/>
  <c r="AB1297" i="1"/>
  <c r="S1291" i="1"/>
  <c r="AB1291" i="1"/>
  <c r="V1293" i="1"/>
  <c r="S1294" i="1"/>
  <c r="AC1294" i="1"/>
  <c r="W1299" i="1"/>
  <c r="U1300" i="1"/>
  <c r="AD1300" i="1"/>
  <c r="AC1249" i="1"/>
  <c r="S1254" i="1"/>
  <c r="AD1254" i="1"/>
  <c r="V1256" i="1"/>
  <c r="S1258" i="1"/>
  <c r="V1261" i="1"/>
  <c r="W1264" i="1"/>
  <c r="X1278" i="1"/>
  <c r="V1279" i="1"/>
  <c r="U1280" i="1"/>
  <c r="T1281" i="1"/>
  <c r="U1282" i="1"/>
  <c r="S1283" i="1"/>
  <c r="AB1283" i="1"/>
  <c r="V1209" i="1"/>
  <c r="AC1213" i="1"/>
  <c r="W1217" i="1"/>
  <c r="V1222" i="1"/>
  <c r="AB1223" i="1"/>
  <c r="V1227" i="1"/>
  <c r="U1231" i="1"/>
  <c r="U1234" i="1"/>
  <c r="S1235" i="1"/>
  <c r="AC1235" i="1"/>
  <c r="U1237" i="1"/>
  <c r="U1238" i="1"/>
  <c r="S1239" i="1"/>
  <c r="W1240" i="1"/>
  <c r="V1241" i="1"/>
  <c r="V1242" i="1"/>
  <c r="AB1255" i="1"/>
  <c r="S1257" i="1"/>
  <c r="AC1257" i="1"/>
  <c r="S1259" i="1"/>
  <c r="U1260" i="1"/>
  <c r="S1261" i="1"/>
  <c r="S1262" i="1"/>
  <c r="U1263" i="1"/>
  <c r="S1264" i="1"/>
  <c r="T1265" i="1"/>
  <c r="W1266" i="1"/>
  <c r="U1267" i="1"/>
  <c r="U1268" i="1"/>
  <c r="W1269" i="1"/>
  <c r="X1270" i="1"/>
  <c r="W1276" i="1"/>
  <c r="V1277" i="1"/>
  <c r="U1278" i="1"/>
  <c r="T1279" i="1"/>
  <c r="AD1279" i="1"/>
  <c r="AC1280" i="1"/>
  <c r="AC1281" i="1"/>
  <c r="X1284" i="1"/>
  <c r="V1285" i="1"/>
  <c r="U1286" i="1"/>
  <c r="AD1286" i="1"/>
  <c r="AB1287" i="1"/>
  <c r="W1296" i="1"/>
  <c r="T1297" i="1"/>
  <c r="AC1297" i="1"/>
  <c r="AD1250" i="1"/>
  <c r="V1294" i="1"/>
  <c r="S1295" i="1"/>
  <c r="AB1295" i="1"/>
  <c r="V1192" i="1"/>
  <c r="AB1193" i="1"/>
  <c r="S1196" i="1"/>
  <c r="W1198" i="1"/>
  <c r="AC1199" i="1"/>
  <c r="U1202" i="1"/>
  <c r="X1204" i="1"/>
  <c r="AD1205" i="1"/>
  <c r="AC1210" i="1"/>
  <c r="W1214" i="1"/>
  <c r="AD1218" i="1"/>
  <c r="V1224" i="1"/>
  <c r="W1227" i="1"/>
  <c r="AC1229" i="1"/>
  <c r="W1231" i="1"/>
  <c r="V1234" i="1"/>
  <c r="T1235" i="1"/>
  <c r="AD1235" i="1"/>
  <c r="V1237" i="1"/>
  <c r="V1238" i="1"/>
  <c r="U1239" i="1"/>
  <c r="X1240" i="1"/>
  <c r="AD1253" i="1"/>
  <c r="AC1254" i="1"/>
  <c r="AD1255" i="1"/>
  <c r="T1257" i="1"/>
  <c r="AD1257" i="1"/>
  <c r="V1259" i="1"/>
  <c r="V1260" i="1"/>
  <c r="T1261" i="1"/>
  <c r="W1262" i="1"/>
  <c r="V1263" i="1"/>
  <c r="U1264" i="1"/>
  <c r="W1265" i="1"/>
  <c r="X1266" i="1"/>
  <c r="W1267" i="1"/>
  <c r="X1268" i="1"/>
  <c r="W1277" i="1"/>
  <c r="W1278" i="1"/>
  <c r="U1279" i="1"/>
  <c r="S1280" i="1"/>
  <c r="AD1280" i="1"/>
  <c r="AD1281" i="1"/>
  <c r="AD1282" i="1"/>
  <c r="W1285" i="1"/>
  <c r="V1286" i="1"/>
  <c r="S1287" i="1"/>
  <c r="AC1287" i="1"/>
  <c r="W1290" i="1"/>
  <c r="T1291" i="1"/>
  <c r="AC1291" i="1"/>
  <c r="W1293" i="1"/>
  <c r="U1294" i="1"/>
  <c r="AD1294" i="1"/>
  <c r="X1296" i="1"/>
  <c r="U1297" i="1"/>
  <c r="AD1297" i="1"/>
  <c r="V1300" i="1"/>
  <c r="AD1252" i="1"/>
  <c r="U1257" i="1"/>
  <c r="W1260" i="1"/>
  <c r="W1263" i="1"/>
  <c r="V1297" i="1"/>
  <c r="S1298" i="1"/>
  <c r="AC1298" i="1"/>
  <c r="W1300" i="1"/>
  <c r="AB1299" i="1"/>
  <c r="AB3" i="1"/>
  <c r="T3" i="1"/>
  <c r="AD3" i="1"/>
  <c r="AC3" i="1"/>
  <c r="U3" i="1"/>
  <c r="V3" i="1"/>
  <c r="X3" i="1"/>
  <c r="W3" i="1"/>
  <c r="AE1096" i="1" l="1"/>
  <c r="AF1096" i="1" s="1"/>
  <c r="AE1162" i="1"/>
  <c r="AF1162" i="1" s="1"/>
  <c r="AE987" i="1"/>
  <c r="AF987" i="1" s="1"/>
  <c r="AE983" i="1"/>
  <c r="AF983" i="1" s="1"/>
  <c r="AE932" i="1"/>
  <c r="AF932" i="1" s="1"/>
  <c r="AE905" i="1"/>
  <c r="AF905" i="1" s="1"/>
  <c r="AE986" i="1"/>
  <c r="AF986" i="1" s="1"/>
  <c r="AE931" i="1"/>
  <c r="AF931" i="1" s="1"/>
  <c r="AE870" i="1"/>
  <c r="AF870" i="1" s="1"/>
  <c r="AE841" i="1"/>
  <c r="AF841" i="1" s="1"/>
  <c r="AE834" i="1"/>
  <c r="AF834" i="1" s="1"/>
  <c r="AE816" i="1"/>
  <c r="AF816" i="1" s="1"/>
  <c r="AE881" i="1"/>
  <c r="AF881" i="1" s="1"/>
  <c r="AE903" i="1"/>
  <c r="AF903" i="1" s="1"/>
  <c r="AE826" i="1"/>
  <c r="AF826" i="1" s="1"/>
  <c r="AE861" i="1"/>
  <c r="AF861" i="1" s="1"/>
  <c r="AE818" i="1"/>
  <c r="AF818" i="1" s="1"/>
  <c r="AE770" i="1"/>
  <c r="AF770" i="1" s="1"/>
  <c r="AE719" i="1"/>
  <c r="AF719" i="1" s="1"/>
  <c r="AE776" i="1"/>
  <c r="AF776" i="1" s="1"/>
  <c r="AE725" i="1"/>
  <c r="AF725" i="1" s="1"/>
  <c r="AE752" i="1"/>
  <c r="AF752" i="1" s="1"/>
  <c r="AE806" i="1"/>
  <c r="AF806" i="1" s="1"/>
  <c r="AE755" i="1"/>
  <c r="AF755" i="1" s="1"/>
  <c r="AE675" i="1"/>
  <c r="AF675" i="1" s="1"/>
  <c r="AE676" i="1"/>
  <c r="AF676" i="1" s="1"/>
  <c r="AE658" i="1"/>
  <c r="AF658" i="1" s="1"/>
  <c r="AE581" i="1"/>
  <c r="AF581" i="1" s="1"/>
  <c r="AE667" i="1"/>
  <c r="AF667" i="1" s="1"/>
  <c r="AE616" i="1"/>
  <c r="AF616" i="1" s="1"/>
  <c r="AE539" i="1"/>
  <c r="AF539" i="1" s="1"/>
  <c r="AE670" i="1"/>
  <c r="AF670" i="1" s="1"/>
  <c r="AE593" i="1"/>
  <c r="AF593" i="1" s="1"/>
  <c r="AE542" i="1"/>
  <c r="AF542" i="1" s="1"/>
  <c r="AE611" i="1"/>
  <c r="AF611" i="1" s="1"/>
  <c r="AE560" i="1"/>
  <c r="AF560" i="1" s="1"/>
  <c r="AE662" i="1"/>
  <c r="AF662" i="1" s="1"/>
  <c r="AE639" i="1"/>
  <c r="AF639" i="1" s="1"/>
  <c r="AE588" i="1"/>
  <c r="AF588" i="1" s="1"/>
  <c r="AE536" i="1"/>
  <c r="AF536" i="1" s="1"/>
  <c r="AE459" i="1"/>
  <c r="AF459" i="1" s="1"/>
  <c r="AE506" i="1"/>
  <c r="AF506" i="1" s="1"/>
  <c r="AE512" i="1"/>
  <c r="AF512" i="1" s="1"/>
  <c r="AE461" i="1"/>
  <c r="AF461" i="1" s="1"/>
  <c r="AE483" i="1"/>
  <c r="AF483" i="1" s="1"/>
  <c r="AE460" i="1"/>
  <c r="AF460" i="1" s="1"/>
  <c r="AE1275" i="1"/>
  <c r="AF1275" i="1" s="1"/>
  <c r="AE1185" i="1"/>
  <c r="AF1185" i="1" s="1"/>
  <c r="AE1105" i="1"/>
  <c r="AF1105" i="1" s="1"/>
  <c r="AE1111" i="1"/>
  <c r="AF1111" i="1" s="1"/>
  <c r="AE1168" i="1"/>
  <c r="AF1168" i="1" s="1"/>
  <c r="AE1298" i="1"/>
  <c r="AF1298" i="1" s="1"/>
  <c r="AE1257" i="1"/>
  <c r="AF1257" i="1" s="1"/>
  <c r="AE1151" i="1"/>
  <c r="AF1151" i="1" s="1"/>
  <c r="AE1173" i="1"/>
  <c r="AF1173" i="1" s="1"/>
  <c r="AE1150" i="1"/>
  <c r="AF1150" i="1" s="1"/>
  <c r="AE1023" i="1"/>
  <c r="AF1023" i="1" s="1"/>
  <c r="AE972" i="1"/>
  <c r="AF972" i="1" s="1"/>
  <c r="AE1045" i="1"/>
  <c r="AF1045" i="1" s="1"/>
  <c r="AE1271" i="1"/>
  <c r="AF1271" i="1" s="1"/>
  <c r="AE1177" i="1"/>
  <c r="AF1177" i="1" s="1"/>
  <c r="AE1244" i="1"/>
  <c r="AF1244" i="1" s="1"/>
  <c r="AE1161" i="1"/>
  <c r="AF1161" i="1" s="1"/>
  <c r="AE1084" i="1"/>
  <c r="AF1084" i="1" s="1"/>
  <c r="AE1067" i="1"/>
  <c r="AF1067" i="1" s="1"/>
  <c r="AE1182" i="1"/>
  <c r="AF1182" i="1" s="1"/>
  <c r="AE1194" i="1"/>
  <c r="AF1194" i="1" s="1"/>
  <c r="AE1143" i="1"/>
  <c r="AF1143" i="1" s="1"/>
  <c r="AE1066" i="1"/>
  <c r="AF1066" i="1" s="1"/>
  <c r="AE1200" i="1"/>
  <c r="AF1200" i="1" s="1"/>
  <c r="AE1072" i="1"/>
  <c r="AF1072" i="1" s="1"/>
  <c r="AE927" i="1"/>
  <c r="AF927" i="1" s="1"/>
  <c r="AE1026" i="1"/>
  <c r="AF1026" i="1" s="1"/>
  <c r="AE964" i="1"/>
  <c r="AF964" i="1" s="1"/>
  <c r="AE963" i="1"/>
  <c r="AF963" i="1" s="1"/>
  <c r="AE873" i="1"/>
  <c r="AF873" i="1" s="1"/>
  <c r="AE836" i="1"/>
  <c r="AF836" i="1" s="1"/>
  <c r="AE808" i="1"/>
  <c r="AF808" i="1" s="1"/>
  <c r="AE757" i="1"/>
  <c r="AF757" i="1" s="1"/>
  <c r="AE705" i="1"/>
  <c r="AF705" i="1" s="1"/>
  <c r="AE713" i="1"/>
  <c r="AF713" i="1" s="1"/>
  <c r="AE787" i="1"/>
  <c r="AF787" i="1" s="1"/>
  <c r="AE710" i="1"/>
  <c r="AF710" i="1" s="1"/>
  <c r="AE625" i="1"/>
  <c r="AF625" i="1" s="1"/>
  <c r="AE574" i="1"/>
  <c r="AF574" i="1" s="1"/>
  <c r="AE518" i="1"/>
  <c r="AF518" i="1" s="1"/>
  <c r="AE643" i="1"/>
  <c r="AF643" i="1" s="1"/>
  <c r="AE671" i="1"/>
  <c r="AF671" i="1" s="1"/>
  <c r="AE620" i="1"/>
  <c r="AF620" i="1" s="1"/>
  <c r="AE517" i="1"/>
  <c r="AF517" i="1" s="1"/>
  <c r="AE494" i="1"/>
  <c r="AF494" i="1" s="1"/>
  <c r="AE492" i="1"/>
  <c r="AF492" i="1" s="1"/>
  <c r="AE1260" i="1"/>
  <c r="AF1260" i="1" s="1"/>
  <c r="AE1274" i="1"/>
  <c r="AF1274" i="1" s="1"/>
  <c r="AE1074" i="1"/>
  <c r="AF1074" i="1" s="1"/>
  <c r="AE1224" i="1"/>
  <c r="AF1224" i="1" s="1"/>
  <c r="AE1233" i="1"/>
  <c r="AF1233" i="1" s="1"/>
  <c r="AE1117" i="1"/>
  <c r="AF1117" i="1" s="1"/>
  <c r="AE994" i="1"/>
  <c r="AF994" i="1" s="1"/>
  <c r="AE531" i="1"/>
  <c r="AF531" i="1" s="1"/>
  <c r="AE1008" i="1"/>
  <c r="AF1008" i="1" s="1"/>
  <c r="AE875" i="1"/>
  <c r="AF875" i="1" s="1"/>
  <c r="AE1292" i="1"/>
  <c r="AF1292" i="1" s="1"/>
  <c r="AE1089" i="1"/>
  <c r="AF1089" i="1" s="1"/>
  <c r="AE889" i="1"/>
  <c r="AF889" i="1" s="1"/>
  <c r="AE599" i="1"/>
  <c r="AF599" i="1" s="1"/>
  <c r="AE533" i="1"/>
  <c r="AF533" i="1" s="1"/>
  <c r="AE500" i="1"/>
  <c r="AF500" i="1" s="1"/>
  <c r="AE1241" i="1"/>
  <c r="AF1241" i="1" s="1"/>
  <c r="AE1210" i="1"/>
  <c r="AF1210" i="1" s="1"/>
  <c r="AE1299" i="1"/>
  <c r="AF1299" i="1" s="1"/>
  <c r="AE1170" i="1"/>
  <c r="AF1170" i="1" s="1"/>
  <c r="AE1119" i="1"/>
  <c r="AF1119" i="1" s="1"/>
  <c r="AE1269" i="1"/>
  <c r="AF1269" i="1" s="1"/>
  <c r="AE1192" i="1"/>
  <c r="AF1192" i="1" s="1"/>
  <c r="AE1141" i="1"/>
  <c r="AF1141" i="1" s="1"/>
  <c r="AE1056" i="1"/>
  <c r="AF1056" i="1" s="1"/>
  <c r="AE1124" i="1"/>
  <c r="AF1124" i="1" s="1"/>
  <c r="AE1107" i="1"/>
  <c r="AF1107" i="1" s="1"/>
  <c r="AE1073" i="1"/>
  <c r="AF1073" i="1" s="1"/>
  <c r="AE1213" i="1"/>
  <c r="AF1213" i="1" s="1"/>
  <c r="AE1158" i="1"/>
  <c r="AF1158" i="1" s="1"/>
  <c r="AE940" i="1"/>
  <c r="AF940" i="1" s="1"/>
  <c r="AE1013" i="1"/>
  <c r="AF1013" i="1" s="1"/>
  <c r="AE962" i="1"/>
  <c r="AF962" i="1" s="1"/>
  <c r="AE910" i="1"/>
  <c r="AF910" i="1" s="1"/>
  <c r="AE1032" i="1"/>
  <c r="AF1032" i="1" s="1"/>
  <c r="AE955" i="1"/>
  <c r="AF955" i="1" s="1"/>
  <c r="AE1022" i="1"/>
  <c r="AF1022" i="1" s="1"/>
  <c r="AE945" i="1"/>
  <c r="AF945" i="1" s="1"/>
  <c r="AE1028" i="1"/>
  <c r="AF1028" i="1" s="1"/>
  <c r="AE951" i="1"/>
  <c r="AF951" i="1" s="1"/>
  <c r="AE1005" i="1"/>
  <c r="AF1005" i="1" s="1"/>
  <c r="AE954" i="1"/>
  <c r="AF954" i="1" s="1"/>
  <c r="AE1027" i="1"/>
  <c r="AF1027" i="1" s="1"/>
  <c r="AE976" i="1"/>
  <c r="AF976" i="1" s="1"/>
  <c r="AE985" i="1"/>
  <c r="AF985" i="1" s="1"/>
  <c r="AE934" i="1"/>
  <c r="AF934" i="1" s="1"/>
  <c r="AE838" i="1"/>
  <c r="AF838" i="1" s="1"/>
  <c r="AE860" i="1"/>
  <c r="AF860" i="1" s="1"/>
  <c r="AE879" i="1"/>
  <c r="AF879" i="1" s="1"/>
  <c r="AE853" i="1"/>
  <c r="AF853" i="1" s="1"/>
  <c r="AE894" i="1"/>
  <c r="AF894" i="1" s="1"/>
  <c r="AE877" i="1"/>
  <c r="AF877" i="1" s="1"/>
  <c r="AE843" i="1"/>
  <c r="AF843" i="1" s="1"/>
  <c r="AE900" i="1"/>
  <c r="AF900" i="1" s="1"/>
  <c r="AE849" i="1"/>
  <c r="AF849" i="1" s="1"/>
  <c r="AE871" i="1"/>
  <c r="AF871" i="1" s="1"/>
  <c r="AE880" i="1"/>
  <c r="AF880" i="1" s="1"/>
  <c r="AE829" i="1"/>
  <c r="AF829" i="1" s="1"/>
  <c r="AE738" i="1"/>
  <c r="AF738" i="1" s="1"/>
  <c r="AE744" i="1"/>
  <c r="AF744" i="1" s="1"/>
  <c r="AE795" i="1"/>
  <c r="AF795" i="1" s="1"/>
  <c r="AE718" i="1"/>
  <c r="AF718" i="1" s="1"/>
  <c r="AE753" i="1"/>
  <c r="AF753" i="1" s="1"/>
  <c r="AE794" i="1"/>
  <c r="AF794" i="1" s="1"/>
  <c r="AE743" i="1"/>
  <c r="AF743" i="1" s="1"/>
  <c r="AE797" i="1"/>
  <c r="AF797" i="1" s="1"/>
  <c r="AE720" i="1"/>
  <c r="AF720" i="1" s="1"/>
  <c r="AE774" i="1"/>
  <c r="AF774" i="1" s="1"/>
  <c r="AE723" i="1"/>
  <c r="AF723" i="1" s="1"/>
  <c r="AE796" i="1"/>
  <c r="AF796" i="1" s="1"/>
  <c r="AE745" i="1"/>
  <c r="AF745" i="1" s="1"/>
  <c r="AE696" i="1"/>
  <c r="AF696" i="1" s="1"/>
  <c r="AE684" i="1"/>
  <c r="AF684" i="1" s="1"/>
  <c r="AE628" i="1"/>
  <c r="AF628" i="1" s="1"/>
  <c r="AE677" i="1"/>
  <c r="AF677" i="1" s="1"/>
  <c r="AE626" i="1"/>
  <c r="AF626" i="1" s="1"/>
  <c r="AE549" i="1"/>
  <c r="AF549" i="1" s="1"/>
  <c r="AE635" i="1"/>
  <c r="AF635" i="1" s="1"/>
  <c r="AE584" i="1"/>
  <c r="AF584" i="1" s="1"/>
  <c r="AE689" i="1"/>
  <c r="AF689" i="1" s="1"/>
  <c r="AE638" i="1"/>
  <c r="AF638" i="1" s="1"/>
  <c r="AE621" i="1"/>
  <c r="AF621" i="1" s="1"/>
  <c r="AE561" i="1"/>
  <c r="AF561" i="1" s="1"/>
  <c r="AE466" i="1"/>
  <c r="AF466" i="1" s="1"/>
  <c r="AE669" i="1"/>
  <c r="AF669" i="1" s="1"/>
  <c r="AE618" i="1"/>
  <c r="AF618" i="1" s="1"/>
  <c r="AE541" i="1"/>
  <c r="AF541" i="1" s="1"/>
  <c r="AE482" i="1"/>
  <c r="AF482" i="1" s="1"/>
  <c r="AE656" i="1"/>
  <c r="AF656" i="1" s="1"/>
  <c r="AE579" i="1"/>
  <c r="AF579" i="1" s="1"/>
  <c r="AE524" i="1"/>
  <c r="AF524" i="1" s="1"/>
  <c r="AE681" i="1"/>
  <c r="AF681" i="1" s="1"/>
  <c r="AE630" i="1"/>
  <c r="AF630" i="1" s="1"/>
  <c r="AE553" i="1"/>
  <c r="AF553" i="1" s="1"/>
  <c r="AE607" i="1"/>
  <c r="AF607" i="1" s="1"/>
  <c r="AE556" i="1"/>
  <c r="AF556" i="1" s="1"/>
  <c r="AE504" i="1"/>
  <c r="AF504" i="1" s="1"/>
  <c r="AE507" i="1"/>
  <c r="AF507" i="1" s="1"/>
  <c r="AE513" i="1"/>
  <c r="AF513" i="1" s="1"/>
  <c r="AE474" i="1"/>
  <c r="AF474" i="1" s="1"/>
  <c r="AE480" i="1"/>
  <c r="AF480" i="1" s="1"/>
  <c r="AE502" i="1"/>
  <c r="AF502" i="1" s="1"/>
  <c r="AE505" i="1"/>
  <c r="AF505" i="1" s="1"/>
  <c r="AE1139" i="1"/>
  <c r="AF1139" i="1" s="1"/>
  <c r="AE936" i="1"/>
  <c r="AF936" i="1" s="1"/>
  <c r="AE708" i="1"/>
  <c r="AF708" i="1" s="1"/>
  <c r="AE1228" i="1"/>
  <c r="AF1228" i="1" s="1"/>
  <c r="AE1234" i="1"/>
  <c r="AF1234" i="1" s="1"/>
  <c r="AE1128" i="1"/>
  <c r="AF1128" i="1" s="1"/>
  <c r="AE1077" i="1"/>
  <c r="AF1077" i="1" s="1"/>
  <c r="AE1171" i="1"/>
  <c r="AF1171" i="1" s="1"/>
  <c r="AE1015" i="1"/>
  <c r="AF1015" i="1" s="1"/>
  <c r="AE1018" i="1"/>
  <c r="AF1018" i="1" s="1"/>
  <c r="AE1040" i="1"/>
  <c r="AF1040" i="1" s="1"/>
  <c r="AE912" i="1"/>
  <c r="AF912" i="1" s="1"/>
  <c r="AE830" i="1"/>
  <c r="AF830" i="1" s="1"/>
  <c r="AE751" i="1"/>
  <c r="AF751" i="1" s="1"/>
  <c r="AE731" i="1"/>
  <c r="AF731" i="1" s="1"/>
  <c r="AE807" i="1"/>
  <c r="AF807" i="1" s="1"/>
  <c r="AE730" i="1"/>
  <c r="AF730" i="1" s="1"/>
  <c r="AE732" i="1"/>
  <c r="AF732" i="1" s="1"/>
  <c r="AE545" i="1"/>
  <c r="AF545" i="1" s="1"/>
  <c r="AE571" i="1"/>
  <c r="AF571" i="1" s="1"/>
  <c r="AE566" i="1"/>
  <c r="AF566" i="1" s="1"/>
  <c r="AE493" i="1"/>
  <c r="AF493" i="1" s="1"/>
  <c r="AE1259" i="1"/>
  <c r="AF1259" i="1" s="1"/>
  <c r="AE1254" i="1"/>
  <c r="AF1254" i="1" s="1"/>
  <c r="AE1267" i="1"/>
  <c r="AF1267" i="1" s="1"/>
  <c r="AE1276" i="1"/>
  <c r="AF1276" i="1" s="1"/>
  <c r="AE1288" i="1"/>
  <c r="AF1288" i="1" s="1"/>
  <c r="AE1148" i="1"/>
  <c r="AF1148" i="1" s="1"/>
  <c r="AE1097" i="1"/>
  <c r="AF1097" i="1" s="1"/>
  <c r="AE1247" i="1"/>
  <c r="AF1247" i="1" s="1"/>
  <c r="AE1195" i="1"/>
  <c r="AF1195" i="1" s="1"/>
  <c r="AE1118" i="1"/>
  <c r="AF1118" i="1" s="1"/>
  <c r="AE1101" i="1"/>
  <c r="AF1101" i="1" s="1"/>
  <c r="AE1252" i="1"/>
  <c r="AF1252" i="1" s="1"/>
  <c r="AE1201" i="1"/>
  <c r="AF1201" i="1" s="1"/>
  <c r="AE1130" i="1"/>
  <c r="AF1130" i="1" s="1"/>
  <c r="AE1079" i="1"/>
  <c r="AF1079" i="1" s="1"/>
  <c r="AE1061" i="1"/>
  <c r="AF1061" i="1" s="1"/>
  <c r="AE1136" i="1"/>
  <c r="AF1136" i="1" s="1"/>
  <c r="AE1085" i="1"/>
  <c r="AF1085" i="1" s="1"/>
  <c r="AE991" i="1"/>
  <c r="AF991" i="1" s="1"/>
  <c r="AE1280" i="1"/>
  <c r="AF1280" i="1" s="1"/>
  <c r="AE1279" i="1"/>
  <c r="AF1279" i="1" s="1"/>
  <c r="AE1291" i="1"/>
  <c r="AF1291" i="1" s="1"/>
  <c r="AE1278" i="1"/>
  <c r="AF1278" i="1" s="1"/>
  <c r="AE1300" i="1"/>
  <c r="AF1300" i="1" s="1"/>
  <c r="AE1285" i="1"/>
  <c r="AF1285" i="1" s="1"/>
  <c r="AE1296" i="1"/>
  <c r="AF1296" i="1" s="1"/>
  <c r="AE1248" i="1"/>
  <c r="AF1248" i="1" s="1"/>
  <c r="AE1223" i="1"/>
  <c r="AF1223" i="1" s="1"/>
  <c r="AE1255" i="1"/>
  <c r="AF1255" i="1" s="1"/>
  <c r="AE1164" i="1"/>
  <c r="AF1164" i="1" s="1"/>
  <c r="AE1113" i="1"/>
  <c r="AF1113" i="1" s="1"/>
  <c r="AE1263" i="1"/>
  <c r="AF1263" i="1" s="1"/>
  <c r="AE1186" i="1"/>
  <c r="AF1186" i="1" s="1"/>
  <c r="AE1135" i="1"/>
  <c r="AF1135" i="1" s="1"/>
  <c r="AE1208" i="1"/>
  <c r="AF1208" i="1" s="1"/>
  <c r="AE1157" i="1"/>
  <c r="AF1157" i="1" s="1"/>
  <c r="AE1080" i="1"/>
  <c r="AF1080" i="1" s="1"/>
  <c r="AE1063" i="1"/>
  <c r="AF1063" i="1" s="1"/>
  <c r="AE1053" i="1"/>
  <c r="AF1053" i="1" s="1"/>
  <c r="AE1211" i="1"/>
  <c r="AF1211" i="1" s="1"/>
  <c r="AE1134" i="1"/>
  <c r="AF1134" i="1" s="1"/>
  <c r="AE1083" i="1"/>
  <c r="AF1083" i="1" s="1"/>
  <c r="AE1268" i="1"/>
  <c r="AF1268" i="1" s="1"/>
  <c r="AE1217" i="1"/>
  <c r="AF1217" i="1" s="1"/>
  <c r="AE1140" i="1"/>
  <c r="AF1140" i="1" s="1"/>
  <c r="AE1146" i="1"/>
  <c r="AF1146" i="1" s="1"/>
  <c r="AE1129" i="1"/>
  <c r="AF1129" i="1" s="1"/>
  <c r="AE1095" i="1"/>
  <c r="AF1095" i="1" s="1"/>
  <c r="AE1229" i="1"/>
  <c r="AF1229" i="1" s="1"/>
  <c r="AE1152" i="1"/>
  <c r="AF1152" i="1" s="1"/>
  <c r="AE1174" i="1"/>
  <c r="AF1174" i="1" s="1"/>
  <c r="AE1123" i="1"/>
  <c r="AF1123" i="1" s="1"/>
  <c r="AE1007" i="1"/>
  <c r="AF1007" i="1" s="1"/>
  <c r="AE956" i="1"/>
  <c r="AF956" i="1" s="1"/>
  <c r="AE1029" i="1"/>
  <c r="AF1029" i="1" s="1"/>
  <c r="AE978" i="1"/>
  <c r="AF978" i="1" s="1"/>
  <c r="AE1048" i="1"/>
  <c r="AF1048" i="1" s="1"/>
  <c r="AE971" i="1"/>
  <c r="AF971" i="1" s="1"/>
  <c r="AE920" i="1"/>
  <c r="AF920" i="1" s="1"/>
  <c r="AE1038" i="1"/>
  <c r="AF1038" i="1" s="1"/>
  <c r="AE1021" i="1"/>
  <c r="AF1021" i="1" s="1"/>
  <c r="AE961" i="1"/>
  <c r="AF961" i="1" s="1"/>
  <c r="AE909" i="1"/>
  <c r="AF909" i="1" s="1"/>
  <c r="AE1044" i="1"/>
  <c r="AF1044" i="1" s="1"/>
  <c r="AE967" i="1"/>
  <c r="AF967" i="1" s="1"/>
  <c r="AE916" i="1"/>
  <c r="AF916" i="1" s="1"/>
  <c r="AE970" i="1"/>
  <c r="AF970" i="1" s="1"/>
  <c r="AE1043" i="1"/>
  <c r="AF1043" i="1" s="1"/>
  <c r="AE992" i="1"/>
  <c r="AF992" i="1" s="1"/>
  <c r="AE915" i="1"/>
  <c r="AF915" i="1" s="1"/>
  <c r="AE1001" i="1"/>
  <c r="AF1001" i="1" s="1"/>
  <c r="AE950" i="1"/>
  <c r="AF950" i="1" s="1"/>
  <c r="AE901" i="1"/>
  <c r="AF901" i="1" s="1"/>
  <c r="AE854" i="1"/>
  <c r="AF854" i="1" s="1"/>
  <c r="AE876" i="1"/>
  <c r="AF876" i="1" s="1"/>
  <c r="AE825" i="1"/>
  <c r="AF825" i="1" s="1"/>
  <c r="AE895" i="1"/>
  <c r="AF895" i="1" s="1"/>
  <c r="AE817" i="1"/>
  <c r="AF817" i="1" s="1"/>
  <c r="AE869" i="1"/>
  <c r="AF869" i="1" s="1"/>
  <c r="AE859" i="1"/>
  <c r="AF859" i="1" s="1"/>
  <c r="AE815" i="1"/>
  <c r="AF815" i="1" s="1"/>
  <c r="AE865" i="1"/>
  <c r="AF865" i="1" s="1"/>
  <c r="AE887" i="1"/>
  <c r="AF887" i="1" s="1"/>
  <c r="AE896" i="1"/>
  <c r="AF896" i="1" s="1"/>
  <c r="AE845" i="1"/>
  <c r="AF845" i="1" s="1"/>
  <c r="AE754" i="1"/>
  <c r="AF754" i="1" s="1"/>
  <c r="AE760" i="1"/>
  <c r="AF760" i="1" s="1"/>
  <c r="AE709" i="1"/>
  <c r="AF709" i="1" s="1"/>
  <c r="AE734" i="1"/>
  <c r="AF734" i="1" s="1"/>
  <c r="AE769" i="1"/>
  <c r="AF769" i="1" s="1"/>
  <c r="AE810" i="1"/>
  <c r="AF810" i="1" s="1"/>
  <c r="AE759" i="1"/>
  <c r="AF759" i="1" s="1"/>
  <c r="AE736" i="1"/>
  <c r="AF736" i="1" s="1"/>
  <c r="AE701" i="1"/>
  <c r="AF701" i="1" s="1"/>
  <c r="AE790" i="1"/>
  <c r="AF790" i="1" s="1"/>
  <c r="AE739" i="1"/>
  <c r="AF739" i="1" s="1"/>
  <c r="AE812" i="1"/>
  <c r="AF812" i="1" s="1"/>
  <c r="AE761" i="1"/>
  <c r="AF761" i="1" s="1"/>
  <c r="AE693" i="1"/>
  <c r="AF693" i="1" s="1"/>
  <c r="AE583" i="1"/>
  <c r="AF583" i="1" s="1"/>
  <c r="AE679" i="1"/>
  <c r="AF679" i="1" s="1"/>
  <c r="AE704" i="1"/>
  <c r="AF704" i="1" s="1"/>
  <c r="AE695" i="1"/>
  <c r="AF695" i="1" s="1"/>
  <c r="AE642" i="1"/>
  <c r="AF642" i="1" s="1"/>
  <c r="AE565" i="1"/>
  <c r="AF565" i="1" s="1"/>
  <c r="AE651" i="1"/>
  <c r="AF651" i="1" s="1"/>
  <c r="AE600" i="1"/>
  <c r="AF600" i="1" s="1"/>
  <c r="AE654" i="1"/>
  <c r="AF654" i="1" s="1"/>
  <c r="AE577" i="1"/>
  <c r="AF577" i="1" s="1"/>
  <c r="AE527" i="1"/>
  <c r="AF527" i="1" s="1"/>
  <c r="AE511" i="1"/>
  <c r="AF511" i="1" s="1"/>
  <c r="AE685" i="1"/>
  <c r="AF685" i="1" s="1"/>
  <c r="AE634" i="1"/>
  <c r="AF634" i="1" s="1"/>
  <c r="AE557" i="1"/>
  <c r="AF557" i="1" s="1"/>
  <c r="AE595" i="1"/>
  <c r="AF595" i="1" s="1"/>
  <c r="AE544" i="1"/>
  <c r="AF544" i="1" s="1"/>
  <c r="AE697" i="1"/>
  <c r="AF697" i="1" s="1"/>
  <c r="AE646" i="1"/>
  <c r="AF646" i="1" s="1"/>
  <c r="AE569" i="1"/>
  <c r="AF569" i="1" s="1"/>
  <c r="AE623" i="1"/>
  <c r="AF623" i="1" s="1"/>
  <c r="AE572" i="1"/>
  <c r="AF572" i="1" s="1"/>
  <c r="AE520" i="1"/>
  <c r="AF520" i="1" s="1"/>
  <c r="AE503" i="1"/>
  <c r="AF503" i="1" s="1"/>
  <c r="AE469" i="1"/>
  <c r="AF469" i="1" s="1"/>
  <c r="AE523" i="1"/>
  <c r="AF523" i="1" s="1"/>
  <c r="AE529" i="1"/>
  <c r="AF529" i="1" s="1"/>
  <c r="AE490" i="1"/>
  <c r="AF490" i="1" s="1"/>
  <c r="AE496" i="1"/>
  <c r="AF496" i="1" s="1"/>
  <c r="AE467" i="1"/>
  <c r="AF467" i="1" s="1"/>
  <c r="AE521" i="1"/>
  <c r="AF521" i="1" s="1"/>
  <c r="AE1202" i="1"/>
  <c r="AF1202" i="1" s="1"/>
  <c r="AE1037" i="1"/>
  <c r="AF1037" i="1" s="1"/>
  <c r="AE777" i="1"/>
  <c r="AF777" i="1" s="1"/>
  <c r="AE573" i="1"/>
  <c r="AF573" i="1" s="1"/>
  <c r="AE585" i="1"/>
  <c r="AF585" i="1" s="1"/>
  <c r="AE1064" i="1"/>
  <c r="AF1064" i="1" s="1"/>
  <c r="AE750" i="1"/>
  <c r="AF750" i="1" s="1"/>
  <c r="AE692" i="1"/>
  <c r="AF692" i="1" s="1"/>
  <c r="AE650" i="1"/>
  <c r="AF650" i="1" s="1"/>
  <c r="AE485" i="1"/>
  <c r="AF485" i="1" s="1"/>
  <c r="AE462" i="1"/>
  <c r="AF462" i="1" s="1"/>
  <c r="AE468" i="1"/>
  <c r="AF468" i="1" s="1"/>
  <c r="AE1287" i="1"/>
  <c r="AF1287" i="1" s="1"/>
  <c r="AE1295" i="1"/>
  <c r="AF1295" i="1" s="1"/>
  <c r="AE1264" i="1"/>
  <c r="AF1264" i="1" s="1"/>
  <c r="AE1235" i="1"/>
  <c r="AF1235" i="1" s="1"/>
  <c r="AE1297" i="1"/>
  <c r="AF1297" i="1" s="1"/>
  <c r="AE1242" i="1"/>
  <c r="AF1242" i="1" s="1"/>
  <c r="AE1209" i="1"/>
  <c r="AF1209" i="1" s="1"/>
  <c r="AE1284" i="1"/>
  <c r="AF1284" i="1" s="1"/>
  <c r="AE1246" i="1"/>
  <c r="AF1246" i="1" s="1"/>
  <c r="AE1253" i="1"/>
  <c r="AF1253" i="1" s="1"/>
  <c r="AE1226" i="1"/>
  <c r="AF1226" i="1" s="1"/>
  <c r="AE1145" i="1"/>
  <c r="AF1145" i="1" s="1"/>
  <c r="AE1068" i="1"/>
  <c r="AF1068" i="1" s="1"/>
  <c r="AE1218" i="1"/>
  <c r="AF1218" i="1" s="1"/>
  <c r="AE1167" i="1"/>
  <c r="AF1167" i="1" s="1"/>
  <c r="AE1090" i="1"/>
  <c r="AF1090" i="1" s="1"/>
  <c r="AE1240" i="1"/>
  <c r="AF1240" i="1" s="1"/>
  <c r="AE1189" i="1"/>
  <c r="AF1189" i="1" s="1"/>
  <c r="AE1112" i="1"/>
  <c r="AF1112" i="1" s="1"/>
  <c r="AE1166" i="1"/>
  <c r="AF1166" i="1" s="1"/>
  <c r="AE1115" i="1"/>
  <c r="AF1115" i="1" s="1"/>
  <c r="AE1249" i="1"/>
  <c r="AF1249" i="1" s="1"/>
  <c r="AE1172" i="1"/>
  <c r="AF1172" i="1" s="1"/>
  <c r="AE1121" i="1"/>
  <c r="AF1121" i="1" s="1"/>
  <c r="AE1178" i="1"/>
  <c r="AF1178" i="1" s="1"/>
  <c r="AE1127" i="1"/>
  <c r="AF1127" i="1" s="1"/>
  <c r="AE1184" i="1"/>
  <c r="AF1184" i="1" s="1"/>
  <c r="AE1133" i="1"/>
  <c r="AF1133" i="1" s="1"/>
  <c r="AE1206" i="1"/>
  <c r="AF1206" i="1" s="1"/>
  <c r="AE1155" i="1"/>
  <c r="AF1155" i="1" s="1"/>
  <c r="AE1078" i="1"/>
  <c r="AF1078" i="1" s="1"/>
  <c r="AE1039" i="1"/>
  <c r="AF1039" i="1" s="1"/>
  <c r="AE988" i="1"/>
  <c r="AF988" i="1" s="1"/>
  <c r="AE911" i="1"/>
  <c r="AF911" i="1" s="1"/>
  <c r="AE1010" i="1"/>
  <c r="AF1010" i="1" s="1"/>
  <c r="AE933" i="1"/>
  <c r="AF933" i="1" s="1"/>
  <c r="AE1003" i="1"/>
  <c r="AF1003" i="1" s="1"/>
  <c r="AE952" i="1"/>
  <c r="AF952" i="1" s="1"/>
  <c r="AE993" i="1"/>
  <c r="AF993" i="1" s="1"/>
  <c r="AE942" i="1"/>
  <c r="AF942" i="1" s="1"/>
  <c r="AE999" i="1"/>
  <c r="AF999" i="1" s="1"/>
  <c r="AE948" i="1"/>
  <c r="AF948" i="1" s="1"/>
  <c r="AE1002" i="1"/>
  <c r="AF1002" i="1" s="1"/>
  <c r="AE925" i="1"/>
  <c r="AF925" i="1" s="1"/>
  <c r="AE1024" i="1"/>
  <c r="AF1024" i="1" s="1"/>
  <c r="AE947" i="1"/>
  <c r="AF947" i="1" s="1"/>
  <c r="AE1033" i="1"/>
  <c r="AF1033" i="1" s="1"/>
  <c r="AE982" i="1"/>
  <c r="AF982" i="1" s="1"/>
  <c r="AE886" i="1"/>
  <c r="AF886" i="1" s="1"/>
  <c r="AE835" i="1"/>
  <c r="AF835" i="1" s="1"/>
  <c r="AE857" i="1"/>
  <c r="AF857" i="1" s="1"/>
  <c r="AE850" i="1"/>
  <c r="AF850" i="1" s="1"/>
  <c r="AE824" i="1"/>
  <c r="AF824" i="1" s="1"/>
  <c r="AE891" i="1"/>
  <c r="AF891" i="1" s="1"/>
  <c r="AE897" i="1"/>
  <c r="AF897" i="1" s="1"/>
  <c r="AE820" i="1"/>
  <c r="AF820" i="1" s="1"/>
  <c r="AE842" i="1"/>
  <c r="AF842" i="1" s="1"/>
  <c r="AE786" i="1"/>
  <c r="AF786" i="1" s="1"/>
  <c r="AE735" i="1"/>
  <c r="AF735" i="1" s="1"/>
  <c r="AE792" i="1"/>
  <c r="AF792" i="1" s="1"/>
  <c r="AE741" i="1"/>
  <c r="AF741" i="1" s="1"/>
  <c r="AE766" i="1"/>
  <c r="AF766" i="1" s="1"/>
  <c r="AE715" i="1"/>
  <c r="AF715" i="1" s="1"/>
  <c r="AE724" i="1"/>
  <c r="AF724" i="1" s="1"/>
  <c r="AE698" i="1"/>
  <c r="AF698" i="1" s="1"/>
  <c r="AE791" i="1"/>
  <c r="AF791" i="1" s="1"/>
  <c r="AE714" i="1"/>
  <c r="AF714" i="1" s="1"/>
  <c r="AE768" i="1"/>
  <c r="AF768" i="1" s="1"/>
  <c r="AE717" i="1"/>
  <c r="AF717" i="1" s="1"/>
  <c r="AE771" i="1"/>
  <c r="AF771" i="1" s="1"/>
  <c r="AE793" i="1"/>
  <c r="AF793" i="1" s="1"/>
  <c r="AE716" i="1"/>
  <c r="AF716" i="1" s="1"/>
  <c r="AE644" i="1"/>
  <c r="AF644" i="1" s="1"/>
  <c r="AE702" i="1"/>
  <c r="AF702" i="1" s="1"/>
  <c r="AE631" i="1"/>
  <c r="AF631" i="1" s="1"/>
  <c r="AE551" i="1"/>
  <c r="AF551" i="1" s="1"/>
  <c r="AE674" i="1"/>
  <c r="AF674" i="1" s="1"/>
  <c r="AE597" i="1"/>
  <c r="AF597" i="1" s="1"/>
  <c r="AE546" i="1"/>
  <c r="AF546" i="1" s="1"/>
  <c r="AE683" i="1"/>
  <c r="AF683" i="1" s="1"/>
  <c r="AE632" i="1"/>
  <c r="AF632" i="1" s="1"/>
  <c r="AE555" i="1"/>
  <c r="AF555" i="1" s="1"/>
  <c r="AE686" i="1"/>
  <c r="AF686" i="1" s="1"/>
  <c r="AE609" i="1"/>
  <c r="AF609" i="1" s="1"/>
  <c r="AE558" i="1"/>
  <c r="AF558" i="1" s="1"/>
  <c r="AE522" i="1"/>
  <c r="AF522" i="1" s="1"/>
  <c r="AE666" i="1"/>
  <c r="AF666" i="1" s="1"/>
  <c r="AE589" i="1"/>
  <c r="AF589" i="1" s="1"/>
  <c r="AE538" i="1"/>
  <c r="AF538" i="1" s="1"/>
  <c r="AE627" i="1"/>
  <c r="AF627" i="1" s="1"/>
  <c r="AE576" i="1"/>
  <c r="AF576" i="1" s="1"/>
  <c r="AE498" i="1"/>
  <c r="AF498" i="1" s="1"/>
  <c r="AE678" i="1"/>
  <c r="AF678" i="1" s="1"/>
  <c r="AE601" i="1"/>
  <c r="AF601" i="1" s="1"/>
  <c r="AE550" i="1"/>
  <c r="AF550" i="1" s="1"/>
  <c r="AE655" i="1"/>
  <c r="AF655" i="1" s="1"/>
  <c r="AE604" i="1"/>
  <c r="AF604" i="1" s="1"/>
  <c r="AE535" i="1"/>
  <c r="AF535" i="1" s="1"/>
  <c r="AE501" i="1"/>
  <c r="AF501" i="1" s="1"/>
  <c r="AE478" i="1"/>
  <c r="AF478" i="1" s="1"/>
  <c r="AE484" i="1"/>
  <c r="AF484" i="1" s="1"/>
  <c r="AE471" i="1"/>
  <c r="AF471" i="1" s="1"/>
  <c r="AE528" i="1"/>
  <c r="AF528" i="1" s="1"/>
  <c r="AE477" i="1"/>
  <c r="AF477" i="1" s="1"/>
  <c r="AE499" i="1"/>
  <c r="AF499" i="1" s="1"/>
  <c r="AE476" i="1"/>
  <c r="AF476" i="1" s="1"/>
  <c r="AE1106" i="1"/>
  <c r="AF1106" i="1" s="1"/>
  <c r="AE1188" i="1"/>
  <c r="AF1188" i="1" s="1"/>
  <c r="AE1137" i="1"/>
  <c r="AF1137" i="1" s="1"/>
  <c r="AE1149" i="1"/>
  <c r="AF1149" i="1" s="1"/>
  <c r="AE1205" i="1"/>
  <c r="AF1205" i="1" s="1"/>
  <c r="AE1094" i="1"/>
  <c r="AF1094" i="1" s="1"/>
  <c r="AE1055" i="1"/>
  <c r="AF1055" i="1" s="1"/>
  <c r="AE949" i="1"/>
  <c r="AF949" i="1" s="1"/>
  <c r="AE1019" i="1"/>
  <c r="AF1019" i="1" s="1"/>
  <c r="AE1049" i="1"/>
  <c r="AF1049" i="1" s="1"/>
  <c r="AE840" i="1"/>
  <c r="AF840" i="1" s="1"/>
  <c r="AE788" i="1"/>
  <c r="AF788" i="1" s="1"/>
  <c r="AE858" i="1"/>
  <c r="AF858" i="1" s="1"/>
  <c r="AE802" i="1"/>
  <c r="AF802" i="1" s="1"/>
  <c r="AE740" i="1"/>
  <c r="AF740" i="1" s="1"/>
  <c r="AE703" i="1"/>
  <c r="AF703" i="1" s="1"/>
  <c r="AE809" i="1"/>
  <c r="AF809" i="1" s="1"/>
  <c r="AE613" i="1"/>
  <c r="AF613" i="1" s="1"/>
  <c r="AE592" i="1"/>
  <c r="AF592" i="1" s="1"/>
  <c r="AE543" i="1"/>
  <c r="AF543" i="1" s="1"/>
  <c r="AE487" i="1"/>
  <c r="AF487" i="1" s="1"/>
  <c r="AE1227" i="1"/>
  <c r="AF1227" i="1" s="1"/>
  <c r="AE1099" i="1"/>
  <c r="AF1099" i="1" s="1"/>
  <c r="AE977" i="1"/>
  <c r="AF977" i="1" s="1"/>
  <c r="AE926" i="1"/>
  <c r="AF926" i="1" s="1"/>
  <c r="AE885" i="1"/>
  <c r="AF885" i="1" s="1"/>
  <c r="AE1293" i="1"/>
  <c r="AF1293" i="1" s="1"/>
  <c r="AE1183" i="1"/>
  <c r="AF1183" i="1" s="1"/>
  <c r="AE1239" i="1"/>
  <c r="AF1239" i="1" s="1"/>
  <c r="AE1131" i="1"/>
  <c r="AF1131" i="1" s="1"/>
  <c r="AE1222" i="1"/>
  <c r="AF1222" i="1" s="1"/>
  <c r="AE968" i="1"/>
  <c r="AF968" i="1" s="1"/>
  <c r="AE1009" i="1"/>
  <c r="AF1009" i="1" s="1"/>
  <c r="AE958" i="1"/>
  <c r="AF958" i="1" s="1"/>
  <c r="AE941" i="1"/>
  <c r="AF941" i="1" s="1"/>
  <c r="AE784" i="1"/>
  <c r="AF784" i="1" s="1"/>
  <c r="AE564" i="1"/>
  <c r="AF564" i="1" s="1"/>
  <c r="AE648" i="1"/>
  <c r="AF648" i="1" s="1"/>
  <c r="AE554" i="1"/>
  <c r="AF554" i="1" s="1"/>
  <c r="AE694" i="1"/>
  <c r="AF694" i="1" s="1"/>
  <c r="AE1262" i="1"/>
  <c r="AF1262" i="1" s="1"/>
  <c r="AE1283" i="1"/>
  <c r="AF1283" i="1" s="1"/>
  <c r="AE1122" i="1"/>
  <c r="AF1122" i="1" s="1"/>
  <c r="AE1272" i="1"/>
  <c r="AF1272" i="1" s="1"/>
  <c r="AE1221" i="1"/>
  <c r="AF1221" i="1" s="1"/>
  <c r="AE1093" i="1"/>
  <c r="AF1093" i="1" s="1"/>
  <c r="AE1281" i="1"/>
  <c r="AF1281" i="1" s="1"/>
  <c r="AE1065" i="1"/>
  <c r="AF1065" i="1" s="1"/>
  <c r="AE1216" i="1"/>
  <c r="AF1216" i="1" s="1"/>
  <c r="AE1165" i="1"/>
  <c r="AF1165" i="1" s="1"/>
  <c r="AE1088" i="1"/>
  <c r="AF1088" i="1" s="1"/>
  <c r="AE1110" i="1"/>
  <c r="AF1110" i="1" s="1"/>
  <c r="AE965" i="1"/>
  <c r="AF965" i="1" s="1"/>
  <c r="AE984" i="1"/>
  <c r="AF984" i="1" s="1"/>
  <c r="AE1025" i="1"/>
  <c r="AF1025" i="1" s="1"/>
  <c r="AE974" i="1"/>
  <c r="AF974" i="1" s="1"/>
  <c r="AE980" i="1"/>
  <c r="AF980" i="1" s="1"/>
  <c r="AE957" i="1"/>
  <c r="AF957" i="1" s="1"/>
  <c r="AE979" i="1"/>
  <c r="AF979" i="1" s="1"/>
  <c r="AE937" i="1"/>
  <c r="AF937" i="1" s="1"/>
  <c r="AE892" i="1"/>
  <c r="AF892" i="1" s="1"/>
  <c r="AE882" i="1"/>
  <c r="AF882" i="1" s="1"/>
  <c r="AE846" i="1"/>
  <c r="AF846" i="1" s="1"/>
  <c r="AE852" i="1"/>
  <c r="AF852" i="1" s="1"/>
  <c r="AE747" i="1"/>
  <c r="AF747" i="1" s="1"/>
  <c r="AE691" i="1"/>
  <c r="AF691" i="1" s="1"/>
  <c r="AE800" i="1"/>
  <c r="AF800" i="1" s="1"/>
  <c r="AE749" i="1"/>
  <c r="AF749" i="1" s="1"/>
  <c r="AE726" i="1"/>
  <c r="AF726" i="1" s="1"/>
  <c r="AE748" i="1"/>
  <c r="AF748" i="1" s="1"/>
  <c r="AE700" i="1"/>
  <c r="AF700" i="1" s="1"/>
  <c r="AE690" i="1"/>
  <c r="AF690" i="1" s="1"/>
  <c r="AE612" i="1"/>
  <c r="AF612" i="1" s="1"/>
  <c r="AE578" i="1"/>
  <c r="AF578" i="1" s="1"/>
  <c r="AE534" i="1"/>
  <c r="AF534" i="1" s="1"/>
  <c r="AE479" i="1"/>
  <c r="AF479" i="1" s="1"/>
  <c r="AE664" i="1"/>
  <c r="AF664" i="1" s="1"/>
  <c r="AE587" i="1"/>
  <c r="AF587" i="1" s="1"/>
  <c r="AE495" i="1"/>
  <c r="AF495" i="1" s="1"/>
  <c r="AE641" i="1"/>
  <c r="AF641" i="1" s="1"/>
  <c r="AE590" i="1"/>
  <c r="AF590" i="1" s="1"/>
  <c r="AE570" i="1"/>
  <c r="AF570" i="1" s="1"/>
  <c r="AE659" i="1"/>
  <c r="AF659" i="1" s="1"/>
  <c r="AE608" i="1"/>
  <c r="AF608" i="1" s="1"/>
  <c r="AE633" i="1"/>
  <c r="AF633" i="1" s="1"/>
  <c r="AE582" i="1"/>
  <c r="AF582" i="1" s="1"/>
  <c r="AE530" i="1"/>
  <c r="AF530" i="1" s="1"/>
  <c r="AE636" i="1"/>
  <c r="AF636" i="1" s="1"/>
  <c r="AE559" i="1"/>
  <c r="AF559" i="1" s="1"/>
  <c r="AE510" i="1"/>
  <c r="AF510" i="1" s="1"/>
  <c r="AE516" i="1"/>
  <c r="AF516" i="1" s="1"/>
  <c r="AE465" i="1"/>
  <c r="AF465" i="1" s="1"/>
  <c r="AE509" i="1"/>
  <c r="AF509" i="1" s="1"/>
  <c r="AE508" i="1"/>
  <c r="AF508" i="1" s="1"/>
  <c r="AE1054" i="1"/>
  <c r="AF1054" i="1" s="1"/>
  <c r="AE775" i="1"/>
  <c r="AF775" i="1" s="1"/>
  <c r="AE1273" i="1"/>
  <c r="AF1273" i="1" s="1"/>
  <c r="AE1180" i="1"/>
  <c r="AF1180" i="1" s="1"/>
  <c r="AE1256" i="1"/>
  <c r="AF1256" i="1" s="1"/>
  <c r="AE1265" i="1"/>
  <c r="AF1265" i="1" s="1"/>
  <c r="AE902" i="1"/>
  <c r="AF902" i="1" s="1"/>
  <c r="AE866" i="1"/>
  <c r="AF866" i="1" s="1"/>
  <c r="AE893" i="1"/>
  <c r="AF893" i="1" s="1"/>
  <c r="AE537" i="1"/>
  <c r="AF537" i="1" s="1"/>
  <c r="AE617" i="1"/>
  <c r="AF617" i="1" s="1"/>
  <c r="AE1258" i="1"/>
  <c r="AF1258" i="1" s="1"/>
  <c r="AE1207" i="1"/>
  <c r="AF1207" i="1" s="1"/>
  <c r="AE1250" i="1"/>
  <c r="AF1250" i="1" s="1"/>
  <c r="AE1199" i="1"/>
  <c r="AF1199" i="1" s="1"/>
  <c r="AE1144" i="1"/>
  <c r="AF1144" i="1" s="1"/>
  <c r="AE1198" i="1"/>
  <c r="AF1198" i="1" s="1"/>
  <c r="AE1159" i="1"/>
  <c r="AF1159" i="1" s="1"/>
  <c r="AE1071" i="1"/>
  <c r="AF1071" i="1" s="1"/>
  <c r="AE1187" i="1"/>
  <c r="AF1187" i="1" s="1"/>
  <c r="AE1020" i="1"/>
  <c r="AF1020" i="1" s="1"/>
  <c r="AE943" i="1"/>
  <c r="AF943" i="1" s="1"/>
  <c r="AE1042" i="1"/>
  <c r="AF1042" i="1" s="1"/>
  <c r="AE914" i="1"/>
  <c r="AF914" i="1" s="1"/>
  <c r="AE1035" i="1"/>
  <c r="AF1035" i="1" s="1"/>
  <c r="AE1031" i="1"/>
  <c r="AF1031" i="1" s="1"/>
  <c r="AE1034" i="1"/>
  <c r="AF1034" i="1" s="1"/>
  <c r="AE928" i="1"/>
  <c r="AF928" i="1" s="1"/>
  <c r="AE1014" i="1"/>
  <c r="AF1014" i="1" s="1"/>
  <c r="AE867" i="1"/>
  <c r="AF867" i="1" s="1"/>
  <c r="AE831" i="1"/>
  <c r="AF831" i="1" s="1"/>
  <c r="AE856" i="1"/>
  <c r="AF856" i="1" s="1"/>
  <c r="AE874" i="1"/>
  <c r="AF874" i="1" s="1"/>
  <c r="AE823" i="1"/>
  <c r="AF823" i="1" s="1"/>
  <c r="AE832" i="1"/>
  <c r="AF832" i="1" s="1"/>
  <c r="AE767" i="1"/>
  <c r="AF767" i="1" s="1"/>
  <c r="AE773" i="1"/>
  <c r="AF773" i="1" s="1"/>
  <c r="AE798" i="1"/>
  <c r="AF798" i="1" s="1"/>
  <c r="AE756" i="1"/>
  <c r="AF756" i="1" s="1"/>
  <c r="AE746" i="1"/>
  <c r="AF746" i="1" s="1"/>
  <c r="AE803" i="1"/>
  <c r="AF803" i="1" s="1"/>
  <c r="AE615" i="1"/>
  <c r="AF615" i="1" s="1"/>
  <c r="AE629" i="1"/>
  <c r="AF629" i="1" s="1"/>
  <c r="AE1261" i="1"/>
  <c r="AF1261" i="1" s="1"/>
  <c r="AE1294" i="1"/>
  <c r="AF1294" i="1" s="1"/>
  <c r="AE1277" i="1"/>
  <c r="AF1277" i="1" s="1"/>
  <c r="AE1270" i="1"/>
  <c r="AF1270" i="1" s="1"/>
  <c r="AE1243" i="1"/>
  <c r="AF1243" i="1" s="1"/>
  <c r="AE1116" i="1"/>
  <c r="AF1116" i="1" s="1"/>
  <c r="AE1266" i="1"/>
  <c r="AF1266" i="1" s="1"/>
  <c r="AE1215" i="1"/>
  <c r="AF1215" i="1" s="1"/>
  <c r="AE1138" i="1"/>
  <c r="AF1138" i="1" s="1"/>
  <c r="AE1087" i="1"/>
  <c r="AF1087" i="1" s="1"/>
  <c r="AE1237" i="1"/>
  <c r="AF1237" i="1" s="1"/>
  <c r="AE1160" i="1"/>
  <c r="AF1160" i="1" s="1"/>
  <c r="AE1109" i="1"/>
  <c r="AF1109" i="1" s="1"/>
  <c r="AE1214" i="1"/>
  <c r="AF1214" i="1" s="1"/>
  <c r="AE1163" i="1"/>
  <c r="AF1163" i="1" s="1"/>
  <c r="AE1086" i="1"/>
  <c r="AF1086" i="1" s="1"/>
  <c r="AE1060" i="1"/>
  <c r="AF1060" i="1" s="1"/>
  <c r="AE1220" i="1"/>
  <c r="AF1220" i="1" s="1"/>
  <c r="AE1169" i="1"/>
  <c r="AF1169" i="1" s="1"/>
  <c r="AE1092" i="1"/>
  <c r="AF1092" i="1" s="1"/>
  <c r="AE1175" i="1"/>
  <c r="AF1175" i="1" s="1"/>
  <c r="AE1098" i="1"/>
  <c r="AF1098" i="1" s="1"/>
  <c r="AE1232" i="1"/>
  <c r="AF1232" i="1" s="1"/>
  <c r="AE1181" i="1"/>
  <c r="AF1181" i="1" s="1"/>
  <c r="AE1104" i="1"/>
  <c r="AF1104" i="1" s="1"/>
  <c r="AE1203" i="1"/>
  <c r="AF1203" i="1" s="1"/>
  <c r="AE1126" i="1"/>
  <c r="AF1126" i="1" s="1"/>
  <c r="AE1075" i="1"/>
  <c r="AF1075" i="1" s="1"/>
  <c r="AE1036" i="1"/>
  <c r="AF1036" i="1" s="1"/>
  <c r="AE959" i="1"/>
  <c r="AF959" i="1" s="1"/>
  <c r="AE981" i="1"/>
  <c r="AF981" i="1" s="1"/>
  <c r="AE930" i="1"/>
  <c r="AF930" i="1" s="1"/>
  <c r="AE913" i="1"/>
  <c r="AF913" i="1" s="1"/>
  <c r="AE1051" i="1"/>
  <c r="AF1051" i="1" s="1"/>
  <c r="AE1000" i="1"/>
  <c r="AF1000" i="1" s="1"/>
  <c r="AE923" i="1"/>
  <c r="AF923" i="1" s="1"/>
  <c r="AE1041" i="1"/>
  <c r="AF1041" i="1" s="1"/>
  <c r="AE990" i="1"/>
  <c r="AF990" i="1" s="1"/>
  <c r="AE904" i="1"/>
  <c r="AF904" i="1" s="1"/>
  <c r="AE1047" i="1"/>
  <c r="AF1047" i="1" s="1"/>
  <c r="AE996" i="1"/>
  <c r="AF996" i="1" s="1"/>
  <c r="AE919" i="1"/>
  <c r="AF919" i="1" s="1"/>
  <c r="AE1050" i="1"/>
  <c r="AF1050" i="1" s="1"/>
  <c r="AE973" i="1"/>
  <c r="AF973" i="1" s="1"/>
  <c r="AE922" i="1"/>
  <c r="AF922" i="1" s="1"/>
  <c r="AE995" i="1"/>
  <c r="AF995" i="1" s="1"/>
  <c r="AE944" i="1"/>
  <c r="AF944" i="1" s="1"/>
  <c r="AE1030" i="1"/>
  <c r="AF1030" i="1" s="1"/>
  <c r="AE953" i="1"/>
  <c r="AF953" i="1" s="1"/>
  <c r="AE883" i="1"/>
  <c r="AF883" i="1" s="1"/>
  <c r="AE785" i="1"/>
  <c r="AF785" i="1" s="1"/>
  <c r="AE828" i="1"/>
  <c r="AF828" i="1" s="1"/>
  <c r="AE801" i="1"/>
  <c r="AF801" i="1" s="1"/>
  <c r="AE898" i="1"/>
  <c r="AF898" i="1" s="1"/>
  <c r="AE847" i="1"/>
  <c r="AF847" i="1" s="1"/>
  <c r="AE872" i="1"/>
  <c r="AF872" i="1" s="1"/>
  <c r="AE821" i="1"/>
  <c r="AF821" i="1" s="1"/>
  <c r="AE862" i="1"/>
  <c r="AF862" i="1" s="1"/>
  <c r="AE819" i="1"/>
  <c r="AF819" i="1" s="1"/>
  <c r="AE868" i="1"/>
  <c r="AF868" i="1" s="1"/>
  <c r="AE890" i="1"/>
  <c r="AF890" i="1" s="1"/>
  <c r="AE839" i="1"/>
  <c r="AF839" i="1" s="1"/>
  <c r="AE848" i="1"/>
  <c r="AF848" i="1" s="1"/>
  <c r="AE813" i="1"/>
  <c r="AF813" i="1" s="1"/>
  <c r="AE783" i="1"/>
  <c r="AF783" i="1" s="1"/>
  <c r="AE789" i="1"/>
  <c r="AF789" i="1" s="1"/>
  <c r="AE712" i="1"/>
  <c r="AF712" i="1" s="1"/>
  <c r="AE763" i="1"/>
  <c r="AF763" i="1" s="1"/>
  <c r="AE772" i="1"/>
  <c r="AF772" i="1" s="1"/>
  <c r="AE721" i="1"/>
  <c r="AF721" i="1" s="1"/>
  <c r="AE762" i="1"/>
  <c r="AF762" i="1" s="1"/>
  <c r="AE711" i="1"/>
  <c r="AF711" i="1" s="1"/>
  <c r="AE765" i="1"/>
  <c r="AF765" i="1" s="1"/>
  <c r="AE742" i="1"/>
  <c r="AF742" i="1" s="1"/>
  <c r="AE764" i="1"/>
  <c r="AF764" i="1" s="1"/>
  <c r="AE660" i="1"/>
  <c r="AF660" i="1" s="1"/>
  <c r="AE548" i="1"/>
  <c r="AF548" i="1" s="1"/>
  <c r="AE647" i="1"/>
  <c r="AF647" i="1" s="1"/>
  <c r="AE596" i="1"/>
  <c r="AF596" i="1" s="1"/>
  <c r="AE567" i="1"/>
  <c r="AF567" i="1" s="1"/>
  <c r="AE645" i="1"/>
  <c r="AF645" i="1" s="1"/>
  <c r="AE594" i="1"/>
  <c r="AF594" i="1" s="1"/>
  <c r="AE680" i="1"/>
  <c r="AF680" i="1" s="1"/>
  <c r="AE603" i="1"/>
  <c r="AF603" i="1" s="1"/>
  <c r="AE552" i="1"/>
  <c r="AF552" i="1" s="1"/>
  <c r="AE657" i="1"/>
  <c r="AF657" i="1" s="1"/>
  <c r="AE606" i="1"/>
  <c r="AF606" i="1" s="1"/>
  <c r="AE514" i="1"/>
  <c r="AF514" i="1" s="1"/>
  <c r="AE637" i="1"/>
  <c r="AF637" i="1" s="1"/>
  <c r="AE586" i="1"/>
  <c r="AF586" i="1" s="1"/>
  <c r="AE519" i="1"/>
  <c r="AF519" i="1" s="1"/>
  <c r="AE624" i="1"/>
  <c r="AF624" i="1" s="1"/>
  <c r="AE547" i="1"/>
  <c r="AF547" i="1" s="1"/>
  <c r="AE649" i="1"/>
  <c r="AF649" i="1" s="1"/>
  <c r="AE598" i="1"/>
  <c r="AF598" i="1" s="1"/>
  <c r="AE652" i="1"/>
  <c r="AF652" i="1" s="1"/>
  <c r="AE575" i="1"/>
  <c r="AF575" i="1" s="1"/>
  <c r="AE532" i="1"/>
  <c r="AF532" i="1" s="1"/>
  <c r="AE463" i="1"/>
  <c r="AF463" i="1" s="1"/>
  <c r="AE472" i="1"/>
  <c r="AF472" i="1" s="1"/>
  <c r="AE526" i="1"/>
  <c r="AF526" i="1" s="1"/>
  <c r="AE475" i="1"/>
  <c r="AF475" i="1" s="1"/>
  <c r="AE481" i="1"/>
  <c r="AF481" i="1" s="1"/>
  <c r="AE525" i="1"/>
  <c r="AF525" i="1" s="1"/>
  <c r="AE470" i="1"/>
  <c r="AF470" i="1" s="1"/>
  <c r="AE473" i="1"/>
  <c r="AF473" i="1" s="1"/>
  <c r="AE1156" i="1"/>
  <c r="AF1156" i="1" s="1"/>
  <c r="AE1190" i="1"/>
  <c r="AF1190" i="1" s="1"/>
  <c r="AE917" i="1"/>
  <c r="AF917" i="1" s="1"/>
  <c r="AE1017" i="1"/>
  <c r="AF1017" i="1" s="1"/>
  <c r="AE966" i="1"/>
  <c r="AF966" i="1" s="1"/>
  <c r="AE699" i="1"/>
  <c r="AF699" i="1" s="1"/>
  <c r="AE1286" i="1"/>
  <c r="AF1286" i="1" s="1"/>
  <c r="AE1212" i="1"/>
  <c r="AF1212" i="1" s="1"/>
  <c r="AE1245" i="1"/>
  <c r="AF1245" i="1" s="1"/>
  <c r="AE1004" i="1"/>
  <c r="AF1004" i="1" s="1"/>
  <c r="AE998" i="1"/>
  <c r="AF998" i="1" s="1"/>
  <c r="AE851" i="1"/>
  <c r="AF851" i="1" s="1"/>
  <c r="AE907" i="1"/>
  <c r="AF907" i="1" s="1"/>
  <c r="AE814" i="1"/>
  <c r="AF814" i="1" s="1"/>
  <c r="AE782" i="1"/>
  <c r="AF782" i="1" s="1"/>
  <c r="AE733" i="1"/>
  <c r="AF733" i="1" s="1"/>
  <c r="AE562" i="1"/>
  <c r="AF562" i="1" s="1"/>
  <c r="AE682" i="1"/>
  <c r="AF682" i="1" s="1"/>
  <c r="AE1290" i="1"/>
  <c r="AF1290" i="1" s="1"/>
  <c r="AE1225" i="1"/>
  <c r="AF1225" i="1" s="1"/>
  <c r="AE1251" i="1"/>
  <c r="AF1251" i="1" s="1"/>
  <c r="AE1100" i="1"/>
  <c r="AF1100" i="1" s="1"/>
  <c r="AE1147" i="1"/>
  <c r="AF1147" i="1" s="1"/>
  <c r="AE1070" i="1"/>
  <c r="AF1070" i="1" s="1"/>
  <c r="AE1204" i="1"/>
  <c r="AF1204" i="1" s="1"/>
  <c r="AE1153" i="1"/>
  <c r="AF1153" i="1" s="1"/>
  <c r="AE1076" i="1"/>
  <c r="AF1076" i="1" s="1"/>
  <c r="AE1058" i="1"/>
  <c r="AF1058" i="1" s="1"/>
  <c r="AE1082" i="1"/>
  <c r="AF1082" i="1" s="1"/>
  <c r="AE1196" i="1"/>
  <c r="AF1196" i="1" s="1"/>
  <c r="AE1238" i="1"/>
  <c r="AF1238" i="1" s="1"/>
  <c r="AE1193" i="1"/>
  <c r="AF1193" i="1" s="1"/>
  <c r="AE1289" i="1"/>
  <c r="AF1289" i="1" s="1"/>
  <c r="AE1132" i="1"/>
  <c r="AF1132" i="1" s="1"/>
  <c r="AE1081" i="1"/>
  <c r="AF1081" i="1" s="1"/>
  <c r="AE1282" i="1"/>
  <c r="AF1282" i="1" s="1"/>
  <c r="AE1231" i="1"/>
  <c r="AF1231" i="1" s="1"/>
  <c r="AE1154" i="1"/>
  <c r="AF1154" i="1" s="1"/>
  <c r="AE1103" i="1"/>
  <c r="AF1103" i="1" s="1"/>
  <c r="AE1176" i="1"/>
  <c r="AF1176" i="1" s="1"/>
  <c r="AE1125" i="1"/>
  <c r="AF1125" i="1" s="1"/>
  <c r="AE1230" i="1"/>
  <c r="AF1230" i="1" s="1"/>
  <c r="AE1179" i="1"/>
  <c r="AF1179" i="1" s="1"/>
  <c r="AE1102" i="1"/>
  <c r="AF1102" i="1" s="1"/>
  <c r="AE1059" i="1"/>
  <c r="AF1059" i="1" s="1"/>
  <c r="AE1236" i="1"/>
  <c r="AF1236" i="1" s="1"/>
  <c r="AE1108" i="1"/>
  <c r="AF1108" i="1" s="1"/>
  <c r="AE1191" i="1"/>
  <c r="AF1191" i="1" s="1"/>
  <c r="AE1114" i="1"/>
  <c r="AF1114" i="1" s="1"/>
  <c r="AE1062" i="1"/>
  <c r="AF1062" i="1" s="1"/>
  <c r="AE1197" i="1"/>
  <c r="AF1197" i="1" s="1"/>
  <c r="AE1120" i="1"/>
  <c r="AF1120" i="1" s="1"/>
  <c r="AE1069" i="1"/>
  <c r="AF1069" i="1" s="1"/>
  <c r="AE1219" i="1"/>
  <c r="AF1219" i="1" s="1"/>
  <c r="AE1142" i="1"/>
  <c r="AF1142" i="1" s="1"/>
  <c r="AE1091" i="1"/>
  <c r="AF1091" i="1" s="1"/>
  <c r="AE1052" i="1"/>
  <c r="AF1052" i="1" s="1"/>
  <c r="AE975" i="1"/>
  <c r="AF975" i="1" s="1"/>
  <c r="AE924" i="1"/>
  <c r="AF924" i="1" s="1"/>
  <c r="AE997" i="1"/>
  <c r="AF997" i="1" s="1"/>
  <c r="AE946" i="1"/>
  <c r="AF946" i="1" s="1"/>
  <c r="AE1016" i="1"/>
  <c r="AF1016" i="1" s="1"/>
  <c r="AE939" i="1"/>
  <c r="AF939" i="1" s="1"/>
  <c r="AE1057" i="1"/>
  <c r="AF1057" i="1" s="1"/>
  <c r="AE1006" i="1"/>
  <c r="AF1006" i="1" s="1"/>
  <c r="AE929" i="1"/>
  <c r="AF929" i="1" s="1"/>
  <c r="AE1012" i="1"/>
  <c r="AF1012" i="1" s="1"/>
  <c r="AE935" i="1"/>
  <c r="AF935" i="1" s="1"/>
  <c r="AE908" i="1"/>
  <c r="AF908" i="1" s="1"/>
  <c r="AE989" i="1"/>
  <c r="AF989" i="1" s="1"/>
  <c r="AE938" i="1"/>
  <c r="AF938" i="1" s="1"/>
  <c r="AE921" i="1"/>
  <c r="AF921" i="1" s="1"/>
  <c r="AE1011" i="1"/>
  <c r="AF1011" i="1" s="1"/>
  <c r="AE960" i="1"/>
  <c r="AF960" i="1" s="1"/>
  <c r="AE1046" i="1"/>
  <c r="AF1046" i="1" s="1"/>
  <c r="AE969" i="1"/>
  <c r="AF969" i="1" s="1"/>
  <c r="AE918" i="1"/>
  <c r="AF918" i="1" s="1"/>
  <c r="AE899" i="1"/>
  <c r="AF899" i="1" s="1"/>
  <c r="AE822" i="1"/>
  <c r="AF822" i="1" s="1"/>
  <c r="AE844" i="1"/>
  <c r="AF844" i="1" s="1"/>
  <c r="AE863" i="1"/>
  <c r="AF863" i="1" s="1"/>
  <c r="AE888" i="1"/>
  <c r="AF888" i="1" s="1"/>
  <c r="AE837" i="1"/>
  <c r="AF837" i="1" s="1"/>
  <c r="AE878" i="1"/>
  <c r="AF878" i="1" s="1"/>
  <c r="AE827" i="1"/>
  <c r="AF827" i="1" s="1"/>
  <c r="AE884" i="1"/>
  <c r="AF884" i="1" s="1"/>
  <c r="AE833" i="1"/>
  <c r="AF833" i="1" s="1"/>
  <c r="AE804" i="1"/>
  <c r="AF804" i="1" s="1"/>
  <c r="AE906" i="1"/>
  <c r="AF906" i="1" s="1"/>
  <c r="AE855" i="1"/>
  <c r="AF855" i="1" s="1"/>
  <c r="AE811" i="1"/>
  <c r="AF811" i="1" s="1"/>
  <c r="AE864" i="1"/>
  <c r="AF864" i="1" s="1"/>
  <c r="AE799" i="1"/>
  <c r="AF799" i="1" s="1"/>
  <c r="AE722" i="1"/>
  <c r="AF722" i="1" s="1"/>
  <c r="AE805" i="1"/>
  <c r="AF805" i="1" s="1"/>
  <c r="AE728" i="1"/>
  <c r="AF728" i="1" s="1"/>
  <c r="AE779" i="1"/>
  <c r="AF779" i="1" s="1"/>
  <c r="AE737" i="1"/>
  <c r="AF737" i="1" s="1"/>
  <c r="AE778" i="1"/>
  <c r="AF778" i="1" s="1"/>
  <c r="AE727" i="1"/>
  <c r="AF727" i="1" s="1"/>
  <c r="AE781" i="1"/>
  <c r="AF781" i="1" s="1"/>
  <c r="AE758" i="1"/>
  <c r="AF758" i="1" s="1"/>
  <c r="AE707" i="1"/>
  <c r="AF707" i="1" s="1"/>
  <c r="AE780" i="1"/>
  <c r="AF780" i="1" s="1"/>
  <c r="AE729" i="1"/>
  <c r="AF729" i="1" s="1"/>
  <c r="AE687" i="1"/>
  <c r="AF687" i="1" s="1"/>
  <c r="AE706" i="1"/>
  <c r="AF706" i="1" s="1"/>
  <c r="AE688" i="1"/>
  <c r="AF688" i="1" s="1"/>
  <c r="AE663" i="1"/>
  <c r="AF663" i="1" s="1"/>
  <c r="AE580" i="1"/>
  <c r="AF580" i="1" s="1"/>
  <c r="AE672" i="1"/>
  <c r="AF672" i="1" s="1"/>
  <c r="AE661" i="1"/>
  <c r="AF661" i="1" s="1"/>
  <c r="AE610" i="1"/>
  <c r="AF610" i="1" s="1"/>
  <c r="AE619" i="1"/>
  <c r="AF619" i="1" s="1"/>
  <c r="AE568" i="1"/>
  <c r="AF568" i="1" s="1"/>
  <c r="AE673" i="1"/>
  <c r="AF673" i="1" s="1"/>
  <c r="AE622" i="1"/>
  <c r="AF622" i="1" s="1"/>
  <c r="AE605" i="1"/>
  <c r="AF605" i="1" s="1"/>
  <c r="AE515" i="1"/>
  <c r="AF515" i="1" s="1"/>
  <c r="AE653" i="1"/>
  <c r="AF653" i="1" s="1"/>
  <c r="AE602" i="1"/>
  <c r="AF602" i="1" s="1"/>
  <c r="AE640" i="1"/>
  <c r="AF640" i="1" s="1"/>
  <c r="AE563" i="1"/>
  <c r="AF563" i="1" s="1"/>
  <c r="AE665" i="1"/>
  <c r="AF665" i="1" s="1"/>
  <c r="AE614" i="1"/>
  <c r="AF614" i="1" s="1"/>
  <c r="AE668" i="1"/>
  <c r="AF668" i="1" s="1"/>
  <c r="AE591" i="1"/>
  <c r="AF591" i="1" s="1"/>
  <c r="AE540" i="1"/>
  <c r="AF540" i="1" s="1"/>
  <c r="AE488" i="1"/>
  <c r="AF488" i="1" s="1"/>
  <c r="AE491" i="1"/>
  <c r="AF491" i="1" s="1"/>
  <c r="AE497" i="1"/>
  <c r="AF497" i="1" s="1"/>
  <c r="AE464" i="1"/>
  <c r="AF464" i="1" s="1"/>
  <c r="AE486" i="1"/>
  <c r="AF486" i="1" s="1"/>
  <c r="AE489" i="1"/>
  <c r="AF489" i="1" s="1"/>
  <c r="AE130" i="1"/>
  <c r="AF130" i="1" s="1"/>
  <c r="AG130" i="1" s="1"/>
  <c r="AE321" i="1"/>
  <c r="AF321" i="1" s="1"/>
  <c r="AG321" i="1" s="1"/>
  <c r="AE458" i="1"/>
  <c r="AF458" i="1" s="1"/>
  <c r="AE440" i="1"/>
  <c r="AF440" i="1" s="1"/>
  <c r="AE448" i="1"/>
  <c r="AF448" i="1" s="1"/>
  <c r="AE445" i="1"/>
  <c r="AF445" i="1" s="1"/>
  <c r="AE426" i="1"/>
  <c r="AF426" i="1" s="1"/>
  <c r="AE327" i="1"/>
  <c r="AF327" i="1" s="1"/>
  <c r="AG327" i="1" s="1"/>
  <c r="AE305" i="1"/>
  <c r="AF305" i="1" s="1"/>
  <c r="AG305" i="1" s="1"/>
  <c r="AE287" i="1"/>
  <c r="AF287" i="1" s="1"/>
  <c r="AG287" i="1" s="1"/>
  <c r="AE317" i="1"/>
  <c r="AF317" i="1" s="1"/>
  <c r="AG317" i="1" s="1"/>
  <c r="AE377" i="1"/>
  <c r="AF377" i="1" s="1"/>
  <c r="AE319" i="1"/>
  <c r="AF319" i="1" s="1"/>
  <c r="AG319" i="1" s="1"/>
  <c r="AE338" i="1"/>
  <c r="AF338" i="1" s="1"/>
  <c r="AG338" i="1" s="1"/>
  <c r="AE291" i="1"/>
  <c r="AF291" i="1" s="1"/>
  <c r="AG291" i="1" s="1"/>
  <c r="AE269" i="1"/>
  <c r="AF269" i="1" s="1"/>
  <c r="AG269" i="1" s="1"/>
  <c r="AE316" i="1"/>
  <c r="AF316" i="1" s="1"/>
  <c r="AG316" i="1" s="1"/>
  <c r="AE285" i="1"/>
  <c r="AF285" i="1" s="1"/>
  <c r="AG285" i="1" s="1"/>
  <c r="AE223" i="1"/>
  <c r="AF223" i="1" s="1"/>
  <c r="AG223" i="1" s="1"/>
  <c r="AE258" i="1"/>
  <c r="AF258" i="1" s="1"/>
  <c r="AG258" i="1" s="1"/>
  <c r="AE256" i="1"/>
  <c r="AF256" i="1" s="1"/>
  <c r="AG256" i="1" s="1"/>
  <c r="AE219" i="1"/>
  <c r="AF219" i="1" s="1"/>
  <c r="AG219" i="1" s="1"/>
  <c r="AE235" i="1"/>
  <c r="AF235" i="1" s="1"/>
  <c r="AG235" i="1" s="1"/>
  <c r="AE208" i="1"/>
  <c r="AF208" i="1" s="1"/>
  <c r="AG208" i="1" s="1"/>
  <c r="AE190" i="1"/>
  <c r="AF190" i="1" s="1"/>
  <c r="AG190" i="1" s="1"/>
  <c r="AE147" i="1"/>
  <c r="AF147" i="1" s="1"/>
  <c r="AG147" i="1" s="1"/>
  <c r="AE151" i="1"/>
  <c r="AF151" i="1" s="1"/>
  <c r="AG151" i="1" s="1"/>
  <c r="AE110" i="1"/>
  <c r="AF110" i="1" s="1"/>
  <c r="AG110" i="1" s="1"/>
  <c r="AE121" i="1"/>
  <c r="AF121" i="1" s="1"/>
  <c r="AG121" i="1" s="1"/>
  <c r="AE103" i="1"/>
  <c r="AF103" i="1" s="1"/>
  <c r="AG103" i="1" s="1"/>
  <c r="AE107" i="1"/>
  <c r="AF107" i="1" s="1"/>
  <c r="AG107" i="1" s="1"/>
  <c r="AE255" i="1"/>
  <c r="AF255" i="1" s="1"/>
  <c r="AG255" i="1" s="1"/>
  <c r="AE272" i="1"/>
  <c r="AF272" i="1" s="1"/>
  <c r="AG272" i="1" s="1"/>
  <c r="AE315" i="1"/>
  <c r="AF315" i="1" s="1"/>
  <c r="AG315" i="1" s="1"/>
  <c r="AE340" i="1"/>
  <c r="AF340" i="1" s="1"/>
  <c r="AG340" i="1" s="1"/>
  <c r="AE182" i="1"/>
  <c r="AF182" i="1" s="1"/>
  <c r="AG182" i="1" s="1"/>
  <c r="AE101" i="1"/>
  <c r="AF101" i="1" s="1"/>
  <c r="AG101" i="1" s="1"/>
  <c r="AE113" i="1"/>
  <c r="AF113" i="1" s="1"/>
  <c r="AG113" i="1" s="1"/>
  <c r="AE142" i="1"/>
  <c r="AF142" i="1" s="1"/>
  <c r="AG142" i="1" s="1"/>
  <c r="AE111" i="1"/>
  <c r="AF111" i="1" s="1"/>
  <c r="AG111" i="1" s="1"/>
  <c r="AE331" i="1"/>
  <c r="AF331" i="1" s="1"/>
  <c r="AG331" i="1" s="1"/>
  <c r="AE424" i="1"/>
  <c r="AF424" i="1" s="1"/>
  <c r="AE435" i="1"/>
  <c r="AF435" i="1" s="1"/>
  <c r="AE389" i="1"/>
  <c r="AF389" i="1" s="1"/>
  <c r="AE431" i="1"/>
  <c r="AF431" i="1" s="1"/>
  <c r="AE395" i="1"/>
  <c r="AF395" i="1" s="1"/>
  <c r="AE378" i="1"/>
  <c r="AF378" i="1" s="1"/>
  <c r="AE360" i="1"/>
  <c r="AF360" i="1" s="1"/>
  <c r="AG360" i="1" s="1"/>
  <c r="AE364" i="1"/>
  <c r="AF364" i="1" s="1"/>
  <c r="AG364" i="1" s="1"/>
  <c r="AE325" i="1"/>
  <c r="AF325" i="1" s="1"/>
  <c r="AG325" i="1" s="1"/>
  <c r="AE250" i="1"/>
  <c r="AF250" i="1" s="1"/>
  <c r="AG250" i="1" s="1"/>
  <c r="AE307" i="1"/>
  <c r="AF307" i="1" s="1"/>
  <c r="AG307" i="1" s="1"/>
  <c r="AE371" i="1"/>
  <c r="AF371" i="1" s="1"/>
  <c r="AE330" i="1"/>
  <c r="AF330" i="1" s="1"/>
  <c r="AG330" i="1" s="1"/>
  <c r="AE265" i="1"/>
  <c r="AF265" i="1" s="1"/>
  <c r="AG265" i="1" s="1"/>
  <c r="AE210" i="1"/>
  <c r="AF210" i="1" s="1"/>
  <c r="AG210" i="1" s="1"/>
  <c r="AE308" i="1"/>
  <c r="AF308" i="1" s="1"/>
  <c r="AG308" i="1" s="1"/>
  <c r="AE300" i="1"/>
  <c r="AF300" i="1" s="1"/>
  <c r="AG300" i="1" s="1"/>
  <c r="AE292" i="1"/>
  <c r="AF292" i="1" s="1"/>
  <c r="AG292" i="1" s="1"/>
  <c r="AE277" i="1"/>
  <c r="AF277" i="1" s="1"/>
  <c r="AG277" i="1" s="1"/>
  <c r="AE207" i="1"/>
  <c r="AF207" i="1" s="1"/>
  <c r="AG207" i="1" s="1"/>
  <c r="AE222" i="1"/>
  <c r="AF222" i="1" s="1"/>
  <c r="AG222" i="1" s="1"/>
  <c r="AE281" i="1"/>
  <c r="AF281" i="1" s="1"/>
  <c r="AG281" i="1" s="1"/>
  <c r="AE242" i="1"/>
  <c r="AF242" i="1" s="1"/>
  <c r="AG242" i="1" s="1"/>
  <c r="AE180" i="1"/>
  <c r="AF180" i="1" s="1"/>
  <c r="AG180" i="1" s="1"/>
  <c r="AE153" i="1"/>
  <c r="AF153" i="1" s="1"/>
  <c r="AG153" i="1" s="1"/>
  <c r="AE183" i="1"/>
  <c r="AF183" i="1" s="1"/>
  <c r="AG183" i="1" s="1"/>
  <c r="AE127" i="1"/>
  <c r="AF127" i="1" s="1"/>
  <c r="AG127" i="1" s="1"/>
  <c r="AE119" i="1"/>
  <c r="AF119" i="1" s="1"/>
  <c r="AG119" i="1" s="1"/>
  <c r="AE444" i="1"/>
  <c r="AF444" i="1" s="1"/>
  <c r="AE416" i="1"/>
  <c r="AF416" i="1" s="1"/>
  <c r="AE447" i="1"/>
  <c r="AF447" i="1" s="1"/>
  <c r="AE404" i="1"/>
  <c r="AF404" i="1" s="1"/>
  <c r="AE324" i="1"/>
  <c r="AF324" i="1" s="1"/>
  <c r="AG324" i="1" s="1"/>
  <c r="AE293" i="1"/>
  <c r="AF293" i="1" s="1"/>
  <c r="AG293" i="1" s="1"/>
  <c r="AE375" i="1"/>
  <c r="AF375" i="1" s="1"/>
  <c r="AE339" i="1"/>
  <c r="AF339" i="1" s="1"/>
  <c r="AG339" i="1" s="1"/>
  <c r="AE322" i="1"/>
  <c r="AF322" i="1" s="1"/>
  <c r="AG322" i="1" s="1"/>
  <c r="AE184" i="1"/>
  <c r="AF184" i="1" s="1"/>
  <c r="AG184" i="1" s="1"/>
  <c r="AE185" i="1"/>
  <c r="AF185" i="1" s="1"/>
  <c r="AG185" i="1" s="1"/>
  <c r="AE217" i="1"/>
  <c r="AF217" i="1" s="1"/>
  <c r="AG217" i="1" s="1"/>
  <c r="AE233" i="1"/>
  <c r="AF233" i="1" s="1"/>
  <c r="AG233" i="1" s="1"/>
  <c r="AE214" i="1"/>
  <c r="AF214" i="1" s="1"/>
  <c r="AG214" i="1" s="1"/>
  <c r="AE148" i="1"/>
  <c r="AF148" i="1" s="1"/>
  <c r="AG148" i="1" s="1"/>
  <c r="AE188" i="1"/>
  <c r="AF188" i="1" s="1"/>
  <c r="AG188" i="1" s="1"/>
  <c r="AE194" i="1"/>
  <c r="AF194" i="1" s="1"/>
  <c r="AG194" i="1" s="1"/>
  <c r="AE160" i="1"/>
  <c r="AF160" i="1" s="1"/>
  <c r="AG160" i="1" s="1"/>
  <c r="AE155" i="1"/>
  <c r="AF155" i="1" s="1"/>
  <c r="AG155" i="1" s="1"/>
  <c r="AE239" i="1"/>
  <c r="AF239" i="1" s="1"/>
  <c r="AG239" i="1" s="1"/>
  <c r="AE126" i="1"/>
  <c r="AF126" i="1" s="1"/>
  <c r="AG126" i="1" s="1"/>
  <c r="AE146" i="1"/>
  <c r="AF146" i="1" s="1"/>
  <c r="AG146" i="1" s="1"/>
  <c r="AE112" i="1"/>
  <c r="AF112" i="1" s="1"/>
  <c r="AG112" i="1" s="1"/>
  <c r="AE141" i="1"/>
  <c r="AF141" i="1" s="1"/>
  <c r="AG141" i="1" s="1"/>
  <c r="AE135" i="1"/>
  <c r="AF135" i="1" s="1"/>
  <c r="AG135" i="1" s="1"/>
  <c r="AE140" i="1"/>
  <c r="AF140" i="1" s="1"/>
  <c r="AG140" i="1" s="1"/>
  <c r="AE109" i="1"/>
  <c r="AF109" i="1" s="1"/>
  <c r="AG109" i="1" s="1"/>
  <c r="AE266" i="1"/>
  <c r="AF266" i="1" s="1"/>
  <c r="AG266" i="1" s="1"/>
  <c r="AE414" i="1"/>
  <c r="AF414" i="1" s="1"/>
  <c r="AE451" i="1"/>
  <c r="AF451" i="1" s="1"/>
  <c r="AE407" i="1"/>
  <c r="AF407" i="1" s="1"/>
  <c r="AE337" i="1"/>
  <c r="AF337" i="1" s="1"/>
  <c r="AG337" i="1" s="1"/>
  <c r="AE383" i="1"/>
  <c r="AF383" i="1" s="1"/>
  <c r="AE345" i="1"/>
  <c r="AF345" i="1" s="1"/>
  <c r="AG345" i="1" s="1"/>
  <c r="AE349" i="1"/>
  <c r="AF349" i="1" s="1"/>
  <c r="AG349" i="1" s="1"/>
  <c r="AE372" i="1"/>
  <c r="AF372" i="1" s="1"/>
  <c r="AE392" i="1"/>
  <c r="AF392" i="1" s="1"/>
  <c r="AE296" i="1"/>
  <c r="AF296" i="1" s="1"/>
  <c r="AG296" i="1" s="1"/>
  <c r="AE241" i="1"/>
  <c r="AF241" i="1" s="1"/>
  <c r="AG241" i="1" s="1"/>
  <c r="AE314" i="1"/>
  <c r="AF314" i="1" s="1"/>
  <c r="AG314" i="1" s="1"/>
  <c r="AE248" i="1"/>
  <c r="AF248" i="1" s="1"/>
  <c r="AG248" i="1" s="1"/>
  <c r="AE236" i="1"/>
  <c r="AF236" i="1" s="1"/>
  <c r="AG236" i="1" s="1"/>
  <c r="AE455" i="1"/>
  <c r="AF455" i="1" s="1"/>
  <c r="AE413" i="1"/>
  <c r="AF413" i="1" s="1"/>
  <c r="AE430" i="1"/>
  <c r="AF430" i="1" s="1"/>
  <c r="AE441" i="1"/>
  <c r="AF441" i="1" s="1"/>
  <c r="AE438" i="1"/>
  <c r="AF438" i="1" s="1"/>
  <c r="AE247" i="1"/>
  <c r="AF247" i="1" s="1"/>
  <c r="AG247" i="1" s="1"/>
  <c r="AE423" i="1"/>
  <c r="AF423" i="1" s="1"/>
  <c r="AE432" i="1"/>
  <c r="AF432" i="1" s="1"/>
  <c r="AE406" i="1"/>
  <c r="AF406" i="1" s="1"/>
  <c r="AE361" i="1"/>
  <c r="AF361" i="1" s="1"/>
  <c r="AG361" i="1" s="1"/>
  <c r="AE420" i="1"/>
  <c r="AF420" i="1" s="1"/>
  <c r="AE399" i="1"/>
  <c r="AF399" i="1" s="1"/>
  <c r="AE301" i="1"/>
  <c r="AF301" i="1" s="1"/>
  <c r="AG301" i="1" s="1"/>
  <c r="AE384" i="1"/>
  <c r="AF384" i="1" s="1"/>
  <c r="AE376" i="1"/>
  <c r="AF376" i="1" s="1"/>
  <c r="AE347" i="1"/>
  <c r="AF347" i="1" s="1"/>
  <c r="AG347" i="1" s="1"/>
  <c r="AE336" i="1"/>
  <c r="AF336" i="1" s="1"/>
  <c r="AG336" i="1" s="1"/>
  <c r="AE284" i="1"/>
  <c r="AF284" i="1" s="1"/>
  <c r="AG284" i="1" s="1"/>
  <c r="AE390" i="1"/>
  <c r="AF390" i="1" s="1"/>
  <c r="AE344" i="1"/>
  <c r="AF344" i="1" s="1"/>
  <c r="AG344" i="1" s="1"/>
  <c r="AE297" i="1"/>
  <c r="AF297" i="1" s="1"/>
  <c r="AG297" i="1" s="1"/>
  <c r="AE351" i="1"/>
  <c r="AF351" i="1" s="1"/>
  <c r="AG351" i="1" s="1"/>
  <c r="AE391" i="1"/>
  <c r="AF391" i="1" s="1"/>
  <c r="AE229" i="1"/>
  <c r="AF229" i="1" s="1"/>
  <c r="AG229" i="1" s="1"/>
  <c r="AE369" i="1"/>
  <c r="AF369" i="1" s="1"/>
  <c r="AE220" i="1"/>
  <c r="AF220" i="1" s="1"/>
  <c r="AG220" i="1" s="1"/>
  <c r="AE328" i="1"/>
  <c r="AF328" i="1" s="1"/>
  <c r="AG328" i="1" s="1"/>
  <c r="AE261" i="1"/>
  <c r="AF261" i="1" s="1"/>
  <c r="AG261" i="1" s="1"/>
  <c r="AE306" i="1"/>
  <c r="AF306" i="1" s="1"/>
  <c r="AG306" i="1" s="1"/>
  <c r="AE290" i="1"/>
  <c r="AF290" i="1" s="1"/>
  <c r="AG290" i="1" s="1"/>
  <c r="AE254" i="1"/>
  <c r="AF254" i="1" s="1"/>
  <c r="AG254" i="1" s="1"/>
  <c r="AE246" i="1"/>
  <c r="AF246" i="1" s="1"/>
  <c r="AG246" i="1" s="1"/>
  <c r="AE215" i="1"/>
  <c r="AF215" i="1" s="1"/>
  <c r="AG215" i="1" s="1"/>
  <c r="AE186" i="1"/>
  <c r="AF186" i="1" s="1"/>
  <c r="AG186" i="1" s="1"/>
  <c r="AE279" i="1"/>
  <c r="AF279" i="1" s="1"/>
  <c r="AG279" i="1" s="1"/>
  <c r="AE263" i="1"/>
  <c r="AF263" i="1" s="1"/>
  <c r="AG263" i="1" s="1"/>
  <c r="AE244" i="1"/>
  <c r="AF244" i="1" s="1"/>
  <c r="AG244" i="1" s="1"/>
  <c r="AE192" i="1"/>
  <c r="AF192" i="1" s="1"/>
  <c r="AG192" i="1" s="1"/>
  <c r="AE226" i="1"/>
  <c r="AF226" i="1" s="1"/>
  <c r="AG226" i="1" s="1"/>
  <c r="AE218" i="1"/>
  <c r="AF218" i="1" s="1"/>
  <c r="AG218" i="1" s="1"/>
  <c r="AE264" i="1"/>
  <c r="AF264" i="1" s="1"/>
  <c r="AG264" i="1" s="1"/>
  <c r="AE196" i="1"/>
  <c r="AF196" i="1" s="1"/>
  <c r="AG196" i="1" s="1"/>
  <c r="AE205" i="1"/>
  <c r="AF205" i="1" s="1"/>
  <c r="AG205" i="1" s="1"/>
  <c r="AE187" i="1"/>
  <c r="AF187" i="1" s="1"/>
  <c r="AG187" i="1" s="1"/>
  <c r="AE98" i="1"/>
  <c r="AF98" i="1" s="1"/>
  <c r="AG98" i="1" s="1"/>
  <c r="AE162" i="1"/>
  <c r="AF162" i="1" s="1"/>
  <c r="AG162" i="1" s="1"/>
  <c r="AE134" i="1"/>
  <c r="AF134" i="1" s="1"/>
  <c r="AG134" i="1" s="1"/>
  <c r="AE200" i="1"/>
  <c r="AF200" i="1" s="1"/>
  <c r="AG200" i="1" s="1"/>
  <c r="AE181" i="1"/>
  <c r="AF181" i="1" s="1"/>
  <c r="AG181" i="1" s="1"/>
  <c r="AE108" i="1"/>
  <c r="AF108" i="1" s="1"/>
  <c r="AG108" i="1" s="1"/>
  <c r="AE114" i="1"/>
  <c r="AF114" i="1" s="1"/>
  <c r="AG114" i="1" s="1"/>
  <c r="AE104" i="1"/>
  <c r="AF104" i="1" s="1"/>
  <c r="AG104" i="1" s="1"/>
  <c r="AE125" i="1"/>
  <c r="AF125" i="1" s="1"/>
  <c r="AG125" i="1" s="1"/>
  <c r="AE117" i="1"/>
  <c r="AF117" i="1" s="1"/>
  <c r="AG117" i="1" s="1"/>
  <c r="AE94" i="1"/>
  <c r="AF94" i="1" s="1"/>
  <c r="AG94" i="1" s="1"/>
  <c r="AE394" i="1"/>
  <c r="AF394" i="1" s="1"/>
  <c r="AE442" i="1"/>
  <c r="AF442" i="1" s="1"/>
  <c r="AE454" i="1"/>
  <c r="AF454" i="1" s="1"/>
  <c r="AE449" i="1"/>
  <c r="AF449" i="1" s="1"/>
  <c r="AE405" i="1"/>
  <c r="AF405" i="1" s="1"/>
  <c r="AE436" i="1"/>
  <c r="AF436" i="1" s="1"/>
  <c r="AE298" i="1"/>
  <c r="AF298" i="1" s="1"/>
  <c r="AG298" i="1" s="1"/>
  <c r="AE355" i="1"/>
  <c r="AF355" i="1" s="1"/>
  <c r="AG355" i="1" s="1"/>
  <c r="AE213" i="1"/>
  <c r="AF213" i="1" s="1"/>
  <c r="AG213" i="1" s="1"/>
  <c r="AE168" i="1"/>
  <c r="AF168" i="1" s="1"/>
  <c r="AG168" i="1" s="1"/>
  <c r="AE161" i="1"/>
  <c r="AF161" i="1" s="1"/>
  <c r="AG161" i="1" s="1"/>
  <c r="AE199" i="1"/>
  <c r="AF199" i="1" s="1"/>
  <c r="AG199" i="1" s="1"/>
  <c r="AE362" i="1"/>
  <c r="AF362" i="1" s="1"/>
  <c r="AG362" i="1" s="1"/>
  <c r="AE415" i="1"/>
  <c r="AF415" i="1" s="1"/>
  <c r="AE385" i="1"/>
  <c r="AF385" i="1" s="1"/>
  <c r="AE386" i="1"/>
  <c r="AF386" i="1" s="1"/>
  <c r="AE274" i="1"/>
  <c r="AF274" i="1" s="1"/>
  <c r="AG274" i="1" s="1"/>
  <c r="AE198" i="1"/>
  <c r="AF198" i="1" s="1"/>
  <c r="AG198" i="1" s="1"/>
  <c r="AE439" i="1"/>
  <c r="AF439" i="1" s="1"/>
  <c r="AE408" i="1"/>
  <c r="AF408" i="1" s="1"/>
  <c r="AE286" i="1"/>
  <c r="AF286" i="1" s="1"/>
  <c r="AG286" i="1" s="1"/>
  <c r="AE356" i="1"/>
  <c r="AF356" i="1" s="1"/>
  <c r="AG356" i="1" s="1"/>
  <c r="AE299" i="1"/>
  <c r="AF299" i="1" s="1"/>
  <c r="AG299" i="1" s="1"/>
  <c r="AE312" i="1"/>
  <c r="AF312" i="1" s="1"/>
  <c r="AG312" i="1" s="1"/>
  <c r="AE171" i="1"/>
  <c r="AF171" i="1" s="1"/>
  <c r="AG171" i="1" s="1"/>
  <c r="AE232" i="1"/>
  <c r="AF232" i="1" s="1"/>
  <c r="AG232" i="1" s="1"/>
  <c r="AE176" i="1"/>
  <c r="AF176" i="1" s="1"/>
  <c r="AG176" i="1" s="1"/>
  <c r="AE159" i="1"/>
  <c r="AF159" i="1" s="1"/>
  <c r="AG159" i="1" s="1"/>
  <c r="AE131" i="1"/>
  <c r="AF131" i="1" s="1"/>
  <c r="AG131" i="1" s="1"/>
  <c r="AE230" i="1"/>
  <c r="AF230" i="1" s="1"/>
  <c r="AG230" i="1" s="1"/>
  <c r="AE453" i="1"/>
  <c r="AF453" i="1" s="1"/>
  <c r="AE412" i="1"/>
  <c r="AF412" i="1" s="1"/>
  <c r="AE396" i="1"/>
  <c r="AF396" i="1" s="1"/>
  <c r="AE341" i="1"/>
  <c r="AF341" i="1" s="1"/>
  <c r="AG341" i="1" s="1"/>
  <c r="AE421" i="1"/>
  <c r="AF421" i="1" s="1"/>
  <c r="AE427" i="1"/>
  <c r="AF427" i="1" s="1"/>
  <c r="AE400" i="1"/>
  <c r="AF400" i="1" s="1"/>
  <c r="AE418" i="1"/>
  <c r="AF418" i="1" s="1"/>
  <c r="AE382" i="1"/>
  <c r="AF382" i="1" s="1"/>
  <c r="AE342" i="1"/>
  <c r="AF342" i="1" s="1"/>
  <c r="AG342" i="1" s="1"/>
  <c r="AE323" i="1"/>
  <c r="AF323" i="1" s="1"/>
  <c r="AG323" i="1" s="1"/>
  <c r="AE388" i="1"/>
  <c r="AF388" i="1" s="1"/>
  <c r="AE311" i="1"/>
  <c r="AF311" i="1" s="1"/>
  <c r="AG311" i="1" s="1"/>
  <c r="AE359" i="1"/>
  <c r="AF359" i="1" s="1"/>
  <c r="AG359" i="1" s="1"/>
  <c r="AE333" i="1"/>
  <c r="AF333" i="1" s="1"/>
  <c r="AG333" i="1" s="1"/>
  <c r="AE350" i="1"/>
  <c r="AF350" i="1" s="1"/>
  <c r="AG350" i="1" s="1"/>
  <c r="AE278" i="1"/>
  <c r="AF278" i="1" s="1"/>
  <c r="AG278" i="1" s="1"/>
  <c r="AE367" i="1"/>
  <c r="AF367" i="1" s="1"/>
  <c r="AE252" i="1"/>
  <c r="AF252" i="1" s="1"/>
  <c r="AG252" i="1" s="1"/>
  <c r="AE326" i="1"/>
  <c r="AF326" i="1" s="1"/>
  <c r="AG326" i="1" s="1"/>
  <c r="AE304" i="1"/>
  <c r="AF304" i="1" s="1"/>
  <c r="AG304" i="1" s="1"/>
  <c r="AE288" i="1"/>
  <c r="AF288" i="1" s="1"/>
  <c r="AG288" i="1" s="1"/>
  <c r="AE238" i="1"/>
  <c r="AF238" i="1" s="1"/>
  <c r="AG238" i="1" s="1"/>
  <c r="AE143" i="1"/>
  <c r="AF143" i="1" s="1"/>
  <c r="AG143" i="1" s="1"/>
  <c r="AE273" i="1"/>
  <c r="AF273" i="1" s="1"/>
  <c r="AG273" i="1" s="1"/>
  <c r="AE251" i="1"/>
  <c r="AF251" i="1" s="1"/>
  <c r="AG251" i="1" s="1"/>
  <c r="AE216" i="1"/>
  <c r="AF216" i="1" s="1"/>
  <c r="AG216" i="1" s="1"/>
  <c r="AE209" i="1"/>
  <c r="AF209" i="1" s="1"/>
  <c r="AG209" i="1" s="1"/>
  <c r="AE149" i="1"/>
  <c r="AF149" i="1" s="1"/>
  <c r="AG149" i="1" s="1"/>
  <c r="AE172" i="1"/>
  <c r="AF172" i="1" s="1"/>
  <c r="AG172" i="1" s="1"/>
  <c r="AE237" i="1"/>
  <c r="AF237" i="1" s="1"/>
  <c r="AG237" i="1" s="1"/>
  <c r="AE225" i="1"/>
  <c r="AF225" i="1" s="1"/>
  <c r="AG225" i="1" s="1"/>
  <c r="AE262" i="1"/>
  <c r="AF262" i="1" s="1"/>
  <c r="AG262" i="1" s="1"/>
  <c r="AE206" i="1"/>
  <c r="AF206" i="1" s="1"/>
  <c r="AG206" i="1" s="1"/>
  <c r="AE211" i="1"/>
  <c r="AF211" i="1" s="1"/>
  <c r="AG211" i="1" s="1"/>
  <c r="AE193" i="1"/>
  <c r="AF193" i="1" s="1"/>
  <c r="AG193" i="1" s="1"/>
  <c r="AE175" i="1"/>
  <c r="AF175" i="1" s="1"/>
  <c r="AG175" i="1" s="1"/>
  <c r="AE154" i="1"/>
  <c r="AF154" i="1" s="1"/>
  <c r="AG154" i="1" s="1"/>
  <c r="AE93" i="1"/>
  <c r="AF93" i="1" s="1"/>
  <c r="AG93" i="1" s="1"/>
  <c r="AE158" i="1"/>
  <c r="AF158" i="1" s="1"/>
  <c r="AG158" i="1" s="1"/>
  <c r="AE152" i="1"/>
  <c r="AF152" i="1" s="1"/>
  <c r="AG152" i="1" s="1"/>
  <c r="AE128" i="1"/>
  <c r="AF128" i="1" s="1"/>
  <c r="AG128" i="1" s="1"/>
  <c r="AE179" i="1"/>
  <c r="AF179" i="1" s="1"/>
  <c r="AG179" i="1" s="1"/>
  <c r="AE166" i="1"/>
  <c r="AF166" i="1" s="1"/>
  <c r="AG166" i="1" s="1"/>
  <c r="AE96" i="1"/>
  <c r="AF96" i="1" s="1"/>
  <c r="AG96" i="1" s="1"/>
  <c r="AE97" i="1"/>
  <c r="AF97" i="1" s="1"/>
  <c r="AG97" i="1" s="1"/>
  <c r="AE116" i="1"/>
  <c r="AF116" i="1" s="1"/>
  <c r="AG116" i="1" s="1"/>
  <c r="AE99" i="1"/>
  <c r="AF99" i="1" s="1"/>
  <c r="AG99" i="1" s="1"/>
  <c r="AE133" i="1"/>
  <c r="AF133" i="1" s="1"/>
  <c r="AG133" i="1" s="1"/>
  <c r="AE138" i="1"/>
  <c r="AF138" i="1" s="1"/>
  <c r="AG138" i="1" s="1"/>
  <c r="AE122" i="1"/>
  <c r="AF122" i="1" s="1"/>
  <c r="AG122" i="1" s="1"/>
  <c r="AE132" i="1"/>
  <c r="AF132" i="1" s="1"/>
  <c r="AG132" i="1" s="1"/>
  <c r="AE106" i="1"/>
  <c r="AF106" i="1" s="1"/>
  <c r="AG106" i="1" s="1"/>
  <c r="AE145" i="1"/>
  <c r="AF145" i="1" s="1"/>
  <c r="AG145" i="1" s="1"/>
  <c r="AE123" i="1"/>
  <c r="AF123" i="1" s="1"/>
  <c r="AG123" i="1" s="1"/>
  <c r="AE115" i="1"/>
  <c r="AF115" i="1" s="1"/>
  <c r="AG115" i="1" s="1"/>
  <c r="AE102" i="1"/>
  <c r="AF102" i="1" s="1"/>
  <c r="AG102" i="1" s="1"/>
  <c r="AE92" i="1"/>
  <c r="AF92" i="1" s="1"/>
  <c r="AG92" i="1" s="1"/>
  <c r="AE366" i="1"/>
  <c r="AF366" i="1" s="1"/>
  <c r="AE234" i="1"/>
  <c r="AF234" i="1" s="1"/>
  <c r="AG234" i="1" s="1"/>
  <c r="AE437" i="1"/>
  <c r="AF437" i="1" s="1"/>
  <c r="AE419" i="1"/>
  <c r="AF419" i="1" s="1"/>
  <c r="AE422" i="1"/>
  <c r="AF422" i="1" s="1"/>
  <c r="AE401" i="1"/>
  <c r="AF401" i="1" s="1"/>
  <c r="AE353" i="1"/>
  <c r="AF353" i="1" s="1"/>
  <c r="AG353" i="1" s="1"/>
  <c r="AE295" i="1"/>
  <c r="AF295" i="1" s="1"/>
  <c r="AG295" i="1" s="1"/>
  <c r="AE259" i="1"/>
  <c r="AF259" i="1" s="1"/>
  <c r="AG259" i="1" s="1"/>
  <c r="AE231" i="1"/>
  <c r="AF231" i="1" s="1"/>
  <c r="AG231" i="1" s="1"/>
  <c r="AE137" i="1"/>
  <c r="AF137" i="1" s="1"/>
  <c r="AG137" i="1" s="1"/>
  <c r="AE429" i="1"/>
  <c r="AF429" i="1" s="1"/>
  <c r="AE403" i="1"/>
  <c r="AF403" i="1" s="1"/>
  <c r="AE457" i="1"/>
  <c r="AF457" i="1" s="1"/>
  <c r="AE456" i="1"/>
  <c r="AF456" i="1" s="1"/>
  <c r="AE446" i="1"/>
  <c r="AF446" i="1" s="1"/>
  <c r="AE443" i="1"/>
  <c r="AF443" i="1" s="1"/>
  <c r="AE417" i="1"/>
  <c r="AF417" i="1" s="1"/>
  <c r="AE428" i="1"/>
  <c r="AF428" i="1" s="1"/>
  <c r="AE409" i="1"/>
  <c r="AF409" i="1" s="1"/>
  <c r="AE354" i="1"/>
  <c r="AF354" i="1" s="1"/>
  <c r="AG354" i="1" s="1"/>
  <c r="AE434" i="1"/>
  <c r="AF434" i="1" s="1"/>
  <c r="AE212" i="1"/>
  <c r="AF212" i="1" s="1"/>
  <c r="AG212" i="1" s="1"/>
  <c r="AE313" i="1"/>
  <c r="AF313" i="1" s="1"/>
  <c r="AG313" i="1" s="1"/>
  <c r="AE379" i="1"/>
  <c r="AF379" i="1" s="1"/>
  <c r="AE221" i="1"/>
  <c r="AF221" i="1" s="1"/>
  <c r="AG221" i="1" s="1"/>
  <c r="AE335" i="1"/>
  <c r="AF335" i="1" s="1"/>
  <c r="AG335" i="1" s="1"/>
  <c r="AE374" i="1"/>
  <c r="AF374" i="1" s="1"/>
  <c r="AE368" i="1"/>
  <c r="AF368" i="1" s="1"/>
  <c r="AE224" i="1"/>
  <c r="AF224" i="1" s="1"/>
  <c r="AG224" i="1" s="1"/>
  <c r="AE318" i="1"/>
  <c r="AF318" i="1" s="1"/>
  <c r="AG318" i="1" s="1"/>
  <c r="AE271" i="1"/>
  <c r="AF271" i="1" s="1"/>
  <c r="AG271" i="1" s="1"/>
  <c r="AE275" i="1"/>
  <c r="AF275" i="1" s="1"/>
  <c r="AG275" i="1" s="1"/>
  <c r="AE276" i="1"/>
  <c r="AF276" i="1" s="1"/>
  <c r="AG276" i="1" s="1"/>
  <c r="AE204" i="1"/>
  <c r="AF204" i="1" s="1"/>
  <c r="AG204" i="1" s="1"/>
  <c r="AE139" i="1"/>
  <c r="AF139" i="1" s="1"/>
  <c r="AG139" i="1" s="1"/>
  <c r="AE268" i="1"/>
  <c r="AF268" i="1" s="1"/>
  <c r="AG268" i="1" s="1"/>
  <c r="AE240" i="1"/>
  <c r="AF240" i="1" s="1"/>
  <c r="AG240" i="1" s="1"/>
  <c r="AE202" i="1"/>
  <c r="AF202" i="1" s="1"/>
  <c r="AG202" i="1" s="1"/>
  <c r="AE165" i="1"/>
  <c r="AF165" i="1" s="1"/>
  <c r="AG165" i="1" s="1"/>
  <c r="AE170" i="1"/>
  <c r="AF170" i="1" s="1"/>
  <c r="AG170" i="1" s="1"/>
  <c r="AE174" i="1"/>
  <c r="AF174" i="1" s="1"/>
  <c r="AG174" i="1" s="1"/>
  <c r="AE163" i="1"/>
  <c r="AF163" i="1" s="1"/>
  <c r="AG163" i="1" s="1"/>
  <c r="AE120" i="1"/>
  <c r="AF120" i="1" s="1"/>
  <c r="AG120" i="1" s="1"/>
  <c r="AE228" i="1"/>
  <c r="AF228" i="1" s="1"/>
  <c r="AG228" i="1" s="1"/>
  <c r="AE91" i="1"/>
  <c r="AF91" i="1" s="1"/>
  <c r="AG91" i="1" s="1"/>
  <c r="AE150" i="1"/>
  <c r="AF150" i="1" s="1"/>
  <c r="AG150" i="1" s="1"/>
  <c r="AE136" i="1"/>
  <c r="AF136" i="1" s="1"/>
  <c r="AG136" i="1" s="1"/>
  <c r="AE105" i="1"/>
  <c r="AF105" i="1" s="1"/>
  <c r="AG105" i="1" s="1"/>
  <c r="AE144" i="1"/>
  <c r="AF144" i="1" s="1"/>
  <c r="AG144" i="1" s="1"/>
  <c r="AE303" i="1"/>
  <c r="AF303" i="1" s="1"/>
  <c r="AG303" i="1" s="1"/>
  <c r="AE343" i="1"/>
  <c r="AF343" i="1" s="1"/>
  <c r="AG343" i="1" s="1"/>
  <c r="AE411" i="1"/>
  <c r="AF411" i="1" s="1"/>
  <c r="AE346" i="1"/>
  <c r="AF346" i="1" s="1"/>
  <c r="AG346" i="1" s="1"/>
  <c r="AE282" i="1"/>
  <c r="AF282" i="1" s="1"/>
  <c r="AG282" i="1" s="1"/>
  <c r="AE381" i="1"/>
  <c r="AF381" i="1" s="1"/>
  <c r="AE363" i="1"/>
  <c r="AF363" i="1" s="1"/>
  <c r="AG363" i="1" s="1"/>
  <c r="AE370" i="1"/>
  <c r="AF370" i="1" s="1"/>
  <c r="AE320" i="1"/>
  <c r="AF320" i="1" s="1"/>
  <c r="AG320" i="1" s="1"/>
  <c r="AE270" i="1"/>
  <c r="AF270" i="1" s="1"/>
  <c r="AG270" i="1" s="1"/>
  <c r="AE167" i="1"/>
  <c r="AF167" i="1" s="1"/>
  <c r="AG167" i="1" s="1"/>
  <c r="AE452" i="1"/>
  <c r="AF452" i="1" s="1"/>
  <c r="AE253" i="1"/>
  <c r="AF253" i="1" s="1"/>
  <c r="AG253" i="1" s="1"/>
  <c r="AE433" i="1"/>
  <c r="AF433" i="1" s="1"/>
  <c r="AE393" i="1"/>
  <c r="AF393" i="1" s="1"/>
  <c r="AE410" i="1"/>
  <c r="AF410" i="1" s="1"/>
  <c r="AE402" i="1"/>
  <c r="AF402" i="1" s="1"/>
  <c r="AE332" i="1"/>
  <c r="AF332" i="1" s="1"/>
  <c r="AG332" i="1" s="1"/>
  <c r="AE425" i="1"/>
  <c r="AF425" i="1" s="1"/>
  <c r="AE450" i="1"/>
  <c r="AF450" i="1" s="1"/>
  <c r="AE398" i="1"/>
  <c r="AF398" i="1" s="1"/>
  <c r="AE387" i="1"/>
  <c r="AF387" i="1" s="1"/>
  <c r="AE397" i="1"/>
  <c r="AF397" i="1" s="1"/>
  <c r="AE380" i="1"/>
  <c r="AF380" i="1" s="1"/>
  <c r="AE289" i="1"/>
  <c r="AF289" i="1" s="1"/>
  <c r="AG289" i="1" s="1"/>
  <c r="AE352" i="1"/>
  <c r="AF352" i="1" s="1"/>
  <c r="AG352" i="1" s="1"/>
  <c r="AE357" i="1"/>
  <c r="AF357" i="1" s="1"/>
  <c r="AG357" i="1" s="1"/>
  <c r="AE329" i="1"/>
  <c r="AF329" i="1" s="1"/>
  <c r="AG329" i="1" s="1"/>
  <c r="AE309" i="1"/>
  <c r="AF309" i="1" s="1"/>
  <c r="AG309" i="1" s="1"/>
  <c r="AE157" i="1"/>
  <c r="AF157" i="1" s="1"/>
  <c r="AG157" i="1" s="1"/>
  <c r="AE358" i="1"/>
  <c r="AF358" i="1" s="1"/>
  <c r="AG358" i="1" s="1"/>
  <c r="AE348" i="1"/>
  <c r="AF348" i="1" s="1"/>
  <c r="AG348" i="1" s="1"/>
  <c r="AE334" i="1"/>
  <c r="AF334" i="1" s="1"/>
  <c r="AG334" i="1" s="1"/>
  <c r="AE267" i="1"/>
  <c r="AF267" i="1" s="1"/>
  <c r="AG267" i="1" s="1"/>
  <c r="AE373" i="1"/>
  <c r="AF373" i="1" s="1"/>
  <c r="AE365" i="1"/>
  <c r="AF365" i="1" s="1"/>
  <c r="AG365" i="1" s="1"/>
  <c r="AE245" i="1"/>
  <c r="AF245" i="1" s="1"/>
  <c r="AG245" i="1" s="1"/>
  <c r="AE280" i="1"/>
  <c r="AF280" i="1" s="1"/>
  <c r="AG280" i="1" s="1"/>
  <c r="AE249" i="1"/>
  <c r="AF249" i="1" s="1"/>
  <c r="AG249" i="1" s="1"/>
  <c r="AE310" i="1"/>
  <c r="AF310" i="1" s="1"/>
  <c r="AG310" i="1" s="1"/>
  <c r="AE302" i="1"/>
  <c r="AF302" i="1" s="1"/>
  <c r="AG302" i="1" s="1"/>
  <c r="AE294" i="1"/>
  <c r="AF294" i="1" s="1"/>
  <c r="AG294" i="1" s="1"/>
  <c r="AE227" i="1"/>
  <c r="AF227" i="1" s="1"/>
  <c r="AG227" i="1" s="1"/>
  <c r="AE257" i="1"/>
  <c r="AF257" i="1" s="1"/>
  <c r="AG257" i="1" s="1"/>
  <c r="AE203" i="1"/>
  <c r="AF203" i="1" s="1"/>
  <c r="AG203" i="1" s="1"/>
  <c r="AE283" i="1"/>
  <c r="AF283" i="1" s="1"/>
  <c r="AG283" i="1" s="1"/>
  <c r="AE178" i="1"/>
  <c r="AF178" i="1" s="1"/>
  <c r="AG178" i="1" s="1"/>
  <c r="AE243" i="1"/>
  <c r="AF243" i="1" s="1"/>
  <c r="AG243" i="1" s="1"/>
  <c r="AE195" i="1"/>
  <c r="AF195" i="1" s="1"/>
  <c r="AG195" i="1" s="1"/>
  <c r="AE189" i="1"/>
  <c r="AF189" i="1" s="1"/>
  <c r="AG189" i="1" s="1"/>
  <c r="AE260" i="1"/>
  <c r="AF260" i="1" s="1"/>
  <c r="AG260" i="1" s="1"/>
  <c r="AE201" i="1"/>
  <c r="AF201" i="1" s="1"/>
  <c r="AG201" i="1" s="1"/>
  <c r="AE191" i="1"/>
  <c r="AF191" i="1" s="1"/>
  <c r="AG191" i="1" s="1"/>
  <c r="AE197" i="1"/>
  <c r="AF197" i="1" s="1"/>
  <c r="AG197" i="1" s="1"/>
  <c r="AE169" i="1"/>
  <c r="AF169" i="1" s="1"/>
  <c r="AG169" i="1" s="1"/>
  <c r="AE173" i="1"/>
  <c r="AF173" i="1" s="1"/>
  <c r="AG173" i="1" s="1"/>
  <c r="AE124" i="1"/>
  <c r="AF124" i="1" s="1"/>
  <c r="AG124" i="1" s="1"/>
  <c r="AE156" i="1"/>
  <c r="AF156" i="1" s="1"/>
  <c r="AG156" i="1" s="1"/>
  <c r="AE118" i="1"/>
  <c r="AF118" i="1" s="1"/>
  <c r="AG118" i="1" s="1"/>
  <c r="AE177" i="1"/>
  <c r="AF177" i="1" s="1"/>
  <c r="AG177" i="1" s="1"/>
  <c r="AE164" i="1"/>
  <c r="AF164" i="1" s="1"/>
  <c r="AG164" i="1" s="1"/>
  <c r="AE95" i="1"/>
  <c r="AF95" i="1" s="1"/>
  <c r="AG95" i="1" s="1"/>
  <c r="AE129" i="1"/>
  <c r="AF129" i="1" s="1"/>
  <c r="AG129" i="1" s="1"/>
  <c r="AE100" i="1"/>
  <c r="AF100" i="1" s="1"/>
  <c r="AG100" i="1" s="1"/>
  <c r="AE90" i="1"/>
  <c r="AF90" i="1" s="1"/>
  <c r="AG90" i="1" s="1"/>
  <c r="AE7" i="1"/>
  <c r="AF7" i="1" s="1"/>
  <c r="AG7" i="1" s="1"/>
  <c r="AE89" i="1"/>
  <c r="AF89" i="1" s="1"/>
  <c r="AG89" i="1" s="1"/>
  <c r="AE6" i="1"/>
  <c r="AF6" i="1" s="1"/>
  <c r="AG6" i="1" s="1"/>
  <c r="AE3" i="1"/>
  <c r="AF3" i="1" s="1"/>
  <c r="AG3" i="1" s="1"/>
  <c r="AE4" i="1"/>
  <c r="AF4" i="1" s="1"/>
  <c r="AG4" i="1" s="1"/>
  <c r="AE5" i="1"/>
  <c r="AF5" i="1" s="1"/>
  <c r="AG5" i="1" s="1"/>
  <c r="AE28" i="1" l="1"/>
  <c r="AF28" i="1" s="1"/>
  <c r="AG28" i="1" s="1"/>
  <c r="AE83" i="1"/>
  <c r="AF83" i="1" s="1"/>
  <c r="AG83" i="1" s="1"/>
  <c r="AE66" i="1"/>
  <c r="AF66" i="1" s="1"/>
  <c r="AG66" i="1" s="1"/>
  <c r="AE78" i="1"/>
  <c r="AF78" i="1" s="1"/>
  <c r="AG78" i="1" s="1"/>
  <c r="AE73" i="1"/>
  <c r="AF73" i="1" s="1"/>
  <c r="AG73" i="1" s="1"/>
  <c r="AE30" i="1"/>
  <c r="AF30" i="1" s="1"/>
  <c r="AG30" i="1" s="1"/>
  <c r="AE58" i="1"/>
  <c r="AF58" i="1" s="1"/>
  <c r="AG58" i="1" s="1"/>
  <c r="AE11" i="1"/>
  <c r="AF11" i="1" s="1"/>
  <c r="AG11" i="1" s="1"/>
  <c r="AE48" i="1"/>
  <c r="AF48" i="1" s="1"/>
  <c r="AG48" i="1" s="1"/>
  <c r="AE40" i="1"/>
  <c r="AF40" i="1" s="1"/>
  <c r="AG40" i="1" s="1"/>
  <c r="AE8" i="1"/>
  <c r="AF8" i="1" s="1"/>
  <c r="AG8" i="1" s="1"/>
  <c r="AE15" i="1"/>
  <c r="AF15" i="1" s="1"/>
  <c r="AG15" i="1" s="1"/>
  <c r="AE65" i="1"/>
  <c r="AF65" i="1" s="1"/>
  <c r="AG65" i="1" s="1"/>
  <c r="AE12" i="1"/>
  <c r="AF12" i="1" s="1"/>
  <c r="AG12" i="1" s="1"/>
  <c r="AE75" i="1"/>
  <c r="AF75" i="1" s="1"/>
  <c r="AG75" i="1" s="1"/>
  <c r="AE31" i="1"/>
  <c r="AF31" i="1" s="1"/>
  <c r="AG31" i="1" s="1"/>
  <c r="AE60" i="1"/>
  <c r="AF60" i="1" s="1"/>
  <c r="AG60" i="1" s="1"/>
  <c r="AE44" i="1"/>
  <c r="AF44" i="1" s="1"/>
  <c r="AG44" i="1" s="1"/>
  <c r="AE20" i="1"/>
  <c r="AF20" i="1" s="1"/>
  <c r="AG20" i="1" s="1"/>
  <c r="AE47" i="1"/>
  <c r="AF47" i="1" s="1"/>
  <c r="AG47" i="1" s="1"/>
  <c r="AE80" i="1"/>
  <c r="AF80" i="1" s="1"/>
  <c r="AG80" i="1" s="1"/>
  <c r="AE67" i="1"/>
  <c r="AF67" i="1" s="1"/>
  <c r="AG67" i="1" s="1"/>
  <c r="AE62" i="1"/>
  <c r="AF62" i="1" s="1"/>
  <c r="AG62" i="1" s="1"/>
  <c r="AE43" i="1"/>
  <c r="AF43" i="1" s="1"/>
  <c r="AG43" i="1" s="1"/>
  <c r="AE23" i="1"/>
  <c r="AF23" i="1" s="1"/>
  <c r="AG23" i="1" s="1"/>
  <c r="AE82" i="1"/>
  <c r="AF82" i="1" s="1"/>
  <c r="AG82" i="1" s="1"/>
  <c r="AE84" i="1"/>
  <c r="AF84" i="1" s="1"/>
  <c r="AG84" i="1" s="1"/>
  <c r="AE74" i="1"/>
  <c r="AF74" i="1" s="1"/>
  <c r="AG74" i="1" s="1"/>
  <c r="AE17" i="1"/>
  <c r="AF17" i="1" s="1"/>
  <c r="AG17" i="1" s="1"/>
  <c r="AE13" i="1"/>
  <c r="AF13" i="1" s="1"/>
  <c r="AG13" i="1" s="1"/>
  <c r="AE51" i="1"/>
  <c r="AF51" i="1" s="1"/>
  <c r="AG51" i="1" s="1"/>
  <c r="AE46" i="1"/>
  <c r="AF46" i="1" s="1"/>
  <c r="AG46" i="1" s="1"/>
  <c r="AE68" i="1"/>
  <c r="AF68" i="1" s="1"/>
  <c r="AG68" i="1" s="1"/>
  <c r="AE24" i="1"/>
  <c r="AF24" i="1" s="1"/>
  <c r="AG24" i="1" s="1"/>
  <c r="AE55" i="1"/>
  <c r="AF55" i="1" s="1"/>
  <c r="AG55" i="1" s="1"/>
  <c r="AE61" i="1"/>
  <c r="AF61" i="1" s="1"/>
  <c r="AG61" i="1" s="1"/>
  <c r="AE9" i="1"/>
  <c r="AF9" i="1" s="1"/>
  <c r="AG9" i="1" s="1"/>
  <c r="AE87" i="1"/>
  <c r="AF87" i="1" s="1"/>
  <c r="AG87" i="1" s="1"/>
  <c r="AE79" i="1"/>
  <c r="AF79" i="1" s="1"/>
  <c r="AG79" i="1" s="1"/>
  <c r="AE49" i="1"/>
  <c r="AF49" i="1" s="1"/>
  <c r="AG49" i="1" s="1"/>
  <c r="AE45" i="1"/>
  <c r="AF45" i="1" s="1"/>
  <c r="AG45" i="1" s="1"/>
  <c r="AE10" i="1"/>
  <c r="AF10" i="1" s="1"/>
  <c r="AG10" i="1" s="1"/>
  <c r="AE25" i="1"/>
  <c r="AF25" i="1" s="1"/>
  <c r="AG25" i="1" s="1"/>
  <c r="AE88" i="1"/>
  <c r="AF88" i="1" s="1"/>
  <c r="AG88" i="1" s="1"/>
  <c r="AE37" i="1"/>
  <c r="AF37" i="1" s="1"/>
  <c r="AG37" i="1" s="1"/>
  <c r="AE71" i="1"/>
  <c r="AF71" i="1" s="1"/>
  <c r="AG71" i="1" s="1"/>
  <c r="AE77" i="1"/>
  <c r="AF77" i="1" s="1"/>
  <c r="AG77" i="1" s="1"/>
  <c r="AE57" i="1"/>
  <c r="AF57" i="1" s="1"/>
  <c r="AG57" i="1" s="1"/>
  <c r="AE53" i="1"/>
  <c r="AF53" i="1" s="1"/>
  <c r="AG53" i="1" s="1"/>
  <c r="AE64" i="1"/>
  <c r="AF64" i="1" s="1"/>
  <c r="AG64" i="1" s="1"/>
  <c r="AE32" i="1"/>
  <c r="AF32" i="1" s="1"/>
  <c r="AG32" i="1" s="1"/>
  <c r="AE85" i="1"/>
  <c r="AF85" i="1" s="1"/>
  <c r="AG85" i="1" s="1"/>
  <c r="AE14" i="1"/>
  <c r="AF14" i="1" s="1"/>
  <c r="AG14" i="1" s="1"/>
  <c r="AE27" i="1"/>
  <c r="AF27" i="1" s="1"/>
  <c r="AG27" i="1" s="1"/>
  <c r="AE22" i="1"/>
  <c r="AF22" i="1" s="1"/>
  <c r="AG22" i="1" s="1"/>
  <c r="AE19" i="1"/>
  <c r="AF19" i="1" s="1"/>
  <c r="AG19" i="1" s="1"/>
  <c r="AE81" i="1"/>
  <c r="AF81" i="1" s="1"/>
  <c r="AG81" i="1" s="1"/>
  <c r="AE50" i="1"/>
  <c r="AF50" i="1" s="1"/>
  <c r="AG50" i="1" s="1"/>
  <c r="AE54" i="1"/>
  <c r="AF54" i="1" s="1"/>
  <c r="AG54" i="1" s="1"/>
  <c r="AE63" i="1"/>
  <c r="AF63" i="1" s="1"/>
  <c r="AG63" i="1" s="1"/>
  <c r="AE35" i="1"/>
  <c r="AF35" i="1" s="1"/>
  <c r="AG35" i="1" s="1"/>
  <c r="AE42" i="1"/>
  <c r="AF42" i="1" s="1"/>
  <c r="AG42" i="1" s="1"/>
  <c r="AE59" i="1"/>
  <c r="AF59" i="1" s="1"/>
  <c r="AG59" i="1" s="1"/>
  <c r="AE39" i="1"/>
  <c r="AF39" i="1" s="1"/>
  <c r="AG39" i="1" s="1"/>
  <c r="AE18" i="1"/>
  <c r="AF18" i="1" s="1"/>
  <c r="AG18" i="1" s="1"/>
  <c r="AE52" i="1"/>
  <c r="AF52" i="1" s="1"/>
  <c r="AG52" i="1" s="1"/>
  <c r="AE33" i="1"/>
  <c r="AF33" i="1" s="1"/>
  <c r="AG33" i="1" s="1"/>
  <c r="AE29" i="1"/>
  <c r="AF29" i="1" s="1"/>
  <c r="AG29" i="1" s="1"/>
  <c r="AE34" i="1"/>
  <c r="AF34" i="1" s="1"/>
  <c r="AG34" i="1" s="1"/>
  <c r="AE16" i="1"/>
  <c r="AF16" i="1" s="1"/>
  <c r="AG16" i="1" s="1"/>
  <c r="AE86" i="1"/>
  <c r="AF86" i="1" s="1"/>
  <c r="AG86" i="1" s="1"/>
  <c r="AE21" i="1"/>
  <c r="AF21" i="1" s="1"/>
  <c r="AG21" i="1" s="1"/>
  <c r="AE26" i="1"/>
  <c r="AF26" i="1" s="1"/>
  <c r="AG26" i="1" s="1"/>
  <c r="AE56" i="1"/>
  <c r="AF56" i="1" s="1"/>
  <c r="AG56" i="1" s="1"/>
  <c r="AE70" i="1"/>
  <c r="AF70" i="1" s="1"/>
  <c r="AG70" i="1" s="1"/>
  <c r="AE76" i="1"/>
  <c r="AF76" i="1" s="1"/>
  <c r="AG76" i="1" s="1"/>
  <c r="AE36" i="1"/>
  <c r="AF36" i="1" s="1"/>
  <c r="AG36" i="1" s="1"/>
  <c r="AE38" i="1"/>
  <c r="AF38" i="1" s="1"/>
  <c r="AG38" i="1" s="1"/>
  <c r="AE72" i="1"/>
  <c r="AF72" i="1" s="1"/>
  <c r="AG72" i="1" s="1"/>
  <c r="AE41" i="1"/>
  <c r="AF41" i="1" s="1"/>
  <c r="AG41" i="1" s="1"/>
  <c r="AE69" i="1"/>
  <c r="AF69" i="1" s="1"/>
  <c r="AG69" i="1" s="1"/>
</calcChain>
</file>

<file path=xl/sharedStrings.xml><?xml version="1.0" encoding="utf-8"?>
<sst xmlns="http://schemas.openxmlformats.org/spreadsheetml/2006/main" count="1106" uniqueCount="164">
  <si>
    <t>Date or Period</t>
  </si>
  <si>
    <t>Group Name</t>
  </si>
  <si>
    <t>Payroll</t>
  </si>
  <si>
    <t>Driver Name</t>
  </si>
  <si>
    <t>Trip Count</t>
  </si>
  <si>
    <t>Idle Time</t>
  </si>
  <si>
    <t>Net Drive Time</t>
  </si>
  <si>
    <t xml:space="preserve">Driven Distance </t>
  </si>
  <si>
    <t>Periodo o Fecha</t>
  </si>
  <si>
    <t>Nombre del Grupo</t>
  </si>
  <si>
    <t>Nomina</t>
  </si>
  <si>
    <t>Nombre del Operador</t>
  </si>
  <si>
    <t>Viajes Contados</t>
  </si>
  <si>
    <t>Tiempo en Ralenti</t>
  </si>
  <si>
    <t>Tiempo Neto de Conducción</t>
  </si>
  <si>
    <t>Distancia Conducida</t>
  </si>
  <si>
    <t>Nombre del Evento</t>
  </si>
  <si>
    <t>Total Ocurridos</t>
  </si>
  <si>
    <t>TRADUCCIONES</t>
  </si>
  <si>
    <t>DRIVER NAME</t>
  </si>
  <si>
    <t>EVENT NAME</t>
  </si>
  <si>
    <t>TOTAL OCURRED</t>
  </si>
  <si>
    <t>TRADUCCIÓN</t>
  </si>
  <si>
    <t>LLAVE</t>
  </si>
  <si>
    <t>EVENTO</t>
  </si>
  <si>
    <t>Aceleración nivel alto</t>
  </si>
  <si>
    <t>AcAlto</t>
  </si>
  <si>
    <t>Aceleración nivel medio</t>
  </si>
  <si>
    <t>AcMed</t>
  </si>
  <si>
    <t>ADAS - Camera blocked</t>
  </si>
  <si>
    <t>ADAS - Forward Collision Warning (FCW)</t>
  </si>
  <si>
    <t>ADAS - Forward Proximity Warning (FPW)</t>
  </si>
  <si>
    <t>ADAS - LDW Left</t>
  </si>
  <si>
    <t>ADAS - LDW Rigth</t>
  </si>
  <si>
    <t>ADAS - Low visibility</t>
  </si>
  <si>
    <t>ADAS - non recording</t>
  </si>
  <si>
    <t>ADAS - PCW</t>
  </si>
  <si>
    <t>ADAS - SDA</t>
  </si>
  <si>
    <t>Freno nivel alto</t>
  </si>
  <si>
    <t>FrAlto</t>
  </si>
  <si>
    <t>Freno nivel bajo</t>
  </si>
  <si>
    <t>FrBajo</t>
  </si>
  <si>
    <t>Freno nivel medio</t>
  </si>
  <si>
    <t>FrMed</t>
  </si>
  <si>
    <t>Velocidad nivel alto en carretera</t>
  </si>
  <si>
    <t>VelAlto</t>
  </si>
  <si>
    <t>Velocidad nivel bajo en carretera</t>
  </si>
  <si>
    <t>VelBajo</t>
  </si>
  <si>
    <t>Velocidad nivel medio en carretera</t>
  </si>
  <si>
    <t>VelMed</t>
  </si>
  <si>
    <t>Giro a la izq. nivel alto</t>
  </si>
  <si>
    <t>GirAlto</t>
  </si>
  <si>
    <t>Giro a la izq. nivel bajo</t>
  </si>
  <si>
    <t>GirBajo</t>
  </si>
  <si>
    <t>Giro a la izq. nivel medio</t>
  </si>
  <si>
    <t>GirMed</t>
  </si>
  <si>
    <t>Giro a la der. nivel alto</t>
  </si>
  <si>
    <t>Giro a la der. nivel bajo</t>
  </si>
  <si>
    <t>Giro a la der. nivel medio</t>
  </si>
  <si>
    <t>Date or Period                 Periodo o Fecha</t>
  </si>
  <si>
    <t>Group Name         Nombre del Grupo</t>
  </si>
  <si>
    <t>Payroll                   Nomina</t>
  </si>
  <si>
    <t>Driver Name                     Nombre del Operador</t>
  </si>
  <si>
    <t>Trip Count             Viajes Contados</t>
  </si>
  <si>
    <t>Idle Time              Tiempo en Ralenti</t>
  </si>
  <si>
    <t>Net Drive Time                       Tiempo Neto de Conducción</t>
  </si>
  <si>
    <t>Driven Distance              Distancia Conducida</t>
  </si>
  <si>
    <t>EVENTOS/EVENT</t>
  </si>
  <si>
    <t>Points       Puntos</t>
  </si>
  <si>
    <t>Points per 100 h            Puntos x 100 h</t>
  </si>
  <si>
    <t>Score       Puntaje</t>
  </si>
  <si>
    <t>AcBajo</t>
  </si>
  <si>
    <t>95 A 90</t>
  </si>
  <si>
    <t>89 A 76</t>
  </si>
  <si>
    <t xml:space="preserve">75 A 61 </t>
  </si>
  <si>
    <t>60 A 5</t>
  </si>
  <si>
    <t>LIPU COLIMA</t>
  </si>
  <si>
    <t>ABARCA MARQUEZ JORGE ABRAHAM</t>
  </si>
  <si>
    <t>ALONSO ALVA JESUS ALBERTO</t>
  </si>
  <si>
    <t>ANGUIANO JIMENEZ JUAN MANUEL</t>
  </si>
  <si>
    <t>ARCEO GAMA SILVESTRE</t>
  </si>
  <si>
    <t>BARRETO LEYVA FEDERICO</t>
  </si>
  <si>
    <t>C.CONSTANTE RODRIGUEZ MARVIN J</t>
  </si>
  <si>
    <t>CABRERA MARTINEZ JUAN JOSE</t>
  </si>
  <si>
    <t>CASTELLANOS GOMEZ MARTIN</t>
  </si>
  <si>
    <t>CASTILLO GRADILLA OSCAR EMILIO</t>
  </si>
  <si>
    <t>CERNAS LOPEZ CLEMENTE MARTIN</t>
  </si>
  <si>
    <t>CERVANTES CONTRERAS NICOLAS</t>
  </si>
  <si>
    <t>CONTRERAS RUIZ JOSE GUADALUP</t>
  </si>
  <si>
    <t>DAMIAN LOPEZ RIGOBERTO SUSANO</t>
  </si>
  <si>
    <t>DE ANDA MARTINEZ LUIS HUMBERTO</t>
  </si>
  <si>
    <t>DURAN RAMIREZ JUAN CARLOS</t>
  </si>
  <si>
    <t>ESCOTO RAMIREZ JOSE LUIS</t>
  </si>
  <si>
    <t>ESPINOSA CEBALLOS EDGAR ABRA</t>
  </si>
  <si>
    <t>ESTRADA GONZALEZ EDGAR EFREN</t>
  </si>
  <si>
    <t>FRANCO GOMEZ JORGE ALBERTO</t>
  </si>
  <si>
    <t>FUENTES CHAVEZ PEDRO OMAR</t>
  </si>
  <si>
    <t>GARCIA ANDRADE SALVADOR ERNEST</t>
  </si>
  <si>
    <t>GARCIA BEJARANO J. ANTONIO</t>
  </si>
  <si>
    <t>GARCIA JIMENEZ TOMAS</t>
  </si>
  <si>
    <t>GARCIA NOVELA JESUS</t>
  </si>
  <si>
    <t>GARCIA VELAZQUEZ MANUEL</t>
  </si>
  <si>
    <t>GOITIA VILLA ABRAHAM LUIS</t>
  </si>
  <si>
    <t>GONZALEZ CRUZ CARLOS JAVIER</t>
  </si>
  <si>
    <t>GONZALEZ GARCIA JUAN CARLOS</t>
  </si>
  <si>
    <t>JACOBO MENDOZA SERGIO</t>
  </si>
  <si>
    <t>JOSE ALEJANDRO RODRIGUEZ MERCADO</t>
  </si>
  <si>
    <t>LOPEZ GARCIA HUMBERTO</t>
  </si>
  <si>
    <t>LOPEZ REBOLLEDO JOSE LUIS</t>
  </si>
  <si>
    <t>LOPEZ ZEPEDA JOSE JESUS</t>
  </si>
  <si>
    <t>M.ALVAREZ BERNARDINO JOEL</t>
  </si>
  <si>
    <t>M.Mantenimiento</t>
  </si>
  <si>
    <t>MAGALLON ACOSTA MIGUEL</t>
  </si>
  <si>
    <t>MANZO MAYORAL ISIDORO RAFAEL</t>
  </si>
  <si>
    <t>MARTINEZ RODRIGUEZ ELIAS</t>
  </si>
  <si>
    <t>MEDINA DE LOS SANTOS EDWIN CAI</t>
  </si>
  <si>
    <t>MENDOZA LARIOS LORENZO JAVIER</t>
  </si>
  <si>
    <t>MONTOYA GARCIA MARTIN</t>
  </si>
  <si>
    <t>OCEGUEDA HERNANDEZ JOSE ANTO</t>
  </si>
  <si>
    <t>OCHOA GUERRERO  EDGAR JESUS</t>
  </si>
  <si>
    <t>P.CHAVEZ PAREDES JUAN MANUEL</t>
  </si>
  <si>
    <t>P.FARIAS BARAJAS DIEGO FAVIAN</t>
  </si>
  <si>
    <t>P.GOIYTIA  MANZANO ALONSO FAVI</t>
  </si>
  <si>
    <t>P.GONZALEZ GILDO EFRAIN</t>
  </si>
  <si>
    <t>P.GUERRERO BELTRAN CARLOS ALEJ</t>
  </si>
  <si>
    <t>P.LEE GUTIERREZ JOSE GUADALUPE</t>
  </si>
  <si>
    <t>P.NUÑIEZ TORRES RICARDO</t>
  </si>
  <si>
    <t>P.REYNOSO PEREZ CARLOS SALVADO</t>
  </si>
  <si>
    <t>P.ROMERO RAMIREZ ARMANDO</t>
  </si>
  <si>
    <t>P.SANDOVAL RAMOS CRISTI EVELYN</t>
  </si>
  <si>
    <t>PACO MENDEZ FABIAN</t>
  </si>
  <si>
    <t>PEREZ MARTINEZ TIMOTEO</t>
  </si>
  <si>
    <t>PINTO HERNANDEZ ANYELO ALBERTO</t>
  </si>
  <si>
    <t>PUGA CORTES JOSE MARIA</t>
  </si>
  <si>
    <t>RAMIREZ AVILES GILDARDO</t>
  </si>
  <si>
    <t>RAMIREZ VALDEZ SALVADOR</t>
  </si>
  <si>
    <t>RAMOS HERNANDEZ JOSE GABRIEL</t>
  </si>
  <si>
    <t>RAMOS RAMIREZ ROBERTO</t>
  </si>
  <si>
    <t>RIVERA RENTERIA ELIAS</t>
  </si>
  <si>
    <t>RIVERA RENTERIA OCTAVIO</t>
  </si>
  <si>
    <t>RIZO LOPEZ FERNANDO ULISES</t>
  </si>
  <si>
    <t>RODARTE QUINTANA MARCO ANTONIO</t>
  </si>
  <si>
    <t>RODRIGUEZ AGUILAR VICTOR JESUS</t>
  </si>
  <si>
    <t>ROJAS ZAMORA CARLOS ERIBERTO</t>
  </si>
  <si>
    <t>ROSALES ZUÑIGA MARCOS JESUS</t>
  </si>
  <si>
    <t>RUIZ GOMEZ JOSE LUIS</t>
  </si>
  <si>
    <t>SANCHEZ MORA JERZAHIN</t>
  </si>
  <si>
    <t>SANCHEZ PICHARDO JUAN</t>
  </si>
  <si>
    <t>SOTO CONTRERAS ELOY</t>
  </si>
  <si>
    <t>TORRES DE LA CRUZ ARMANDO</t>
  </si>
  <si>
    <t>TORRES RAMOS ARMANDO JOSE</t>
  </si>
  <si>
    <t>VALLADARES VEGA FRANCISCO JAVI</t>
  </si>
  <si>
    <t>VAZQUEZ ALTAMIRANO ROSIO</t>
  </si>
  <si>
    <t>VAZQUEZ CEJA PERLA ESMERALDA</t>
  </si>
  <si>
    <t>VAZQUEZ MANZO JULIO ADRIAN</t>
  </si>
  <si>
    <t>VELASCO BATISTA HELI</t>
  </si>
  <si>
    <t>VELAZCO BENTACOURT MARTIN</t>
  </si>
  <si>
    <t>VENANCIO CARRAZCO EDUARDO NEFT</t>
  </si>
  <si>
    <t>VENANCIO LOPEZ EDUARDO</t>
  </si>
  <si>
    <t>VILLA CORTEZ YOLANDA</t>
  </si>
  <si>
    <t>VILLA LOPEZ FRANCISCO DAVID</t>
  </si>
  <si>
    <t>VILLANUEVA REYES JUAN CARLOS</t>
  </si>
  <si>
    <t>ZAMORA ESTRADA KEVIN FERNAND</t>
  </si>
  <si>
    <t>ZAMORA VENCES JOSE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</si>
</sst>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322E2F"/>
      <name val="Aptos Narrow"/>
      <family val="2"/>
      <scheme val="minor"/>
    </font>
    <font>
      <b/>
      <sz val="11"/>
      <color rgb="FFF5F0E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2D810"/>
        <bgColor indexed="64"/>
      </patternFill>
    </fill>
    <fill>
      <patternFill patternType="solid">
        <fgColor rgb="FF1E3D5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21" fontId="0" fillId="0" borderId="1" xfId="0" applyNumberFormat="1" applyBorder="1"/>
    <xf numFmtId="164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9" borderId="0" xfId="0" applyFill="1"/>
    <xf numFmtId="0" fontId="1" fillId="3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2" fontId="0" fillId="0" borderId="1" xfId="0" applyNumberFormat="1" applyBorder="1"/>
  </cellXfs>
  <cellStyles count="1">
    <cellStyle name="Normal" xfId="0" builtinId="0"/>
  </cellStyles>
  <dxfs count="5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3B4D61"/>
      <color rgb="FFFF6E40"/>
      <color rgb="FF1E3D59"/>
      <color rgb="FFF5F0E1"/>
      <color rgb="FFFFC13B"/>
      <color rgb="FFE2D810"/>
      <color rgb="FF322E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8BF6-C08E-4AF3-B633-FE161F7D4041}">
  <sheetPr>
    <tabColor rgb="FFE2D810"/>
  </sheetPr>
  <dimension ref="A1:H89"/>
  <sheetViews>
    <sheetView topLeftCell="A35" zoomScaleNormal="100" workbookViewId="0">
      <selection activeCell="B3" sqref="B3:D89"/>
    </sheetView>
  </sheetViews>
  <sheetFormatPr baseColWidth="10" defaultColWidth="11.42578125" defaultRowHeight="15" x14ac:dyDescent="0.25"/>
  <cols>
    <col min="1" max="1" width="20.42578125" style="7" customWidth="1"/>
    <col min="2" max="2" width="22.28515625" style="8" bestFit="1" customWidth="1"/>
    <col min="3" max="3" width="12.5703125" style="3" bestFit="1" customWidth="1"/>
    <col min="4" max="4" width="34.85546875" style="3" bestFit="1" customWidth="1"/>
    <col min="5" max="5" width="20.140625" style="3" bestFit="1" customWidth="1"/>
    <col min="6" max="6" width="20.85546875" style="9" bestFit="1" customWidth="1"/>
    <col min="7" max="7" width="30.140625" style="9" customWidth="1"/>
    <col min="8" max="8" width="26.140625" style="3" customWidth="1"/>
  </cols>
  <sheetData>
    <row r="1" spans="1:8" x14ac:dyDescent="0.25">
      <c r="A1" s="5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x14ac:dyDescent="0.25">
      <c r="A2" s="5" t="s">
        <v>8</v>
      </c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</row>
    <row r="3" spans="1:8" x14ac:dyDescent="0.25">
      <c r="B3" s="8" t="s">
        <v>76</v>
      </c>
      <c r="C3" s="3">
        <v>14217446</v>
      </c>
      <c r="D3" s="3" t="s">
        <v>77</v>
      </c>
      <c r="E3" s="3">
        <v>32</v>
      </c>
      <c r="F3" s="9">
        <v>0.22569444444444445</v>
      </c>
      <c r="G3" s="9">
        <v>0.88263888888888886</v>
      </c>
      <c r="H3" s="3">
        <v>706.14</v>
      </c>
    </row>
    <row r="4" spans="1:8" x14ac:dyDescent="0.25">
      <c r="B4" s="8" t="s">
        <v>76</v>
      </c>
      <c r="C4" s="3">
        <v>14221921</v>
      </c>
      <c r="D4" s="3" t="s">
        <v>78</v>
      </c>
      <c r="E4" s="3">
        <v>52</v>
      </c>
      <c r="F4" s="9">
        <v>0.33958333333333335</v>
      </c>
      <c r="G4" s="9">
        <v>1.21875</v>
      </c>
      <c r="H4" s="3">
        <v>1176.79</v>
      </c>
    </row>
    <row r="5" spans="1:8" x14ac:dyDescent="0.25">
      <c r="B5" s="8" t="s">
        <v>76</v>
      </c>
      <c r="C5" s="3">
        <v>14215986</v>
      </c>
      <c r="D5" s="3" t="s">
        <v>79</v>
      </c>
      <c r="E5" s="3">
        <v>27</v>
      </c>
      <c r="F5" s="9">
        <v>0.40833333333333333</v>
      </c>
      <c r="G5" s="9">
        <v>0.74305555555555558</v>
      </c>
      <c r="H5" s="3">
        <v>498.32</v>
      </c>
    </row>
    <row r="6" spans="1:8" x14ac:dyDescent="0.25">
      <c r="B6" s="8" t="s">
        <v>76</v>
      </c>
      <c r="C6" s="3">
        <v>14218817</v>
      </c>
      <c r="D6" s="3" t="s">
        <v>80</v>
      </c>
      <c r="E6" s="3">
        <v>17</v>
      </c>
      <c r="F6" s="9">
        <v>0.16875000000000001</v>
      </c>
      <c r="G6" s="9">
        <v>0.21944444444444444</v>
      </c>
      <c r="H6" s="3">
        <v>181</v>
      </c>
    </row>
    <row r="7" spans="1:8" x14ac:dyDescent="0.25">
      <c r="B7" s="8" t="s">
        <v>76</v>
      </c>
      <c r="C7" s="3">
        <v>14222224</v>
      </c>
      <c r="D7" s="3" t="s">
        <v>81</v>
      </c>
      <c r="E7" s="3">
        <v>46</v>
      </c>
      <c r="F7" s="9">
        <v>0.27013888888888887</v>
      </c>
      <c r="G7" s="9">
        <v>1.3256944444444445</v>
      </c>
      <c r="H7" s="3">
        <v>1146.19</v>
      </c>
    </row>
    <row r="8" spans="1:8" x14ac:dyDescent="0.25">
      <c r="B8" s="8" t="s">
        <v>76</v>
      </c>
      <c r="C8" s="3">
        <v>14110812</v>
      </c>
      <c r="D8" s="3" t="s">
        <v>82</v>
      </c>
      <c r="E8" s="3">
        <v>15</v>
      </c>
      <c r="F8" s="9">
        <v>2.013888888888889E-2</v>
      </c>
      <c r="G8" s="9">
        <v>0.4</v>
      </c>
      <c r="H8" s="3">
        <v>484.61</v>
      </c>
    </row>
    <row r="9" spans="1:8" x14ac:dyDescent="0.25">
      <c r="B9" s="8" t="s">
        <v>76</v>
      </c>
      <c r="C9" s="3">
        <v>14222299</v>
      </c>
      <c r="D9" s="3" t="s">
        <v>83</v>
      </c>
      <c r="E9" s="3">
        <v>87</v>
      </c>
      <c r="F9" s="9">
        <v>0.34305555555555556</v>
      </c>
      <c r="G9" s="9">
        <v>1.6395833333333334</v>
      </c>
      <c r="H9" s="3">
        <v>1270.94</v>
      </c>
    </row>
    <row r="10" spans="1:8" x14ac:dyDescent="0.25">
      <c r="B10" s="8" t="s">
        <v>76</v>
      </c>
      <c r="C10" s="3">
        <v>14108427</v>
      </c>
      <c r="D10" s="3" t="s">
        <v>84</v>
      </c>
      <c r="E10" s="3">
        <v>25</v>
      </c>
      <c r="F10" s="9">
        <v>0.21527777777777779</v>
      </c>
      <c r="G10" s="9">
        <v>0.875</v>
      </c>
      <c r="H10" s="3">
        <v>773.72</v>
      </c>
    </row>
    <row r="11" spans="1:8" x14ac:dyDescent="0.25">
      <c r="B11" s="8" t="s">
        <v>76</v>
      </c>
      <c r="C11" s="3">
        <v>14111261</v>
      </c>
      <c r="D11" s="3" t="s">
        <v>85</v>
      </c>
      <c r="E11" s="3">
        <v>29</v>
      </c>
      <c r="F11" s="9">
        <v>0.19305555555555556</v>
      </c>
      <c r="G11" s="9">
        <v>1.0249999999999999</v>
      </c>
      <c r="H11" s="3">
        <v>859.1</v>
      </c>
    </row>
    <row r="12" spans="1:8" x14ac:dyDescent="0.25">
      <c r="B12" s="8" t="s">
        <v>76</v>
      </c>
      <c r="C12" s="3">
        <v>14217288</v>
      </c>
      <c r="D12" s="3" t="s">
        <v>86</v>
      </c>
      <c r="E12" s="3">
        <v>23</v>
      </c>
      <c r="F12" s="9">
        <v>0.23749999999999999</v>
      </c>
      <c r="G12" s="9">
        <v>0.49027777777777776</v>
      </c>
      <c r="H12" s="3">
        <v>330.05</v>
      </c>
    </row>
    <row r="13" spans="1:8" x14ac:dyDescent="0.25">
      <c r="B13" s="8" t="s">
        <v>76</v>
      </c>
      <c r="C13" s="3">
        <v>14216383</v>
      </c>
      <c r="D13" s="3" t="s">
        <v>87</v>
      </c>
      <c r="E13" s="3">
        <v>29</v>
      </c>
      <c r="F13" s="9">
        <v>0.1673611111111111</v>
      </c>
      <c r="G13" s="9">
        <v>0.70833333333333337</v>
      </c>
      <c r="H13" s="3">
        <v>501.93</v>
      </c>
    </row>
    <row r="14" spans="1:8" x14ac:dyDescent="0.25">
      <c r="B14" s="8" t="s">
        <v>76</v>
      </c>
      <c r="C14" s="3">
        <v>14221929</v>
      </c>
      <c r="D14" s="3" t="s">
        <v>88</v>
      </c>
      <c r="E14" s="3">
        <v>20</v>
      </c>
      <c r="F14" s="9">
        <v>8.2638888888888887E-2</v>
      </c>
      <c r="G14" s="9">
        <v>0.55069444444444449</v>
      </c>
      <c r="H14" s="3">
        <v>554.66999999999996</v>
      </c>
    </row>
    <row r="15" spans="1:8" x14ac:dyDescent="0.25">
      <c r="B15" s="8" t="s">
        <v>76</v>
      </c>
      <c r="C15" s="3">
        <v>14219642</v>
      </c>
      <c r="D15" s="3" t="s">
        <v>89</v>
      </c>
      <c r="E15" s="3">
        <v>57</v>
      </c>
      <c r="F15" s="9">
        <v>0.36180555555555555</v>
      </c>
      <c r="G15" s="9">
        <v>1.2923611111111111</v>
      </c>
      <c r="H15" s="3">
        <v>1067.57</v>
      </c>
    </row>
    <row r="16" spans="1:8" x14ac:dyDescent="0.25">
      <c r="B16" s="8" t="s">
        <v>76</v>
      </c>
      <c r="C16" s="3">
        <v>14106275</v>
      </c>
      <c r="D16" s="3" t="s">
        <v>90</v>
      </c>
      <c r="E16" s="3">
        <v>42</v>
      </c>
      <c r="F16" s="9">
        <v>0.28749999999999998</v>
      </c>
      <c r="G16" s="9">
        <v>0.64930555555555558</v>
      </c>
      <c r="H16" s="3">
        <v>302.89999999999998</v>
      </c>
    </row>
    <row r="17" spans="2:8" x14ac:dyDescent="0.25">
      <c r="B17" s="8" t="s">
        <v>76</v>
      </c>
      <c r="C17" s="3">
        <v>14222269</v>
      </c>
      <c r="D17" s="3" t="s">
        <v>91</v>
      </c>
      <c r="E17" s="3">
        <v>30</v>
      </c>
      <c r="F17" s="9">
        <v>0.33819444444444446</v>
      </c>
      <c r="G17" s="9">
        <v>1.3305555555555555</v>
      </c>
      <c r="H17" s="3">
        <v>706.44</v>
      </c>
    </row>
    <row r="18" spans="2:8" x14ac:dyDescent="0.25">
      <c r="B18" s="8" t="s">
        <v>76</v>
      </c>
      <c r="C18" s="3">
        <v>14220597</v>
      </c>
      <c r="D18" s="3" t="s">
        <v>92</v>
      </c>
      <c r="E18" s="3">
        <v>50</v>
      </c>
      <c r="F18" s="9">
        <v>0.34513888888888888</v>
      </c>
      <c r="G18" s="9">
        <v>1.7368055555555555</v>
      </c>
      <c r="H18" s="3">
        <v>1462.42</v>
      </c>
    </row>
    <row r="19" spans="2:8" x14ac:dyDescent="0.25">
      <c r="B19" s="8" t="s">
        <v>76</v>
      </c>
      <c r="C19" s="3">
        <v>14222352</v>
      </c>
      <c r="D19" s="3" t="s">
        <v>93</v>
      </c>
      <c r="E19" s="3">
        <v>85</v>
      </c>
      <c r="F19" s="9">
        <v>0.60902777777777772</v>
      </c>
      <c r="G19" s="9">
        <v>1.2402777777777778</v>
      </c>
      <c r="H19" s="3">
        <v>625.32000000000005</v>
      </c>
    </row>
    <row r="20" spans="2:8" x14ac:dyDescent="0.25">
      <c r="B20" s="8" t="s">
        <v>76</v>
      </c>
      <c r="C20" s="3">
        <v>14218655</v>
      </c>
      <c r="D20" s="3" t="s">
        <v>94</v>
      </c>
      <c r="E20" s="3">
        <v>24</v>
      </c>
      <c r="F20" s="9">
        <v>0.24444444444444444</v>
      </c>
      <c r="G20" s="9">
        <v>0.54027777777777775</v>
      </c>
      <c r="H20" s="3">
        <v>414.15</v>
      </c>
    </row>
    <row r="21" spans="2:8" x14ac:dyDescent="0.25">
      <c r="B21" s="8" t="s">
        <v>76</v>
      </c>
      <c r="C21" s="3">
        <v>14217918</v>
      </c>
      <c r="D21" s="3" t="s">
        <v>95</v>
      </c>
      <c r="E21" s="3">
        <v>30</v>
      </c>
      <c r="F21" s="9">
        <v>0.3263888888888889</v>
      </c>
      <c r="G21" s="9">
        <v>1.2465277777777777</v>
      </c>
      <c r="H21" s="3">
        <v>1191.6600000000001</v>
      </c>
    </row>
    <row r="22" spans="2:8" x14ac:dyDescent="0.25">
      <c r="B22" s="8" t="s">
        <v>76</v>
      </c>
      <c r="C22" s="3">
        <v>14220598</v>
      </c>
      <c r="D22" s="3" t="s">
        <v>96</v>
      </c>
      <c r="E22" s="3">
        <v>24</v>
      </c>
      <c r="F22" s="9">
        <v>0.15486111111111112</v>
      </c>
      <c r="G22" s="9">
        <v>0.71458333333333335</v>
      </c>
      <c r="H22" s="3">
        <v>689.59</v>
      </c>
    </row>
    <row r="23" spans="2:8" x14ac:dyDescent="0.25">
      <c r="B23" s="8" t="s">
        <v>76</v>
      </c>
      <c r="C23" s="3">
        <v>14111997</v>
      </c>
      <c r="D23" s="3" t="s">
        <v>97</v>
      </c>
      <c r="E23" s="3">
        <v>42</v>
      </c>
      <c r="F23" s="9">
        <v>0.31874999999999998</v>
      </c>
      <c r="G23" s="9">
        <v>1.2395833333333333</v>
      </c>
      <c r="H23" s="3">
        <v>1108.46</v>
      </c>
    </row>
    <row r="24" spans="2:8" x14ac:dyDescent="0.25">
      <c r="B24" s="8" t="s">
        <v>76</v>
      </c>
      <c r="C24" s="3">
        <v>14104889</v>
      </c>
      <c r="D24" s="3" t="s">
        <v>98</v>
      </c>
      <c r="E24" s="3">
        <v>3</v>
      </c>
      <c r="F24" s="9">
        <v>1.8055555555555554E-2</v>
      </c>
      <c r="G24" s="9">
        <v>3.0555555555555555E-2</v>
      </c>
      <c r="H24" s="3">
        <v>19</v>
      </c>
    </row>
    <row r="25" spans="2:8" x14ac:dyDescent="0.25">
      <c r="B25" s="8" t="s">
        <v>76</v>
      </c>
      <c r="C25" s="3">
        <v>14106276</v>
      </c>
      <c r="D25" s="3" t="s">
        <v>99</v>
      </c>
      <c r="E25" s="3">
        <v>36</v>
      </c>
      <c r="F25" s="9">
        <v>0.29305555555555557</v>
      </c>
      <c r="G25" s="9">
        <v>0.63611111111111107</v>
      </c>
      <c r="H25" s="3">
        <v>372.1</v>
      </c>
    </row>
    <row r="26" spans="2:8" x14ac:dyDescent="0.25">
      <c r="B26" s="8" t="s">
        <v>76</v>
      </c>
      <c r="C26" s="3">
        <v>14215245</v>
      </c>
      <c r="D26" s="3" t="s">
        <v>100</v>
      </c>
      <c r="E26" s="3">
        <v>15</v>
      </c>
      <c r="F26" s="9">
        <v>0.17986111111111111</v>
      </c>
      <c r="G26" s="9">
        <v>0.4236111111111111</v>
      </c>
      <c r="H26" s="3">
        <v>193.87</v>
      </c>
    </row>
    <row r="27" spans="2:8" x14ac:dyDescent="0.25">
      <c r="B27" s="8" t="s">
        <v>76</v>
      </c>
      <c r="C27" s="3">
        <v>14219361</v>
      </c>
      <c r="D27" s="3" t="s">
        <v>101</v>
      </c>
      <c r="E27" s="3">
        <v>38</v>
      </c>
      <c r="F27" s="9">
        <v>0.30902777777777779</v>
      </c>
      <c r="G27" s="9">
        <v>0.62013888888888891</v>
      </c>
      <c r="H27" s="3">
        <v>274.32</v>
      </c>
    </row>
    <row r="28" spans="2:8" x14ac:dyDescent="0.25">
      <c r="B28" s="8" t="s">
        <v>76</v>
      </c>
      <c r="C28" s="3">
        <v>14111652</v>
      </c>
      <c r="D28" s="3" t="s">
        <v>102</v>
      </c>
      <c r="E28" s="3">
        <v>34</v>
      </c>
      <c r="F28" s="9">
        <v>0.24305555555555555</v>
      </c>
      <c r="G28" s="9">
        <v>0.89583333333333337</v>
      </c>
      <c r="H28" s="3">
        <v>770.36</v>
      </c>
    </row>
    <row r="29" spans="2:8" x14ac:dyDescent="0.25">
      <c r="B29" s="8" t="s">
        <v>76</v>
      </c>
      <c r="C29" s="3">
        <v>14221253</v>
      </c>
      <c r="D29" s="3" t="s">
        <v>103</v>
      </c>
      <c r="E29" s="3">
        <v>29</v>
      </c>
      <c r="F29" s="9">
        <v>0.23680555555555555</v>
      </c>
      <c r="G29" s="9">
        <v>0.75555555555555554</v>
      </c>
      <c r="H29" s="3">
        <v>674.69</v>
      </c>
    </row>
    <row r="30" spans="2:8" x14ac:dyDescent="0.25">
      <c r="B30" s="8" t="s">
        <v>76</v>
      </c>
      <c r="C30" s="3">
        <v>14110810</v>
      </c>
      <c r="D30" s="3" t="s">
        <v>104</v>
      </c>
      <c r="E30" s="3">
        <v>38</v>
      </c>
      <c r="F30" s="9">
        <v>0.21736111111111112</v>
      </c>
      <c r="G30" s="9">
        <v>0.99791666666666667</v>
      </c>
      <c r="H30" s="3">
        <v>908.37</v>
      </c>
    </row>
    <row r="31" spans="2:8" x14ac:dyDescent="0.25">
      <c r="B31" s="8" t="s">
        <v>76</v>
      </c>
      <c r="C31" s="3">
        <v>14103513</v>
      </c>
      <c r="D31" s="3" t="s">
        <v>105</v>
      </c>
      <c r="E31" s="3">
        <v>29</v>
      </c>
      <c r="F31" s="9">
        <v>0.17569444444444443</v>
      </c>
      <c r="G31" s="9">
        <v>0.50624999999999998</v>
      </c>
      <c r="H31" s="3">
        <v>334.12</v>
      </c>
    </row>
    <row r="32" spans="2:8" x14ac:dyDescent="0.25">
      <c r="B32" s="8" t="s">
        <v>76</v>
      </c>
      <c r="C32" s="3">
        <v>14222426</v>
      </c>
      <c r="D32" s="3" t="s">
        <v>106</v>
      </c>
      <c r="E32" s="3">
        <v>44</v>
      </c>
      <c r="F32" s="9">
        <v>0.39652777777777776</v>
      </c>
      <c r="G32" s="9">
        <v>1.3111111111111111</v>
      </c>
      <c r="H32" s="3">
        <v>764.13</v>
      </c>
    </row>
    <row r="33" spans="2:8" x14ac:dyDescent="0.25">
      <c r="B33" s="8" t="s">
        <v>76</v>
      </c>
      <c r="C33" s="3">
        <v>14213371</v>
      </c>
      <c r="D33" s="3" t="s">
        <v>107</v>
      </c>
      <c r="E33" s="3">
        <v>45</v>
      </c>
      <c r="F33" s="9">
        <v>0.14583333333333334</v>
      </c>
      <c r="G33" s="9">
        <v>0.47152777777777777</v>
      </c>
      <c r="H33" s="3">
        <v>233.06</v>
      </c>
    </row>
    <row r="34" spans="2:8" x14ac:dyDescent="0.25">
      <c r="B34" s="8" t="s">
        <v>76</v>
      </c>
      <c r="C34" s="3">
        <v>14217373</v>
      </c>
      <c r="D34" s="3" t="s">
        <v>108</v>
      </c>
      <c r="E34" s="3">
        <v>17</v>
      </c>
      <c r="F34" s="9">
        <v>0.2076388888888889</v>
      </c>
      <c r="G34" s="9">
        <v>0.37013888888888891</v>
      </c>
      <c r="H34" s="3">
        <v>236.82</v>
      </c>
    </row>
    <row r="35" spans="2:8" x14ac:dyDescent="0.25">
      <c r="B35" s="8" t="s">
        <v>76</v>
      </c>
      <c r="C35" s="3">
        <v>14219234</v>
      </c>
      <c r="D35" s="3" t="s">
        <v>109</v>
      </c>
      <c r="E35" s="3">
        <v>48</v>
      </c>
      <c r="F35" s="9">
        <v>0.2722222222222222</v>
      </c>
      <c r="G35" s="9">
        <v>0.99861111111111112</v>
      </c>
      <c r="H35" s="3">
        <v>895.26</v>
      </c>
    </row>
    <row r="36" spans="2:8" x14ac:dyDescent="0.25">
      <c r="B36" s="8" t="s">
        <v>76</v>
      </c>
      <c r="C36" s="3">
        <v>14214785</v>
      </c>
      <c r="D36" s="3" t="s">
        <v>110</v>
      </c>
      <c r="E36" s="3">
        <v>11</v>
      </c>
      <c r="F36" s="9">
        <v>6.5277777777777782E-2</v>
      </c>
      <c r="G36" s="9">
        <v>4.0972222222222222E-2</v>
      </c>
      <c r="H36" s="3">
        <v>25.91</v>
      </c>
    </row>
    <row r="37" spans="2:8" x14ac:dyDescent="0.25">
      <c r="B37" s="8" t="s">
        <v>76</v>
      </c>
      <c r="C37" s="3">
        <v>14219362</v>
      </c>
      <c r="D37" s="3" t="s">
        <v>111</v>
      </c>
      <c r="E37" s="3">
        <v>182</v>
      </c>
      <c r="F37" s="9">
        <v>0.58750000000000002</v>
      </c>
      <c r="G37" s="9">
        <v>1.7993055555555555</v>
      </c>
      <c r="H37" s="3">
        <v>2102.9699999999998</v>
      </c>
    </row>
    <row r="38" spans="2:8" x14ac:dyDescent="0.25">
      <c r="B38" s="8" t="s">
        <v>76</v>
      </c>
      <c r="C38" s="3">
        <v>14110412</v>
      </c>
      <c r="D38" s="3" t="s">
        <v>112</v>
      </c>
      <c r="E38" s="3">
        <v>41</v>
      </c>
      <c r="F38" s="9">
        <v>0.17916666666666667</v>
      </c>
      <c r="G38" s="9">
        <v>0.52986111111111112</v>
      </c>
      <c r="H38" s="3">
        <v>187.64</v>
      </c>
    </row>
    <row r="39" spans="2:8" x14ac:dyDescent="0.25">
      <c r="B39" s="8" t="s">
        <v>76</v>
      </c>
      <c r="C39" s="3">
        <v>14220736</v>
      </c>
      <c r="D39" s="3" t="s">
        <v>113</v>
      </c>
      <c r="E39" s="3">
        <v>37</v>
      </c>
      <c r="F39" s="9">
        <v>0.40138888888888891</v>
      </c>
      <c r="G39" s="9">
        <v>0.75972222222222219</v>
      </c>
      <c r="H39" s="3">
        <v>443.16</v>
      </c>
    </row>
    <row r="40" spans="2:8" x14ac:dyDescent="0.25">
      <c r="B40" s="8" t="s">
        <v>76</v>
      </c>
      <c r="C40" s="3">
        <v>14111336</v>
      </c>
      <c r="D40" s="3" t="s">
        <v>114</v>
      </c>
      <c r="E40" s="3">
        <v>31</v>
      </c>
      <c r="F40" s="9">
        <v>0.2638888888888889</v>
      </c>
      <c r="G40" s="9">
        <v>0.93263888888888891</v>
      </c>
      <c r="H40" s="3">
        <v>778.52</v>
      </c>
    </row>
    <row r="41" spans="2:8" x14ac:dyDescent="0.25">
      <c r="B41" s="8" t="s">
        <v>76</v>
      </c>
      <c r="C41" s="3">
        <v>14217447</v>
      </c>
      <c r="D41" s="3" t="s">
        <v>115</v>
      </c>
      <c r="E41" s="3">
        <v>30</v>
      </c>
      <c r="F41" s="9">
        <v>0.2722222222222222</v>
      </c>
      <c r="G41" s="9">
        <v>0.68333333333333335</v>
      </c>
      <c r="H41" s="3">
        <v>478.67</v>
      </c>
    </row>
    <row r="42" spans="2:8" x14ac:dyDescent="0.25">
      <c r="B42" s="8" t="s">
        <v>76</v>
      </c>
      <c r="C42" s="3">
        <v>14213524</v>
      </c>
      <c r="D42" s="3" t="s">
        <v>116</v>
      </c>
      <c r="E42" s="3">
        <v>54</v>
      </c>
      <c r="F42" s="9">
        <v>0.23333333333333334</v>
      </c>
      <c r="G42" s="9">
        <v>0.82777777777777772</v>
      </c>
      <c r="H42" s="3">
        <v>425.02</v>
      </c>
    </row>
    <row r="43" spans="2:8" x14ac:dyDescent="0.25">
      <c r="B43" s="8" t="s">
        <v>76</v>
      </c>
      <c r="C43" s="3">
        <v>14106954</v>
      </c>
      <c r="D43" s="3" t="s">
        <v>117</v>
      </c>
      <c r="E43" s="3">
        <v>33</v>
      </c>
      <c r="F43" s="9">
        <v>0.24027777777777778</v>
      </c>
      <c r="G43" s="9">
        <v>0.60624999999999996</v>
      </c>
      <c r="H43" s="3">
        <v>231.84</v>
      </c>
    </row>
    <row r="44" spans="2:8" x14ac:dyDescent="0.25">
      <c r="B44" s="8" t="s">
        <v>76</v>
      </c>
      <c r="C44" s="3">
        <v>14221358</v>
      </c>
      <c r="D44" s="3" t="s">
        <v>118</v>
      </c>
      <c r="E44" s="3">
        <v>33</v>
      </c>
      <c r="F44" s="9">
        <v>0.1736111111111111</v>
      </c>
      <c r="G44" s="9">
        <v>0.52430555555555558</v>
      </c>
      <c r="H44" s="3">
        <v>190.98</v>
      </c>
    </row>
    <row r="45" spans="2:8" x14ac:dyDescent="0.25">
      <c r="B45" s="8" t="s">
        <v>76</v>
      </c>
      <c r="C45" s="3">
        <v>14222163</v>
      </c>
      <c r="D45" s="3" t="s">
        <v>119</v>
      </c>
      <c r="E45" s="3">
        <v>47</v>
      </c>
      <c r="F45" s="9">
        <v>0.23194444444444445</v>
      </c>
      <c r="G45" s="9">
        <v>0.91805555555555551</v>
      </c>
      <c r="H45" s="3">
        <v>762.29</v>
      </c>
    </row>
    <row r="46" spans="2:8" x14ac:dyDescent="0.25">
      <c r="B46" s="8" t="s">
        <v>76</v>
      </c>
      <c r="D46" s="3" t="s">
        <v>120</v>
      </c>
      <c r="E46" s="3">
        <v>3</v>
      </c>
      <c r="F46" s="9">
        <v>2.7777777777777779E-3</v>
      </c>
      <c r="G46" s="9">
        <v>3.4027777777777775E-2</v>
      </c>
      <c r="H46" s="3">
        <v>47.52</v>
      </c>
    </row>
    <row r="47" spans="2:8" x14ac:dyDescent="0.25">
      <c r="B47" s="8" t="s">
        <v>76</v>
      </c>
      <c r="D47" s="3" t="s">
        <v>121</v>
      </c>
      <c r="E47" s="3">
        <v>2</v>
      </c>
      <c r="F47" s="9">
        <v>6.2500000000000003E-3</v>
      </c>
      <c r="G47" s="9">
        <v>4.8611111111111112E-2</v>
      </c>
      <c r="H47" s="3">
        <v>54.55</v>
      </c>
    </row>
    <row r="48" spans="2:8" x14ac:dyDescent="0.25">
      <c r="B48" s="8" t="s">
        <v>76</v>
      </c>
      <c r="D48" s="3" t="s">
        <v>122</v>
      </c>
      <c r="E48" s="3">
        <v>8</v>
      </c>
      <c r="F48" s="9">
        <v>4.0972222222222222E-2</v>
      </c>
      <c r="G48" s="9">
        <v>0.11736111111111111</v>
      </c>
      <c r="H48" s="3">
        <v>92.9</v>
      </c>
    </row>
    <row r="49" spans="2:8" x14ac:dyDescent="0.25">
      <c r="B49" s="8" t="s">
        <v>76</v>
      </c>
      <c r="D49" s="3" t="s">
        <v>123</v>
      </c>
      <c r="E49" s="3">
        <v>5</v>
      </c>
      <c r="F49" s="9">
        <v>1.8749999999999999E-2</v>
      </c>
      <c r="G49" s="9">
        <v>9.2361111111111116E-2</v>
      </c>
      <c r="H49" s="3">
        <v>100.08</v>
      </c>
    </row>
    <row r="50" spans="2:8" x14ac:dyDescent="0.25">
      <c r="B50" s="8" t="s">
        <v>76</v>
      </c>
      <c r="D50" s="3" t="s">
        <v>124</v>
      </c>
      <c r="E50" s="3">
        <v>4</v>
      </c>
      <c r="F50" s="9">
        <v>1.7361111111111112E-2</v>
      </c>
      <c r="G50" s="9">
        <v>4.8611111111111112E-2</v>
      </c>
      <c r="H50" s="3">
        <v>46.65</v>
      </c>
    </row>
    <row r="51" spans="2:8" x14ac:dyDescent="0.25">
      <c r="B51" s="8" t="s">
        <v>76</v>
      </c>
      <c r="D51" s="3" t="s">
        <v>125</v>
      </c>
      <c r="E51" s="3">
        <v>4</v>
      </c>
      <c r="F51" s="9">
        <v>1.3888888888888888E-2</v>
      </c>
      <c r="G51" s="9">
        <v>9.8611111111111108E-2</v>
      </c>
      <c r="H51" s="3">
        <v>108.53</v>
      </c>
    </row>
    <row r="52" spans="2:8" x14ac:dyDescent="0.25">
      <c r="B52" s="8" t="s">
        <v>76</v>
      </c>
      <c r="D52" s="3" t="s">
        <v>126</v>
      </c>
      <c r="E52" s="3">
        <v>1</v>
      </c>
      <c r="F52" s="9">
        <v>3.472222222222222E-3</v>
      </c>
      <c r="G52" s="9">
        <v>2.0833333333333333E-3</v>
      </c>
      <c r="H52" s="3">
        <v>0.49</v>
      </c>
    </row>
    <row r="53" spans="2:8" x14ac:dyDescent="0.25">
      <c r="B53" s="8" t="s">
        <v>76</v>
      </c>
      <c r="D53" s="3" t="s">
        <v>127</v>
      </c>
      <c r="E53" s="3">
        <v>1</v>
      </c>
      <c r="F53" s="9">
        <v>1.5277777777777777E-2</v>
      </c>
      <c r="G53" s="9">
        <v>5.9722222222222225E-2</v>
      </c>
      <c r="H53" s="3">
        <v>68.7</v>
      </c>
    </row>
    <row r="54" spans="2:8" x14ac:dyDescent="0.25">
      <c r="B54" s="8" t="s">
        <v>76</v>
      </c>
      <c r="D54" s="3" t="s">
        <v>128</v>
      </c>
      <c r="E54" s="3">
        <v>5</v>
      </c>
      <c r="F54" s="9">
        <v>3.4722222222222224E-2</v>
      </c>
      <c r="G54" s="9">
        <v>0.12430555555555556</v>
      </c>
      <c r="H54" s="3">
        <v>112.3</v>
      </c>
    </row>
    <row r="55" spans="2:8" x14ac:dyDescent="0.25">
      <c r="B55" s="8" t="s">
        <v>76</v>
      </c>
      <c r="D55" s="3" t="s">
        <v>129</v>
      </c>
      <c r="E55" s="3">
        <v>5</v>
      </c>
      <c r="F55" s="9">
        <v>4.8611111111111112E-3</v>
      </c>
      <c r="G55" s="9">
        <v>6.0416666666666667E-2</v>
      </c>
      <c r="H55" s="3">
        <v>59.44</v>
      </c>
    </row>
    <row r="56" spans="2:8" x14ac:dyDescent="0.25">
      <c r="B56" s="8" t="s">
        <v>76</v>
      </c>
      <c r="C56" s="3">
        <v>14218381</v>
      </c>
      <c r="D56" s="3" t="s">
        <v>130</v>
      </c>
      <c r="E56" s="3">
        <v>32</v>
      </c>
      <c r="F56" s="9">
        <v>0.27708333333333335</v>
      </c>
      <c r="G56" s="9">
        <v>0.75069444444444444</v>
      </c>
      <c r="H56" s="3">
        <v>446.44</v>
      </c>
    </row>
    <row r="57" spans="2:8" x14ac:dyDescent="0.25">
      <c r="B57" s="8" t="s">
        <v>76</v>
      </c>
      <c r="C57" s="3">
        <v>14111999</v>
      </c>
      <c r="D57" s="3" t="s">
        <v>131</v>
      </c>
      <c r="E57" s="3">
        <v>38</v>
      </c>
      <c r="F57" s="9">
        <v>0.19097222222222221</v>
      </c>
      <c r="G57" s="9">
        <v>1.0090277777777779</v>
      </c>
      <c r="H57" s="3">
        <v>802.11</v>
      </c>
    </row>
    <row r="58" spans="2:8" x14ac:dyDescent="0.25">
      <c r="B58" s="8" t="s">
        <v>76</v>
      </c>
      <c r="C58" s="3">
        <v>14213259</v>
      </c>
      <c r="D58" s="3" t="s">
        <v>132</v>
      </c>
      <c r="E58" s="3">
        <v>58</v>
      </c>
      <c r="F58" s="9">
        <v>0.39652777777777776</v>
      </c>
      <c r="G58" s="9">
        <v>1.4090277777777778</v>
      </c>
      <c r="H58" s="3">
        <v>1087.04</v>
      </c>
    </row>
    <row r="59" spans="2:8" x14ac:dyDescent="0.25">
      <c r="B59" s="8" t="s">
        <v>76</v>
      </c>
      <c r="C59" s="3">
        <v>14221966</v>
      </c>
      <c r="D59" s="3" t="s">
        <v>133</v>
      </c>
      <c r="E59" s="3">
        <v>34</v>
      </c>
      <c r="F59" s="9">
        <v>0.2298611111111111</v>
      </c>
      <c r="G59" s="9">
        <v>0.77638888888888891</v>
      </c>
      <c r="H59" s="3">
        <v>552.22</v>
      </c>
    </row>
    <row r="60" spans="2:8" x14ac:dyDescent="0.25">
      <c r="B60" s="8" t="s">
        <v>76</v>
      </c>
      <c r="C60" s="3">
        <v>14217374</v>
      </c>
      <c r="D60" s="3" t="s">
        <v>134</v>
      </c>
      <c r="E60" s="3">
        <v>34</v>
      </c>
      <c r="F60" s="9">
        <v>0.29375000000000001</v>
      </c>
      <c r="G60" s="9">
        <v>0.95416666666666672</v>
      </c>
      <c r="H60" s="3">
        <v>478.61</v>
      </c>
    </row>
    <row r="61" spans="2:8" x14ac:dyDescent="0.25">
      <c r="B61" s="8" t="s">
        <v>76</v>
      </c>
      <c r="C61" s="3">
        <v>14108047</v>
      </c>
      <c r="D61" s="3" t="s">
        <v>135</v>
      </c>
      <c r="E61" s="3">
        <v>16</v>
      </c>
      <c r="F61" s="9">
        <v>9.3055555555555558E-2</v>
      </c>
      <c r="G61" s="9">
        <v>0.24444444444444444</v>
      </c>
      <c r="H61" s="3">
        <v>186.87</v>
      </c>
    </row>
    <row r="62" spans="2:8" x14ac:dyDescent="0.25">
      <c r="B62" s="8" t="s">
        <v>76</v>
      </c>
      <c r="C62" s="3">
        <v>14106267</v>
      </c>
      <c r="D62" s="3" t="s">
        <v>136</v>
      </c>
      <c r="E62" s="3">
        <v>39</v>
      </c>
      <c r="F62" s="9">
        <v>0.1451388888888889</v>
      </c>
      <c r="G62" s="9">
        <v>0.95486111111111116</v>
      </c>
      <c r="H62" s="3">
        <v>532.04</v>
      </c>
    </row>
    <row r="63" spans="2:8" x14ac:dyDescent="0.25">
      <c r="B63" s="8" t="s">
        <v>76</v>
      </c>
      <c r="C63" s="3">
        <v>14111321</v>
      </c>
      <c r="D63" s="3" t="s">
        <v>137</v>
      </c>
      <c r="E63" s="3">
        <v>25</v>
      </c>
      <c r="F63" s="9">
        <v>0.19027777777777777</v>
      </c>
      <c r="G63" s="9">
        <v>0.34652777777777777</v>
      </c>
      <c r="H63" s="3">
        <v>198.97</v>
      </c>
    </row>
    <row r="64" spans="2:8" x14ac:dyDescent="0.25">
      <c r="B64" s="8" t="s">
        <v>76</v>
      </c>
      <c r="C64" s="3">
        <v>14102637</v>
      </c>
      <c r="D64" s="3" t="s">
        <v>138</v>
      </c>
      <c r="E64" s="3">
        <v>37</v>
      </c>
      <c r="F64" s="9">
        <v>0.31805555555555554</v>
      </c>
      <c r="G64" s="9">
        <v>0.85902777777777772</v>
      </c>
      <c r="H64" s="3">
        <v>407.67</v>
      </c>
    </row>
    <row r="65" spans="2:8" x14ac:dyDescent="0.25">
      <c r="B65" s="8" t="s">
        <v>76</v>
      </c>
      <c r="C65" s="3">
        <v>14102638</v>
      </c>
      <c r="D65" s="3" t="s">
        <v>139</v>
      </c>
      <c r="E65" s="3">
        <v>36</v>
      </c>
      <c r="F65" s="9">
        <v>0.15277777777777779</v>
      </c>
      <c r="G65" s="9">
        <v>0.7729166666666667</v>
      </c>
      <c r="H65" s="3">
        <v>485.34</v>
      </c>
    </row>
    <row r="66" spans="2:8" x14ac:dyDescent="0.25">
      <c r="B66" s="8" t="s">
        <v>76</v>
      </c>
      <c r="C66" s="3">
        <v>14218735</v>
      </c>
      <c r="D66" s="3" t="s">
        <v>140</v>
      </c>
      <c r="E66" s="3">
        <v>33</v>
      </c>
      <c r="F66" s="9">
        <v>9.0972222222222218E-2</v>
      </c>
      <c r="G66" s="9">
        <v>0.90208333333333335</v>
      </c>
      <c r="H66" s="3">
        <v>691.5</v>
      </c>
    </row>
    <row r="67" spans="2:8" x14ac:dyDescent="0.25">
      <c r="B67" s="8" t="s">
        <v>76</v>
      </c>
      <c r="C67" s="3">
        <v>14220077</v>
      </c>
      <c r="D67" s="3" t="s">
        <v>141</v>
      </c>
      <c r="E67" s="3">
        <v>40</v>
      </c>
      <c r="F67" s="9">
        <v>0.26458333333333334</v>
      </c>
      <c r="G67" s="9">
        <v>0.93263888888888891</v>
      </c>
      <c r="H67" s="3">
        <v>663.23</v>
      </c>
    </row>
    <row r="68" spans="2:8" x14ac:dyDescent="0.25">
      <c r="B68" s="8" t="s">
        <v>76</v>
      </c>
      <c r="C68" s="3">
        <v>14216692</v>
      </c>
      <c r="D68" s="3" t="s">
        <v>142</v>
      </c>
      <c r="E68" s="3">
        <v>53</v>
      </c>
      <c r="F68" s="9">
        <v>0.26874999999999999</v>
      </c>
      <c r="G68" s="9">
        <v>1.1944444444444444</v>
      </c>
      <c r="H68" s="3">
        <v>1115.71</v>
      </c>
    </row>
    <row r="69" spans="2:8" x14ac:dyDescent="0.25">
      <c r="B69" s="8" t="s">
        <v>76</v>
      </c>
      <c r="C69" s="3">
        <v>14220985</v>
      </c>
      <c r="D69" s="3" t="s">
        <v>143</v>
      </c>
      <c r="E69" s="3">
        <v>51</v>
      </c>
      <c r="F69" s="9">
        <v>0.24861111111111112</v>
      </c>
      <c r="G69" s="9">
        <v>0.79027777777777775</v>
      </c>
      <c r="H69" s="3">
        <v>570.20000000000005</v>
      </c>
    </row>
    <row r="70" spans="2:8" x14ac:dyDescent="0.25">
      <c r="B70" s="8" t="s">
        <v>76</v>
      </c>
      <c r="C70" s="3">
        <v>14213028</v>
      </c>
      <c r="D70" s="3" t="s">
        <v>144</v>
      </c>
      <c r="E70" s="3">
        <v>48</v>
      </c>
      <c r="F70" s="9">
        <v>0.22222222222222221</v>
      </c>
      <c r="G70" s="9">
        <v>0.48958333333333331</v>
      </c>
      <c r="H70" s="3">
        <v>217.75</v>
      </c>
    </row>
    <row r="71" spans="2:8" x14ac:dyDescent="0.25">
      <c r="B71" s="8" t="s">
        <v>76</v>
      </c>
      <c r="C71" s="3">
        <v>14106273</v>
      </c>
      <c r="D71" s="3" t="s">
        <v>145</v>
      </c>
      <c r="E71" s="3">
        <v>44</v>
      </c>
      <c r="F71" s="9">
        <v>0.26597222222222222</v>
      </c>
      <c r="G71" s="9">
        <v>0.64513888888888893</v>
      </c>
      <c r="H71" s="3">
        <v>432.04</v>
      </c>
    </row>
    <row r="72" spans="2:8" x14ac:dyDescent="0.25">
      <c r="B72" s="8" t="s">
        <v>76</v>
      </c>
      <c r="C72" s="3">
        <v>14220693</v>
      </c>
      <c r="D72" s="3" t="s">
        <v>146</v>
      </c>
      <c r="E72" s="3">
        <v>26</v>
      </c>
      <c r="F72" s="9">
        <v>0.44513888888888886</v>
      </c>
      <c r="G72" s="9">
        <v>0.63194444444444442</v>
      </c>
      <c r="H72" s="3">
        <v>457.99</v>
      </c>
    </row>
    <row r="73" spans="2:8" x14ac:dyDescent="0.25">
      <c r="B73" s="8" t="s">
        <v>76</v>
      </c>
      <c r="C73" s="3">
        <v>14100913</v>
      </c>
      <c r="D73" s="3" t="s">
        <v>147</v>
      </c>
      <c r="E73" s="3">
        <v>22</v>
      </c>
      <c r="F73" s="9">
        <v>0.24652777777777779</v>
      </c>
      <c r="G73" s="9">
        <v>0.90833333333333333</v>
      </c>
      <c r="H73" s="3">
        <v>805.16</v>
      </c>
    </row>
    <row r="74" spans="2:8" x14ac:dyDescent="0.25">
      <c r="B74" s="8" t="s">
        <v>76</v>
      </c>
      <c r="C74" s="3">
        <v>14221054</v>
      </c>
      <c r="D74" s="3" t="s">
        <v>148</v>
      </c>
      <c r="E74" s="3">
        <v>43</v>
      </c>
      <c r="F74" s="9">
        <v>0.13402777777777777</v>
      </c>
      <c r="G74" s="9">
        <v>0.78611111111111109</v>
      </c>
      <c r="H74" s="3">
        <v>531.33000000000004</v>
      </c>
    </row>
    <row r="75" spans="2:8" x14ac:dyDescent="0.25">
      <c r="B75" s="8" t="s">
        <v>76</v>
      </c>
      <c r="C75" s="3">
        <v>14111447</v>
      </c>
      <c r="D75" s="3" t="s">
        <v>149</v>
      </c>
      <c r="E75" s="3">
        <v>38</v>
      </c>
      <c r="F75" s="9">
        <v>0.1736111111111111</v>
      </c>
      <c r="G75" s="9">
        <v>0.70347222222222228</v>
      </c>
      <c r="H75" s="3">
        <v>472.56</v>
      </c>
    </row>
    <row r="76" spans="2:8" x14ac:dyDescent="0.25">
      <c r="B76" s="8" t="s">
        <v>76</v>
      </c>
      <c r="C76" s="3">
        <v>14111633</v>
      </c>
      <c r="D76" s="3" t="s">
        <v>150</v>
      </c>
      <c r="E76" s="3">
        <v>40</v>
      </c>
      <c r="F76" s="9">
        <v>0.2013888888888889</v>
      </c>
      <c r="G76" s="9">
        <v>0.84722222222222221</v>
      </c>
      <c r="H76" s="3">
        <v>550.52</v>
      </c>
    </row>
    <row r="77" spans="2:8" x14ac:dyDescent="0.25">
      <c r="B77" s="8" t="s">
        <v>76</v>
      </c>
      <c r="C77" s="3">
        <v>14108533</v>
      </c>
      <c r="D77" s="3" t="s">
        <v>151</v>
      </c>
      <c r="E77" s="3">
        <v>29</v>
      </c>
      <c r="F77" s="9">
        <v>0.15277777777777779</v>
      </c>
      <c r="G77" s="9">
        <v>0.43611111111111112</v>
      </c>
      <c r="H77" s="3">
        <v>193.22</v>
      </c>
    </row>
    <row r="78" spans="2:8" x14ac:dyDescent="0.25">
      <c r="B78" s="8" t="s">
        <v>76</v>
      </c>
      <c r="C78" s="3">
        <v>14222208</v>
      </c>
      <c r="D78" s="3" t="s">
        <v>152</v>
      </c>
      <c r="E78" s="3">
        <v>31</v>
      </c>
      <c r="F78" s="9">
        <v>0.22361111111111112</v>
      </c>
      <c r="G78" s="9">
        <v>0.81319444444444444</v>
      </c>
      <c r="H78" s="3">
        <v>652</v>
      </c>
    </row>
    <row r="79" spans="2:8" x14ac:dyDescent="0.25">
      <c r="B79" s="8" t="s">
        <v>76</v>
      </c>
      <c r="C79" s="3">
        <v>14222206</v>
      </c>
      <c r="D79" s="3" t="s">
        <v>153</v>
      </c>
      <c r="E79" s="3">
        <v>27</v>
      </c>
      <c r="F79" s="9">
        <v>0.29305555555555557</v>
      </c>
      <c r="G79" s="9">
        <v>0.87013888888888891</v>
      </c>
      <c r="H79" s="3">
        <v>706.66</v>
      </c>
    </row>
    <row r="80" spans="2:8" x14ac:dyDescent="0.25">
      <c r="B80" s="8" t="s">
        <v>76</v>
      </c>
      <c r="C80" s="3">
        <v>14221591</v>
      </c>
      <c r="D80" s="3" t="s">
        <v>154</v>
      </c>
      <c r="E80" s="3">
        <v>25</v>
      </c>
      <c r="F80" s="9">
        <v>0.24722222222222223</v>
      </c>
      <c r="G80" s="9">
        <v>0.78333333333333333</v>
      </c>
      <c r="H80" s="3">
        <v>377.13</v>
      </c>
    </row>
    <row r="81" spans="2:8" x14ac:dyDescent="0.25">
      <c r="B81" s="8" t="s">
        <v>76</v>
      </c>
      <c r="C81" s="3">
        <v>14106642</v>
      </c>
      <c r="D81" s="3" t="s">
        <v>155</v>
      </c>
      <c r="E81" s="3">
        <v>31</v>
      </c>
      <c r="F81" s="9">
        <v>0.11666666666666667</v>
      </c>
      <c r="G81" s="9">
        <v>0.47638888888888886</v>
      </c>
      <c r="H81" s="3">
        <v>224.96</v>
      </c>
    </row>
    <row r="82" spans="2:8" x14ac:dyDescent="0.25">
      <c r="B82" s="8" t="s">
        <v>76</v>
      </c>
      <c r="C82" s="3">
        <v>14222082</v>
      </c>
      <c r="D82" s="3" t="s">
        <v>156</v>
      </c>
      <c r="E82" s="3">
        <v>42</v>
      </c>
      <c r="F82" s="9">
        <v>0.15347222222222223</v>
      </c>
      <c r="G82" s="9">
        <v>0.93263888888888891</v>
      </c>
      <c r="H82" s="3">
        <v>823.75</v>
      </c>
    </row>
    <row r="83" spans="2:8" x14ac:dyDescent="0.25">
      <c r="B83" s="8" t="s">
        <v>76</v>
      </c>
      <c r="C83" s="3">
        <v>14216357</v>
      </c>
      <c r="D83" s="3" t="s">
        <v>157</v>
      </c>
      <c r="E83" s="3">
        <v>38</v>
      </c>
      <c r="F83" s="9">
        <v>0.11597222222222223</v>
      </c>
      <c r="G83" s="9">
        <v>0.47430555555555554</v>
      </c>
      <c r="H83" s="3">
        <v>264.97000000000003</v>
      </c>
    </row>
    <row r="84" spans="2:8" x14ac:dyDescent="0.25">
      <c r="B84" s="8" t="s">
        <v>76</v>
      </c>
      <c r="C84" s="3">
        <v>14106270</v>
      </c>
      <c r="D84" s="3" t="s">
        <v>158</v>
      </c>
      <c r="E84" s="3">
        <v>7</v>
      </c>
      <c r="F84" s="9">
        <v>0.05</v>
      </c>
      <c r="G84" s="9">
        <v>0.1076388888888889</v>
      </c>
      <c r="H84" s="3">
        <v>57.14</v>
      </c>
    </row>
    <row r="85" spans="2:8" x14ac:dyDescent="0.25">
      <c r="B85" s="8" t="s">
        <v>76</v>
      </c>
      <c r="C85" s="3">
        <v>14221918</v>
      </c>
      <c r="D85" s="3" t="s">
        <v>159</v>
      </c>
      <c r="E85" s="3">
        <v>44</v>
      </c>
      <c r="F85" s="9">
        <v>0.31458333333333333</v>
      </c>
      <c r="G85" s="9">
        <v>0.82499999999999996</v>
      </c>
      <c r="H85" s="3">
        <v>344.72</v>
      </c>
    </row>
    <row r="86" spans="2:8" x14ac:dyDescent="0.25">
      <c r="B86" s="8" t="s">
        <v>76</v>
      </c>
      <c r="C86" s="3">
        <v>14103046</v>
      </c>
      <c r="D86" s="3" t="s">
        <v>160</v>
      </c>
      <c r="E86" s="3">
        <v>49</v>
      </c>
      <c r="F86" s="9">
        <v>0.25486111111111109</v>
      </c>
      <c r="G86" s="9">
        <v>0.97013888888888888</v>
      </c>
      <c r="H86" s="3">
        <v>1020.16</v>
      </c>
    </row>
    <row r="87" spans="2:8" x14ac:dyDescent="0.25">
      <c r="B87" s="8" t="s">
        <v>76</v>
      </c>
      <c r="C87" s="3">
        <v>14221965</v>
      </c>
      <c r="D87" s="3" t="s">
        <v>161</v>
      </c>
      <c r="E87" s="3">
        <v>32</v>
      </c>
      <c r="F87" s="9">
        <v>0.26527777777777778</v>
      </c>
      <c r="G87" s="9">
        <v>0.89930555555555558</v>
      </c>
      <c r="H87" s="3">
        <v>712.5</v>
      </c>
    </row>
    <row r="88" spans="2:8" x14ac:dyDescent="0.25">
      <c r="B88" s="8" t="s">
        <v>76</v>
      </c>
      <c r="C88" s="3">
        <v>14112528</v>
      </c>
      <c r="D88" s="3" t="s">
        <v>162</v>
      </c>
      <c r="E88" s="3">
        <v>34</v>
      </c>
      <c r="F88" s="9">
        <v>0.24236111111111111</v>
      </c>
      <c r="G88" s="9">
        <v>0.54583333333333328</v>
      </c>
      <c r="H88" s="3">
        <v>382.78</v>
      </c>
    </row>
    <row r="89" spans="2:8" x14ac:dyDescent="0.25">
      <c r="B89" s="8" t="s">
        <v>76</v>
      </c>
      <c r="C89" s="3">
        <v>14106257</v>
      </c>
      <c r="D89" s="3" t="s">
        <v>163</v>
      </c>
      <c r="E89" s="3">
        <v>29</v>
      </c>
      <c r="F89" s="9">
        <v>0.44166666666666665</v>
      </c>
      <c r="G89" s="9">
        <v>1.64375</v>
      </c>
      <c r="H89" s="3">
        <v>1666.86</v>
      </c>
    </row>
  </sheetData>
  <autoFilter ref="A2:H443" xr:uid="{4C058BF6-C08E-4AF3-B633-FE161F7D4041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827C-898C-41F7-9888-C39C86A73C9D}">
  <sheetPr>
    <tabColor rgb="FF1E3D59"/>
  </sheetPr>
  <dimension ref="B1:J6500"/>
  <sheetViews>
    <sheetView zoomScaleNormal="100" workbookViewId="0">
      <selection activeCell="B3" sqref="B3:D335"/>
    </sheetView>
  </sheetViews>
  <sheetFormatPr baseColWidth="10" defaultColWidth="11.42578125" defaultRowHeight="15" x14ac:dyDescent="0.25"/>
  <cols>
    <col min="2" max="2" width="40.140625" bestFit="1" customWidth="1"/>
    <col min="3" max="3" width="32.42578125" bestFit="1" customWidth="1"/>
    <col min="4" max="4" width="20.7109375" customWidth="1"/>
    <col min="5" max="5" width="16.28515625" customWidth="1"/>
    <col min="6" max="6" width="43" bestFit="1" customWidth="1"/>
    <col min="9" max="9" width="37.28515625" bestFit="1" customWidth="1"/>
    <col min="10" max="10" width="16.7109375" customWidth="1"/>
  </cols>
  <sheetData>
    <row r="1" spans="2:10" x14ac:dyDescent="0.25">
      <c r="B1" s="5" t="s">
        <v>11</v>
      </c>
      <c r="C1" s="5" t="s">
        <v>16</v>
      </c>
      <c r="D1" s="5" t="s">
        <v>17</v>
      </c>
      <c r="E1" s="1"/>
      <c r="I1" s="17" t="s">
        <v>18</v>
      </c>
      <c r="J1" s="17"/>
    </row>
    <row r="2" spans="2:10" x14ac:dyDescent="0.25"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I2" s="5" t="s">
        <v>24</v>
      </c>
      <c r="J2" s="5" t="s">
        <v>22</v>
      </c>
    </row>
    <row r="3" spans="2:10" x14ac:dyDescent="0.25">
      <c r="B3" s="3" t="s">
        <v>77</v>
      </c>
      <c r="C3" s="3" t="s">
        <v>42</v>
      </c>
      <c r="D3" s="3">
        <v>1</v>
      </c>
      <c r="E3" s="3" t="str">
        <f t="shared" ref="E3" si="0">VLOOKUP(C3,I:J,2,0)</f>
        <v>FrMed</v>
      </c>
      <c r="F3" s="3" t="str">
        <f t="shared" ref="F3" si="1">E3&amp;" "&amp;B3</f>
        <v>FrMed ABARCA MARQUEZ JORGE ABRAHAM</v>
      </c>
      <c r="I3" s="2" t="s">
        <v>25</v>
      </c>
      <c r="J3" s="3" t="s">
        <v>26</v>
      </c>
    </row>
    <row r="4" spans="2:10" x14ac:dyDescent="0.25">
      <c r="B4" s="3" t="s">
        <v>77</v>
      </c>
      <c r="C4" s="3" t="s">
        <v>57</v>
      </c>
      <c r="D4" s="3">
        <v>3</v>
      </c>
      <c r="E4" s="3" t="str">
        <f t="shared" ref="E4:E67" si="2">VLOOKUP(C4,I:J,2,0)</f>
        <v>GirBajo</v>
      </c>
      <c r="F4" s="3" t="str">
        <f>E4&amp;" "&amp;B4</f>
        <v>GirBajo ABARCA MARQUEZ JORGE ABRAHAM</v>
      </c>
      <c r="I4" s="2" t="s">
        <v>27</v>
      </c>
      <c r="J4" s="3" t="s">
        <v>28</v>
      </c>
    </row>
    <row r="5" spans="2:10" x14ac:dyDescent="0.25">
      <c r="B5" s="3" t="s">
        <v>77</v>
      </c>
      <c r="C5" s="3" t="s">
        <v>52</v>
      </c>
      <c r="D5" s="3">
        <v>5</v>
      </c>
      <c r="E5" s="3" t="str">
        <f t="shared" si="2"/>
        <v>GirBajo</v>
      </c>
      <c r="F5" s="3" t="str">
        <f>E5&amp;" "&amp;B5</f>
        <v>GirBajo ABARCA MARQUEZ JORGE ABRAHAM</v>
      </c>
      <c r="I5" s="4" t="s">
        <v>29</v>
      </c>
      <c r="J5" s="3"/>
    </row>
    <row r="6" spans="2:10" x14ac:dyDescent="0.25">
      <c r="B6" s="3" t="s">
        <v>77</v>
      </c>
      <c r="C6" s="3" t="s">
        <v>54</v>
      </c>
      <c r="D6" s="3">
        <v>2</v>
      </c>
      <c r="E6" s="3" t="str">
        <f t="shared" si="2"/>
        <v>GirMed</v>
      </c>
      <c r="F6" s="3" t="str">
        <f>E6&amp;" "&amp;B6</f>
        <v>GirMed ABARCA MARQUEZ JORGE ABRAHAM</v>
      </c>
      <c r="I6" s="4" t="s">
        <v>30</v>
      </c>
      <c r="J6" s="3"/>
    </row>
    <row r="7" spans="2:10" x14ac:dyDescent="0.25">
      <c r="B7" s="3" t="s">
        <v>78</v>
      </c>
      <c r="C7" s="3" t="s">
        <v>25</v>
      </c>
      <c r="D7" s="3">
        <v>2</v>
      </c>
      <c r="E7" s="3" t="str">
        <f t="shared" si="2"/>
        <v>AcAlto</v>
      </c>
      <c r="F7" s="3" t="str">
        <f t="shared" ref="F7:F67" si="3">E7&amp;" "&amp;B7</f>
        <v>AcAlto ALONSO ALVA JESUS ALBERTO</v>
      </c>
      <c r="I7" s="4" t="s">
        <v>31</v>
      </c>
      <c r="J7" s="3"/>
    </row>
    <row r="8" spans="2:10" x14ac:dyDescent="0.25">
      <c r="B8" s="3" t="s">
        <v>78</v>
      </c>
      <c r="C8" s="3" t="s">
        <v>57</v>
      </c>
      <c r="D8" s="3">
        <v>10</v>
      </c>
      <c r="E8" s="3" t="str">
        <f t="shared" si="2"/>
        <v>GirBajo</v>
      </c>
      <c r="F8" s="3" t="str">
        <f t="shared" si="3"/>
        <v>GirBajo ALONSO ALVA JESUS ALBERTO</v>
      </c>
      <c r="I8" s="4" t="s">
        <v>32</v>
      </c>
      <c r="J8" s="3"/>
    </row>
    <row r="9" spans="2:10" x14ac:dyDescent="0.25">
      <c r="B9" s="3" t="s">
        <v>78</v>
      </c>
      <c r="C9" s="3" t="s">
        <v>58</v>
      </c>
      <c r="D9" s="3">
        <v>2</v>
      </c>
      <c r="E9" s="3" t="str">
        <f t="shared" si="2"/>
        <v>GirMed</v>
      </c>
      <c r="F9" s="3" t="str">
        <f t="shared" si="3"/>
        <v>GirMed ALONSO ALVA JESUS ALBERTO</v>
      </c>
      <c r="I9" s="4" t="s">
        <v>33</v>
      </c>
      <c r="J9" s="3"/>
    </row>
    <row r="10" spans="2:10" x14ac:dyDescent="0.25">
      <c r="B10" s="3" t="s">
        <v>78</v>
      </c>
      <c r="C10" s="3" t="s">
        <v>46</v>
      </c>
      <c r="D10" s="3">
        <v>67</v>
      </c>
      <c r="E10" s="3" t="str">
        <f t="shared" si="2"/>
        <v>VelBajo</v>
      </c>
      <c r="F10" s="3" t="str">
        <f t="shared" si="3"/>
        <v>VelBajo ALONSO ALVA JESUS ALBERTO</v>
      </c>
      <c r="I10" s="4" t="s">
        <v>34</v>
      </c>
      <c r="J10" s="3"/>
    </row>
    <row r="11" spans="2:10" x14ac:dyDescent="0.25">
      <c r="B11" s="3" t="s">
        <v>79</v>
      </c>
      <c r="C11" s="3" t="s">
        <v>25</v>
      </c>
      <c r="D11" s="3">
        <v>6</v>
      </c>
      <c r="E11" s="3" t="str">
        <f t="shared" si="2"/>
        <v>AcAlto</v>
      </c>
      <c r="F11" s="3" t="str">
        <f t="shared" si="3"/>
        <v>AcAlto ANGUIANO JIMENEZ JUAN MANUEL</v>
      </c>
      <c r="I11" s="4" t="s">
        <v>35</v>
      </c>
      <c r="J11" s="3"/>
    </row>
    <row r="12" spans="2:10" x14ac:dyDescent="0.25">
      <c r="B12" s="3" t="s">
        <v>79</v>
      </c>
      <c r="C12" s="3" t="s">
        <v>38</v>
      </c>
      <c r="D12" s="3">
        <v>1</v>
      </c>
      <c r="E12" s="3" t="str">
        <f t="shared" si="2"/>
        <v>FrAlto</v>
      </c>
      <c r="F12" s="3" t="str">
        <f t="shared" si="3"/>
        <v>FrAlto ANGUIANO JIMENEZ JUAN MANUEL</v>
      </c>
      <c r="I12" s="4" t="s">
        <v>36</v>
      </c>
      <c r="J12" s="3"/>
    </row>
    <row r="13" spans="2:10" x14ac:dyDescent="0.25">
      <c r="B13" s="3" t="s">
        <v>79</v>
      </c>
      <c r="C13" s="3" t="s">
        <v>57</v>
      </c>
      <c r="D13" s="3">
        <v>11</v>
      </c>
      <c r="E13" s="3" t="str">
        <f t="shared" si="2"/>
        <v>GirBajo</v>
      </c>
      <c r="F13" s="3" t="str">
        <f t="shared" si="3"/>
        <v>GirBajo ANGUIANO JIMENEZ JUAN MANUEL</v>
      </c>
      <c r="I13" s="4" t="s">
        <v>37</v>
      </c>
      <c r="J13" s="3"/>
    </row>
    <row r="14" spans="2:10" x14ac:dyDescent="0.25">
      <c r="B14" s="3" t="s">
        <v>79</v>
      </c>
      <c r="C14" s="3" t="s">
        <v>58</v>
      </c>
      <c r="D14" s="3">
        <v>6</v>
      </c>
      <c r="E14" s="3" t="str">
        <f t="shared" si="2"/>
        <v>GirMed</v>
      </c>
      <c r="F14" s="3" t="str">
        <f t="shared" si="3"/>
        <v>GirMed ANGUIANO JIMENEZ JUAN MANUEL</v>
      </c>
      <c r="I14" s="2" t="s">
        <v>38</v>
      </c>
      <c r="J14" s="3" t="s">
        <v>39</v>
      </c>
    </row>
    <row r="15" spans="2:10" x14ac:dyDescent="0.25">
      <c r="B15" s="3" t="s">
        <v>79</v>
      </c>
      <c r="C15" s="3" t="s">
        <v>52</v>
      </c>
      <c r="D15" s="3">
        <v>1</v>
      </c>
      <c r="E15" s="3" t="str">
        <f t="shared" si="2"/>
        <v>GirBajo</v>
      </c>
      <c r="F15" s="3" t="str">
        <f t="shared" si="3"/>
        <v>GirBajo ANGUIANO JIMENEZ JUAN MANUEL</v>
      </c>
      <c r="I15" s="2" t="s">
        <v>40</v>
      </c>
      <c r="J15" s="3" t="s">
        <v>41</v>
      </c>
    </row>
    <row r="16" spans="2:10" x14ac:dyDescent="0.25">
      <c r="B16" s="3" t="s">
        <v>79</v>
      </c>
      <c r="C16" s="3" t="s">
        <v>46</v>
      </c>
      <c r="D16" s="3">
        <v>5</v>
      </c>
      <c r="E16" s="3" t="str">
        <f t="shared" si="2"/>
        <v>VelBajo</v>
      </c>
      <c r="F16" s="3" t="str">
        <f t="shared" si="3"/>
        <v>VelBajo ANGUIANO JIMENEZ JUAN MANUEL</v>
      </c>
      <c r="I16" s="2" t="s">
        <v>42</v>
      </c>
      <c r="J16" s="3" t="s">
        <v>43</v>
      </c>
    </row>
    <row r="17" spans="2:10" x14ac:dyDescent="0.25">
      <c r="B17" s="3" t="s">
        <v>80</v>
      </c>
      <c r="C17" s="3" t="s">
        <v>25</v>
      </c>
      <c r="D17" s="3">
        <v>3</v>
      </c>
      <c r="E17" s="3" t="str">
        <f t="shared" si="2"/>
        <v>AcAlto</v>
      </c>
      <c r="F17" s="3" t="str">
        <f t="shared" si="3"/>
        <v>AcAlto ARCEO GAMA SILVESTRE</v>
      </c>
      <c r="I17" s="2" t="s">
        <v>44</v>
      </c>
      <c r="J17" s="3" t="s">
        <v>45</v>
      </c>
    </row>
    <row r="18" spans="2:10" x14ac:dyDescent="0.25">
      <c r="B18" s="3" t="s">
        <v>80</v>
      </c>
      <c r="C18" s="3" t="s">
        <v>58</v>
      </c>
      <c r="D18" s="3">
        <v>1</v>
      </c>
      <c r="E18" s="3" t="str">
        <f t="shared" si="2"/>
        <v>GirMed</v>
      </c>
      <c r="F18" s="3" t="str">
        <f t="shared" si="3"/>
        <v>GirMed ARCEO GAMA SILVESTRE</v>
      </c>
      <c r="I18" s="2" t="s">
        <v>46</v>
      </c>
      <c r="J18" s="3" t="s">
        <v>47</v>
      </c>
    </row>
    <row r="19" spans="2:10" x14ac:dyDescent="0.25">
      <c r="B19" s="3" t="s">
        <v>80</v>
      </c>
      <c r="C19" s="3" t="s">
        <v>46</v>
      </c>
      <c r="D19" s="3">
        <v>3</v>
      </c>
      <c r="E19" s="3" t="str">
        <f t="shared" si="2"/>
        <v>VelBajo</v>
      </c>
      <c r="F19" s="3" t="str">
        <f t="shared" si="3"/>
        <v>VelBajo ARCEO GAMA SILVESTRE</v>
      </c>
      <c r="I19" s="2" t="s">
        <v>48</v>
      </c>
      <c r="J19" s="3" t="s">
        <v>49</v>
      </c>
    </row>
    <row r="20" spans="2:10" x14ac:dyDescent="0.25">
      <c r="B20" s="3" t="s">
        <v>81</v>
      </c>
      <c r="C20" s="3" t="s">
        <v>25</v>
      </c>
      <c r="D20" s="3">
        <v>11</v>
      </c>
      <c r="E20" s="3" t="str">
        <f t="shared" si="2"/>
        <v>AcAlto</v>
      </c>
      <c r="F20" s="3" t="str">
        <f t="shared" si="3"/>
        <v>AcAlto BARRETO LEYVA FEDERICO</v>
      </c>
      <c r="I20" s="2" t="s">
        <v>50</v>
      </c>
      <c r="J20" s="3" t="s">
        <v>51</v>
      </c>
    </row>
    <row r="21" spans="2:10" x14ac:dyDescent="0.25">
      <c r="B21" s="3" t="s">
        <v>81</v>
      </c>
      <c r="C21" s="3" t="s">
        <v>27</v>
      </c>
      <c r="D21" s="3">
        <v>17</v>
      </c>
      <c r="E21" s="3" t="str">
        <f t="shared" si="2"/>
        <v>AcMed</v>
      </c>
      <c r="F21" s="3" t="str">
        <f t="shared" si="3"/>
        <v>AcMed BARRETO LEYVA FEDERICO</v>
      </c>
      <c r="I21" s="2" t="s">
        <v>52</v>
      </c>
      <c r="J21" s="3" t="s">
        <v>53</v>
      </c>
    </row>
    <row r="22" spans="2:10" x14ac:dyDescent="0.25">
      <c r="B22" s="3" t="s">
        <v>81</v>
      </c>
      <c r="C22" s="3" t="s">
        <v>40</v>
      </c>
      <c r="D22" s="3">
        <v>2</v>
      </c>
      <c r="E22" s="3" t="str">
        <f t="shared" si="2"/>
        <v>FrBajo</v>
      </c>
      <c r="F22" s="3" t="str">
        <f t="shared" si="3"/>
        <v>FrBajo BARRETO LEYVA FEDERICO</v>
      </c>
      <c r="I22" s="2" t="s">
        <v>54</v>
      </c>
      <c r="J22" s="3" t="s">
        <v>55</v>
      </c>
    </row>
    <row r="23" spans="2:10" x14ac:dyDescent="0.25">
      <c r="B23" s="3" t="s">
        <v>81</v>
      </c>
      <c r="C23" s="3" t="s">
        <v>42</v>
      </c>
      <c r="D23" s="3">
        <v>1</v>
      </c>
      <c r="E23" s="3" t="str">
        <f t="shared" si="2"/>
        <v>FrMed</v>
      </c>
      <c r="F23" s="3" t="str">
        <f t="shared" si="3"/>
        <v>FrMed BARRETO LEYVA FEDERICO</v>
      </c>
      <c r="I23" s="2" t="s">
        <v>56</v>
      </c>
      <c r="J23" s="3" t="s">
        <v>51</v>
      </c>
    </row>
    <row r="24" spans="2:10" x14ac:dyDescent="0.25">
      <c r="B24" s="3" t="s">
        <v>81</v>
      </c>
      <c r="C24" s="3" t="s">
        <v>56</v>
      </c>
      <c r="D24" s="3">
        <v>1</v>
      </c>
      <c r="E24" s="3" t="str">
        <f t="shared" si="2"/>
        <v>GirAlto</v>
      </c>
      <c r="F24" s="3" t="str">
        <f t="shared" si="3"/>
        <v>GirAlto BARRETO LEYVA FEDERICO</v>
      </c>
      <c r="I24" s="2" t="s">
        <v>57</v>
      </c>
      <c r="J24" s="3" t="s">
        <v>53</v>
      </c>
    </row>
    <row r="25" spans="2:10" x14ac:dyDescent="0.25">
      <c r="B25" s="3" t="s">
        <v>81</v>
      </c>
      <c r="C25" s="3" t="s">
        <v>57</v>
      </c>
      <c r="D25" s="3">
        <v>34</v>
      </c>
      <c r="E25" s="3" t="str">
        <f t="shared" si="2"/>
        <v>GirBajo</v>
      </c>
      <c r="F25" s="3" t="str">
        <f t="shared" si="3"/>
        <v>GirBajo BARRETO LEYVA FEDERICO</v>
      </c>
      <c r="I25" s="2" t="s">
        <v>58</v>
      </c>
      <c r="J25" s="3" t="s">
        <v>55</v>
      </c>
    </row>
    <row r="26" spans="2:10" x14ac:dyDescent="0.25">
      <c r="B26" s="3" t="s">
        <v>81</v>
      </c>
      <c r="C26" s="3" t="s">
        <v>58</v>
      </c>
      <c r="D26" s="3">
        <v>17</v>
      </c>
      <c r="E26" s="3" t="str">
        <f t="shared" si="2"/>
        <v>GirMed</v>
      </c>
      <c r="F26" s="3" t="str">
        <f t="shared" si="3"/>
        <v>GirMed BARRETO LEYVA FEDERICO</v>
      </c>
    </row>
    <row r="27" spans="2:10" x14ac:dyDescent="0.25">
      <c r="B27" s="3" t="s">
        <v>81</v>
      </c>
      <c r="C27" s="3" t="s">
        <v>50</v>
      </c>
      <c r="D27" s="3">
        <v>2</v>
      </c>
      <c r="E27" s="3" t="str">
        <f t="shared" si="2"/>
        <v>GirAlto</v>
      </c>
      <c r="F27" s="3" t="str">
        <f t="shared" si="3"/>
        <v>GirAlto BARRETO LEYVA FEDERICO</v>
      </c>
    </row>
    <row r="28" spans="2:10" x14ac:dyDescent="0.25">
      <c r="B28" s="3" t="s">
        <v>81</v>
      </c>
      <c r="C28" s="3" t="s">
        <v>52</v>
      </c>
      <c r="D28" s="3">
        <v>28</v>
      </c>
      <c r="E28" s="3" t="str">
        <f t="shared" si="2"/>
        <v>GirBajo</v>
      </c>
      <c r="F28" s="3" t="str">
        <f t="shared" si="3"/>
        <v>GirBajo BARRETO LEYVA FEDERICO</v>
      </c>
    </row>
    <row r="29" spans="2:10" x14ac:dyDescent="0.25">
      <c r="B29" s="3" t="s">
        <v>81</v>
      </c>
      <c r="C29" s="3" t="s">
        <v>54</v>
      </c>
      <c r="D29" s="3">
        <v>8</v>
      </c>
      <c r="E29" s="3" t="str">
        <f t="shared" si="2"/>
        <v>GirMed</v>
      </c>
      <c r="F29" s="3" t="str">
        <f t="shared" si="3"/>
        <v>GirMed BARRETO LEYVA FEDERICO</v>
      </c>
    </row>
    <row r="30" spans="2:10" x14ac:dyDescent="0.25">
      <c r="B30" s="3" t="s">
        <v>81</v>
      </c>
      <c r="C30" s="3" t="s">
        <v>46</v>
      </c>
      <c r="D30" s="3">
        <v>1</v>
      </c>
      <c r="E30" s="3" t="str">
        <f t="shared" si="2"/>
        <v>VelBajo</v>
      </c>
      <c r="F30" s="3" t="str">
        <f t="shared" si="3"/>
        <v>VelBajo BARRETO LEYVA FEDERICO</v>
      </c>
    </row>
    <row r="31" spans="2:10" x14ac:dyDescent="0.25">
      <c r="B31" s="3" t="s">
        <v>82</v>
      </c>
      <c r="C31" s="3" t="s">
        <v>40</v>
      </c>
      <c r="D31" s="3">
        <v>4</v>
      </c>
      <c r="E31" s="3" t="str">
        <f t="shared" si="2"/>
        <v>FrBajo</v>
      </c>
      <c r="F31" s="3" t="str">
        <f t="shared" si="3"/>
        <v>FrBajo C.CONSTANTE RODRIGUEZ MARVIN J</v>
      </c>
    </row>
    <row r="32" spans="2:10" x14ac:dyDescent="0.25">
      <c r="B32" s="3" t="s">
        <v>82</v>
      </c>
      <c r="C32" s="3" t="s">
        <v>42</v>
      </c>
      <c r="D32" s="3">
        <v>1</v>
      </c>
      <c r="E32" s="3" t="str">
        <f t="shared" si="2"/>
        <v>FrMed</v>
      </c>
      <c r="F32" s="3" t="str">
        <f t="shared" si="3"/>
        <v>FrMed C.CONSTANTE RODRIGUEZ MARVIN J</v>
      </c>
    </row>
    <row r="33" spans="2:6" x14ac:dyDescent="0.25">
      <c r="B33" s="3" t="s">
        <v>82</v>
      </c>
      <c r="C33" s="3" t="s">
        <v>57</v>
      </c>
      <c r="D33" s="3">
        <v>26</v>
      </c>
      <c r="E33" s="3" t="str">
        <f t="shared" si="2"/>
        <v>GirBajo</v>
      </c>
      <c r="F33" s="3" t="str">
        <f t="shared" si="3"/>
        <v>GirBajo C.CONSTANTE RODRIGUEZ MARVIN J</v>
      </c>
    </row>
    <row r="34" spans="2:6" x14ac:dyDescent="0.25">
      <c r="B34" s="3" t="s">
        <v>82</v>
      </c>
      <c r="C34" s="3" t="s">
        <v>58</v>
      </c>
      <c r="D34" s="3">
        <v>5</v>
      </c>
      <c r="E34" s="3" t="str">
        <f t="shared" si="2"/>
        <v>GirMed</v>
      </c>
      <c r="F34" s="3" t="str">
        <f t="shared" si="3"/>
        <v>GirMed C.CONSTANTE RODRIGUEZ MARVIN J</v>
      </c>
    </row>
    <row r="35" spans="2:6" x14ac:dyDescent="0.25">
      <c r="B35" s="3" t="s">
        <v>82</v>
      </c>
      <c r="C35" s="3" t="s">
        <v>50</v>
      </c>
      <c r="D35" s="3">
        <v>1</v>
      </c>
      <c r="E35" s="3" t="str">
        <f t="shared" si="2"/>
        <v>GirAlto</v>
      </c>
      <c r="F35" s="3" t="str">
        <f t="shared" si="3"/>
        <v>GirAlto C.CONSTANTE RODRIGUEZ MARVIN J</v>
      </c>
    </row>
    <row r="36" spans="2:6" x14ac:dyDescent="0.25">
      <c r="B36" s="3" t="s">
        <v>82</v>
      </c>
      <c r="C36" s="3" t="s">
        <v>52</v>
      </c>
      <c r="D36" s="3">
        <v>17</v>
      </c>
      <c r="E36" s="3" t="str">
        <f t="shared" si="2"/>
        <v>GirBajo</v>
      </c>
      <c r="F36" s="3" t="str">
        <f t="shared" si="3"/>
        <v>GirBajo C.CONSTANTE RODRIGUEZ MARVIN J</v>
      </c>
    </row>
    <row r="37" spans="2:6" x14ac:dyDescent="0.25">
      <c r="B37" s="3" t="s">
        <v>82</v>
      </c>
      <c r="C37" s="3" t="s">
        <v>54</v>
      </c>
      <c r="D37" s="3">
        <v>4</v>
      </c>
      <c r="E37" s="3" t="str">
        <f t="shared" si="2"/>
        <v>GirMed</v>
      </c>
      <c r="F37" s="3" t="str">
        <f t="shared" si="3"/>
        <v>GirMed C.CONSTANTE RODRIGUEZ MARVIN J</v>
      </c>
    </row>
    <row r="38" spans="2:6" x14ac:dyDescent="0.25">
      <c r="B38" s="3" t="s">
        <v>82</v>
      </c>
      <c r="C38" s="3" t="s">
        <v>44</v>
      </c>
      <c r="D38" s="3">
        <v>4</v>
      </c>
      <c r="E38" s="3" t="str">
        <f t="shared" si="2"/>
        <v>VelAlto</v>
      </c>
      <c r="F38" s="3" t="str">
        <f t="shared" si="3"/>
        <v>VelAlto C.CONSTANTE RODRIGUEZ MARVIN J</v>
      </c>
    </row>
    <row r="39" spans="2:6" x14ac:dyDescent="0.25">
      <c r="B39" s="3" t="s">
        <v>82</v>
      </c>
      <c r="C39" s="3" t="s">
        <v>46</v>
      </c>
      <c r="D39" s="3">
        <v>19</v>
      </c>
      <c r="E39" s="3" t="str">
        <f t="shared" si="2"/>
        <v>VelBajo</v>
      </c>
      <c r="F39" s="3" t="str">
        <f t="shared" si="3"/>
        <v>VelBajo C.CONSTANTE RODRIGUEZ MARVIN J</v>
      </c>
    </row>
    <row r="40" spans="2:6" x14ac:dyDescent="0.25">
      <c r="B40" s="3" t="s">
        <v>82</v>
      </c>
      <c r="C40" s="3" t="s">
        <v>48</v>
      </c>
      <c r="D40" s="3">
        <v>31</v>
      </c>
      <c r="E40" s="3" t="str">
        <f t="shared" si="2"/>
        <v>VelMed</v>
      </c>
      <c r="F40" s="3" t="str">
        <f t="shared" si="3"/>
        <v>VelMed C.CONSTANTE RODRIGUEZ MARVIN J</v>
      </c>
    </row>
    <row r="41" spans="2:6" x14ac:dyDescent="0.25">
      <c r="B41" s="3" t="s">
        <v>83</v>
      </c>
      <c r="C41" s="3" t="s">
        <v>25</v>
      </c>
      <c r="D41" s="3">
        <v>26</v>
      </c>
      <c r="E41" s="3" t="str">
        <f t="shared" si="2"/>
        <v>AcAlto</v>
      </c>
      <c r="F41" s="3" t="str">
        <f t="shared" si="3"/>
        <v>AcAlto CABRERA MARTINEZ JUAN JOSE</v>
      </c>
    </row>
    <row r="42" spans="2:6" x14ac:dyDescent="0.25">
      <c r="B42" s="3" t="s">
        <v>83</v>
      </c>
      <c r="C42" s="3" t="s">
        <v>27</v>
      </c>
      <c r="D42" s="3">
        <v>198</v>
      </c>
      <c r="E42" s="3" t="str">
        <f t="shared" si="2"/>
        <v>AcMed</v>
      </c>
      <c r="F42" s="3" t="str">
        <f t="shared" si="3"/>
        <v>AcMed CABRERA MARTINEZ JUAN JOSE</v>
      </c>
    </row>
    <row r="43" spans="2:6" x14ac:dyDescent="0.25">
      <c r="B43" s="3" t="s">
        <v>83</v>
      </c>
      <c r="C43" s="3" t="s">
        <v>38</v>
      </c>
      <c r="D43" s="3">
        <v>1</v>
      </c>
      <c r="E43" s="3" t="str">
        <f t="shared" si="2"/>
        <v>FrAlto</v>
      </c>
      <c r="F43" s="3" t="str">
        <f t="shared" si="3"/>
        <v>FrAlto CABRERA MARTINEZ JUAN JOSE</v>
      </c>
    </row>
    <row r="44" spans="2:6" x14ac:dyDescent="0.25">
      <c r="B44" s="3" t="s">
        <v>83</v>
      </c>
      <c r="C44" s="3" t="s">
        <v>40</v>
      </c>
      <c r="D44" s="3">
        <v>28</v>
      </c>
      <c r="E44" s="3" t="str">
        <f t="shared" si="2"/>
        <v>FrBajo</v>
      </c>
      <c r="F44" s="3" t="str">
        <f t="shared" si="3"/>
        <v>FrBajo CABRERA MARTINEZ JUAN JOSE</v>
      </c>
    </row>
    <row r="45" spans="2:6" x14ac:dyDescent="0.25">
      <c r="B45" s="3" t="s">
        <v>83</v>
      </c>
      <c r="C45" s="3" t="s">
        <v>42</v>
      </c>
      <c r="D45" s="3">
        <v>35</v>
      </c>
      <c r="E45" s="3" t="str">
        <f t="shared" si="2"/>
        <v>FrMed</v>
      </c>
      <c r="F45" s="3" t="str">
        <f t="shared" si="3"/>
        <v>FrMed CABRERA MARTINEZ JUAN JOSE</v>
      </c>
    </row>
    <row r="46" spans="2:6" x14ac:dyDescent="0.25">
      <c r="B46" s="3" t="s">
        <v>83</v>
      </c>
      <c r="C46" s="3" t="s">
        <v>56</v>
      </c>
      <c r="D46" s="3">
        <v>1</v>
      </c>
      <c r="E46" s="3" t="str">
        <f t="shared" si="2"/>
        <v>GirAlto</v>
      </c>
      <c r="F46" s="3" t="str">
        <f t="shared" si="3"/>
        <v>GirAlto CABRERA MARTINEZ JUAN JOSE</v>
      </c>
    </row>
    <row r="47" spans="2:6" x14ac:dyDescent="0.25">
      <c r="B47" s="3" t="s">
        <v>83</v>
      </c>
      <c r="C47" s="3" t="s">
        <v>57</v>
      </c>
      <c r="D47" s="3">
        <v>99</v>
      </c>
      <c r="E47" s="3" t="str">
        <f t="shared" si="2"/>
        <v>GirBajo</v>
      </c>
      <c r="F47" s="3" t="str">
        <f t="shared" si="3"/>
        <v>GirBajo CABRERA MARTINEZ JUAN JOSE</v>
      </c>
    </row>
    <row r="48" spans="2:6" x14ac:dyDescent="0.25">
      <c r="B48" s="3" t="s">
        <v>83</v>
      </c>
      <c r="C48" s="3" t="s">
        <v>58</v>
      </c>
      <c r="D48" s="3">
        <v>27</v>
      </c>
      <c r="E48" s="3" t="str">
        <f t="shared" si="2"/>
        <v>GirMed</v>
      </c>
      <c r="F48" s="3" t="str">
        <f t="shared" si="3"/>
        <v>GirMed CABRERA MARTINEZ JUAN JOSE</v>
      </c>
    </row>
    <row r="49" spans="2:6" x14ac:dyDescent="0.25">
      <c r="B49" s="3" t="s">
        <v>83</v>
      </c>
      <c r="C49" s="3" t="s">
        <v>50</v>
      </c>
      <c r="D49" s="3">
        <v>4</v>
      </c>
      <c r="E49" s="3" t="str">
        <f t="shared" si="2"/>
        <v>GirAlto</v>
      </c>
      <c r="F49" s="3" t="str">
        <f t="shared" si="3"/>
        <v>GirAlto CABRERA MARTINEZ JUAN JOSE</v>
      </c>
    </row>
    <row r="50" spans="2:6" x14ac:dyDescent="0.25">
      <c r="B50" s="3" t="s">
        <v>83</v>
      </c>
      <c r="C50" s="3" t="s">
        <v>52</v>
      </c>
      <c r="D50" s="3">
        <v>106</v>
      </c>
      <c r="E50" s="3" t="str">
        <f t="shared" si="2"/>
        <v>GirBajo</v>
      </c>
      <c r="F50" s="3" t="str">
        <f t="shared" si="3"/>
        <v>GirBajo CABRERA MARTINEZ JUAN JOSE</v>
      </c>
    </row>
    <row r="51" spans="2:6" x14ac:dyDescent="0.25">
      <c r="B51" s="3" t="s">
        <v>83</v>
      </c>
      <c r="C51" s="3" t="s">
        <v>54</v>
      </c>
      <c r="D51" s="3">
        <v>49</v>
      </c>
      <c r="E51" s="3" t="str">
        <f t="shared" si="2"/>
        <v>GirMed</v>
      </c>
      <c r="F51" s="3" t="str">
        <f t="shared" si="3"/>
        <v>GirMed CABRERA MARTINEZ JUAN JOSE</v>
      </c>
    </row>
    <row r="52" spans="2:6" x14ac:dyDescent="0.25">
      <c r="B52" s="3" t="s">
        <v>83</v>
      </c>
      <c r="C52" s="3" t="s">
        <v>46</v>
      </c>
      <c r="D52" s="3">
        <v>12</v>
      </c>
      <c r="E52" s="3" t="str">
        <f t="shared" si="2"/>
        <v>VelBajo</v>
      </c>
      <c r="F52" s="3" t="str">
        <f t="shared" si="3"/>
        <v>VelBajo CABRERA MARTINEZ JUAN JOSE</v>
      </c>
    </row>
    <row r="53" spans="2:6" x14ac:dyDescent="0.25">
      <c r="B53" s="3" t="s">
        <v>84</v>
      </c>
      <c r="C53" s="3" t="s">
        <v>57</v>
      </c>
      <c r="D53" s="3">
        <v>3</v>
      </c>
      <c r="E53" s="3" t="str">
        <f t="shared" si="2"/>
        <v>GirBajo</v>
      </c>
      <c r="F53" s="3" t="str">
        <f t="shared" si="3"/>
        <v>GirBajo CASTELLANOS GOMEZ MARTIN</v>
      </c>
    </row>
    <row r="54" spans="2:6" x14ac:dyDescent="0.25">
      <c r="B54" s="3" t="s">
        <v>84</v>
      </c>
      <c r="C54" s="3" t="s">
        <v>46</v>
      </c>
      <c r="D54" s="3">
        <v>19</v>
      </c>
      <c r="E54" s="3" t="str">
        <f t="shared" si="2"/>
        <v>VelBajo</v>
      </c>
      <c r="F54" s="3" t="str">
        <f t="shared" si="3"/>
        <v>VelBajo CASTELLANOS GOMEZ MARTIN</v>
      </c>
    </row>
    <row r="55" spans="2:6" x14ac:dyDescent="0.25">
      <c r="B55" s="3" t="s">
        <v>85</v>
      </c>
      <c r="C55" s="3" t="s">
        <v>25</v>
      </c>
      <c r="D55" s="3">
        <v>1</v>
      </c>
      <c r="E55" s="3" t="str">
        <f t="shared" si="2"/>
        <v>AcAlto</v>
      </c>
      <c r="F55" s="3" t="str">
        <f t="shared" si="3"/>
        <v>AcAlto CASTILLO GRADILLA OSCAR EMILIO</v>
      </c>
    </row>
    <row r="56" spans="2:6" x14ac:dyDescent="0.25">
      <c r="B56" s="3" t="s">
        <v>85</v>
      </c>
      <c r="C56" s="3" t="s">
        <v>27</v>
      </c>
      <c r="D56" s="3">
        <v>20</v>
      </c>
      <c r="E56" s="3" t="str">
        <f t="shared" si="2"/>
        <v>AcMed</v>
      </c>
      <c r="F56" s="3" t="str">
        <f t="shared" si="3"/>
        <v>AcMed CASTILLO GRADILLA OSCAR EMILIO</v>
      </c>
    </row>
    <row r="57" spans="2:6" x14ac:dyDescent="0.25">
      <c r="B57" s="3" t="s">
        <v>85</v>
      </c>
      <c r="C57" s="3" t="s">
        <v>40</v>
      </c>
      <c r="D57" s="3">
        <v>2</v>
      </c>
      <c r="E57" s="3" t="str">
        <f t="shared" si="2"/>
        <v>FrBajo</v>
      </c>
      <c r="F57" s="3" t="str">
        <f t="shared" si="3"/>
        <v>FrBajo CASTILLO GRADILLA OSCAR EMILIO</v>
      </c>
    </row>
    <row r="58" spans="2:6" x14ac:dyDescent="0.25">
      <c r="B58" s="3" t="s">
        <v>85</v>
      </c>
      <c r="C58" s="3" t="s">
        <v>56</v>
      </c>
      <c r="D58" s="3">
        <v>1</v>
      </c>
      <c r="E58" s="3" t="str">
        <f t="shared" si="2"/>
        <v>GirAlto</v>
      </c>
      <c r="F58" s="3" t="str">
        <f t="shared" si="3"/>
        <v>GirAlto CASTILLO GRADILLA OSCAR EMILIO</v>
      </c>
    </row>
    <row r="59" spans="2:6" x14ac:dyDescent="0.25">
      <c r="B59" s="3" t="s">
        <v>85</v>
      </c>
      <c r="C59" s="3" t="s">
        <v>57</v>
      </c>
      <c r="D59" s="3">
        <v>8</v>
      </c>
      <c r="E59" s="3" t="str">
        <f t="shared" si="2"/>
        <v>GirBajo</v>
      </c>
      <c r="F59" s="3" t="str">
        <f t="shared" si="3"/>
        <v>GirBajo CASTILLO GRADILLA OSCAR EMILIO</v>
      </c>
    </row>
    <row r="60" spans="2:6" x14ac:dyDescent="0.25">
      <c r="B60" s="3" t="s">
        <v>85</v>
      </c>
      <c r="C60" s="3" t="s">
        <v>58</v>
      </c>
      <c r="D60" s="3">
        <v>1</v>
      </c>
      <c r="E60" s="3" t="str">
        <f t="shared" si="2"/>
        <v>GirMed</v>
      </c>
      <c r="F60" s="3" t="str">
        <f t="shared" si="3"/>
        <v>GirMed CASTILLO GRADILLA OSCAR EMILIO</v>
      </c>
    </row>
    <row r="61" spans="2:6" x14ac:dyDescent="0.25">
      <c r="B61" s="3" t="s">
        <v>85</v>
      </c>
      <c r="C61" s="3" t="s">
        <v>52</v>
      </c>
      <c r="D61" s="3">
        <v>1</v>
      </c>
      <c r="E61" s="3" t="str">
        <f t="shared" si="2"/>
        <v>GirBajo</v>
      </c>
      <c r="F61" s="3" t="str">
        <f t="shared" si="3"/>
        <v>GirBajo CASTILLO GRADILLA OSCAR EMILIO</v>
      </c>
    </row>
    <row r="62" spans="2:6" x14ac:dyDescent="0.25">
      <c r="B62" s="3" t="s">
        <v>86</v>
      </c>
      <c r="C62" s="3" t="s">
        <v>25</v>
      </c>
      <c r="D62" s="3">
        <v>8</v>
      </c>
      <c r="E62" s="3" t="str">
        <f t="shared" si="2"/>
        <v>AcAlto</v>
      </c>
      <c r="F62" s="3" t="str">
        <f t="shared" si="3"/>
        <v>AcAlto CERNAS LOPEZ CLEMENTE MARTIN</v>
      </c>
    </row>
    <row r="63" spans="2:6" x14ac:dyDescent="0.25">
      <c r="B63" s="3" t="s">
        <v>86</v>
      </c>
      <c r="C63" s="3" t="s">
        <v>38</v>
      </c>
      <c r="D63" s="3">
        <v>2</v>
      </c>
      <c r="E63" s="3" t="str">
        <f t="shared" si="2"/>
        <v>FrAlto</v>
      </c>
      <c r="F63" s="3" t="str">
        <f t="shared" si="3"/>
        <v>FrAlto CERNAS LOPEZ CLEMENTE MARTIN</v>
      </c>
    </row>
    <row r="64" spans="2:6" x14ac:dyDescent="0.25">
      <c r="B64" s="3" t="s">
        <v>86</v>
      </c>
      <c r="C64" s="3" t="s">
        <v>57</v>
      </c>
      <c r="D64" s="3">
        <v>3</v>
      </c>
      <c r="E64" s="3" t="str">
        <f t="shared" si="2"/>
        <v>GirBajo</v>
      </c>
      <c r="F64" s="3" t="str">
        <f t="shared" si="3"/>
        <v>GirBajo CERNAS LOPEZ CLEMENTE MARTIN</v>
      </c>
    </row>
    <row r="65" spans="2:6" x14ac:dyDescent="0.25">
      <c r="B65" s="3" t="s">
        <v>86</v>
      </c>
      <c r="C65" s="3" t="s">
        <v>58</v>
      </c>
      <c r="D65" s="3">
        <v>1</v>
      </c>
      <c r="E65" s="3" t="str">
        <f t="shared" si="2"/>
        <v>GirMed</v>
      </c>
      <c r="F65" s="3" t="str">
        <f t="shared" si="3"/>
        <v>GirMed CERNAS LOPEZ CLEMENTE MARTIN</v>
      </c>
    </row>
    <row r="66" spans="2:6" x14ac:dyDescent="0.25">
      <c r="B66" s="3" t="s">
        <v>86</v>
      </c>
      <c r="C66" s="3" t="s">
        <v>52</v>
      </c>
      <c r="D66" s="3">
        <v>1</v>
      </c>
      <c r="E66" s="3" t="str">
        <f t="shared" si="2"/>
        <v>GirBajo</v>
      </c>
      <c r="F66" s="3" t="str">
        <f t="shared" si="3"/>
        <v>GirBajo CERNAS LOPEZ CLEMENTE MARTIN</v>
      </c>
    </row>
    <row r="67" spans="2:6" x14ac:dyDescent="0.25">
      <c r="B67" s="3" t="s">
        <v>86</v>
      </c>
      <c r="C67" s="3" t="s">
        <v>46</v>
      </c>
      <c r="D67" s="3">
        <v>1</v>
      </c>
      <c r="E67" s="3" t="str">
        <f t="shared" si="2"/>
        <v>VelBajo</v>
      </c>
      <c r="F67" s="3" t="str">
        <f t="shared" si="3"/>
        <v>VelBajo CERNAS LOPEZ CLEMENTE MARTIN</v>
      </c>
    </row>
    <row r="68" spans="2:6" x14ac:dyDescent="0.25">
      <c r="B68" s="3" t="s">
        <v>87</v>
      </c>
      <c r="C68" s="3" t="s">
        <v>57</v>
      </c>
      <c r="D68" s="3">
        <v>18</v>
      </c>
      <c r="E68" s="3" t="str">
        <f t="shared" ref="E68:E131" si="4">VLOOKUP(C68,I:J,2,0)</f>
        <v>GirBajo</v>
      </c>
      <c r="F68" s="3" t="str">
        <f t="shared" ref="F68:F131" si="5">E68&amp;" "&amp;B68</f>
        <v>GirBajo CERVANTES CONTRERAS NICOLAS</v>
      </c>
    </row>
    <row r="69" spans="2:6" x14ac:dyDescent="0.25">
      <c r="B69" s="3" t="s">
        <v>87</v>
      </c>
      <c r="C69" s="3" t="s">
        <v>52</v>
      </c>
      <c r="D69" s="3">
        <v>13</v>
      </c>
      <c r="E69" s="3" t="str">
        <f t="shared" si="4"/>
        <v>GirBajo</v>
      </c>
      <c r="F69" s="3" t="str">
        <f t="shared" si="5"/>
        <v>GirBajo CERVANTES CONTRERAS NICOLAS</v>
      </c>
    </row>
    <row r="70" spans="2:6" x14ac:dyDescent="0.25">
      <c r="B70" s="3" t="s">
        <v>87</v>
      </c>
      <c r="C70" s="3" t="s">
        <v>54</v>
      </c>
      <c r="D70" s="3">
        <v>1</v>
      </c>
      <c r="E70" s="3" t="str">
        <f t="shared" si="4"/>
        <v>GirMed</v>
      </c>
      <c r="F70" s="3" t="str">
        <f t="shared" si="5"/>
        <v>GirMed CERVANTES CONTRERAS NICOLAS</v>
      </c>
    </row>
    <row r="71" spans="2:6" x14ac:dyDescent="0.25">
      <c r="B71" s="3" t="s">
        <v>88</v>
      </c>
      <c r="C71" s="3" t="s">
        <v>25</v>
      </c>
      <c r="D71" s="3">
        <v>1</v>
      </c>
      <c r="E71" s="3" t="str">
        <f t="shared" si="4"/>
        <v>AcAlto</v>
      </c>
      <c r="F71" s="3" t="str">
        <f t="shared" si="5"/>
        <v>AcAlto CONTRERAS RUIZ JOSE GUADALUP</v>
      </c>
    </row>
    <row r="72" spans="2:6" x14ac:dyDescent="0.25">
      <c r="B72" s="3" t="s">
        <v>88</v>
      </c>
      <c r="C72" s="3" t="s">
        <v>40</v>
      </c>
      <c r="D72" s="3">
        <v>1</v>
      </c>
      <c r="E72" s="3" t="str">
        <f t="shared" si="4"/>
        <v>FrBajo</v>
      </c>
      <c r="F72" s="3" t="str">
        <f t="shared" si="5"/>
        <v>FrBajo CONTRERAS RUIZ JOSE GUADALUP</v>
      </c>
    </row>
    <row r="73" spans="2:6" x14ac:dyDescent="0.25">
      <c r="B73" s="3" t="s">
        <v>88</v>
      </c>
      <c r="C73" s="3" t="s">
        <v>42</v>
      </c>
      <c r="D73" s="3">
        <v>1</v>
      </c>
      <c r="E73" s="3" t="str">
        <f t="shared" si="4"/>
        <v>FrMed</v>
      </c>
      <c r="F73" s="3" t="str">
        <f t="shared" si="5"/>
        <v>FrMed CONTRERAS RUIZ JOSE GUADALUP</v>
      </c>
    </row>
    <row r="74" spans="2:6" x14ac:dyDescent="0.25">
      <c r="B74" s="3" t="s">
        <v>88</v>
      </c>
      <c r="C74" s="3" t="s">
        <v>57</v>
      </c>
      <c r="D74" s="3">
        <v>1</v>
      </c>
      <c r="E74" s="3" t="str">
        <f t="shared" si="4"/>
        <v>GirBajo</v>
      </c>
      <c r="F74" s="3" t="str">
        <f t="shared" si="5"/>
        <v>GirBajo CONTRERAS RUIZ JOSE GUADALUP</v>
      </c>
    </row>
    <row r="75" spans="2:6" x14ac:dyDescent="0.25">
      <c r="B75" s="3" t="s">
        <v>88</v>
      </c>
      <c r="C75" s="3" t="s">
        <v>52</v>
      </c>
      <c r="D75" s="3">
        <v>1</v>
      </c>
      <c r="E75" s="3" t="str">
        <f t="shared" si="4"/>
        <v>GirBajo</v>
      </c>
      <c r="F75" s="3" t="str">
        <f t="shared" si="5"/>
        <v>GirBajo CONTRERAS RUIZ JOSE GUADALUP</v>
      </c>
    </row>
    <row r="76" spans="2:6" x14ac:dyDescent="0.25">
      <c r="B76" s="3" t="s">
        <v>88</v>
      </c>
      <c r="C76" s="3" t="s">
        <v>54</v>
      </c>
      <c r="D76" s="3">
        <v>1</v>
      </c>
      <c r="E76" s="3" t="str">
        <f t="shared" si="4"/>
        <v>GirMed</v>
      </c>
      <c r="F76" s="3" t="str">
        <f t="shared" si="5"/>
        <v>GirMed CONTRERAS RUIZ JOSE GUADALUP</v>
      </c>
    </row>
    <row r="77" spans="2:6" x14ac:dyDescent="0.25">
      <c r="B77" s="3" t="s">
        <v>88</v>
      </c>
      <c r="C77" s="3" t="s">
        <v>46</v>
      </c>
      <c r="D77" s="3">
        <v>1</v>
      </c>
      <c r="E77" s="3" t="str">
        <f t="shared" si="4"/>
        <v>VelBajo</v>
      </c>
      <c r="F77" s="3" t="str">
        <f t="shared" si="5"/>
        <v>VelBajo CONTRERAS RUIZ JOSE GUADALUP</v>
      </c>
    </row>
    <row r="78" spans="2:6" x14ac:dyDescent="0.25">
      <c r="B78" s="3" t="s">
        <v>89</v>
      </c>
      <c r="C78" s="3" t="s">
        <v>25</v>
      </c>
      <c r="D78" s="3">
        <v>5</v>
      </c>
      <c r="E78" s="3" t="str">
        <f t="shared" si="4"/>
        <v>AcAlto</v>
      </c>
      <c r="F78" s="3" t="str">
        <f t="shared" si="5"/>
        <v>AcAlto DAMIAN LOPEZ RIGOBERTO SUSANO</v>
      </c>
    </row>
    <row r="79" spans="2:6" x14ac:dyDescent="0.25">
      <c r="B79" s="3" t="s">
        <v>89</v>
      </c>
      <c r="C79" s="3" t="s">
        <v>57</v>
      </c>
      <c r="D79" s="3">
        <v>54</v>
      </c>
      <c r="E79" s="3" t="str">
        <f t="shared" si="4"/>
        <v>GirBajo</v>
      </c>
      <c r="F79" s="3" t="str">
        <f t="shared" si="5"/>
        <v>GirBajo DAMIAN LOPEZ RIGOBERTO SUSANO</v>
      </c>
    </row>
    <row r="80" spans="2:6" x14ac:dyDescent="0.25">
      <c r="B80" s="3" t="s">
        <v>89</v>
      </c>
      <c r="C80" s="3" t="s">
        <v>58</v>
      </c>
      <c r="D80" s="3">
        <v>9</v>
      </c>
      <c r="E80" s="3" t="str">
        <f t="shared" si="4"/>
        <v>GirMed</v>
      </c>
      <c r="F80" s="3" t="str">
        <f t="shared" si="5"/>
        <v>GirMed DAMIAN LOPEZ RIGOBERTO SUSANO</v>
      </c>
    </row>
    <row r="81" spans="2:6" x14ac:dyDescent="0.25">
      <c r="B81" s="3" t="s">
        <v>89</v>
      </c>
      <c r="C81" s="3" t="s">
        <v>52</v>
      </c>
      <c r="D81" s="3">
        <v>54</v>
      </c>
      <c r="E81" s="3" t="str">
        <f t="shared" si="4"/>
        <v>GirBajo</v>
      </c>
      <c r="F81" s="3" t="str">
        <f t="shared" si="5"/>
        <v>GirBajo DAMIAN LOPEZ RIGOBERTO SUSANO</v>
      </c>
    </row>
    <row r="82" spans="2:6" x14ac:dyDescent="0.25">
      <c r="B82" s="3" t="s">
        <v>89</v>
      </c>
      <c r="C82" s="3" t="s">
        <v>54</v>
      </c>
      <c r="D82" s="3">
        <v>5</v>
      </c>
      <c r="E82" s="3" t="str">
        <f t="shared" si="4"/>
        <v>GirMed</v>
      </c>
      <c r="F82" s="3" t="str">
        <f t="shared" si="5"/>
        <v>GirMed DAMIAN LOPEZ RIGOBERTO SUSANO</v>
      </c>
    </row>
    <row r="83" spans="2:6" x14ac:dyDescent="0.25">
      <c r="B83" s="3" t="s">
        <v>89</v>
      </c>
      <c r="C83" s="3" t="s">
        <v>46</v>
      </c>
      <c r="D83" s="3">
        <v>19</v>
      </c>
      <c r="E83" s="3" t="str">
        <f t="shared" si="4"/>
        <v>VelBajo</v>
      </c>
      <c r="F83" s="3" t="str">
        <f t="shared" si="5"/>
        <v>VelBajo DAMIAN LOPEZ RIGOBERTO SUSANO</v>
      </c>
    </row>
    <row r="84" spans="2:6" x14ac:dyDescent="0.25">
      <c r="B84" s="3" t="s">
        <v>91</v>
      </c>
      <c r="C84" s="3" t="s">
        <v>57</v>
      </c>
      <c r="D84" s="3">
        <v>18</v>
      </c>
      <c r="E84" s="3" t="str">
        <f t="shared" si="4"/>
        <v>GirBajo</v>
      </c>
      <c r="F84" s="3" t="str">
        <f t="shared" si="5"/>
        <v>GirBajo DURAN RAMIREZ JUAN CARLOS</v>
      </c>
    </row>
    <row r="85" spans="2:6" x14ac:dyDescent="0.25">
      <c r="B85" s="3" t="s">
        <v>91</v>
      </c>
      <c r="C85" s="3" t="s">
        <v>58</v>
      </c>
      <c r="D85" s="3">
        <v>5</v>
      </c>
      <c r="E85" s="3" t="str">
        <f t="shared" si="4"/>
        <v>GirMed</v>
      </c>
      <c r="F85" s="3" t="str">
        <f t="shared" si="5"/>
        <v>GirMed DURAN RAMIREZ JUAN CARLOS</v>
      </c>
    </row>
    <row r="86" spans="2:6" x14ac:dyDescent="0.25">
      <c r="B86" s="3" t="s">
        <v>91</v>
      </c>
      <c r="C86" s="3" t="s">
        <v>50</v>
      </c>
      <c r="D86" s="3">
        <v>1</v>
      </c>
      <c r="E86" s="3" t="str">
        <f t="shared" si="4"/>
        <v>GirAlto</v>
      </c>
      <c r="F86" s="3" t="str">
        <f t="shared" si="5"/>
        <v>GirAlto DURAN RAMIREZ JUAN CARLOS</v>
      </c>
    </row>
    <row r="87" spans="2:6" x14ac:dyDescent="0.25">
      <c r="B87" s="3" t="s">
        <v>91</v>
      </c>
      <c r="C87" s="3" t="s">
        <v>52</v>
      </c>
      <c r="D87" s="3">
        <v>1</v>
      </c>
      <c r="E87" s="3" t="str">
        <f t="shared" si="4"/>
        <v>GirBajo</v>
      </c>
      <c r="F87" s="3" t="str">
        <f t="shared" si="5"/>
        <v>GirBajo DURAN RAMIREZ JUAN CARLOS</v>
      </c>
    </row>
    <row r="88" spans="2:6" x14ac:dyDescent="0.25">
      <c r="B88" s="3" t="s">
        <v>92</v>
      </c>
      <c r="C88" s="3" t="s">
        <v>25</v>
      </c>
      <c r="D88" s="3">
        <v>1</v>
      </c>
      <c r="E88" s="3" t="str">
        <f t="shared" si="4"/>
        <v>AcAlto</v>
      </c>
      <c r="F88" s="3" t="str">
        <f t="shared" si="5"/>
        <v>AcAlto ESCOTO RAMIREZ JOSE LUIS</v>
      </c>
    </row>
    <row r="89" spans="2:6" x14ac:dyDescent="0.25">
      <c r="B89" s="3" t="s">
        <v>92</v>
      </c>
      <c r="C89" s="3" t="s">
        <v>57</v>
      </c>
      <c r="D89" s="3">
        <v>13</v>
      </c>
      <c r="E89" s="3" t="str">
        <f t="shared" si="4"/>
        <v>GirBajo</v>
      </c>
      <c r="F89" s="3" t="str">
        <f t="shared" si="5"/>
        <v>GirBajo ESCOTO RAMIREZ JOSE LUIS</v>
      </c>
    </row>
    <row r="90" spans="2:6" x14ac:dyDescent="0.25">
      <c r="B90" s="3" t="s">
        <v>92</v>
      </c>
      <c r="C90" s="3" t="s">
        <v>52</v>
      </c>
      <c r="D90" s="3">
        <v>2</v>
      </c>
      <c r="E90" s="3" t="str">
        <f t="shared" si="4"/>
        <v>GirBajo</v>
      </c>
      <c r="F90" s="3" t="str">
        <f t="shared" si="5"/>
        <v>GirBajo ESCOTO RAMIREZ JOSE LUIS</v>
      </c>
    </row>
    <row r="91" spans="2:6" x14ac:dyDescent="0.25">
      <c r="B91" s="3" t="s">
        <v>92</v>
      </c>
      <c r="C91" s="3" t="s">
        <v>46</v>
      </c>
      <c r="D91" s="3">
        <v>8</v>
      </c>
      <c r="E91" s="3" t="str">
        <f t="shared" si="4"/>
        <v>VelBajo</v>
      </c>
      <c r="F91" s="3" t="str">
        <f t="shared" si="5"/>
        <v>VelBajo ESCOTO RAMIREZ JOSE LUIS</v>
      </c>
    </row>
    <row r="92" spans="2:6" x14ac:dyDescent="0.25">
      <c r="B92" s="3" t="s">
        <v>93</v>
      </c>
      <c r="C92" s="3" t="s">
        <v>57</v>
      </c>
      <c r="D92" s="3">
        <v>1</v>
      </c>
      <c r="E92" s="3" t="str">
        <f t="shared" si="4"/>
        <v>GirBajo</v>
      </c>
      <c r="F92" s="3" t="str">
        <f t="shared" si="5"/>
        <v>GirBajo ESPINOSA CEBALLOS EDGAR ABRA</v>
      </c>
    </row>
    <row r="93" spans="2:6" x14ac:dyDescent="0.25">
      <c r="B93" s="3" t="s">
        <v>93</v>
      </c>
      <c r="C93" s="3" t="s">
        <v>46</v>
      </c>
      <c r="D93" s="3">
        <v>4</v>
      </c>
      <c r="E93" s="3" t="str">
        <f t="shared" si="4"/>
        <v>VelBajo</v>
      </c>
      <c r="F93" s="3" t="str">
        <f t="shared" si="5"/>
        <v>VelBajo ESPINOSA CEBALLOS EDGAR ABRA</v>
      </c>
    </row>
    <row r="94" spans="2:6" x14ac:dyDescent="0.25">
      <c r="B94" s="3" t="s">
        <v>93</v>
      </c>
      <c r="C94" s="3" t="s">
        <v>48</v>
      </c>
      <c r="D94" s="3">
        <v>1</v>
      </c>
      <c r="E94" s="3" t="str">
        <f t="shared" si="4"/>
        <v>VelMed</v>
      </c>
      <c r="F94" s="3" t="str">
        <f t="shared" si="5"/>
        <v>VelMed ESPINOSA CEBALLOS EDGAR ABRA</v>
      </c>
    </row>
    <row r="95" spans="2:6" x14ac:dyDescent="0.25">
      <c r="B95" s="3" t="s">
        <v>94</v>
      </c>
      <c r="C95" s="3" t="s">
        <v>40</v>
      </c>
      <c r="D95" s="3">
        <v>5</v>
      </c>
      <c r="E95" s="3" t="str">
        <f t="shared" si="4"/>
        <v>FrBajo</v>
      </c>
      <c r="F95" s="3" t="str">
        <f t="shared" si="5"/>
        <v>FrBajo ESTRADA GONZALEZ EDGAR EFREN</v>
      </c>
    </row>
    <row r="96" spans="2:6" x14ac:dyDescent="0.25">
      <c r="B96" s="3" t="s">
        <v>94</v>
      </c>
      <c r="C96" s="3" t="s">
        <v>42</v>
      </c>
      <c r="D96" s="3">
        <v>6</v>
      </c>
      <c r="E96" s="3" t="str">
        <f t="shared" si="4"/>
        <v>FrMed</v>
      </c>
      <c r="F96" s="3" t="str">
        <f t="shared" si="5"/>
        <v>FrMed ESTRADA GONZALEZ EDGAR EFREN</v>
      </c>
    </row>
    <row r="97" spans="2:6" x14ac:dyDescent="0.25">
      <c r="B97" s="3" t="s">
        <v>94</v>
      </c>
      <c r="C97" s="3" t="s">
        <v>57</v>
      </c>
      <c r="D97" s="3">
        <v>5</v>
      </c>
      <c r="E97" s="3" t="str">
        <f t="shared" si="4"/>
        <v>GirBajo</v>
      </c>
      <c r="F97" s="3" t="str">
        <f t="shared" si="5"/>
        <v>GirBajo ESTRADA GONZALEZ EDGAR EFREN</v>
      </c>
    </row>
    <row r="98" spans="2:6" x14ac:dyDescent="0.25">
      <c r="B98" s="3" t="s">
        <v>94</v>
      </c>
      <c r="C98" s="3" t="s">
        <v>58</v>
      </c>
      <c r="D98" s="3">
        <v>3</v>
      </c>
      <c r="E98" s="3" t="str">
        <f t="shared" si="4"/>
        <v>GirMed</v>
      </c>
      <c r="F98" s="3" t="str">
        <f t="shared" si="5"/>
        <v>GirMed ESTRADA GONZALEZ EDGAR EFREN</v>
      </c>
    </row>
    <row r="99" spans="2:6" x14ac:dyDescent="0.25">
      <c r="B99" s="3" t="s">
        <v>94</v>
      </c>
      <c r="C99" s="3" t="s">
        <v>52</v>
      </c>
      <c r="D99" s="3">
        <v>16</v>
      </c>
      <c r="E99" s="3" t="str">
        <f t="shared" si="4"/>
        <v>GirBajo</v>
      </c>
      <c r="F99" s="3" t="str">
        <f t="shared" si="5"/>
        <v>GirBajo ESTRADA GONZALEZ EDGAR EFREN</v>
      </c>
    </row>
    <row r="100" spans="2:6" x14ac:dyDescent="0.25">
      <c r="B100" s="3" t="s">
        <v>94</v>
      </c>
      <c r="C100" s="3" t="s">
        <v>46</v>
      </c>
      <c r="D100" s="3">
        <v>4</v>
      </c>
      <c r="E100" s="3" t="str">
        <f t="shared" si="4"/>
        <v>VelBajo</v>
      </c>
      <c r="F100" s="3" t="str">
        <f t="shared" si="5"/>
        <v>VelBajo ESTRADA GONZALEZ EDGAR EFREN</v>
      </c>
    </row>
    <row r="101" spans="2:6" x14ac:dyDescent="0.25">
      <c r="B101" s="3" t="s">
        <v>95</v>
      </c>
      <c r="C101" s="3" t="s">
        <v>25</v>
      </c>
      <c r="D101" s="3">
        <v>2</v>
      </c>
      <c r="E101" s="3" t="str">
        <f t="shared" si="4"/>
        <v>AcAlto</v>
      </c>
      <c r="F101" s="3" t="str">
        <f t="shared" si="5"/>
        <v>AcAlto FRANCO GOMEZ JORGE ALBERTO</v>
      </c>
    </row>
    <row r="102" spans="2:6" x14ac:dyDescent="0.25">
      <c r="B102" s="3" t="s">
        <v>95</v>
      </c>
      <c r="C102" s="3" t="s">
        <v>57</v>
      </c>
      <c r="D102" s="3">
        <v>6</v>
      </c>
      <c r="E102" s="3" t="str">
        <f t="shared" si="4"/>
        <v>GirBajo</v>
      </c>
      <c r="F102" s="3" t="str">
        <f t="shared" si="5"/>
        <v>GirBajo FRANCO GOMEZ JORGE ALBERTO</v>
      </c>
    </row>
    <row r="103" spans="2:6" x14ac:dyDescent="0.25">
      <c r="B103" s="3" t="s">
        <v>95</v>
      </c>
      <c r="C103" s="3" t="s">
        <v>58</v>
      </c>
      <c r="D103" s="3">
        <v>1</v>
      </c>
      <c r="E103" s="3" t="str">
        <f t="shared" si="4"/>
        <v>GirMed</v>
      </c>
      <c r="F103" s="3" t="str">
        <f t="shared" si="5"/>
        <v>GirMed FRANCO GOMEZ JORGE ALBERTO</v>
      </c>
    </row>
    <row r="104" spans="2:6" x14ac:dyDescent="0.25">
      <c r="B104" s="3" t="s">
        <v>95</v>
      </c>
      <c r="C104" s="3" t="s">
        <v>46</v>
      </c>
      <c r="D104" s="3">
        <v>91</v>
      </c>
      <c r="E104" s="3" t="str">
        <f t="shared" si="4"/>
        <v>VelBajo</v>
      </c>
      <c r="F104" s="3" t="str">
        <f t="shared" si="5"/>
        <v>VelBajo FRANCO GOMEZ JORGE ALBERTO</v>
      </c>
    </row>
    <row r="105" spans="2:6" x14ac:dyDescent="0.25">
      <c r="B105" s="3" t="s">
        <v>96</v>
      </c>
      <c r="C105" s="3" t="s">
        <v>25</v>
      </c>
      <c r="D105" s="3">
        <v>1</v>
      </c>
      <c r="E105" s="3" t="str">
        <f t="shared" si="4"/>
        <v>AcAlto</v>
      </c>
      <c r="F105" s="3" t="str">
        <f t="shared" si="5"/>
        <v>AcAlto FUENTES CHAVEZ PEDRO OMAR</v>
      </c>
    </row>
    <row r="106" spans="2:6" x14ac:dyDescent="0.25">
      <c r="B106" s="3" t="s">
        <v>96</v>
      </c>
      <c r="C106" s="3" t="s">
        <v>40</v>
      </c>
      <c r="D106" s="3">
        <v>1</v>
      </c>
      <c r="E106" s="3" t="str">
        <f t="shared" si="4"/>
        <v>FrBajo</v>
      </c>
      <c r="F106" s="3" t="str">
        <f t="shared" si="5"/>
        <v>FrBajo FUENTES CHAVEZ PEDRO OMAR</v>
      </c>
    </row>
    <row r="107" spans="2:6" x14ac:dyDescent="0.25">
      <c r="B107" s="3" t="s">
        <v>96</v>
      </c>
      <c r="C107" s="3" t="s">
        <v>57</v>
      </c>
      <c r="D107" s="3">
        <v>1</v>
      </c>
      <c r="E107" s="3" t="str">
        <f t="shared" si="4"/>
        <v>GirBajo</v>
      </c>
      <c r="F107" s="3" t="str">
        <f t="shared" si="5"/>
        <v>GirBajo FUENTES CHAVEZ PEDRO OMAR</v>
      </c>
    </row>
    <row r="108" spans="2:6" x14ac:dyDescent="0.25">
      <c r="B108" s="3" t="s">
        <v>96</v>
      </c>
      <c r="C108" s="3" t="s">
        <v>52</v>
      </c>
      <c r="D108" s="3">
        <v>4</v>
      </c>
      <c r="E108" s="3" t="str">
        <f t="shared" si="4"/>
        <v>GirBajo</v>
      </c>
      <c r="F108" s="3" t="str">
        <f t="shared" si="5"/>
        <v>GirBajo FUENTES CHAVEZ PEDRO OMAR</v>
      </c>
    </row>
    <row r="109" spans="2:6" x14ac:dyDescent="0.25">
      <c r="B109" s="3" t="s">
        <v>96</v>
      </c>
      <c r="C109" s="3" t="s">
        <v>46</v>
      </c>
      <c r="D109" s="3">
        <v>1</v>
      </c>
      <c r="E109" s="3" t="str">
        <f t="shared" si="4"/>
        <v>VelBajo</v>
      </c>
      <c r="F109" s="3" t="str">
        <f t="shared" si="5"/>
        <v>VelBajo FUENTES CHAVEZ PEDRO OMAR</v>
      </c>
    </row>
    <row r="110" spans="2:6" x14ac:dyDescent="0.25">
      <c r="B110" s="3" t="s">
        <v>97</v>
      </c>
      <c r="C110" s="3" t="s">
        <v>25</v>
      </c>
      <c r="D110" s="3">
        <v>1</v>
      </c>
      <c r="E110" s="3" t="str">
        <f t="shared" si="4"/>
        <v>AcAlto</v>
      </c>
      <c r="F110" s="3" t="str">
        <f t="shared" si="5"/>
        <v>AcAlto GARCIA ANDRADE SALVADOR ERNEST</v>
      </c>
    </row>
    <row r="111" spans="2:6" x14ac:dyDescent="0.25">
      <c r="B111" s="3" t="s">
        <v>97</v>
      </c>
      <c r="C111" s="3" t="s">
        <v>57</v>
      </c>
      <c r="D111" s="3">
        <v>9</v>
      </c>
      <c r="E111" s="3" t="str">
        <f t="shared" si="4"/>
        <v>GirBajo</v>
      </c>
      <c r="F111" s="3" t="str">
        <f t="shared" si="5"/>
        <v>GirBajo GARCIA ANDRADE SALVADOR ERNEST</v>
      </c>
    </row>
    <row r="112" spans="2:6" x14ac:dyDescent="0.25">
      <c r="B112" s="3" t="s">
        <v>97</v>
      </c>
      <c r="C112" s="3" t="s">
        <v>52</v>
      </c>
      <c r="D112" s="3">
        <v>10</v>
      </c>
      <c r="E112" s="3" t="str">
        <f t="shared" si="4"/>
        <v>GirBajo</v>
      </c>
      <c r="F112" s="3" t="str">
        <f t="shared" si="5"/>
        <v>GirBajo GARCIA ANDRADE SALVADOR ERNEST</v>
      </c>
    </row>
    <row r="113" spans="2:6" x14ac:dyDescent="0.25">
      <c r="B113" s="3" t="s">
        <v>97</v>
      </c>
      <c r="C113" s="3" t="s">
        <v>46</v>
      </c>
      <c r="D113" s="3">
        <v>5</v>
      </c>
      <c r="E113" s="3" t="str">
        <f t="shared" si="4"/>
        <v>VelBajo</v>
      </c>
      <c r="F113" s="3" t="str">
        <f t="shared" si="5"/>
        <v>VelBajo GARCIA ANDRADE SALVADOR ERNEST</v>
      </c>
    </row>
    <row r="114" spans="2:6" x14ac:dyDescent="0.25">
      <c r="B114" s="3" t="s">
        <v>99</v>
      </c>
      <c r="C114" s="3" t="s">
        <v>46</v>
      </c>
      <c r="D114" s="3">
        <v>1</v>
      </c>
      <c r="E114" s="3" t="str">
        <f t="shared" si="4"/>
        <v>VelBajo</v>
      </c>
      <c r="F114" s="3" t="str">
        <f t="shared" si="5"/>
        <v>VelBajo GARCIA JIMENEZ TOMAS</v>
      </c>
    </row>
    <row r="115" spans="2:6" x14ac:dyDescent="0.25">
      <c r="B115" s="3" t="s">
        <v>100</v>
      </c>
      <c r="C115" s="3" t="s">
        <v>52</v>
      </c>
      <c r="D115" s="3">
        <v>1</v>
      </c>
      <c r="E115" s="3" t="str">
        <f t="shared" si="4"/>
        <v>GirBajo</v>
      </c>
      <c r="F115" s="3" t="str">
        <f t="shared" si="5"/>
        <v>GirBajo GARCIA NOVELA JESUS</v>
      </c>
    </row>
    <row r="116" spans="2:6" x14ac:dyDescent="0.25">
      <c r="B116" s="3" t="s">
        <v>101</v>
      </c>
      <c r="C116" s="3" t="s">
        <v>57</v>
      </c>
      <c r="D116" s="3">
        <v>6</v>
      </c>
      <c r="E116" s="3" t="str">
        <f t="shared" si="4"/>
        <v>GirBajo</v>
      </c>
      <c r="F116" s="3" t="str">
        <f t="shared" si="5"/>
        <v>GirBajo GARCIA VELAZQUEZ MANUEL</v>
      </c>
    </row>
    <row r="117" spans="2:6" x14ac:dyDescent="0.25">
      <c r="B117" s="3" t="s">
        <v>102</v>
      </c>
      <c r="C117" s="3" t="s">
        <v>25</v>
      </c>
      <c r="D117" s="3">
        <v>3</v>
      </c>
      <c r="E117" s="3" t="str">
        <f t="shared" si="4"/>
        <v>AcAlto</v>
      </c>
      <c r="F117" s="3" t="str">
        <f t="shared" si="5"/>
        <v>AcAlto GOITIA VILLA ABRAHAM LUIS</v>
      </c>
    </row>
    <row r="118" spans="2:6" x14ac:dyDescent="0.25">
      <c r="B118" s="3" t="s">
        <v>102</v>
      </c>
      <c r="C118" s="3" t="s">
        <v>40</v>
      </c>
      <c r="D118" s="3">
        <v>1</v>
      </c>
      <c r="E118" s="3" t="str">
        <f t="shared" si="4"/>
        <v>FrBajo</v>
      </c>
      <c r="F118" s="3" t="str">
        <f t="shared" si="5"/>
        <v>FrBajo GOITIA VILLA ABRAHAM LUIS</v>
      </c>
    </row>
    <row r="119" spans="2:6" x14ac:dyDescent="0.25">
      <c r="B119" s="3" t="s">
        <v>102</v>
      </c>
      <c r="C119" s="3" t="s">
        <v>57</v>
      </c>
      <c r="D119" s="3">
        <v>23</v>
      </c>
      <c r="E119" s="3" t="str">
        <f t="shared" si="4"/>
        <v>GirBajo</v>
      </c>
      <c r="F119" s="3" t="str">
        <f t="shared" si="5"/>
        <v>GirBajo GOITIA VILLA ABRAHAM LUIS</v>
      </c>
    </row>
    <row r="120" spans="2:6" x14ac:dyDescent="0.25">
      <c r="B120" s="3" t="s">
        <v>102</v>
      </c>
      <c r="C120" s="3" t="s">
        <v>58</v>
      </c>
      <c r="D120" s="3">
        <v>2</v>
      </c>
      <c r="E120" s="3" t="str">
        <f t="shared" si="4"/>
        <v>GirMed</v>
      </c>
      <c r="F120" s="3" t="str">
        <f t="shared" si="5"/>
        <v>GirMed GOITIA VILLA ABRAHAM LUIS</v>
      </c>
    </row>
    <row r="121" spans="2:6" x14ac:dyDescent="0.25">
      <c r="B121" s="3" t="s">
        <v>102</v>
      </c>
      <c r="C121" s="3" t="s">
        <v>52</v>
      </c>
      <c r="D121" s="3">
        <v>36</v>
      </c>
      <c r="E121" s="3" t="str">
        <f t="shared" si="4"/>
        <v>GirBajo</v>
      </c>
      <c r="F121" s="3" t="str">
        <f t="shared" si="5"/>
        <v>GirBajo GOITIA VILLA ABRAHAM LUIS</v>
      </c>
    </row>
    <row r="122" spans="2:6" x14ac:dyDescent="0.25">
      <c r="B122" s="3" t="s">
        <v>102</v>
      </c>
      <c r="C122" s="3" t="s">
        <v>54</v>
      </c>
      <c r="D122" s="3">
        <v>3</v>
      </c>
      <c r="E122" s="3" t="str">
        <f t="shared" si="4"/>
        <v>GirMed</v>
      </c>
      <c r="F122" s="3" t="str">
        <f t="shared" si="5"/>
        <v>GirMed GOITIA VILLA ABRAHAM LUIS</v>
      </c>
    </row>
    <row r="123" spans="2:6" x14ac:dyDescent="0.25">
      <c r="B123" s="3" t="s">
        <v>102</v>
      </c>
      <c r="C123" s="3" t="s">
        <v>46</v>
      </c>
      <c r="D123" s="3">
        <v>8</v>
      </c>
      <c r="E123" s="3" t="str">
        <f t="shared" si="4"/>
        <v>VelBajo</v>
      </c>
      <c r="F123" s="3" t="str">
        <f t="shared" si="5"/>
        <v>VelBajo GOITIA VILLA ABRAHAM LUIS</v>
      </c>
    </row>
    <row r="124" spans="2:6" x14ac:dyDescent="0.25">
      <c r="B124" s="3" t="s">
        <v>103</v>
      </c>
      <c r="C124" s="3" t="s">
        <v>25</v>
      </c>
      <c r="D124" s="3">
        <v>2</v>
      </c>
      <c r="E124" s="3" t="str">
        <f t="shared" si="4"/>
        <v>AcAlto</v>
      </c>
      <c r="F124" s="3" t="str">
        <f t="shared" si="5"/>
        <v>AcAlto GONZALEZ CRUZ CARLOS JAVIER</v>
      </c>
    </row>
    <row r="125" spans="2:6" x14ac:dyDescent="0.25">
      <c r="B125" s="3" t="s">
        <v>103</v>
      </c>
      <c r="C125" s="3" t="s">
        <v>57</v>
      </c>
      <c r="D125" s="3">
        <v>28</v>
      </c>
      <c r="E125" s="3" t="str">
        <f t="shared" si="4"/>
        <v>GirBajo</v>
      </c>
      <c r="F125" s="3" t="str">
        <f t="shared" si="5"/>
        <v>GirBajo GONZALEZ CRUZ CARLOS JAVIER</v>
      </c>
    </row>
    <row r="126" spans="2:6" x14ac:dyDescent="0.25">
      <c r="B126" s="3" t="s">
        <v>103</v>
      </c>
      <c r="C126" s="3" t="s">
        <v>58</v>
      </c>
      <c r="D126" s="3">
        <v>10</v>
      </c>
      <c r="E126" s="3" t="str">
        <f t="shared" si="4"/>
        <v>GirMed</v>
      </c>
      <c r="F126" s="3" t="str">
        <f t="shared" si="5"/>
        <v>GirMed GONZALEZ CRUZ CARLOS JAVIER</v>
      </c>
    </row>
    <row r="127" spans="2:6" x14ac:dyDescent="0.25">
      <c r="B127" s="3" t="s">
        <v>103</v>
      </c>
      <c r="C127" s="3" t="s">
        <v>52</v>
      </c>
      <c r="D127" s="3">
        <v>30</v>
      </c>
      <c r="E127" s="3" t="str">
        <f t="shared" si="4"/>
        <v>GirBajo</v>
      </c>
      <c r="F127" s="3" t="str">
        <f t="shared" si="5"/>
        <v>GirBajo GONZALEZ CRUZ CARLOS JAVIER</v>
      </c>
    </row>
    <row r="128" spans="2:6" x14ac:dyDescent="0.25">
      <c r="B128" s="3" t="s">
        <v>103</v>
      </c>
      <c r="C128" s="3" t="s">
        <v>54</v>
      </c>
      <c r="D128" s="3">
        <v>6</v>
      </c>
      <c r="E128" s="3" t="str">
        <f t="shared" si="4"/>
        <v>GirMed</v>
      </c>
      <c r="F128" s="3" t="str">
        <f t="shared" si="5"/>
        <v>GirMed GONZALEZ CRUZ CARLOS JAVIER</v>
      </c>
    </row>
    <row r="129" spans="2:6" x14ac:dyDescent="0.25">
      <c r="B129" s="3" t="s">
        <v>103</v>
      </c>
      <c r="C129" s="3" t="s">
        <v>44</v>
      </c>
      <c r="D129" s="3">
        <v>9</v>
      </c>
      <c r="E129" s="3" t="str">
        <f t="shared" si="4"/>
        <v>VelAlto</v>
      </c>
      <c r="F129" s="3" t="str">
        <f t="shared" si="5"/>
        <v>VelAlto GONZALEZ CRUZ CARLOS JAVIER</v>
      </c>
    </row>
    <row r="130" spans="2:6" x14ac:dyDescent="0.25">
      <c r="B130" s="3" t="s">
        <v>103</v>
      </c>
      <c r="C130" s="3" t="s">
        <v>46</v>
      </c>
      <c r="D130" s="3">
        <v>62</v>
      </c>
      <c r="E130" s="3" t="str">
        <f t="shared" si="4"/>
        <v>VelBajo</v>
      </c>
      <c r="F130" s="3" t="str">
        <f t="shared" si="5"/>
        <v>VelBajo GONZALEZ CRUZ CARLOS JAVIER</v>
      </c>
    </row>
    <row r="131" spans="2:6" x14ac:dyDescent="0.25">
      <c r="B131" s="3" t="s">
        <v>103</v>
      </c>
      <c r="C131" s="3" t="s">
        <v>48</v>
      </c>
      <c r="D131" s="3">
        <v>43</v>
      </c>
      <c r="E131" s="3" t="str">
        <f t="shared" si="4"/>
        <v>VelMed</v>
      </c>
      <c r="F131" s="3" t="str">
        <f t="shared" si="5"/>
        <v>VelMed GONZALEZ CRUZ CARLOS JAVIER</v>
      </c>
    </row>
    <row r="132" spans="2:6" x14ac:dyDescent="0.25">
      <c r="B132" s="3" t="s">
        <v>104</v>
      </c>
      <c r="C132" s="3" t="s">
        <v>25</v>
      </c>
      <c r="D132" s="3">
        <v>3</v>
      </c>
      <c r="E132" s="3" t="str">
        <f t="shared" ref="E132:E195" si="6">VLOOKUP(C132,I:J,2,0)</f>
        <v>AcAlto</v>
      </c>
      <c r="F132" s="3" t="str">
        <f t="shared" ref="F132:F195" si="7">E132&amp;" "&amp;B132</f>
        <v>AcAlto GONZALEZ GARCIA JUAN CARLOS</v>
      </c>
    </row>
    <row r="133" spans="2:6" x14ac:dyDescent="0.25">
      <c r="B133" s="3" t="s">
        <v>104</v>
      </c>
      <c r="C133" s="3" t="s">
        <v>57</v>
      </c>
      <c r="D133" s="3">
        <v>5</v>
      </c>
      <c r="E133" s="3" t="str">
        <f t="shared" si="6"/>
        <v>GirBajo</v>
      </c>
      <c r="F133" s="3" t="str">
        <f t="shared" si="7"/>
        <v>GirBajo GONZALEZ GARCIA JUAN CARLOS</v>
      </c>
    </row>
    <row r="134" spans="2:6" x14ac:dyDescent="0.25">
      <c r="B134" s="3" t="s">
        <v>104</v>
      </c>
      <c r="C134" s="3" t="s">
        <v>52</v>
      </c>
      <c r="D134" s="3">
        <v>41</v>
      </c>
      <c r="E134" s="3" t="str">
        <f t="shared" si="6"/>
        <v>GirBajo</v>
      </c>
      <c r="F134" s="3" t="str">
        <f t="shared" si="7"/>
        <v>GirBajo GONZALEZ GARCIA JUAN CARLOS</v>
      </c>
    </row>
    <row r="135" spans="2:6" x14ac:dyDescent="0.25">
      <c r="B135" s="3" t="s">
        <v>104</v>
      </c>
      <c r="C135" s="3" t="s">
        <v>54</v>
      </c>
      <c r="D135" s="3">
        <v>1</v>
      </c>
      <c r="E135" s="3" t="str">
        <f t="shared" si="6"/>
        <v>GirMed</v>
      </c>
      <c r="F135" s="3" t="str">
        <f t="shared" si="7"/>
        <v>GirMed GONZALEZ GARCIA JUAN CARLOS</v>
      </c>
    </row>
    <row r="136" spans="2:6" x14ac:dyDescent="0.25">
      <c r="B136" s="3" t="s">
        <v>104</v>
      </c>
      <c r="C136" s="3" t="s">
        <v>46</v>
      </c>
      <c r="D136" s="3">
        <v>6</v>
      </c>
      <c r="E136" s="3" t="str">
        <f t="shared" si="6"/>
        <v>VelBajo</v>
      </c>
      <c r="F136" s="3" t="str">
        <f t="shared" si="7"/>
        <v>VelBajo GONZALEZ GARCIA JUAN CARLOS</v>
      </c>
    </row>
    <row r="137" spans="2:6" x14ac:dyDescent="0.25">
      <c r="B137" s="3" t="s">
        <v>105</v>
      </c>
      <c r="C137" s="3" t="s">
        <v>42</v>
      </c>
      <c r="D137" s="3">
        <v>3</v>
      </c>
      <c r="E137" s="3" t="str">
        <f t="shared" si="6"/>
        <v>FrMed</v>
      </c>
      <c r="F137" s="3" t="str">
        <f t="shared" si="7"/>
        <v>FrMed JACOBO MENDOZA SERGIO</v>
      </c>
    </row>
    <row r="138" spans="2:6" x14ac:dyDescent="0.25">
      <c r="B138" s="3" t="s">
        <v>105</v>
      </c>
      <c r="C138" s="3" t="s">
        <v>57</v>
      </c>
      <c r="D138" s="3">
        <v>3</v>
      </c>
      <c r="E138" s="3" t="str">
        <f t="shared" si="6"/>
        <v>GirBajo</v>
      </c>
      <c r="F138" s="3" t="str">
        <f t="shared" si="7"/>
        <v>GirBajo JACOBO MENDOZA SERGIO</v>
      </c>
    </row>
    <row r="139" spans="2:6" x14ac:dyDescent="0.25">
      <c r="B139" s="3" t="s">
        <v>105</v>
      </c>
      <c r="C139" s="3" t="s">
        <v>52</v>
      </c>
      <c r="D139" s="3">
        <v>7</v>
      </c>
      <c r="E139" s="3" t="str">
        <f t="shared" si="6"/>
        <v>GirBajo</v>
      </c>
      <c r="F139" s="3" t="str">
        <f t="shared" si="7"/>
        <v>GirBajo JACOBO MENDOZA SERGIO</v>
      </c>
    </row>
    <row r="140" spans="2:6" x14ac:dyDescent="0.25">
      <c r="B140" s="3" t="s">
        <v>105</v>
      </c>
      <c r="C140" s="3" t="s">
        <v>46</v>
      </c>
      <c r="D140" s="3">
        <v>4</v>
      </c>
      <c r="E140" s="3" t="str">
        <f t="shared" si="6"/>
        <v>VelBajo</v>
      </c>
      <c r="F140" s="3" t="str">
        <f t="shared" si="7"/>
        <v>VelBajo JACOBO MENDOZA SERGIO</v>
      </c>
    </row>
    <row r="141" spans="2:6" x14ac:dyDescent="0.25">
      <c r="B141" s="3" t="s">
        <v>106</v>
      </c>
      <c r="C141" s="3" t="s">
        <v>42</v>
      </c>
      <c r="D141" s="3">
        <v>1</v>
      </c>
      <c r="E141" s="3" t="str">
        <f t="shared" si="6"/>
        <v>FrMed</v>
      </c>
      <c r="F141" s="3" t="str">
        <f t="shared" si="7"/>
        <v>FrMed JOSE ALEJANDRO RODRIGUEZ MERCADO</v>
      </c>
    </row>
    <row r="142" spans="2:6" x14ac:dyDescent="0.25">
      <c r="B142" s="3" t="s">
        <v>106</v>
      </c>
      <c r="C142" s="3" t="s">
        <v>57</v>
      </c>
      <c r="D142" s="3">
        <v>4</v>
      </c>
      <c r="E142" s="3" t="str">
        <f t="shared" si="6"/>
        <v>GirBajo</v>
      </c>
      <c r="F142" s="3" t="str">
        <f t="shared" si="7"/>
        <v>GirBajo JOSE ALEJANDRO RODRIGUEZ MERCADO</v>
      </c>
    </row>
    <row r="143" spans="2:6" x14ac:dyDescent="0.25">
      <c r="B143" s="3" t="s">
        <v>106</v>
      </c>
      <c r="C143" s="3" t="s">
        <v>52</v>
      </c>
      <c r="D143" s="3">
        <v>3</v>
      </c>
      <c r="E143" s="3" t="str">
        <f t="shared" si="6"/>
        <v>GirBajo</v>
      </c>
      <c r="F143" s="3" t="str">
        <f t="shared" si="7"/>
        <v>GirBajo JOSE ALEJANDRO RODRIGUEZ MERCADO</v>
      </c>
    </row>
    <row r="144" spans="2:6" x14ac:dyDescent="0.25">
      <c r="B144" s="3" t="s">
        <v>106</v>
      </c>
      <c r="C144" s="3" t="s">
        <v>46</v>
      </c>
      <c r="D144" s="3">
        <v>35</v>
      </c>
      <c r="E144" s="3" t="str">
        <f t="shared" si="6"/>
        <v>VelBajo</v>
      </c>
      <c r="F144" s="3" t="str">
        <f t="shared" si="7"/>
        <v>VelBajo JOSE ALEJANDRO RODRIGUEZ MERCADO</v>
      </c>
    </row>
    <row r="145" spans="2:6" x14ac:dyDescent="0.25">
      <c r="B145" s="3" t="s">
        <v>106</v>
      </c>
      <c r="C145" s="3" t="s">
        <v>48</v>
      </c>
      <c r="D145" s="3">
        <v>5</v>
      </c>
      <c r="E145" s="3" t="str">
        <f t="shared" si="6"/>
        <v>VelMed</v>
      </c>
      <c r="F145" s="3" t="str">
        <f t="shared" si="7"/>
        <v>VelMed JOSE ALEJANDRO RODRIGUEZ MERCADO</v>
      </c>
    </row>
    <row r="146" spans="2:6" x14ac:dyDescent="0.25">
      <c r="B146" s="3" t="s">
        <v>107</v>
      </c>
      <c r="C146" s="3" t="s">
        <v>57</v>
      </c>
      <c r="D146" s="3">
        <v>3</v>
      </c>
      <c r="E146" s="3" t="str">
        <f t="shared" si="6"/>
        <v>GirBajo</v>
      </c>
      <c r="F146" s="3" t="str">
        <f t="shared" si="7"/>
        <v>GirBajo LOPEZ GARCIA HUMBERTO</v>
      </c>
    </row>
    <row r="147" spans="2:6" x14ac:dyDescent="0.25">
      <c r="B147" s="3" t="s">
        <v>107</v>
      </c>
      <c r="C147" s="3" t="s">
        <v>52</v>
      </c>
      <c r="D147" s="3">
        <v>1</v>
      </c>
      <c r="E147" s="3" t="str">
        <f t="shared" si="6"/>
        <v>GirBajo</v>
      </c>
      <c r="F147" s="3" t="str">
        <f t="shared" si="7"/>
        <v>GirBajo LOPEZ GARCIA HUMBERTO</v>
      </c>
    </row>
    <row r="148" spans="2:6" x14ac:dyDescent="0.25">
      <c r="B148" s="3" t="s">
        <v>107</v>
      </c>
      <c r="C148" s="3" t="s">
        <v>54</v>
      </c>
      <c r="D148" s="3">
        <v>1</v>
      </c>
      <c r="E148" s="3" t="str">
        <f t="shared" si="6"/>
        <v>GirMed</v>
      </c>
      <c r="F148" s="3" t="str">
        <f t="shared" si="7"/>
        <v>GirMed LOPEZ GARCIA HUMBERTO</v>
      </c>
    </row>
    <row r="149" spans="2:6" x14ac:dyDescent="0.25">
      <c r="B149" s="3" t="s">
        <v>108</v>
      </c>
      <c r="C149" s="3" t="s">
        <v>25</v>
      </c>
      <c r="D149" s="3">
        <v>8</v>
      </c>
      <c r="E149" s="3" t="str">
        <f t="shared" si="6"/>
        <v>AcAlto</v>
      </c>
      <c r="F149" s="3" t="str">
        <f t="shared" si="7"/>
        <v>AcAlto LOPEZ REBOLLEDO JOSE LUIS</v>
      </c>
    </row>
    <row r="150" spans="2:6" x14ac:dyDescent="0.25">
      <c r="B150" s="3" t="s">
        <v>108</v>
      </c>
      <c r="C150" s="3" t="s">
        <v>40</v>
      </c>
      <c r="D150" s="3">
        <v>2</v>
      </c>
      <c r="E150" s="3" t="str">
        <f t="shared" si="6"/>
        <v>FrBajo</v>
      </c>
      <c r="F150" s="3" t="str">
        <f t="shared" si="7"/>
        <v>FrBajo LOPEZ REBOLLEDO JOSE LUIS</v>
      </c>
    </row>
    <row r="151" spans="2:6" x14ac:dyDescent="0.25">
      <c r="B151" s="3" t="s">
        <v>108</v>
      </c>
      <c r="C151" s="3" t="s">
        <v>42</v>
      </c>
      <c r="D151" s="3">
        <v>1</v>
      </c>
      <c r="E151" s="3" t="str">
        <f t="shared" si="6"/>
        <v>FrMed</v>
      </c>
      <c r="F151" s="3" t="str">
        <f t="shared" si="7"/>
        <v>FrMed LOPEZ REBOLLEDO JOSE LUIS</v>
      </c>
    </row>
    <row r="152" spans="2:6" x14ac:dyDescent="0.25">
      <c r="B152" s="3" t="s">
        <v>108</v>
      </c>
      <c r="C152" s="3" t="s">
        <v>52</v>
      </c>
      <c r="D152" s="3">
        <v>1</v>
      </c>
      <c r="E152" s="3" t="str">
        <f t="shared" si="6"/>
        <v>GirBajo</v>
      </c>
      <c r="F152" s="3" t="str">
        <f t="shared" si="7"/>
        <v>GirBajo LOPEZ REBOLLEDO JOSE LUIS</v>
      </c>
    </row>
    <row r="153" spans="2:6" x14ac:dyDescent="0.25">
      <c r="B153" s="3" t="s">
        <v>109</v>
      </c>
      <c r="C153" s="3" t="s">
        <v>25</v>
      </c>
      <c r="D153" s="3">
        <v>1</v>
      </c>
      <c r="E153" s="3" t="str">
        <f t="shared" si="6"/>
        <v>AcAlto</v>
      </c>
      <c r="F153" s="3" t="str">
        <f t="shared" si="7"/>
        <v>AcAlto LOPEZ ZEPEDA JOSE JESUS</v>
      </c>
    </row>
    <row r="154" spans="2:6" x14ac:dyDescent="0.25">
      <c r="B154" s="3" t="s">
        <v>109</v>
      </c>
      <c r="C154" s="3" t="s">
        <v>57</v>
      </c>
      <c r="D154" s="3">
        <v>17</v>
      </c>
      <c r="E154" s="3" t="str">
        <f t="shared" si="6"/>
        <v>GirBajo</v>
      </c>
      <c r="F154" s="3" t="str">
        <f t="shared" si="7"/>
        <v>GirBajo LOPEZ ZEPEDA JOSE JESUS</v>
      </c>
    </row>
    <row r="155" spans="2:6" x14ac:dyDescent="0.25">
      <c r="B155" s="3" t="s">
        <v>109</v>
      </c>
      <c r="C155" s="3" t="s">
        <v>58</v>
      </c>
      <c r="D155" s="3">
        <v>3</v>
      </c>
      <c r="E155" s="3" t="str">
        <f t="shared" si="6"/>
        <v>GirMed</v>
      </c>
      <c r="F155" s="3" t="str">
        <f t="shared" si="7"/>
        <v>GirMed LOPEZ ZEPEDA JOSE JESUS</v>
      </c>
    </row>
    <row r="156" spans="2:6" x14ac:dyDescent="0.25">
      <c r="B156" s="3" t="s">
        <v>109</v>
      </c>
      <c r="C156" s="3" t="s">
        <v>52</v>
      </c>
      <c r="D156" s="3">
        <v>15</v>
      </c>
      <c r="E156" s="3" t="str">
        <f t="shared" si="6"/>
        <v>GirBajo</v>
      </c>
      <c r="F156" s="3" t="str">
        <f t="shared" si="7"/>
        <v>GirBajo LOPEZ ZEPEDA JOSE JESUS</v>
      </c>
    </row>
    <row r="157" spans="2:6" x14ac:dyDescent="0.25">
      <c r="B157" s="3" t="s">
        <v>109</v>
      </c>
      <c r="C157" s="3" t="s">
        <v>54</v>
      </c>
      <c r="D157" s="3">
        <v>1</v>
      </c>
      <c r="E157" s="3" t="str">
        <f t="shared" si="6"/>
        <v>GirMed</v>
      </c>
      <c r="F157" s="3" t="str">
        <f t="shared" si="7"/>
        <v>GirMed LOPEZ ZEPEDA JOSE JESUS</v>
      </c>
    </row>
    <row r="158" spans="2:6" x14ac:dyDescent="0.25">
      <c r="B158" s="3" t="s">
        <v>109</v>
      </c>
      <c r="C158" s="3" t="s">
        <v>46</v>
      </c>
      <c r="D158" s="3">
        <v>123</v>
      </c>
      <c r="E158" s="3" t="str">
        <f t="shared" si="6"/>
        <v>VelBajo</v>
      </c>
      <c r="F158" s="3" t="str">
        <f t="shared" si="7"/>
        <v>VelBajo LOPEZ ZEPEDA JOSE JESUS</v>
      </c>
    </row>
    <row r="159" spans="2:6" x14ac:dyDescent="0.25">
      <c r="B159" s="3" t="s">
        <v>109</v>
      </c>
      <c r="C159" s="3" t="s">
        <v>48</v>
      </c>
      <c r="D159" s="3">
        <v>3</v>
      </c>
      <c r="E159" s="3" t="str">
        <f t="shared" si="6"/>
        <v>VelMed</v>
      </c>
      <c r="F159" s="3" t="str">
        <f t="shared" si="7"/>
        <v>VelMed LOPEZ ZEPEDA JOSE JESUS</v>
      </c>
    </row>
    <row r="160" spans="2:6" x14ac:dyDescent="0.25">
      <c r="B160" s="3" t="s">
        <v>111</v>
      </c>
      <c r="C160" s="3" t="s">
        <v>25</v>
      </c>
      <c r="D160" s="3">
        <v>11</v>
      </c>
      <c r="E160" s="3" t="str">
        <f t="shared" si="6"/>
        <v>AcAlto</v>
      </c>
      <c r="F160" s="3" t="str">
        <f t="shared" si="7"/>
        <v>AcAlto M.Mantenimiento</v>
      </c>
    </row>
    <row r="161" spans="2:6" x14ac:dyDescent="0.25">
      <c r="B161" s="3" t="s">
        <v>111</v>
      </c>
      <c r="C161" s="3" t="s">
        <v>38</v>
      </c>
      <c r="D161" s="3">
        <v>1</v>
      </c>
      <c r="E161" s="3" t="str">
        <f t="shared" si="6"/>
        <v>FrAlto</v>
      </c>
      <c r="F161" s="3" t="str">
        <f t="shared" si="7"/>
        <v>FrAlto M.Mantenimiento</v>
      </c>
    </row>
    <row r="162" spans="2:6" x14ac:dyDescent="0.25">
      <c r="B162" s="3" t="s">
        <v>111</v>
      </c>
      <c r="C162" s="3" t="s">
        <v>40</v>
      </c>
      <c r="D162" s="3">
        <v>14</v>
      </c>
      <c r="E162" s="3" t="str">
        <f t="shared" si="6"/>
        <v>FrBajo</v>
      </c>
      <c r="F162" s="3" t="str">
        <f t="shared" si="7"/>
        <v>FrBajo M.Mantenimiento</v>
      </c>
    </row>
    <row r="163" spans="2:6" x14ac:dyDescent="0.25">
      <c r="B163" s="3" t="s">
        <v>111</v>
      </c>
      <c r="C163" s="3" t="s">
        <v>42</v>
      </c>
      <c r="D163" s="3">
        <v>9</v>
      </c>
      <c r="E163" s="3" t="str">
        <f t="shared" si="6"/>
        <v>FrMed</v>
      </c>
      <c r="F163" s="3" t="str">
        <f t="shared" si="7"/>
        <v>FrMed M.Mantenimiento</v>
      </c>
    </row>
    <row r="164" spans="2:6" x14ac:dyDescent="0.25">
      <c r="B164" s="3" t="s">
        <v>111</v>
      </c>
      <c r="C164" s="3" t="s">
        <v>56</v>
      </c>
      <c r="D164" s="3">
        <v>10</v>
      </c>
      <c r="E164" s="3" t="str">
        <f t="shared" si="6"/>
        <v>GirAlto</v>
      </c>
      <c r="F164" s="3" t="str">
        <f t="shared" si="7"/>
        <v>GirAlto M.Mantenimiento</v>
      </c>
    </row>
    <row r="165" spans="2:6" x14ac:dyDescent="0.25">
      <c r="B165" s="3" t="s">
        <v>111</v>
      </c>
      <c r="C165" s="3" t="s">
        <v>57</v>
      </c>
      <c r="D165" s="3">
        <v>79</v>
      </c>
      <c r="E165" s="3" t="str">
        <f t="shared" si="6"/>
        <v>GirBajo</v>
      </c>
      <c r="F165" s="3" t="str">
        <f t="shared" si="7"/>
        <v>GirBajo M.Mantenimiento</v>
      </c>
    </row>
    <row r="166" spans="2:6" x14ac:dyDescent="0.25">
      <c r="B166" s="3" t="s">
        <v>111</v>
      </c>
      <c r="C166" s="3" t="s">
        <v>58</v>
      </c>
      <c r="D166" s="3">
        <v>65</v>
      </c>
      <c r="E166" s="3" t="str">
        <f t="shared" si="6"/>
        <v>GirMed</v>
      </c>
      <c r="F166" s="3" t="str">
        <f t="shared" si="7"/>
        <v>GirMed M.Mantenimiento</v>
      </c>
    </row>
    <row r="167" spans="2:6" x14ac:dyDescent="0.25">
      <c r="B167" s="3" t="s">
        <v>111</v>
      </c>
      <c r="C167" s="3" t="s">
        <v>50</v>
      </c>
      <c r="D167" s="3">
        <v>16</v>
      </c>
      <c r="E167" s="3" t="str">
        <f t="shared" si="6"/>
        <v>GirAlto</v>
      </c>
      <c r="F167" s="3" t="str">
        <f t="shared" si="7"/>
        <v>GirAlto M.Mantenimiento</v>
      </c>
    </row>
    <row r="168" spans="2:6" x14ac:dyDescent="0.25">
      <c r="B168" s="3" t="s">
        <v>111</v>
      </c>
      <c r="C168" s="3" t="s">
        <v>52</v>
      </c>
      <c r="D168" s="3">
        <v>94</v>
      </c>
      <c r="E168" s="3" t="str">
        <f t="shared" si="6"/>
        <v>GirBajo</v>
      </c>
      <c r="F168" s="3" t="str">
        <f t="shared" si="7"/>
        <v>GirBajo M.Mantenimiento</v>
      </c>
    </row>
    <row r="169" spans="2:6" x14ac:dyDescent="0.25">
      <c r="B169" s="3" t="s">
        <v>111</v>
      </c>
      <c r="C169" s="3" t="s">
        <v>54</v>
      </c>
      <c r="D169" s="3">
        <v>57</v>
      </c>
      <c r="E169" s="3" t="str">
        <f t="shared" si="6"/>
        <v>GirMed</v>
      </c>
      <c r="F169" s="3" t="str">
        <f t="shared" si="7"/>
        <v>GirMed M.Mantenimiento</v>
      </c>
    </row>
    <row r="170" spans="2:6" x14ac:dyDescent="0.25">
      <c r="B170" s="3" t="s">
        <v>111</v>
      </c>
      <c r="C170" s="3" t="s">
        <v>44</v>
      </c>
      <c r="D170" s="3">
        <v>108</v>
      </c>
      <c r="E170" s="3" t="str">
        <f t="shared" si="6"/>
        <v>VelAlto</v>
      </c>
      <c r="F170" s="3" t="str">
        <f t="shared" si="7"/>
        <v>VelAlto M.Mantenimiento</v>
      </c>
    </row>
    <row r="171" spans="2:6" x14ac:dyDescent="0.25">
      <c r="B171" s="3" t="s">
        <v>111</v>
      </c>
      <c r="C171" s="3" t="s">
        <v>46</v>
      </c>
      <c r="D171" s="3">
        <v>236</v>
      </c>
      <c r="E171" s="3" t="str">
        <f t="shared" si="6"/>
        <v>VelBajo</v>
      </c>
      <c r="F171" s="3" t="str">
        <f t="shared" si="7"/>
        <v>VelBajo M.Mantenimiento</v>
      </c>
    </row>
    <row r="172" spans="2:6" x14ac:dyDescent="0.25">
      <c r="B172" s="3" t="s">
        <v>111</v>
      </c>
      <c r="C172" s="3" t="s">
        <v>48</v>
      </c>
      <c r="D172" s="3">
        <v>199</v>
      </c>
      <c r="E172" s="3" t="str">
        <f t="shared" si="6"/>
        <v>VelMed</v>
      </c>
      <c r="F172" s="3" t="str">
        <f t="shared" si="7"/>
        <v>VelMed M.Mantenimiento</v>
      </c>
    </row>
    <row r="173" spans="2:6" x14ac:dyDescent="0.25">
      <c r="B173" s="3" t="s">
        <v>112</v>
      </c>
      <c r="C173" s="3" t="s">
        <v>57</v>
      </c>
      <c r="D173" s="3">
        <v>2</v>
      </c>
      <c r="E173" s="3" t="str">
        <f t="shared" si="6"/>
        <v>GirBajo</v>
      </c>
      <c r="F173" s="3" t="str">
        <f t="shared" si="7"/>
        <v>GirBajo MAGALLON ACOSTA MIGUEL</v>
      </c>
    </row>
    <row r="174" spans="2:6" x14ac:dyDescent="0.25">
      <c r="B174" s="3" t="s">
        <v>113</v>
      </c>
      <c r="C174" s="3" t="s">
        <v>25</v>
      </c>
      <c r="D174" s="3">
        <v>6</v>
      </c>
      <c r="E174" s="3" t="str">
        <f t="shared" si="6"/>
        <v>AcAlto</v>
      </c>
      <c r="F174" s="3" t="str">
        <f t="shared" si="7"/>
        <v>AcAlto MANZO MAYORAL ISIDORO RAFAEL</v>
      </c>
    </row>
    <row r="175" spans="2:6" x14ac:dyDescent="0.25">
      <c r="B175" s="3" t="s">
        <v>113</v>
      </c>
      <c r="C175" s="3" t="s">
        <v>42</v>
      </c>
      <c r="D175" s="3">
        <v>1</v>
      </c>
      <c r="E175" s="3" t="str">
        <f t="shared" si="6"/>
        <v>FrMed</v>
      </c>
      <c r="F175" s="3" t="str">
        <f t="shared" si="7"/>
        <v>FrMed MANZO MAYORAL ISIDORO RAFAEL</v>
      </c>
    </row>
    <row r="176" spans="2:6" x14ac:dyDescent="0.25">
      <c r="B176" s="3" t="s">
        <v>113</v>
      </c>
      <c r="C176" s="3" t="s">
        <v>57</v>
      </c>
      <c r="D176" s="3">
        <v>1</v>
      </c>
      <c r="E176" s="3" t="str">
        <f t="shared" si="6"/>
        <v>GirBajo</v>
      </c>
      <c r="F176" s="3" t="str">
        <f t="shared" si="7"/>
        <v>GirBajo MANZO MAYORAL ISIDORO RAFAEL</v>
      </c>
    </row>
    <row r="177" spans="2:6" x14ac:dyDescent="0.25">
      <c r="B177" s="3" t="s">
        <v>113</v>
      </c>
      <c r="C177" s="3" t="s">
        <v>52</v>
      </c>
      <c r="D177" s="3">
        <v>2</v>
      </c>
      <c r="E177" s="3" t="str">
        <f t="shared" si="6"/>
        <v>GirBajo</v>
      </c>
      <c r="F177" s="3" t="str">
        <f t="shared" si="7"/>
        <v>GirBajo MANZO MAYORAL ISIDORO RAFAEL</v>
      </c>
    </row>
    <row r="178" spans="2:6" x14ac:dyDescent="0.25">
      <c r="B178" s="3" t="s">
        <v>113</v>
      </c>
      <c r="C178" s="3" t="s">
        <v>46</v>
      </c>
      <c r="D178" s="3">
        <v>1</v>
      </c>
      <c r="E178" s="3" t="str">
        <f t="shared" si="6"/>
        <v>VelBajo</v>
      </c>
      <c r="F178" s="3" t="str">
        <f t="shared" si="7"/>
        <v>VelBajo MANZO MAYORAL ISIDORO RAFAEL</v>
      </c>
    </row>
    <row r="179" spans="2:6" x14ac:dyDescent="0.25">
      <c r="B179" s="3" t="s">
        <v>114</v>
      </c>
      <c r="C179" s="3" t="s">
        <v>25</v>
      </c>
      <c r="D179" s="3">
        <v>3</v>
      </c>
      <c r="E179" s="3" t="str">
        <f t="shared" si="6"/>
        <v>AcAlto</v>
      </c>
      <c r="F179" s="3" t="str">
        <f t="shared" si="7"/>
        <v>AcAlto MARTINEZ RODRIGUEZ ELIAS</v>
      </c>
    </row>
    <row r="180" spans="2:6" x14ac:dyDescent="0.25">
      <c r="B180" s="3" t="s">
        <v>114</v>
      </c>
      <c r="C180" s="3" t="s">
        <v>27</v>
      </c>
      <c r="D180" s="3">
        <v>2</v>
      </c>
      <c r="E180" s="3" t="str">
        <f t="shared" si="6"/>
        <v>AcMed</v>
      </c>
      <c r="F180" s="3" t="str">
        <f t="shared" si="7"/>
        <v>AcMed MARTINEZ RODRIGUEZ ELIAS</v>
      </c>
    </row>
    <row r="181" spans="2:6" x14ac:dyDescent="0.25">
      <c r="B181" s="3" t="s">
        <v>114</v>
      </c>
      <c r="C181" s="3" t="s">
        <v>57</v>
      </c>
      <c r="D181" s="3">
        <v>6</v>
      </c>
      <c r="E181" s="3" t="str">
        <f t="shared" si="6"/>
        <v>GirBajo</v>
      </c>
      <c r="F181" s="3" t="str">
        <f t="shared" si="7"/>
        <v>GirBajo MARTINEZ RODRIGUEZ ELIAS</v>
      </c>
    </row>
    <row r="182" spans="2:6" x14ac:dyDescent="0.25">
      <c r="B182" s="3" t="s">
        <v>114</v>
      </c>
      <c r="C182" s="3" t="s">
        <v>58</v>
      </c>
      <c r="D182" s="3">
        <v>1</v>
      </c>
      <c r="E182" s="3" t="str">
        <f t="shared" si="6"/>
        <v>GirMed</v>
      </c>
      <c r="F182" s="3" t="str">
        <f t="shared" si="7"/>
        <v>GirMed MARTINEZ RODRIGUEZ ELIAS</v>
      </c>
    </row>
    <row r="183" spans="2:6" x14ac:dyDescent="0.25">
      <c r="B183" s="3" t="s">
        <v>114</v>
      </c>
      <c r="C183" s="3" t="s">
        <v>52</v>
      </c>
      <c r="D183" s="3">
        <v>6</v>
      </c>
      <c r="E183" s="3" t="str">
        <f t="shared" si="6"/>
        <v>GirBajo</v>
      </c>
      <c r="F183" s="3" t="str">
        <f t="shared" si="7"/>
        <v>GirBajo MARTINEZ RODRIGUEZ ELIAS</v>
      </c>
    </row>
    <row r="184" spans="2:6" x14ac:dyDescent="0.25">
      <c r="B184" s="3" t="s">
        <v>114</v>
      </c>
      <c r="C184" s="3" t="s">
        <v>54</v>
      </c>
      <c r="D184" s="3">
        <v>1</v>
      </c>
      <c r="E184" s="3" t="str">
        <f t="shared" si="6"/>
        <v>GirMed</v>
      </c>
      <c r="F184" s="3" t="str">
        <f t="shared" si="7"/>
        <v>GirMed MARTINEZ RODRIGUEZ ELIAS</v>
      </c>
    </row>
    <row r="185" spans="2:6" x14ac:dyDescent="0.25">
      <c r="B185" s="3" t="s">
        <v>114</v>
      </c>
      <c r="C185" s="3" t="s">
        <v>46</v>
      </c>
      <c r="D185" s="3">
        <v>16</v>
      </c>
      <c r="E185" s="3" t="str">
        <f t="shared" si="6"/>
        <v>VelBajo</v>
      </c>
      <c r="F185" s="3" t="str">
        <f t="shared" si="7"/>
        <v>VelBajo MARTINEZ RODRIGUEZ ELIAS</v>
      </c>
    </row>
    <row r="186" spans="2:6" x14ac:dyDescent="0.25">
      <c r="B186" s="3" t="s">
        <v>115</v>
      </c>
      <c r="C186" s="3" t="s">
        <v>25</v>
      </c>
      <c r="D186" s="3">
        <v>15</v>
      </c>
      <c r="E186" s="3" t="str">
        <f t="shared" si="6"/>
        <v>AcAlto</v>
      </c>
      <c r="F186" s="3" t="str">
        <f t="shared" si="7"/>
        <v>AcAlto MEDINA DE LOS SANTOS EDWIN CAI</v>
      </c>
    </row>
    <row r="187" spans="2:6" x14ac:dyDescent="0.25">
      <c r="B187" s="3" t="s">
        <v>115</v>
      </c>
      <c r="C187" s="3" t="s">
        <v>38</v>
      </c>
      <c r="D187" s="3">
        <v>3</v>
      </c>
      <c r="E187" s="3" t="str">
        <f t="shared" si="6"/>
        <v>FrAlto</v>
      </c>
      <c r="F187" s="3" t="str">
        <f t="shared" si="7"/>
        <v>FrAlto MEDINA DE LOS SANTOS EDWIN CAI</v>
      </c>
    </row>
    <row r="188" spans="2:6" x14ac:dyDescent="0.25">
      <c r="B188" s="3" t="s">
        <v>115</v>
      </c>
      <c r="C188" s="3" t="s">
        <v>40</v>
      </c>
      <c r="D188" s="3">
        <v>2</v>
      </c>
      <c r="E188" s="3" t="str">
        <f t="shared" si="6"/>
        <v>FrBajo</v>
      </c>
      <c r="F188" s="3" t="str">
        <f t="shared" si="7"/>
        <v>FrBajo MEDINA DE LOS SANTOS EDWIN CAI</v>
      </c>
    </row>
    <row r="189" spans="2:6" x14ac:dyDescent="0.25">
      <c r="B189" s="3" t="s">
        <v>115</v>
      </c>
      <c r="C189" s="3" t="s">
        <v>42</v>
      </c>
      <c r="D189" s="3">
        <v>7</v>
      </c>
      <c r="E189" s="3" t="str">
        <f t="shared" si="6"/>
        <v>FrMed</v>
      </c>
      <c r="F189" s="3" t="str">
        <f t="shared" si="7"/>
        <v>FrMed MEDINA DE LOS SANTOS EDWIN CAI</v>
      </c>
    </row>
    <row r="190" spans="2:6" x14ac:dyDescent="0.25">
      <c r="B190" s="3" t="s">
        <v>115</v>
      </c>
      <c r="C190" s="3" t="s">
        <v>57</v>
      </c>
      <c r="D190" s="3">
        <v>5</v>
      </c>
      <c r="E190" s="3" t="str">
        <f t="shared" si="6"/>
        <v>GirBajo</v>
      </c>
      <c r="F190" s="3" t="str">
        <f t="shared" si="7"/>
        <v>GirBajo MEDINA DE LOS SANTOS EDWIN CAI</v>
      </c>
    </row>
    <row r="191" spans="2:6" x14ac:dyDescent="0.25">
      <c r="B191" s="3" t="s">
        <v>115</v>
      </c>
      <c r="C191" s="3" t="s">
        <v>52</v>
      </c>
      <c r="D191" s="3">
        <v>2</v>
      </c>
      <c r="E191" s="3" t="str">
        <f t="shared" si="6"/>
        <v>GirBajo</v>
      </c>
      <c r="F191" s="3" t="str">
        <f t="shared" si="7"/>
        <v>GirBajo MEDINA DE LOS SANTOS EDWIN CAI</v>
      </c>
    </row>
    <row r="192" spans="2:6" x14ac:dyDescent="0.25">
      <c r="B192" s="3" t="s">
        <v>116</v>
      </c>
      <c r="C192" s="3" t="s">
        <v>52</v>
      </c>
      <c r="D192" s="3">
        <v>1</v>
      </c>
      <c r="E192" s="3" t="str">
        <f t="shared" si="6"/>
        <v>GirBajo</v>
      </c>
      <c r="F192" s="3" t="str">
        <f t="shared" si="7"/>
        <v>GirBajo MENDOZA LARIOS LORENZO JAVIER</v>
      </c>
    </row>
    <row r="193" spans="2:6" x14ac:dyDescent="0.25">
      <c r="B193" s="3" t="s">
        <v>119</v>
      </c>
      <c r="C193" s="3" t="s">
        <v>25</v>
      </c>
      <c r="D193" s="3">
        <v>1</v>
      </c>
      <c r="E193" s="3" t="str">
        <f t="shared" si="6"/>
        <v>AcAlto</v>
      </c>
      <c r="F193" s="3" t="str">
        <f t="shared" si="7"/>
        <v>AcAlto OCHOA GUERRERO  EDGAR JESUS</v>
      </c>
    </row>
    <row r="194" spans="2:6" x14ac:dyDescent="0.25">
      <c r="B194" s="3" t="s">
        <v>119</v>
      </c>
      <c r="C194" s="3" t="s">
        <v>27</v>
      </c>
      <c r="D194" s="3">
        <v>13</v>
      </c>
      <c r="E194" s="3" t="str">
        <f t="shared" si="6"/>
        <v>AcMed</v>
      </c>
      <c r="F194" s="3" t="str">
        <f t="shared" si="7"/>
        <v>AcMed OCHOA GUERRERO  EDGAR JESUS</v>
      </c>
    </row>
    <row r="195" spans="2:6" x14ac:dyDescent="0.25">
      <c r="B195" s="3" t="s">
        <v>119</v>
      </c>
      <c r="C195" s="3" t="s">
        <v>40</v>
      </c>
      <c r="D195" s="3">
        <v>3</v>
      </c>
      <c r="E195" s="3" t="str">
        <f t="shared" si="6"/>
        <v>FrBajo</v>
      </c>
      <c r="F195" s="3" t="str">
        <f t="shared" si="7"/>
        <v>FrBajo OCHOA GUERRERO  EDGAR JESUS</v>
      </c>
    </row>
    <row r="196" spans="2:6" x14ac:dyDescent="0.25">
      <c r="B196" s="3" t="s">
        <v>119</v>
      </c>
      <c r="C196" s="3" t="s">
        <v>42</v>
      </c>
      <c r="D196" s="3">
        <v>1</v>
      </c>
      <c r="E196" s="3" t="str">
        <f t="shared" ref="E196:E259" si="8">VLOOKUP(C196,I:J,2,0)</f>
        <v>FrMed</v>
      </c>
      <c r="F196" s="3" t="str">
        <f t="shared" ref="F196:F259" si="9">E196&amp;" "&amp;B196</f>
        <v>FrMed OCHOA GUERRERO  EDGAR JESUS</v>
      </c>
    </row>
    <row r="197" spans="2:6" x14ac:dyDescent="0.25">
      <c r="B197" s="3" t="s">
        <v>119</v>
      </c>
      <c r="C197" s="3" t="s">
        <v>57</v>
      </c>
      <c r="D197" s="3">
        <v>21</v>
      </c>
      <c r="E197" s="3" t="str">
        <f t="shared" si="8"/>
        <v>GirBajo</v>
      </c>
      <c r="F197" s="3" t="str">
        <f t="shared" si="9"/>
        <v>GirBajo OCHOA GUERRERO  EDGAR JESUS</v>
      </c>
    </row>
    <row r="198" spans="2:6" x14ac:dyDescent="0.25">
      <c r="B198" s="3" t="s">
        <v>119</v>
      </c>
      <c r="C198" s="3" t="s">
        <v>58</v>
      </c>
      <c r="D198" s="3">
        <v>2</v>
      </c>
      <c r="E198" s="3" t="str">
        <f t="shared" si="8"/>
        <v>GirMed</v>
      </c>
      <c r="F198" s="3" t="str">
        <f t="shared" si="9"/>
        <v>GirMed OCHOA GUERRERO  EDGAR JESUS</v>
      </c>
    </row>
    <row r="199" spans="2:6" x14ac:dyDescent="0.25">
      <c r="B199" s="3" t="s">
        <v>119</v>
      </c>
      <c r="C199" s="3" t="s">
        <v>52</v>
      </c>
      <c r="D199" s="3">
        <v>16</v>
      </c>
      <c r="E199" s="3" t="str">
        <f t="shared" si="8"/>
        <v>GirBajo</v>
      </c>
      <c r="F199" s="3" t="str">
        <f t="shared" si="9"/>
        <v>GirBajo OCHOA GUERRERO  EDGAR JESUS</v>
      </c>
    </row>
    <row r="200" spans="2:6" x14ac:dyDescent="0.25">
      <c r="B200" s="3" t="s">
        <v>119</v>
      </c>
      <c r="C200" s="3" t="s">
        <v>54</v>
      </c>
      <c r="D200" s="3">
        <v>4</v>
      </c>
      <c r="E200" s="3" t="str">
        <f t="shared" si="8"/>
        <v>GirMed</v>
      </c>
      <c r="F200" s="3" t="str">
        <f t="shared" si="9"/>
        <v>GirMed OCHOA GUERRERO  EDGAR JESUS</v>
      </c>
    </row>
    <row r="201" spans="2:6" x14ac:dyDescent="0.25">
      <c r="B201" s="3" t="s">
        <v>119</v>
      </c>
      <c r="C201" s="3" t="s">
        <v>46</v>
      </c>
      <c r="D201" s="3">
        <v>1</v>
      </c>
      <c r="E201" s="3" t="str">
        <f t="shared" si="8"/>
        <v>VelBajo</v>
      </c>
      <c r="F201" s="3" t="str">
        <f t="shared" si="9"/>
        <v>VelBajo OCHOA GUERRERO  EDGAR JESUS</v>
      </c>
    </row>
    <row r="202" spans="2:6" x14ac:dyDescent="0.25">
      <c r="B202" s="3" t="s">
        <v>120</v>
      </c>
      <c r="C202" s="3" t="s">
        <v>57</v>
      </c>
      <c r="D202" s="3">
        <v>2</v>
      </c>
      <c r="E202" s="3" t="str">
        <f t="shared" si="8"/>
        <v>GirBajo</v>
      </c>
      <c r="F202" s="3" t="str">
        <f t="shared" si="9"/>
        <v>GirBajo P.CHAVEZ PAREDES JUAN MANUEL</v>
      </c>
    </row>
    <row r="203" spans="2:6" x14ac:dyDescent="0.25">
      <c r="B203" s="3" t="s">
        <v>120</v>
      </c>
      <c r="C203" s="3" t="s">
        <v>52</v>
      </c>
      <c r="D203" s="3">
        <v>1</v>
      </c>
      <c r="E203" s="3" t="str">
        <f t="shared" si="8"/>
        <v>GirBajo</v>
      </c>
      <c r="F203" s="3" t="str">
        <f t="shared" si="9"/>
        <v>GirBajo P.CHAVEZ PAREDES JUAN MANUEL</v>
      </c>
    </row>
    <row r="204" spans="2:6" x14ac:dyDescent="0.25">
      <c r="B204" s="3" t="s">
        <v>120</v>
      </c>
      <c r="C204" s="3" t="s">
        <v>54</v>
      </c>
      <c r="D204" s="3">
        <v>1</v>
      </c>
      <c r="E204" s="3" t="str">
        <f t="shared" si="8"/>
        <v>GirMed</v>
      </c>
      <c r="F204" s="3" t="str">
        <f t="shared" si="9"/>
        <v>GirMed P.CHAVEZ PAREDES JUAN MANUEL</v>
      </c>
    </row>
    <row r="205" spans="2:6" x14ac:dyDescent="0.25">
      <c r="B205" s="3" t="s">
        <v>120</v>
      </c>
      <c r="C205" s="3" t="s">
        <v>46</v>
      </c>
      <c r="D205" s="3">
        <v>10</v>
      </c>
      <c r="E205" s="3" t="str">
        <f t="shared" si="8"/>
        <v>VelBajo</v>
      </c>
      <c r="F205" s="3" t="str">
        <f t="shared" si="9"/>
        <v>VelBajo P.CHAVEZ PAREDES JUAN MANUEL</v>
      </c>
    </row>
    <row r="206" spans="2:6" x14ac:dyDescent="0.25">
      <c r="B206" s="3" t="s">
        <v>120</v>
      </c>
      <c r="C206" s="3" t="s">
        <v>48</v>
      </c>
      <c r="D206" s="3">
        <v>1</v>
      </c>
      <c r="E206" s="3" t="str">
        <f t="shared" si="8"/>
        <v>VelMed</v>
      </c>
      <c r="F206" s="3" t="str">
        <f t="shared" si="9"/>
        <v>VelMed P.CHAVEZ PAREDES JUAN MANUEL</v>
      </c>
    </row>
    <row r="207" spans="2:6" x14ac:dyDescent="0.25">
      <c r="B207" s="3" t="s">
        <v>121</v>
      </c>
      <c r="C207" s="3" t="s">
        <v>25</v>
      </c>
      <c r="D207" s="3">
        <v>2</v>
      </c>
      <c r="E207" s="3" t="str">
        <f t="shared" si="8"/>
        <v>AcAlto</v>
      </c>
      <c r="F207" s="3" t="str">
        <f t="shared" si="9"/>
        <v>AcAlto P.FARIAS BARAJAS DIEGO FAVIAN</v>
      </c>
    </row>
    <row r="208" spans="2:6" x14ac:dyDescent="0.25">
      <c r="B208" s="3" t="s">
        <v>121</v>
      </c>
      <c r="C208" s="3" t="s">
        <v>46</v>
      </c>
      <c r="D208" s="3">
        <v>4</v>
      </c>
      <c r="E208" s="3" t="str">
        <f t="shared" si="8"/>
        <v>VelBajo</v>
      </c>
      <c r="F208" s="3" t="str">
        <f t="shared" si="9"/>
        <v>VelBajo P.FARIAS BARAJAS DIEGO FAVIAN</v>
      </c>
    </row>
    <row r="209" spans="2:6" x14ac:dyDescent="0.25">
      <c r="B209" s="3" t="s">
        <v>122</v>
      </c>
      <c r="C209" s="3" t="s">
        <v>25</v>
      </c>
      <c r="D209" s="3">
        <v>2</v>
      </c>
      <c r="E209" s="3" t="str">
        <f t="shared" si="8"/>
        <v>AcAlto</v>
      </c>
      <c r="F209" s="3" t="str">
        <f t="shared" si="9"/>
        <v>AcAlto P.GOIYTIA  MANZANO ALONSO FAVI</v>
      </c>
    </row>
    <row r="210" spans="2:6" x14ac:dyDescent="0.25">
      <c r="B210" s="3" t="s">
        <v>122</v>
      </c>
      <c r="C210" s="3" t="s">
        <v>46</v>
      </c>
      <c r="D210" s="3">
        <v>3</v>
      </c>
      <c r="E210" s="3" t="str">
        <f t="shared" si="8"/>
        <v>VelBajo</v>
      </c>
      <c r="F210" s="3" t="str">
        <f t="shared" si="9"/>
        <v>VelBajo P.GOIYTIA  MANZANO ALONSO FAVI</v>
      </c>
    </row>
    <row r="211" spans="2:6" x14ac:dyDescent="0.25">
      <c r="B211" s="3" t="s">
        <v>123</v>
      </c>
      <c r="C211" s="3" t="s">
        <v>25</v>
      </c>
      <c r="D211" s="3">
        <v>1</v>
      </c>
      <c r="E211" s="3" t="str">
        <f t="shared" si="8"/>
        <v>AcAlto</v>
      </c>
      <c r="F211" s="3" t="str">
        <f t="shared" si="9"/>
        <v>AcAlto P.GONZALEZ GILDO EFRAIN</v>
      </c>
    </row>
    <row r="212" spans="2:6" x14ac:dyDescent="0.25">
      <c r="B212" s="3" t="s">
        <v>123</v>
      </c>
      <c r="C212" s="3" t="s">
        <v>52</v>
      </c>
      <c r="D212" s="3">
        <v>2</v>
      </c>
      <c r="E212" s="3" t="str">
        <f t="shared" si="8"/>
        <v>GirBajo</v>
      </c>
      <c r="F212" s="3" t="str">
        <f t="shared" si="9"/>
        <v>GirBajo P.GONZALEZ GILDO EFRAIN</v>
      </c>
    </row>
    <row r="213" spans="2:6" x14ac:dyDescent="0.25">
      <c r="B213" s="3" t="s">
        <v>123</v>
      </c>
      <c r="C213" s="3" t="s">
        <v>46</v>
      </c>
      <c r="D213" s="3">
        <v>3</v>
      </c>
      <c r="E213" s="3" t="str">
        <f t="shared" si="8"/>
        <v>VelBajo</v>
      </c>
      <c r="F213" s="3" t="str">
        <f t="shared" si="9"/>
        <v>VelBajo P.GONZALEZ GILDO EFRAIN</v>
      </c>
    </row>
    <row r="214" spans="2:6" x14ac:dyDescent="0.25">
      <c r="B214" s="3" t="s">
        <v>125</v>
      </c>
      <c r="C214" s="3" t="s">
        <v>52</v>
      </c>
      <c r="D214" s="3">
        <v>1</v>
      </c>
      <c r="E214" s="3" t="str">
        <f t="shared" si="8"/>
        <v>GirBajo</v>
      </c>
      <c r="F214" s="3" t="str">
        <f t="shared" si="9"/>
        <v>GirBajo P.LEE GUTIERREZ JOSE GUADALUPE</v>
      </c>
    </row>
    <row r="215" spans="2:6" x14ac:dyDescent="0.25">
      <c r="B215" s="3" t="s">
        <v>125</v>
      </c>
      <c r="C215" s="3" t="s">
        <v>46</v>
      </c>
      <c r="D215" s="3">
        <v>7</v>
      </c>
      <c r="E215" s="3" t="str">
        <f t="shared" si="8"/>
        <v>VelBajo</v>
      </c>
      <c r="F215" s="3" t="str">
        <f t="shared" si="9"/>
        <v>VelBajo P.LEE GUTIERREZ JOSE GUADALUPE</v>
      </c>
    </row>
    <row r="216" spans="2:6" x14ac:dyDescent="0.25">
      <c r="B216" s="3" t="s">
        <v>127</v>
      </c>
      <c r="C216" s="3" t="s">
        <v>25</v>
      </c>
      <c r="D216" s="3">
        <v>1</v>
      </c>
      <c r="E216" s="3" t="str">
        <f t="shared" si="8"/>
        <v>AcAlto</v>
      </c>
      <c r="F216" s="3" t="str">
        <f t="shared" si="9"/>
        <v>AcAlto P.REYNOSO PEREZ CARLOS SALVADO</v>
      </c>
    </row>
    <row r="217" spans="2:6" x14ac:dyDescent="0.25">
      <c r="B217" s="3" t="s">
        <v>128</v>
      </c>
      <c r="C217" s="3" t="s">
        <v>25</v>
      </c>
      <c r="D217" s="3">
        <v>2</v>
      </c>
      <c r="E217" s="3" t="str">
        <f t="shared" si="8"/>
        <v>AcAlto</v>
      </c>
      <c r="F217" s="3" t="str">
        <f t="shared" si="9"/>
        <v>AcAlto P.ROMERO RAMIREZ ARMANDO</v>
      </c>
    </row>
    <row r="218" spans="2:6" x14ac:dyDescent="0.25">
      <c r="B218" s="3" t="s">
        <v>129</v>
      </c>
      <c r="C218" s="3" t="s">
        <v>54</v>
      </c>
      <c r="D218" s="3">
        <v>1</v>
      </c>
      <c r="E218" s="3" t="str">
        <f t="shared" si="8"/>
        <v>GirMed</v>
      </c>
      <c r="F218" s="3" t="str">
        <f t="shared" si="9"/>
        <v>GirMed P.SANDOVAL RAMOS CRISTI EVELYN</v>
      </c>
    </row>
    <row r="219" spans="2:6" x14ac:dyDescent="0.25">
      <c r="B219" s="3" t="s">
        <v>129</v>
      </c>
      <c r="C219" s="3" t="s">
        <v>46</v>
      </c>
      <c r="D219" s="3">
        <v>1</v>
      </c>
      <c r="E219" s="3" t="str">
        <f t="shared" si="8"/>
        <v>VelBajo</v>
      </c>
      <c r="F219" s="3" t="str">
        <f t="shared" si="9"/>
        <v>VelBajo P.SANDOVAL RAMOS CRISTI EVELYN</v>
      </c>
    </row>
    <row r="220" spans="2:6" x14ac:dyDescent="0.25">
      <c r="B220" s="3" t="s">
        <v>130</v>
      </c>
      <c r="C220" s="3" t="s">
        <v>57</v>
      </c>
      <c r="D220" s="3">
        <v>3</v>
      </c>
      <c r="E220" s="3" t="str">
        <f t="shared" si="8"/>
        <v>GirBajo</v>
      </c>
      <c r="F220" s="3" t="str">
        <f t="shared" si="9"/>
        <v>GirBajo PACO MENDEZ FABIAN</v>
      </c>
    </row>
    <row r="221" spans="2:6" x14ac:dyDescent="0.25">
      <c r="B221" s="3" t="s">
        <v>130</v>
      </c>
      <c r="C221" s="3" t="s">
        <v>52</v>
      </c>
      <c r="D221" s="3">
        <v>1</v>
      </c>
      <c r="E221" s="3" t="str">
        <f t="shared" si="8"/>
        <v>GirBajo</v>
      </c>
      <c r="F221" s="3" t="str">
        <f t="shared" si="9"/>
        <v>GirBajo PACO MENDEZ FABIAN</v>
      </c>
    </row>
    <row r="222" spans="2:6" x14ac:dyDescent="0.25">
      <c r="B222" s="3" t="s">
        <v>131</v>
      </c>
      <c r="C222" s="3" t="s">
        <v>25</v>
      </c>
      <c r="D222" s="3">
        <v>5</v>
      </c>
      <c r="E222" s="3" t="str">
        <f t="shared" si="8"/>
        <v>AcAlto</v>
      </c>
      <c r="F222" s="3" t="str">
        <f t="shared" si="9"/>
        <v>AcAlto PEREZ MARTINEZ TIMOTEO</v>
      </c>
    </row>
    <row r="223" spans="2:6" x14ac:dyDescent="0.25">
      <c r="B223" s="3" t="s">
        <v>131</v>
      </c>
      <c r="C223" s="3" t="s">
        <v>40</v>
      </c>
      <c r="D223" s="3">
        <v>1</v>
      </c>
      <c r="E223" s="3" t="str">
        <f t="shared" si="8"/>
        <v>FrBajo</v>
      </c>
      <c r="F223" s="3" t="str">
        <f t="shared" si="9"/>
        <v>FrBajo PEREZ MARTINEZ TIMOTEO</v>
      </c>
    </row>
    <row r="224" spans="2:6" x14ac:dyDescent="0.25">
      <c r="B224" s="3" t="s">
        <v>131</v>
      </c>
      <c r="C224" s="3" t="s">
        <v>57</v>
      </c>
      <c r="D224" s="3">
        <v>22</v>
      </c>
      <c r="E224" s="3" t="str">
        <f t="shared" si="8"/>
        <v>GirBajo</v>
      </c>
      <c r="F224" s="3" t="str">
        <f t="shared" si="9"/>
        <v>GirBajo PEREZ MARTINEZ TIMOTEO</v>
      </c>
    </row>
    <row r="225" spans="2:6" x14ac:dyDescent="0.25">
      <c r="B225" s="3" t="s">
        <v>131</v>
      </c>
      <c r="C225" s="3" t="s">
        <v>58</v>
      </c>
      <c r="D225" s="3">
        <v>6</v>
      </c>
      <c r="E225" s="3" t="str">
        <f t="shared" si="8"/>
        <v>GirMed</v>
      </c>
      <c r="F225" s="3" t="str">
        <f t="shared" si="9"/>
        <v>GirMed PEREZ MARTINEZ TIMOTEO</v>
      </c>
    </row>
    <row r="226" spans="2:6" x14ac:dyDescent="0.25">
      <c r="B226" s="3" t="s">
        <v>131</v>
      </c>
      <c r="C226" s="3" t="s">
        <v>52</v>
      </c>
      <c r="D226" s="3">
        <v>5</v>
      </c>
      <c r="E226" s="3" t="str">
        <f t="shared" si="8"/>
        <v>GirBajo</v>
      </c>
      <c r="F226" s="3" t="str">
        <f t="shared" si="9"/>
        <v>GirBajo PEREZ MARTINEZ TIMOTEO</v>
      </c>
    </row>
    <row r="227" spans="2:6" x14ac:dyDescent="0.25">
      <c r="B227" s="3" t="s">
        <v>131</v>
      </c>
      <c r="C227" s="3" t="s">
        <v>54</v>
      </c>
      <c r="D227" s="3">
        <v>3</v>
      </c>
      <c r="E227" s="3" t="str">
        <f t="shared" si="8"/>
        <v>GirMed</v>
      </c>
      <c r="F227" s="3" t="str">
        <f t="shared" si="9"/>
        <v>GirMed PEREZ MARTINEZ TIMOTEO</v>
      </c>
    </row>
    <row r="228" spans="2:6" x14ac:dyDescent="0.25">
      <c r="B228" s="3" t="s">
        <v>131</v>
      </c>
      <c r="C228" s="3" t="s">
        <v>46</v>
      </c>
      <c r="D228" s="3">
        <v>12</v>
      </c>
      <c r="E228" s="3" t="str">
        <f t="shared" si="8"/>
        <v>VelBajo</v>
      </c>
      <c r="F228" s="3" t="str">
        <f t="shared" si="9"/>
        <v>VelBajo PEREZ MARTINEZ TIMOTEO</v>
      </c>
    </row>
    <row r="229" spans="2:6" x14ac:dyDescent="0.25">
      <c r="B229" s="3" t="s">
        <v>132</v>
      </c>
      <c r="C229" s="3" t="s">
        <v>57</v>
      </c>
      <c r="D229" s="3">
        <v>1</v>
      </c>
      <c r="E229" s="3" t="str">
        <f t="shared" si="8"/>
        <v>GirBajo</v>
      </c>
      <c r="F229" s="3" t="str">
        <f t="shared" si="9"/>
        <v>GirBajo PINTO HERNANDEZ ANYELO ALBERTO</v>
      </c>
    </row>
    <row r="230" spans="2:6" x14ac:dyDescent="0.25">
      <c r="B230" s="3" t="s">
        <v>132</v>
      </c>
      <c r="C230" s="3" t="s">
        <v>52</v>
      </c>
      <c r="D230" s="3">
        <v>2</v>
      </c>
      <c r="E230" s="3" t="str">
        <f t="shared" si="8"/>
        <v>GirBajo</v>
      </c>
      <c r="F230" s="3" t="str">
        <f t="shared" si="9"/>
        <v>GirBajo PINTO HERNANDEZ ANYELO ALBERTO</v>
      </c>
    </row>
    <row r="231" spans="2:6" x14ac:dyDescent="0.25">
      <c r="B231" s="3" t="s">
        <v>132</v>
      </c>
      <c r="C231" s="3" t="s">
        <v>46</v>
      </c>
      <c r="D231" s="3">
        <v>72</v>
      </c>
      <c r="E231" s="3" t="str">
        <f t="shared" si="8"/>
        <v>VelBajo</v>
      </c>
      <c r="F231" s="3" t="str">
        <f t="shared" si="9"/>
        <v>VelBajo PINTO HERNANDEZ ANYELO ALBERTO</v>
      </c>
    </row>
    <row r="232" spans="2:6" x14ac:dyDescent="0.25">
      <c r="B232" s="3" t="s">
        <v>133</v>
      </c>
      <c r="C232" s="3" t="s">
        <v>57</v>
      </c>
      <c r="D232" s="3">
        <v>17</v>
      </c>
      <c r="E232" s="3" t="str">
        <f t="shared" si="8"/>
        <v>GirBajo</v>
      </c>
      <c r="F232" s="3" t="str">
        <f t="shared" si="9"/>
        <v>GirBajo PUGA CORTES JOSE MARIA</v>
      </c>
    </row>
    <row r="233" spans="2:6" x14ac:dyDescent="0.25">
      <c r="B233" s="3" t="s">
        <v>133</v>
      </c>
      <c r="C233" s="3" t="s">
        <v>58</v>
      </c>
      <c r="D233" s="3">
        <v>4</v>
      </c>
      <c r="E233" s="3" t="str">
        <f t="shared" si="8"/>
        <v>GirMed</v>
      </c>
      <c r="F233" s="3" t="str">
        <f t="shared" si="9"/>
        <v>GirMed PUGA CORTES JOSE MARIA</v>
      </c>
    </row>
    <row r="234" spans="2:6" x14ac:dyDescent="0.25">
      <c r="B234" s="3" t="s">
        <v>133</v>
      </c>
      <c r="C234" s="3" t="s">
        <v>52</v>
      </c>
      <c r="D234" s="3">
        <v>8</v>
      </c>
      <c r="E234" s="3" t="str">
        <f t="shared" si="8"/>
        <v>GirBajo</v>
      </c>
      <c r="F234" s="3" t="str">
        <f t="shared" si="9"/>
        <v>GirBajo PUGA CORTES JOSE MARIA</v>
      </c>
    </row>
    <row r="235" spans="2:6" x14ac:dyDescent="0.25">
      <c r="B235" s="3" t="s">
        <v>133</v>
      </c>
      <c r="C235" s="3" t="s">
        <v>54</v>
      </c>
      <c r="D235" s="3">
        <v>2</v>
      </c>
      <c r="E235" s="3" t="str">
        <f t="shared" si="8"/>
        <v>GirMed</v>
      </c>
      <c r="F235" s="3" t="str">
        <f t="shared" si="9"/>
        <v>GirMed PUGA CORTES JOSE MARIA</v>
      </c>
    </row>
    <row r="236" spans="2:6" x14ac:dyDescent="0.25">
      <c r="B236" s="3" t="s">
        <v>133</v>
      </c>
      <c r="C236" s="3" t="s">
        <v>46</v>
      </c>
      <c r="D236" s="3">
        <v>44</v>
      </c>
      <c r="E236" s="3" t="str">
        <f t="shared" si="8"/>
        <v>VelBajo</v>
      </c>
      <c r="F236" s="3" t="str">
        <f t="shared" si="9"/>
        <v>VelBajo PUGA CORTES JOSE MARIA</v>
      </c>
    </row>
    <row r="237" spans="2:6" x14ac:dyDescent="0.25">
      <c r="B237" s="3" t="s">
        <v>133</v>
      </c>
      <c r="C237" s="3" t="s">
        <v>48</v>
      </c>
      <c r="D237" s="3">
        <v>5</v>
      </c>
      <c r="E237" s="3" t="str">
        <f t="shared" si="8"/>
        <v>VelMed</v>
      </c>
      <c r="F237" s="3" t="str">
        <f t="shared" si="9"/>
        <v>VelMed PUGA CORTES JOSE MARIA</v>
      </c>
    </row>
    <row r="238" spans="2:6" x14ac:dyDescent="0.25">
      <c r="B238" s="3" t="s">
        <v>134</v>
      </c>
      <c r="C238" s="3" t="s">
        <v>58</v>
      </c>
      <c r="D238" s="3">
        <v>1</v>
      </c>
      <c r="E238" s="3" t="str">
        <f t="shared" si="8"/>
        <v>GirMed</v>
      </c>
      <c r="F238" s="3" t="str">
        <f t="shared" si="9"/>
        <v>GirMed RAMIREZ AVILES GILDARDO</v>
      </c>
    </row>
    <row r="239" spans="2:6" x14ac:dyDescent="0.25">
      <c r="B239" s="3" t="s">
        <v>135</v>
      </c>
      <c r="C239" s="3" t="s">
        <v>57</v>
      </c>
      <c r="D239" s="3">
        <v>2</v>
      </c>
      <c r="E239" s="3" t="str">
        <f t="shared" si="8"/>
        <v>GirBajo</v>
      </c>
      <c r="F239" s="3" t="str">
        <f t="shared" si="9"/>
        <v>GirBajo RAMIREZ VALDEZ SALVADOR</v>
      </c>
    </row>
    <row r="240" spans="2:6" x14ac:dyDescent="0.25">
      <c r="B240" s="3" t="s">
        <v>135</v>
      </c>
      <c r="C240" s="3" t="s">
        <v>58</v>
      </c>
      <c r="D240" s="3">
        <v>1</v>
      </c>
      <c r="E240" s="3" t="str">
        <f t="shared" si="8"/>
        <v>GirMed</v>
      </c>
      <c r="F240" s="3" t="str">
        <f t="shared" si="9"/>
        <v>GirMed RAMIREZ VALDEZ SALVADOR</v>
      </c>
    </row>
    <row r="241" spans="2:6" x14ac:dyDescent="0.25">
      <c r="B241" s="3" t="s">
        <v>135</v>
      </c>
      <c r="C241" s="3" t="s">
        <v>52</v>
      </c>
      <c r="D241" s="3">
        <v>2</v>
      </c>
      <c r="E241" s="3" t="str">
        <f t="shared" si="8"/>
        <v>GirBajo</v>
      </c>
      <c r="F241" s="3" t="str">
        <f t="shared" si="9"/>
        <v>GirBajo RAMIREZ VALDEZ SALVADOR</v>
      </c>
    </row>
    <row r="242" spans="2:6" x14ac:dyDescent="0.25">
      <c r="B242" s="3" t="s">
        <v>136</v>
      </c>
      <c r="C242" s="3" t="s">
        <v>46</v>
      </c>
      <c r="D242" s="3">
        <v>5</v>
      </c>
      <c r="E242" s="3" t="str">
        <f t="shared" si="8"/>
        <v>VelBajo</v>
      </c>
      <c r="F242" s="3" t="str">
        <f t="shared" si="9"/>
        <v>VelBajo RAMOS HERNANDEZ JOSE GABRIEL</v>
      </c>
    </row>
    <row r="243" spans="2:6" x14ac:dyDescent="0.25">
      <c r="B243" s="3" t="s">
        <v>137</v>
      </c>
      <c r="C243" s="3" t="s">
        <v>57</v>
      </c>
      <c r="D243" s="3">
        <v>8</v>
      </c>
      <c r="E243" s="3" t="str">
        <f t="shared" si="8"/>
        <v>GirBajo</v>
      </c>
      <c r="F243" s="3" t="str">
        <f t="shared" si="9"/>
        <v>GirBajo RAMOS RAMIREZ ROBERTO</v>
      </c>
    </row>
    <row r="244" spans="2:6" x14ac:dyDescent="0.25">
      <c r="B244" s="3" t="s">
        <v>137</v>
      </c>
      <c r="C244" s="3" t="s">
        <v>46</v>
      </c>
      <c r="D244" s="3">
        <v>5</v>
      </c>
      <c r="E244" s="3" t="str">
        <f t="shared" si="8"/>
        <v>VelBajo</v>
      </c>
      <c r="F244" s="3" t="str">
        <f t="shared" si="9"/>
        <v>VelBajo RAMOS RAMIREZ ROBERTO</v>
      </c>
    </row>
    <row r="245" spans="2:6" x14ac:dyDescent="0.25">
      <c r="B245" s="3" t="s">
        <v>138</v>
      </c>
      <c r="C245" s="3" t="s">
        <v>40</v>
      </c>
      <c r="D245" s="3">
        <v>1</v>
      </c>
      <c r="E245" s="3" t="str">
        <f t="shared" si="8"/>
        <v>FrBajo</v>
      </c>
      <c r="F245" s="3" t="str">
        <f t="shared" si="9"/>
        <v>FrBajo RIVERA RENTERIA ELIAS</v>
      </c>
    </row>
    <row r="246" spans="2:6" x14ac:dyDescent="0.25">
      <c r="B246" s="3" t="s">
        <v>138</v>
      </c>
      <c r="C246" s="3" t="s">
        <v>57</v>
      </c>
      <c r="D246" s="3">
        <v>3</v>
      </c>
      <c r="E246" s="3" t="str">
        <f t="shared" si="8"/>
        <v>GirBajo</v>
      </c>
      <c r="F246" s="3" t="str">
        <f t="shared" si="9"/>
        <v>GirBajo RIVERA RENTERIA ELIAS</v>
      </c>
    </row>
    <row r="247" spans="2:6" x14ac:dyDescent="0.25">
      <c r="B247" s="3" t="s">
        <v>138</v>
      </c>
      <c r="C247" s="3" t="s">
        <v>58</v>
      </c>
      <c r="D247" s="3">
        <v>2</v>
      </c>
      <c r="E247" s="3" t="str">
        <f t="shared" si="8"/>
        <v>GirMed</v>
      </c>
      <c r="F247" s="3" t="str">
        <f t="shared" si="9"/>
        <v>GirMed RIVERA RENTERIA ELIAS</v>
      </c>
    </row>
    <row r="248" spans="2:6" x14ac:dyDescent="0.25">
      <c r="B248" s="3" t="s">
        <v>138</v>
      </c>
      <c r="C248" s="3" t="s">
        <v>46</v>
      </c>
      <c r="D248" s="3">
        <v>1</v>
      </c>
      <c r="E248" s="3" t="str">
        <f t="shared" si="8"/>
        <v>VelBajo</v>
      </c>
      <c r="F248" s="3" t="str">
        <f t="shared" si="9"/>
        <v>VelBajo RIVERA RENTERIA ELIAS</v>
      </c>
    </row>
    <row r="249" spans="2:6" x14ac:dyDescent="0.25">
      <c r="B249" s="3" t="s">
        <v>139</v>
      </c>
      <c r="C249" s="3" t="s">
        <v>25</v>
      </c>
      <c r="D249" s="3">
        <v>4</v>
      </c>
      <c r="E249" s="3" t="str">
        <f t="shared" si="8"/>
        <v>AcAlto</v>
      </c>
      <c r="F249" s="3" t="str">
        <f t="shared" si="9"/>
        <v>AcAlto RIVERA RENTERIA OCTAVIO</v>
      </c>
    </row>
    <row r="250" spans="2:6" x14ac:dyDescent="0.25">
      <c r="B250" s="3" t="s">
        <v>139</v>
      </c>
      <c r="C250" s="3" t="s">
        <v>52</v>
      </c>
      <c r="D250" s="3">
        <v>2</v>
      </c>
      <c r="E250" s="3" t="str">
        <f t="shared" si="8"/>
        <v>GirBajo</v>
      </c>
      <c r="F250" s="3" t="str">
        <f t="shared" si="9"/>
        <v>GirBajo RIVERA RENTERIA OCTAVIO</v>
      </c>
    </row>
    <row r="251" spans="2:6" x14ac:dyDescent="0.25">
      <c r="B251" s="3" t="s">
        <v>139</v>
      </c>
      <c r="C251" s="3" t="s">
        <v>46</v>
      </c>
      <c r="D251" s="3">
        <v>1</v>
      </c>
      <c r="E251" s="3" t="str">
        <f t="shared" si="8"/>
        <v>VelBajo</v>
      </c>
      <c r="F251" s="3" t="str">
        <f t="shared" si="9"/>
        <v>VelBajo RIVERA RENTERIA OCTAVIO</v>
      </c>
    </row>
    <row r="252" spans="2:6" x14ac:dyDescent="0.25">
      <c r="B252" s="3" t="s">
        <v>140</v>
      </c>
      <c r="C252" s="3" t="s">
        <v>57</v>
      </c>
      <c r="D252" s="3">
        <v>4</v>
      </c>
      <c r="E252" s="3" t="str">
        <f t="shared" si="8"/>
        <v>GirBajo</v>
      </c>
      <c r="F252" s="3" t="str">
        <f t="shared" si="9"/>
        <v>GirBajo RIZO LOPEZ FERNANDO ULISES</v>
      </c>
    </row>
    <row r="253" spans="2:6" x14ac:dyDescent="0.25">
      <c r="B253" s="3" t="s">
        <v>140</v>
      </c>
      <c r="C253" s="3" t="s">
        <v>52</v>
      </c>
      <c r="D253" s="3">
        <v>2</v>
      </c>
      <c r="E253" s="3" t="str">
        <f t="shared" si="8"/>
        <v>GirBajo</v>
      </c>
      <c r="F253" s="3" t="str">
        <f t="shared" si="9"/>
        <v>GirBajo RIZO LOPEZ FERNANDO ULISES</v>
      </c>
    </row>
    <row r="254" spans="2:6" x14ac:dyDescent="0.25">
      <c r="B254" s="3" t="s">
        <v>140</v>
      </c>
      <c r="C254" s="3" t="s">
        <v>46</v>
      </c>
      <c r="D254" s="3">
        <v>46</v>
      </c>
      <c r="E254" s="3" t="str">
        <f t="shared" si="8"/>
        <v>VelBajo</v>
      </c>
      <c r="F254" s="3" t="str">
        <f t="shared" si="9"/>
        <v>VelBajo RIZO LOPEZ FERNANDO ULISES</v>
      </c>
    </row>
    <row r="255" spans="2:6" x14ac:dyDescent="0.25">
      <c r="B255" s="3" t="s">
        <v>140</v>
      </c>
      <c r="C255" s="3" t="s">
        <v>48</v>
      </c>
      <c r="D255" s="3">
        <v>3</v>
      </c>
      <c r="E255" s="3" t="str">
        <f t="shared" si="8"/>
        <v>VelMed</v>
      </c>
      <c r="F255" s="3" t="str">
        <f t="shared" si="9"/>
        <v>VelMed RIZO LOPEZ FERNANDO ULISES</v>
      </c>
    </row>
    <row r="256" spans="2:6" x14ac:dyDescent="0.25">
      <c r="B256" s="3" t="s">
        <v>141</v>
      </c>
      <c r="C256" s="3" t="s">
        <v>27</v>
      </c>
      <c r="D256" s="3">
        <v>1</v>
      </c>
      <c r="E256" s="3" t="str">
        <f t="shared" si="8"/>
        <v>AcMed</v>
      </c>
      <c r="F256" s="3" t="str">
        <f t="shared" si="9"/>
        <v>AcMed RODARTE QUINTANA MARCO ANTONIO</v>
      </c>
    </row>
    <row r="257" spans="2:6" x14ac:dyDescent="0.25">
      <c r="B257" s="3" t="s">
        <v>141</v>
      </c>
      <c r="C257" s="3" t="s">
        <v>57</v>
      </c>
      <c r="D257" s="3">
        <v>1</v>
      </c>
      <c r="E257" s="3" t="str">
        <f t="shared" si="8"/>
        <v>GirBajo</v>
      </c>
      <c r="F257" s="3" t="str">
        <f t="shared" si="9"/>
        <v>GirBajo RODARTE QUINTANA MARCO ANTONIO</v>
      </c>
    </row>
    <row r="258" spans="2:6" x14ac:dyDescent="0.25">
      <c r="B258" s="3" t="s">
        <v>141</v>
      </c>
      <c r="C258" s="3" t="s">
        <v>46</v>
      </c>
      <c r="D258" s="3">
        <v>1</v>
      </c>
      <c r="E258" s="3" t="str">
        <f t="shared" si="8"/>
        <v>VelBajo</v>
      </c>
      <c r="F258" s="3" t="str">
        <f t="shared" si="9"/>
        <v>VelBajo RODARTE QUINTANA MARCO ANTONIO</v>
      </c>
    </row>
    <row r="259" spans="2:6" x14ac:dyDescent="0.25">
      <c r="B259" s="3" t="s">
        <v>142</v>
      </c>
      <c r="C259" s="3" t="s">
        <v>25</v>
      </c>
      <c r="D259" s="3">
        <v>4</v>
      </c>
      <c r="E259" s="3" t="str">
        <f t="shared" si="8"/>
        <v>AcAlto</v>
      </c>
      <c r="F259" s="3" t="str">
        <f t="shared" si="9"/>
        <v>AcAlto RODRIGUEZ AGUILAR VICTOR JESUS</v>
      </c>
    </row>
    <row r="260" spans="2:6" x14ac:dyDescent="0.25">
      <c r="B260" s="3" t="s">
        <v>142</v>
      </c>
      <c r="C260" s="3" t="s">
        <v>27</v>
      </c>
      <c r="D260" s="3">
        <v>5</v>
      </c>
      <c r="E260" s="3" t="str">
        <f t="shared" ref="E260:E323" si="10">VLOOKUP(C260,I:J,2,0)</f>
        <v>AcMed</v>
      </c>
      <c r="F260" s="3" t="str">
        <f t="shared" ref="F260:F323" si="11">E260&amp;" "&amp;B260</f>
        <v>AcMed RODRIGUEZ AGUILAR VICTOR JESUS</v>
      </c>
    </row>
    <row r="261" spans="2:6" x14ac:dyDescent="0.25">
      <c r="B261" s="3" t="s">
        <v>142</v>
      </c>
      <c r="C261" s="3" t="s">
        <v>40</v>
      </c>
      <c r="D261" s="3">
        <v>2</v>
      </c>
      <c r="E261" s="3" t="str">
        <f t="shared" si="10"/>
        <v>FrBajo</v>
      </c>
      <c r="F261" s="3" t="str">
        <f t="shared" si="11"/>
        <v>FrBajo RODRIGUEZ AGUILAR VICTOR JESUS</v>
      </c>
    </row>
    <row r="262" spans="2:6" x14ac:dyDescent="0.25">
      <c r="B262" s="3" t="s">
        <v>142</v>
      </c>
      <c r="C262" s="3" t="s">
        <v>57</v>
      </c>
      <c r="D262" s="3">
        <v>97</v>
      </c>
      <c r="E262" s="3" t="str">
        <f t="shared" si="10"/>
        <v>GirBajo</v>
      </c>
      <c r="F262" s="3" t="str">
        <f t="shared" si="11"/>
        <v>GirBajo RODRIGUEZ AGUILAR VICTOR JESUS</v>
      </c>
    </row>
    <row r="263" spans="2:6" x14ac:dyDescent="0.25">
      <c r="B263" s="3" t="s">
        <v>142</v>
      </c>
      <c r="C263" s="3" t="s">
        <v>58</v>
      </c>
      <c r="D263" s="3">
        <v>6</v>
      </c>
      <c r="E263" s="3" t="str">
        <f t="shared" si="10"/>
        <v>GirMed</v>
      </c>
      <c r="F263" s="3" t="str">
        <f t="shared" si="11"/>
        <v>GirMed RODRIGUEZ AGUILAR VICTOR JESUS</v>
      </c>
    </row>
    <row r="264" spans="2:6" x14ac:dyDescent="0.25">
      <c r="B264" s="3" t="s">
        <v>142</v>
      </c>
      <c r="C264" s="3" t="s">
        <v>52</v>
      </c>
      <c r="D264" s="3">
        <v>100</v>
      </c>
      <c r="E264" s="3" t="str">
        <f t="shared" si="10"/>
        <v>GirBajo</v>
      </c>
      <c r="F264" s="3" t="str">
        <f t="shared" si="11"/>
        <v>GirBajo RODRIGUEZ AGUILAR VICTOR JESUS</v>
      </c>
    </row>
    <row r="265" spans="2:6" x14ac:dyDescent="0.25">
      <c r="B265" s="3" t="s">
        <v>142</v>
      </c>
      <c r="C265" s="3" t="s">
        <v>54</v>
      </c>
      <c r="D265" s="3">
        <v>1</v>
      </c>
      <c r="E265" s="3" t="str">
        <f t="shared" si="10"/>
        <v>GirMed</v>
      </c>
      <c r="F265" s="3" t="str">
        <f t="shared" si="11"/>
        <v>GirMed RODRIGUEZ AGUILAR VICTOR JESUS</v>
      </c>
    </row>
    <row r="266" spans="2:6" x14ac:dyDescent="0.25">
      <c r="B266" s="3" t="s">
        <v>142</v>
      </c>
      <c r="C266" s="3" t="s">
        <v>46</v>
      </c>
      <c r="D266" s="3">
        <v>124</v>
      </c>
      <c r="E266" s="3" t="str">
        <f t="shared" si="10"/>
        <v>VelBajo</v>
      </c>
      <c r="F266" s="3" t="str">
        <f t="shared" si="11"/>
        <v>VelBajo RODRIGUEZ AGUILAR VICTOR JESUS</v>
      </c>
    </row>
    <row r="267" spans="2:6" x14ac:dyDescent="0.25">
      <c r="B267" s="3" t="s">
        <v>142</v>
      </c>
      <c r="C267" s="3" t="s">
        <v>48</v>
      </c>
      <c r="D267" s="3">
        <v>4</v>
      </c>
      <c r="E267" s="3" t="str">
        <f t="shared" si="10"/>
        <v>VelMed</v>
      </c>
      <c r="F267" s="3" t="str">
        <f t="shared" si="11"/>
        <v>VelMed RODRIGUEZ AGUILAR VICTOR JESUS</v>
      </c>
    </row>
    <row r="268" spans="2:6" x14ac:dyDescent="0.25">
      <c r="B268" s="3" t="s">
        <v>143</v>
      </c>
      <c r="C268" s="3" t="s">
        <v>42</v>
      </c>
      <c r="D268" s="3">
        <v>2</v>
      </c>
      <c r="E268" s="3" t="str">
        <f t="shared" si="10"/>
        <v>FrMed</v>
      </c>
      <c r="F268" s="3" t="str">
        <f t="shared" si="11"/>
        <v>FrMed ROJAS ZAMORA CARLOS ERIBERTO</v>
      </c>
    </row>
    <row r="269" spans="2:6" x14ac:dyDescent="0.25">
      <c r="B269" s="3" t="s">
        <v>143</v>
      </c>
      <c r="C269" s="3" t="s">
        <v>57</v>
      </c>
      <c r="D269" s="3">
        <v>2</v>
      </c>
      <c r="E269" s="3" t="str">
        <f t="shared" si="10"/>
        <v>GirBajo</v>
      </c>
      <c r="F269" s="3" t="str">
        <f t="shared" si="11"/>
        <v>GirBajo ROJAS ZAMORA CARLOS ERIBERTO</v>
      </c>
    </row>
    <row r="270" spans="2:6" x14ac:dyDescent="0.25">
      <c r="B270" s="3" t="s">
        <v>143</v>
      </c>
      <c r="C270" s="3" t="s">
        <v>58</v>
      </c>
      <c r="D270" s="3">
        <v>1</v>
      </c>
      <c r="E270" s="3" t="str">
        <f t="shared" si="10"/>
        <v>GirMed</v>
      </c>
      <c r="F270" s="3" t="str">
        <f t="shared" si="11"/>
        <v>GirMed ROJAS ZAMORA CARLOS ERIBERTO</v>
      </c>
    </row>
    <row r="271" spans="2:6" x14ac:dyDescent="0.25">
      <c r="B271" s="3" t="s">
        <v>143</v>
      </c>
      <c r="C271" s="3" t="s">
        <v>52</v>
      </c>
      <c r="D271" s="3">
        <v>5</v>
      </c>
      <c r="E271" s="3" t="str">
        <f t="shared" si="10"/>
        <v>GirBajo</v>
      </c>
      <c r="F271" s="3" t="str">
        <f t="shared" si="11"/>
        <v>GirBajo ROJAS ZAMORA CARLOS ERIBERTO</v>
      </c>
    </row>
    <row r="272" spans="2:6" x14ac:dyDescent="0.25">
      <c r="B272" s="3" t="s">
        <v>143</v>
      </c>
      <c r="C272" s="3" t="s">
        <v>46</v>
      </c>
      <c r="D272" s="3">
        <v>34</v>
      </c>
      <c r="E272" s="3" t="str">
        <f t="shared" si="10"/>
        <v>VelBajo</v>
      </c>
      <c r="F272" s="3" t="str">
        <f t="shared" si="11"/>
        <v>VelBajo ROJAS ZAMORA CARLOS ERIBERTO</v>
      </c>
    </row>
    <row r="273" spans="2:6" x14ac:dyDescent="0.25">
      <c r="B273" s="3" t="s">
        <v>143</v>
      </c>
      <c r="C273" s="3" t="s">
        <v>48</v>
      </c>
      <c r="D273" s="3">
        <v>2</v>
      </c>
      <c r="E273" s="3" t="str">
        <f t="shared" si="10"/>
        <v>VelMed</v>
      </c>
      <c r="F273" s="3" t="str">
        <f t="shared" si="11"/>
        <v>VelMed ROJAS ZAMORA CARLOS ERIBERTO</v>
      </c>
    </row>
    <row r="274" spans="2:6" x14ac:dyDescent="0.25">
      <c r="B274" s="3" t="s">
        <v>144</v>
      </c>
      <c r="C274" s="3" t="s">
        <v>40</v>
      </c>
      <c r="D274" s="3">
        <v>2</v>
      </c>
      <c r="E274" s="3" t="str">
        <f t="shared" si="10"/>
        <v>FrBajo</v>
      </c>
      <c r="F274" s="3" t="str">
        <f t="shared" si="11"/>
        <v>FrBajo ROSALES ZUÑIGA MARCOS JESUS</v>
      </c>
    </row>
    <row r="275" spans="2:6" x14ac:dyDescent="0.25">
      <c r="B275" s="3" t="s">
        <v>144</v>
      </c>
      <c r="C275" s="3" t="s">
        <v>57</v>
      </c>
      <c r="D275" s="3">
        <v>14</v>
      </c>
      <c r="E275" s="3" t="str">
        <f t="shared" si="10"/>
        <v>GirBajo</v>
      </c>
      <c r="F275" s="3" t="str">
        <f t="shared" si="11"/>
        <v>GirBajo ROSALES ZUÑIGA MARCOS JESUS</v>
      </c>
    </row>
    <row r="276" spans="2:6" x14ac:dyDescent="0.25">
      <c r="B276" s="3" t="s">
        <v>144</v>
      </c>
      <c r="C276" s="3" t="s">
        <v>58</v>
      </c>
      <c r="D276" s="3">
        <v>2</v>
      </c>
      <c r="E276" s="3" t="str">
        <f t="shared" si="10"/>
        <v>GirMed</v>
      </c>
      <c r="F276" s="3" t="str">
        <f t="shared" si="11"/>
        <v>GirMed ROSALES ZUÑIGA MARCOS JESUS</v>
      </c>
    </row>
    <row r="277" spans="2:6" x14ac:dyDescent="0.25">
      <c r="B277" s="3" t="s">
        <v>145</v>
      </c>
      <c r="C277" s="3" t="s">
        <v>27</v>
      </c>
      <c r="D277" s="3">
        <v>1</v>
      </c>
      <c r="E277" s="3" t="str">
        <f t="shared" si="10"/>
        <v>AcMed</v>
      </c>
      <c r="F277" s="3" t="str">
        <f t="shared" si="11"/>
        <v>AcMed RUIZ GOMEZ JOSE LUIS</v>
      </c>
    </row>
    <row r="278" spans="2:6" x14ac:dyDescent="0.25">
      <c r="B278" s="3" t="s">
        <v>145</v>
      </c>
      <c r="C278" s="3" t="s">
        <v>46</v>
      </c>
      <c r="D278" s="3">
        <v>1</v>
      </c>
      <c r="E278" s="3" t="str">
        <f t="shared" si="10"/>
        <v>VelBajo</v>
      </c>
      <c r="F278" s="3" t="str">
        <f t="shared" si="11"/>
        <v>VelBajo RUIZ GOMEZ JOSE LUIS</v>
      </c>
    </row>
    <row r="279" spans="2:6" x14ac:dyDescent="0.25">
      <c r="B279" s="3" t="s">
        <v>146</v>
      </c>
      <c r="C279" s="3" t="s">
        <v>27</v>
      </c>
      <c r="D279" s="3">
        <v>1</v>
      </c>
      <c r="E279" s="3" t="str">
        <f t="shared" si="10"/>
        <v>AcMed</v>
      </c>
      <c r="F279" s="3" t="str">
        <f t="shared" si="11"/>
        <v>AcMed SANCHEZ MORA JERZAHIN</v>
      </c>
    </row>
    <row r="280" spans="2:6" x14ac:dyDescent="0.25">
      <c r="B280" s="3" t="s">
        <v>146</v>
      </c>
      <c r="C280" s="3" t="s">
        <v>57</v>
      </c>
      <c r="D280" s="3">
        <v>6</v>
      </c>
      <c r="E280" s="3" t="str">
        <f t="shared" si="10"/>
        <v>GirBajo</v>
      </c>
      <c r="F280" s="3" t="str">
        <f t="shared" si="11"/>
        <v>GirBajo SANCHEZ MORA JERZAHIN</v>
      </c>
    </row>
    <row r="281" spans="2:6" x14ac:dyDescent="0.25">
      <c r="B281" s="3" t="s">
        <v>146</v>
      </c>
      <c r="C281" s="3" t="s">
        <v>52</v>
      </c>
      <c r="D281" s="3">
        <v>4</v>
      </c>
      <c r="E281" s="3" t="str">
        <f t="shared" si="10"/>
        <v>GirBajo</v>
      </c>
      <c r="F281" s="3" t="str">
        <f t="shared" si="11"/>
        <v>GirBajo SANCHEZ MORA JERZAHIN</v>
      </c>
    </row>
    <row r="282" spans="2:6" x14ac:dyDescent="0.25">
      <c r="B282" s="3" t="s">
        <v>146</v>
      </c>
      <c r="C282" s="3" t="s">
        <v>46</v>
      </c>
      <c r="D282" s="3">
        <v>2</v>
      </c>
      <c r="E282" s="3" t="str">
        <f t="shared" si="10"/>
        <v>VelBajo</v>
      </c>
      <c r="F282" s="3" t="str">
        <f t="shared" si="11"/>
        <v>VelBajo SANCHEZ MORA JERZAHIN</v>
      </c>
    </row>
    <row r="283" spans="2:6" x14ac:dyDescent="0.25">
      <c r="B283" s="3" t="s">
        <v>147</v>
      </c>
      <c r="C283" s="3" t="s">
        <v>57</v>
      </c>
      <c r="D283" s="3">
        <v>2</v>
      </c>
      <c r="E283" s="3" t="str">
        <f t="shared" si="10"/>
        <v>GirBajo</v>
      </c>
      <c r="F283" s="3" t="str">
        <f t="shared" si="11"/>
        <v>GirBajo SANCHEZ PICHARDO JUAN</v>
      </c>
    </row>
    <row r="284" spans="2:6" x14ac:dyDescent="0.25">
      <c r="B284" s="3" t="s">
        <v>147</v>
      </c>
      <c r="C284" s="3" t="s">
        <v>58</v>
      </c>
      <c r="D284" s="3">
        <v>1</v>
      </c>
      <c r="E284" s="3" t="str">
        <f t="shared" si="10"/>
        <v>GirMed</v>
      </c>
      <c r="F284" s="3" t="str">
        <f t="shared" si="11"/>
        <v>GirMed SANCHEZ PICHARDO JUAN</v>
      </c>
    </row>
    <row r="285" spans="2:6" x14ac:dyDescent="0.25">
      <c r="B285" s="3" t="s">
        <v>148</v>
      </c>
      <c r="C285" s="3" t="s">
        <v>25</v>
      </c>
      <c r="D285" s="3">
        <v>1</v>
      </c>
      <c r="E285" s="3" t="str">
        <f t="shared" si="10"/>
        <v>AcAlto</v>
      </c>
      <c r="F285" s="3" t="str">
        <f t="shared" si="11"/>
        <v>AcAlto SOTO CONTRERAS ELOY</v>
      </c>
    </row>
    <row r="286" spans="2:6" x14ac:dyDescent="0.25">
      <c r="B286" s="3" t="s">
        <v>148</v>
      </c>
      <c r="C286" s="3" t="s">
        <v>27</v>
      </c>
      <c r="D286" s="3">
        <v>21</v>
      </c>
      <c r="E286" s="3" t="str">
        <f t="shared" si="10"/>
        <v>AcMed</v>
      </c>
      <c r="F286" s="3" t="str">
        <f t="shared" si="11"/>
        <v>AcMed SOTO CONTRERAS ELOY</v>
      </c>
    </row>
    <row r="287" spans="2:6" x14ac:dyDescent="0.25">
      <c r="B287" s="3" t="s">
        <v>148</v>
      </c>
      <c r="C287" s="3" t="s">
        <v>40</v>
      </c>
      <c r="D287" s="3">
        <v>1</v>
      </c>
      <c r="E287" s="3" t="str">
        <f t="shared" si="10"/>
        <v>FrBajo</v>
      </c>
      <c r="F287" s="3" t="str">
        <f t="shared" si="11"/>
        <v>FrBajo SOTO CONTRERAS ELOY</v>
      </c>
    </row>
    <row r="288" spans="2:6" x14ac:dyDescent="0.25">
      <c r="B288" s="3" t="s">
        <v>148</v>
      </c>
      <c r="C288" s="3" t="s">
        <v>57</v>
      </c>
      <c r="D288" s="3">
        <v>2</v>
      </c>
      <c r="E288" s="3" t="str">
        <f t="shared" si="10"/>
        <v>GirBajo</v>
      </c>
      <c r="F288" s="3" t="str">
        <f t="shared" si="11"/>
        <v>GirBajo SOTO CONTRERAS ELOY</v>
      </c>
    </row>
    <row r="289" spans="2:6" x14ac:dyDescent="0.25">
      <c r="B289" s="3" t="s">
        <v>148</v>
      </c>
      <c r="C289" s="3" t="s">
        <v>58</v>
      </c>
      <c r="D289" s="3">
        <v>1</v>
      </c>
      <c r="E289" s="3" t="str">
        <f t="shared" si="10"/>
        <v>GirMed</v>
      </c>
      <c r="F289" s="3" t="str">
        <f t="shared" si="11"/>
        <v>GirMed SOTO CONTRERAS ELOY</v>
      </c>
    </row>
    <row r="290" spans="2:6" x14ac:dyDescent="0.25">
      <c r="B290" s="3" t="s">
        <v>148</v>
      </c>
      <c r="C290" s="3" t="s">
        <v>52</v>
      </c>
      <c r="D290" s="3">
        <v>4</v>
      </c>
      <c r="E290" s="3" t="str">
        <f t="shared" si="10"/>
        <v>GirBajo</v>
      </c>
      <c r="F290" s="3" t="str">
        <f t="shared" si="11"/>
        <v>GirBajo SOTO CONTRERAS ELOY</v>
      </c>
    </row>
    <row r="291" spans="2:6" x14ac:dyDescent="0.25">
      <c r="B291" s="3" t="s">
        <v>149</v>
      </c>
      <c r="C291" s="3" t="s">
        <v>57</v>
      </c>
      <c r="D291" s="3">
        <v>7</v>
      </c>
      <c r="E291" s="3" t="str">
        <f t="shared" si="10"/>
        <v>GirBajo</v>
      </c>
      <c r="F291" s="3" t="str">
        <f t="shared" si="11"/>
        <v>GirBajo TORRES DE LA CRUZ ARMANDO</v>
      </c>
    </row>
    <row r="292" spans="2:6" x14ac:dyDescent="0.25">
      <c r="B292" s="3" t="s">
        <v>149</v>
      </c>
      <c r="C292" s="3" t="s">
        <v>58</v>
      </c>
      <c r="D292" s="3">
        <v>2</v>
      </c>
      <c r="E292" s="3" t="str">
        <f t="shared" si="10"/>
        <v>GirMed</v>
      </c>
      <c r="F292" s="3" t="str">
        <f t="shared" si="11"/>
        <v>GirMed TORRES DE LA CRUZ ARMANDO</v>
      </c>
    </row>
    <row r="293" spans="2:6" x14ac:dyDescent="0.25">
      <c r="B293" s="3" t="s">
        <v>149</v>
      </c>
      <c r="C293" s="3" t="s">
        <v>50</v>
      </c>
      <c r="D293" s="3">
        <v>1</v>
      </c>
      <c r="E293" s="3" t="str">
        <f t="shared" si="10"/>
        <v>GirAlto</v>
      </c>
      <c r="F293" s="3" t="str">
        <f t="shared" si="11"/>
        <v>GirAlto TORRES DE LA CRUZ ARMANDO</v>
      </c>
    </row>
    <row r="294" spans="2:6" x14ac:dyDescent="0.25">
      <c r="B294" s="3" t="s">
        <v>149</v>
      </c>
      <c r="C294" s="3" t="s">
        <v>52</v>
      </c>
      <c r="D294" s="3">
        <v>5</v>
      </c>
      <c r="E294" s="3" t="str">
        <f t="shared" si="10"/>
        <v>GirBajo</v>
      </c>
      <c r="F294" s="3" t="str">
        <f t="shared" si="11"/>
        <v>GirBajo TORRES DE LA CRUZ ARMANDO</v>
      </c>
    </row>
    <row r="295" spans="2:6" x14ac:dyDescent="0.25">
      <c r="B295" s="3" t="s">
        <v>149</v>
      </c>
      <c r="C295" s="3" t="s">
        <v>54</v>
      </c>
      <c r="D295" s="3">
        <v>3</v>
      </c>
      <c r="E295" s="3" t="str">
        <f t="shared" si="10"/>
        <v>GirMed</v>
      </c>
      <c r="F295" s="3" t="str">
        <f t="shared" si="11"/>
        <v>GirMed TORRES DE LA CRUZ ARMANDO</v>
      </c>
    </row>
    <row r="296" spans="2:6" x14ac:dyDescent="0.25">
      <c r="B296" s="3" t="s">
        <v>149</v>
      </c>
      <c r="C296" s="3" t="s">
        <v>46</v>
      </c>
      <c r="D296" s="3">
        <v>12</v>
      </c>
      <c r="E296" s="3" t="str">
        <f t="shared" si="10"/>
        <v>VelBajo</v>
      </c>
      <c r="F296" s="3" t="str">
        <f t="shared" si="11"/>
        <v>VelBajo TORRES DE LA CRUZ ARMANDO</v>
      </c>
    </row>
    <row r="297" spans="2:6" x14ac:dyDescent="0.25">
      <c r="B297" s="3" t="s">
        <v>149</v>
      </c>
      <c r="C297" s="3" t="s">
        <v>48</v>
      </c>
      <c r="D297" s="3">
        <v>3</v>
      </c>
      <c r="E297" s="3" t="str">
        <f t="shared" si="10"/>
        <v>VelMed</v>
      </c>
      <c r="F297" s="3" t="str">
        <f t="shared" si="11"/>
        <v>VelMed TORRES DE LA CRUZ ARMANDO</v>
      </c>
    </row>
    <row r="298" spans="2:6" x14ac:dyDescent="0.25">
      <c r="B298" s="3" t="s">
        <v>150</v>
      </c>
      <c r="C298" s="3" t="s">
        <v>40</v>
      </c>
      <c r="D298" s="3">
        <v>1</v>
      </c>
      <c r="E298" s="3" t="str">
        <f t="shared" si="10"/>
        <v>FrBajo</v>
      </c>
      <c r="F298" s="3" t="str">
        <f t="shared" si="11"/>
        <v>FrBajo TORRES RAMOS ARMANDO JOSE</v>
      </c>
    </row>
    <row r="299" spans="2:6" x14ac:dyDescent="0.25">
      <c r="B299" s="3" t="s">
        <v>150</v>
      </c>
      <c r="C299" s="3" t="s">
        <v>57</v>
      </c>
      <c r="D299" s="3">
        <v>5</v>
      </c>
      <c r="E299" s="3" t="str">
        <f t="shared" si="10"/>
        <v>GirBajo</v>
      </c>
      <c r="F299" s="3" t="str">
        <f t="shared" si="11"/>
        <v>GirBajo TORRES RAMOS ARMANDO JOSE</v>
      </c>
    </row>
    <row r="300" spans="2:6" x14ac:dyDescent="0.25">
      <c r="B300" s="3" t="s">
        <v>150</v>
      </c>
      <c r="C300" s="3" t="s">
        <v>52</v>
      </c>
      <c r="D300" s="3">
        <v>2</v>
      </c>
      <c r="E300" s="3" t="str">
        <f t="shared" si="10"/>
        <v>GirBajo</v>
      </c>
      <c r="F300" s="3" t="str">
        <f t="shared" si="11"/>
        <v>GirBajo TORRES RAMOS ARMANDO JOSE</v>
      </c>
    </row>
    <row r="301" spans="2:6" x14ac:dyDescent="0.25">
      <c r="B301" s="3" t="s">
        <v>150</v>
      </c>
      <c r="C301" s="3" t="s">
        <v>54</v>
      </c>
      <c r="D301" s="3">
        <v>1</v>
      </c>
      <c r="E301" s="3" t="str">
        <f t="shared" si="10"/>
        <v>GirMed</v>
      </c>
      <c r="F301" s="3" t="str">
        <f t="shared" si="11"/>
        <v>GirMed TORRES RAMOS ARMANDO JOSE</v>
      </c>
    </row>
    <row r="302" spans="2:6" x14ac:dyDescent="0.25">
      <c r="B302" s="3" t="s">
        <v>150</v>
      </c>
      <c r="C302" s="3" t="s">
        <v>46</v>
      </c>
      <c r="D302" s="3">
        <v>2</v>
      </c>
      <c r="E302" s="3" t="str">
        <f t="shared" si="10"/>
        <v>VelBajo</v>
      </c>
      <c r="F302" s="3" t="str">
        <f t="shared" si="11"/>
        <v>VelBajo TORRES RAMOS ARMANDO JOSE</v>
      </c>
    </row>
    <row r="303" spans="2:6" x14ac:dyDescent="0.25">
      <c r="B303" s="3" t="s">
        <v>151</v>
      </c>
      <c r="C303" s="3" t="s">
        <v>27</v>
      </c>
      <c r="D303" s="3">
        <v>4</v>
      </c>
      <c r="E303" s="3" t="str">
        <f t="shared" si="10"/>
        <v>AcMed</v>
      </c>
      <c r="F303" s="3" t="str">
        <f t="shared" si="11"/>
        <v>AcMed VALLADARES VEGA FRANCISCO JAVI</v>
      </c>
    </row>
    <row r="304" spans="2:6" x14ac:dyDescent="0.25">
      <c r="B304" s="3" t="s">
        <v>151</v>
      </c>
      <c r="C304" s="3" t="s">
        <v>52</v>
      </c>
      <c r="D304" s="3">
        <v>2</v>
      </c>
      <c r="E304" s="3" t="str">
        <f t="shared" si="10"/>
        <v>GirBajo</v>
      </c>
      <c r="F304" s="3" t="str">
        <f t="shared" si="11"/>
        <v>GirBajo VALLADARES VEGA FRANCISCO JAVI</v>
      </c>
    </row>
    <row r="305" spans="2:6" x14ac:dyDescent="0.25">
      <c r="B305" s="3" t="s">
        <v>152</v>
      </c>
      <c r="C305" s="3" t="s">
        <v>57</v>
      </c>
      <c r="D305" s="3">
        <v>1</v>
      </c>
      <c r="E305" s="3" t="str">
        <f t="shared" si="10"/>
        <v>GirBajo</v>
      </c>
      <c r="F305" s="3" t="str">
        <f t="shared" si="11"/>
        <v>GirBajo VAZQUEZ ALTAMIRANO ROSIO</v>
      </c>
    </row>
    <row r="306" spans="2:6" x14ac:dyDescent="0.25">
      <c r="B306" s="3" t="s">
        <v>152</v>
      </c>
      <c r="C306" s="3" t="s">
        <v>52</v>
      </c>
      <c r="D306" s="3">
        <v>1</v>
      </c>
      <c r="E306" s="3" t="str">
        <f t="shared" si="10"/>
        <v>GirBajo</v>
      </c>
      <c r="F306" s="3" t="str">
        <f t="shared" si="11"/>
        <v>GirBajo VAZQUEZ ALTAMIRANO ROSIO</v>
      </c>
    </row>
    <row r="307" spans="2:6" x14ac:dyDescent="0.25">
      <c r="B307" s="3" t="s">
        <v>152</v>
      </c>
      <c r="C307" s="3" t="s">
        <v>54</v>
      </c>
      <c r="D307" s="3">
        <v>1</v>
      </c>
      <c r="E307" s="3" t="str">
        <f t="shared" si="10"/>
        <v>GirMed</v>
      </c>
      <c r="F307" s="3" t="str">
        <f t="shared" si="11"/>
        <v>GirMed VAZQUEZ ALTAMIRANO ROSIO</v>
      </c>
    </row>
    <row r="308" spans="2:6" x14ac:dyDescent="0.25">
      <c r="B308" s="3" t="s">
        <v>152</v>
      </c>
      <c r="C308" s="3" t="s">
        <v>46</v>
      </c>
      <c r="D308" s="3">
        <v>4</v>
      </c>
      <c r="E308" s="3" t="str">
        <f t="shared" si="10"/>
        <v>VelBajo</v>
      </c>
      <c r="F308" s="3" t="str">
        <f t="shared" si="11"/>
        <v>VelBajo VAZQUEZ ALTAMIRANO ROSIO</v>
      </c>
    </row>
    <row r="309" spans="2:6" x14ac:dyDescent="0.25">
      <c r="B309" s="3" t="s">
        <v>153</v>
      </c>
      <c r="C309" s="3" t="s">
        <v>57</v>
      </c>
      <c r="D309" s="3">
        <v>3</v>
      </c>
      <c r="E309" s="3" t="str">
        <f t="shared" si="10"/>
        <v>GirBajo</v>
      </c>
      <c r="F309" s="3" t="str">
        <f t="shared" si="11"/>
        <v>GirBajo VAZQUEZ CEJA PERLA ESMERALDA</v>
      </c>
    </row>
    <row r="310" spans="2:6" x14ac:dyDescent="0.25">
      <c r="B310" s="3" t="s">
        <v>153</v>
      </c>
      <c r="C310" s="3" t="s">
        <v>58</v>
      </c>
      <c r="D310" s="3">
        <v>1</v>
      </c>
      <c r="E310" s="3" t="str">
        <f t="shared" si="10"/>
        <v>GirMed</v>
      </c>
      <c r="F310" s="3" t="str">
        <f t="shared" si="11"/>
        <v>GirMed VAZQUEZ CEJA PERLA ESMERALDA</v>
      </c>
    </row>
    <row r="311" spans="2:6" x14ac:dyDescent="0.25">
      <c r="B311" s="3" t="s">
        <v>153</v>
      </c>
      <c r="C311" s="3" t="s">
        <v>52</v>
      </c>
      <c r="D311" s="3">
        <v>2</v>
      </c>
      <c r="E311" s="3" t="str">
        <f t="shared" si="10"/>
        <v>GirBajo</v>
      </c>
      <c r="F311" s="3" t="str">
        <f t="shared" si="11"/>
        <v>GirBajo VAZQUEZ CEJA PERLA ESMERALDA</v>
      </c>
    </row>
    <row r="312" spans="2:6" x14ac:dyDescent="0.25">
      <c r="B312" s="3" t="s">
        <v>153</v>
      </c>
      <c r="C312" s="3" t="s">
        <v>46</v>
      </c>
      <c r="D312" s="3">
        <v>16</v>
      </c>
      <c r="E312" s="3" t="str">
        <f t="shared" si="10"/>
        <v>VelBajo</v>
      </c>
      <c r="F312" s="3" t="str">
        <f t="shared" si="11"/>
        <v>VelBajo VAZQUEZ CEJA PERLA ESMERALDA</v>
      </c>
    </row>
    <row r="313" spans="2:6" x14ac:dyDescent="0.25">
      <c r="B313" s="3" t="s">
        <v>154</v>
      </c>
      <c r="C313" s="3" t="s">
        <v>57</v>
      </c>
      <c r="D313" s="3">
        <v>2</v>
      </c>
      <c r="E313" s="3" t="str">
        <f t="shared" si="10"/>
        <v>GirBajo</v>
      </c>
      <c r="F313" s="3" t="str">
        <f t="shared" si="11"/>
        <v>GirBajo VAZQUEZ MANZO JULIO ADRIAN</v>
      </c>
    </row>
    <row r="314" spans="2:6" x14ac:dyDescent="0.25">
      <c r="B314" s="3" t="s">
        <v>156</v>
      </c>
      <c r="C314" s="3" t="s">
        <v>25</v>
      </c>
      <c r="D314" s="3">
        <v>4</v>
      </c>
      <c r="E314" s="3" t="str">
        <f t="shared" si="10"/>
        <v>AcAlto</v>
      </c>
      <c r="F314" s="3" t="str">
        <f t="shared" si="11"/>
        <v>AcAlto VELAZCO BENTACOURT MARTIN</v>
      </c>
    </row>
    <row r="315" spans="2:6" x14ac:dyDescent="0.25">
      <c r="B315" s="3" t="s">
        <v>156</v>
      </c>
      <c r="C315" s="3" t="s">
        <v>27</v>
      </c>
      <c r="D315" s="3">
        <v>13</v>
      </c>
      <c r="E315" s="3" t="str">
        <f t="shared" si="10"/>
        <v>AcMed</v>
      </c>
      <c r="F315" s="3" t="str">
        <f t="shared" si="11"/>
        <v>AcMed VELAZCO BENTACOURT MARTIN</v>
      </c>
    </row>
    <row r="316" spans="2:6" x14ac:dyDescent="0.25">
      <c r="B316" s="3" t="s">
        <v>156</v>
      </c>
      <c r="C316" s="3" t="s">
        <v>40</v>
      </c>
      <c r="D316" s="3">
        <v>1</v>
      </c>
      <c r="E316" s="3" t="str">
        <f t="shared" si="10"/>
        <v>FrBajo</v>
      </c>
      <c r="F316" s="3" t="str">
        <f t="shared" si="11"/>
        <v>FrBajo VELAZCO BENTACOURT MARTIN</v>
      </c>
    </row>
    <row r="317" spans="2:6" x14ac:dyDescent="0.25">
      <c r="B317" s="3" t="s">
        <v>156</v>
      </c>
      <c r="C317" s="3" t="s">
        <v>42</v>
      </c>
      <c r="D317" s="3">
        <v>3</v>
      </c>
      <c r="E317" s="3" t="str">
        <f t="shared" si="10"/>
        <v>FrMed</v>
      </c>
      <c r="F317" s="3" t="str">
        <f t="shared" si="11"/>
        <v>FrMed VELAZCO BENTACOURT MARTIN</v>
      </c>
    </row>
    <row r="318" spans="2:6" x14ac:dyDescent="0.25">
      <c r="B318" s="3" t="s">
        <v>156</v>
      </c>
      <c r="C318" s="3" t="s">
        <v>57</v>
      </c>
      <c r="D318" s="3">
        <v>22</v>
      </c>
      <c r="E318" s="3" t="str">
        <f t="shared" si="10"/>
        <v>GirBajo</v>
      </c>
      <c r="F318" s="3" t="str">
        <f t="shared" si="11"/>
        <v>GirBajo VELAZCO BENTACOURT MARTIN</v>
      </c>
    </row>
    <row r="319" spans="2:6" x14ac:dyDescent="0.25">
      <c r="B319" s="3" t="s">
        <v>156</v>
      </c>
      <c r="C319" s="3" t="s">
        <v>58</v>
      </c>
      <c r="D319" s="3">
        <v>6</v>
      </c>
      <c r="E319" s="3" t="str">
        <f t="shared" si="10"/>
        <v>GirMed</v>
      </c>
      <c r="F319" s="3" t="str">
        <f t="shared" si="11"/>
        <v>GirMed VELAZCO BENTACOURT MARTIN</v>
      </c>
    </row>
    <row r="320" spans="2:6" x14ac:dyDescent="0.25">
      <c r="B320" s="3" t="s">
        <v>156</v>
      </c>
      <c r="C320" s="3" t="s">
        <v>52</v>
      </c>
      <c r="D320" s="3">
        <v>6</v>
      </c>
      <c r="E320" s="3" t="str">
        <f t="shared" si="10"/>
        <v>GirBajo</v>
      </c>
      <c r="F320" s="3" t="str">
        <f t="shared" si="11"/>
        <v>GirBajo VELAZCO BENTACOURT MARTIN</v>
      </c>
    </row>
    <row r="321" spans="2:6" x14ac:dyDescent="0.25">
      <c r="B321" s="3" t="s">
        <v>156</v>
      </c>
      <c r="C321" s="3" t="s">
        <v>54</v>
      </c>
      <c r="D321" s="3">
        <v>2</v>
      </c>
      <c r="E321" s="3" t="str">
        <f t="shared" si="10"/>
        <v>GirMed</v>
      </c>
      <c r="F321" s="3" t="str">
        <f t="shared" si="11"/>
        <v>GirMed VELAZCO BENTACOURT MARTIN</v>
      </c>
    </row>
    <row r="322" spans="2:6" x14ac:dyDescent="0.25">
      <c r="B322" s="3" t="s">
        <v>156</v>
      </c>
      <c r="C322" s="3" t="s">
        <v>46</v>
      </c>
      <c r="D322" s="3">
        <v>29</v>
      </c>
      <c r="E322" s="3" t="str">
        <f t="shared" si="10"/>
        <v>VelBajo</v>
      </c>
      <c r="F322" s="3" t="str">
        <f t="shared" si="11"/>
        <v>VelBajo VELAZCO BENTACOURT MARTIN</v>
      </c>
    </row>
    <row r="323" spans="2:6" x14ac:dyDescent="0.25">
      <c r="B323" s="3" t="s">
        <v>156</v>
      </c>
      <c r="C323" s="3" t="s">
        <v>48</v>
      </c>
      <c r="D323" s="3">
        <v>14</v>
      </c>
      <c r="E323" s="3" t="str">
        <f t="shared" si="10"/>
        <v>VelMed</v>
      </c>
      <c r="F323" s="3" t="str">
        <f t="shared" si="11"/>
        <v>VelMed VELAZCO BENTACOURT MARTIN</v>
      </c>
    </row>
    <row r="324" spans="2:6" x14ac:dyDescent="0.25">
      <c r="B324" s="3" t="s">
        <v>157</v>
      </c>
      <c r="C324" s="3" t="s">
        <v>57</v>
      </c>
      <c r="D324" s="3">
        <v>1</v>
      </c>
      <c r="E324" s="3" t="str">
        <f t="shared" ref="E324:E387" si="12">VLOOKUP(C324,I:J,2,0)</f>
        <v>GirBajo</v>
      </c>
      <c r="F324" s="3" t="str">
        <f t="shared" ref="F324:F387" si="13">E324&amp;" "&amp;B324</f>
        <v>GirBajo VENANCIO CARRAZCO EDUARDO NEFT</v>
      </c>
    </row>
    <row r="325" spans="2:6" x14ac:dyDescent="0.25">
      <c r="B325" s="3" t="s">
        <v>157</v>
      </c>
      <c r="C325" s="3" t="s">
        <v>52</v>
      </c>
      <c r="D325" s="3">
        <v>3</v>
      </c>
      <c r="E325" s="3" t="str">
        <f t="shared" si="12"/>
        <v>GirBajo</v>
      </c>
      <c r="F325" s="3" t="str">
        <f t="shared" si="13"/>
        <v>GirBajo VENANCIO CARRAZCO EDUARDO NEFT</v>
      </c>
    </row>
    <row r="326" spans="2:6" x14ac:dyDescent="0.25">
      <c r="B326" s="3" t="s">
        <v>158</v>
      </c>
      <c r="C326" s="3" t="s">
        <v>52</v>
      </c>
      <c r="D326" s="3">
        <v>2</v>
      </c>
      <c r="E326" s="3" t="str">
        <f t="shared" si="12"/>
        <v>GirBajo</v>
      </c>
      <c r="F326" s="3" t="str">
        <f t="shared" si="13"/>
        <v>GirBajo VENANCIO LOPEZ EDUARDO</v>
      </c>
    </row>
    <row r="327" spans="2:6" x14ac:dyDescent="0.25">
      <c r="B327" s="3" t="s">
        <v>160</v>
      </c>
      <c r="C327" s="3" t="s">
        <v>25</v>
      </c>
      <c r="D327" s="3">
        <v>1</v>
      </c>
      <c r="E327" s="3" t="str">
        <f t="shared" si="12"/>
        <v>AcAlto</v>
      </c>
      <c r="F327" s="3" t="str">
        <f t="shared" si="13"/>
        <v>AcAlto VILLA LOPEZ FRANCISCO DAVID</v>
      </c>
    </row>
    <row r="328" spans="2:6" x14ac:dyDescent="0.25">
      <c r="B328" s="3" t="s">
        <v>160</v>
      </c>
      <c r="C328" s="3" t="s">
        <v>40</v>
      </c>
      <c r="D328" s="3">
        <v>1</v>
      </c>
      <c r="E328" s="3" t="str">
        <f t="shared" si="12"/>
        <v>FrBajo</v>
      </c>
      <c r="F328" s="3" t="str">
        <f t="shared" si="13"/>
        <v>FrBajo VILLA LOPEZ FRANCISCO DAVID</v>
      </c>
    </row>
    <row r="329" spans="2:6" x14ac:dyDescent="0.25">
      <c r="B329" s="3" t="s">
        <v>160</v>
      </c>
      <c r="C329" s="3" t="s">
        <v>57</v>
      </c>
      <c r="D329" s="3">
        <v>1</v>
      </c>
      <c r="E329" s="3" t="str">
        <f t="shared" si="12"/>
        <v>GirBajo</v>
      </c>
      <c r="F329" s="3" t="str">
        <f t="shared" si="13"/>
        <v>GirBajo VILLA LOPEZ FRANCISCO DAVID</v>
      </c>
    </row>
    <row r="330" spans="2:6" x14ac:dyDescent="0.25">
      <c r="B330" s="3" t="s">
        <v>160</v>
      </c>
      <c r="C330" s="3" t="s">
        <v>52</v>
      </c>
      <c r="D330" s="3">
        <v>2</v>
      </c>
      <c r="E330" s="3" t="str">
        <f t="shared" si="12"/>
        <v>GirBajo</v>
      </c>
      <c r="F330" s="3" t="str">
        <f t="shared" si="13"/>
        <v>GirBajo VILLA LOPEZ FRANCISCO DAVID</v>
      </c>
    </row>
    <row r="331" spans="2:6" x14ac:dyDescent="0.25">
      <c r="B331" s="3" t="s">
        <v>160</v>
      </c>
      <c r="C331" s="3" t="s">
        <v>46</v>
      </c>
      <c r="D331" s="3">
        <v>97</v>
      </c>
      <c r="E331" s="3" t="str">
        <f t="shared" si="12"/>
        <v>VelBajo</v>
      </c>
      <c r="F331" s="3" t="str">
        <f t="shared" si="13"/>
        <v>VelBajo VILLA LOPEZ FRANCISCO DAVID</v>
      </c>
    </row>
    <row r="332" spans="2:6" x14ac:dyDescent="0.25">
      <c r="B332" s="3" t="s">
        <v>160</v>
      </c>
      <c r="C332" s="3" t="s">
        <v>48</v>
      </c>
      <c r="D332" s="3">
        <v>3</v>
      </c>
      <c r="E332" s="3" t="str">
        <f t="shared" si="12"/>
        <v>VelMed</v>
      </c>
      <c r="F332" s="3" t="str">
        <f t="shared" si="13"/>
        <v>VelMed VILLA LOPEZ FRANCISCO DAVID</v>
      </c>
    </row>
    <row r="333" spans="2:6" x14ac:dyDescent="0.25">
      <c r="B333" s="3" t="s">
        <v>161</v>
      </c>
      <c r="C333" s="3" t="s">
        <v>58</v>
      </c>
      <c r="D333" s="3">
        <v>4</v>
      </c>
      <c r="E333" s="3" t="str">
        <f t="shared" si="12"/>
        <v>GirMed</v>
      </c>
      <c r="F333" s="3" t="str">
        <f t="shared" si="13"/>
        <v>GirMed VILLANUEVA REYES JUAN CARLOS</v>
      </c>
    </row>
    <row r="334" spans="2:6" x14ac:dyDescent="0.25">
      <c r="B334" s="3" t="s">
        <v>163</v>
      </c>
      <c r="C334" s="3" t="s">
        <v>25</v>
      </c>
      <c r="D334" s="3">
        <v>2</v>
      </c>
      <c r="E334" s="3" t="str">
        <f t="shared" si="12"/>
        <v>AcAlto</v>
      </c>
      <c r="F334" s="3" t="str">
        <f t="shared" si="13"/>
        <v>AcAlto ZAMORA VENCES JOSE LUIS</v>
      </c>
    </row>
    <row r="335" spans="2:6" x14ac:dyDescent="0.25">
      <c r="B335" s="3" t="s">
        <v>163</v>
      </c>
      <c r="C335" s="3" t="s">
        <v>46</v>
      </c>
      <c r="D335" s="3">
        <v>159</v>
      </c>
      <c r="E335" s="3" t="str">
        <f t="shared" si="12"/>
        <v>VelBajo</v>
      </c>
      <c r="F335" s="3" t="str">
        <f t="shared" si="13"/>
        <v>VelBajo ZAMORA VENCES JOSE LUIS</v>
      </c>
    </row>
    <row r="336" spans="2:6" x14ac:dyDescent="0.25">
      <c r="B336" s="3"/>
      <c r="C336" s="3"/>
      <c r="D336" s="3"/>
      <c r="E336" s="3" t="e">
        <f t="shared" si="12"/>
        <v>#N/A</v>
      </c>
      <c r="F336" s="3" t="e">
        <f t="shared" si="13"/>
        <v>#N/A</v>
      </c>
    </row>
    <row r="337" spans="2:6" x14ac:dyDescent="0.25">
      <c r="B337" s="3"/>
      <c r="C337" s="3"/>
      <c r="D337" s="3"/>
      <c r="E337" s="3" t="e">
        <f t="shared" si="12"/>
        <v>#N/A</v>
      </c>
      <c r="F337" s="3" t="e">
        <f t="shared" si="13"/>
        <v>#N/A</v>
      </c>
    </row>
    <row r="338" spans="2:6" x14ac:dyDescent="0.25">
      <c r="B338" s="3"/>
      <c r="C338" s="3"/>
      <c r="D338" s="3"/>
      <c r="E338" s="3" t="e">
        <f t="shared" si="12"/>
        <v>#N/A</v>
      </c>
      <c r="F338" s="3" t="e">
        <f t="shared" si="13"/>
        <v>#N/A</v>
      </c>
    </row>
    <row r="339" spans="2:6" x14ac:dyDescent="0.25">
      <c r="B339" s="3"/>
      <c r="C339" s="3"/>
      <c r="D339" s="3"/>
      <c r="E339" s="3" t="e">
        <f t="shared" si="12"/>
        <v>#N/A</v>
      </c>
      <c r="F339" s="3" t="e">
        <f t="shared" si="13"/>
        <v>#N/A</v>
      </c>
    </row>
    <row r="340" spans="2:6" x14ac:dyDescent="0.25">
      <c r="B340" s="3"/>
      <c r="C340" s="3"/>
      <c r="D340" s="3"/>
      <c r="E340" s="3" t="e">
        <f t="shared" si="12"/>
        <v>#N/A</v>
      </c>
      <c r="F340" s="3" t="e">
        <f t="shared" si="13"/>
        <v>#N/A</v>
      </c>
    </row>
    <row r="341" spans="2:6" x14ac:dyDescent="0.25">
      <c r="B341" s="3"/>
      <c r="C341" s="3"/>
      <c r="D341" s="3"/>
      <c r="E341" s="3" t="e">
        <f t="shared" si="12"/>
        <v>#N/A</v>
      </c>
      <c r="F341" s="3" t="e">
        <f t="shared" si="13"/>
        <v>#N/A</v>
      </c>
    </row>
    <row r="342" spans="2:6" x14ac:dyDescent="0.25">
      <c r="B342" s="3"/>
      <c r="C342" s="3"/>
      <c r="D342" s="3"/>
      <c r="E342" s="3" t="e">
        <f t="shared" si="12"/>
        <v>#N/A</v>
      </c>
      <c r="F342" s="3" t="e">
        <f t="shared" si="13"/>
        <v>#N/A</v>
      </c>
    </row>
    <row r="343" spans="2:6" x14ac:dyDescent="0.25">
      <c r="B343" s="3"/>
      <c r="C343" s="3"/>
      <c r="D343" s="3"/>
      <c r="E343" s="3" t="e">
        <f t="shared" si="12"/>
        <v>#N/A</v>
      </c>
      <c r="F343" s="3" t="e">
        <f t="shared" si="13"/>
        <v>#N/A</v>
      </c>
    </row>
    <row r="344" spans="2:6" x14ac:dyDescent="0.25">
      <c r="B344" s="3"/>
      <c r="C344" s="3"/>
      <c r="D344" s="3"/>
      <c r="E344" s="3" t="e">
        <f t="shared" si="12"/>
        <v>#N/A</v>
      </c>
      <c r="F344" s="3" t="e">
        <f t="shared" si="13"/>
        <v>#N/A</v>
      </c>
    </row>
    <row r="345" spans="2:6" x14ac:dyDescent="0.25">
      <c r="B345" s="3"/>
      <c r="C345" s="3"/>
      <c r="D345" s="3"/>
      <c r="E345" s="3" t="e">
        <f t="shared" si="12"/>
        <v>#N/A</v>
      </c>
      <c r="F345" s="3" t="e">
        <f t="shared" si="13"/>
        <v>#N/A</v>
      </c>
    </row>
    <row r="346" spans="2:6" x14ac:dyDescent="0.25">
      <c r="B346" s="3"/>
      <c r="C346" s="3"/>
      <c r="D346" s="3"/>
      <c r="E346" s="3" t="e">
        <f t="shared" si="12"/>
        <v>#N/A</v>
      </c>
      <c r="F346" s="3" t="e">
        <f t="shared" si="13"/>
        <v>#N/A</v>
      </c>
    </row>
    <row r="347" spans="2:6" x14ac:dyDescent="0.25">
      <c r="B347" s="3"/>
      <c r="C347" s="3"/>
      <c r="D347" s="3"/>
      <c r="E347" s="3" t="e">
        <f t="shared" si="12"/>
        <v>#N/A</v>
      </c>
      <c r="F347" s="3" t="e">
        <f t="shared" si="13"/>
        <v>#N/A</v>
      </c>
    </row>
    <row r="348" spans="2:6" x14ac:dyDescent="0.25">
      <c r="B348" s="3"/>
      <c r="C348" s="3"/>
      <c r="D348" s="3"/>
      <c r="E348" s="3" t="e">
        <f t="shared" si="12"/>
        <v>#N/A</v>
      </c>
      <c r="F348" s="3" t="e">
        <f t="shared" si="13"/>
        <v>#N/A</v>
      </c>
    </row>
    <row r="349" spans="2:6" x14ac:dyDescent="0.25">
      <c r="B349" s="3"/>
      <c r="C349" s="3"/>
      <c r="D349" s="3"/>
      <c r="E349" s="3" t="e">
        <f t="shared" si="12"/>
        <v>#N/A</v>
      </c>
      <c r="F349" s="3" t="e">
        <f t="shared" si="13"/>
        <v>#N/A</v>
      </c>
    </row>
    <row r="350" spans="2:6" x14ac:dyDescent="0.25">
      <c r="B350" s="3"/>
      <c r="C350" s="3"/>
      <c r="D350" s="3"/>
      <c r="E350" s="3" t="e">
        <f t="shared" si="12"/>
        <v>#N/A</v>
      </c>
      <c r="F350" s="3" t="e">
        <f t="shared" si="13"/>
        <v>#N/A</v>
      </c>
    </row>
    <row r="351" spans="2:6" x14ac:dyDescent="0.25">
      <c r="B351" s="3"/>
      <c r="C351" s="3"/>
      <c r="D351" s="3"/>
      <c r="E351" s="3" t="e">
        <f t="shared" si="12"/>
        <v>#N/A</v>
      </c>
      <c r="F351" s="3" t="e">
        <f t="shared" si="13"/>
        <v>#N/A</v>
      </c>
    </row>
    <row r="352" spans="2:6" x14ac:dyDescent="0.25">
      <c r="B352" s="3"/>
      <c r="C352" s="3"/>
      <c r="D352" s="3"/>
      <c r="E352" s="3" t="e">
        <f t="shared" si="12"/>
        <v>#N/A</v>
      </c>
      <c r="F352" s="3" t="e">
        <f t="shared" si="13"/>
        <v>#N/A</v>
      </c>
    </row>
    <row r="353" spans="2:6" x14ac:dyDescent="0.25">
      <c r="B353" s="3"/>
      <c r="C353" s="3"/>
      <c r="D353" s="3"/>
      <c r="E353" s="3" t="e">
        <f t="shared" si="12"/>
        <v>#N/A</v>
      </c>
      <c r="F353" s="3" t="e">
        <f t="shared" si="13"/>
        <v>#N/A</v>
      </c>
    </row>
    <row r="354" spans="2:6" x14ac:dyDescent="0.25">
      <c r="B354" s="3"/>
      <c r="C354" s="3"/>
      <c r="D354" s="3"/>
      <c r="E354" s="3" t="e">
        <f t="shared" si="12"/>
        <v>#N/A</v>
      </c>
      <c r="F354" s="3" t="e">
        <f t="shared" si="13"/>
        <v>#N/A</v>
      </c>
    </row>
    <row r="355" spans="2:6" x14ac:dyDescent="0.25">
      <c r="B355" s="3"/>
      <c r="C355" s="3"/>
      <c r="D355" s="3"/>
      <c r="E355" s="3" t="e">
        <f t="shared" si="12"/>
        <v>#N/A</v>
      </c>
      <c r="F355" s="3" t="e">
        <f t="shared" si="13"/>
        <v>#N/A</v>
      </c>
    </row>
    <row r="356" spans="2:6" x14ac:dyDescent="0.25">
      <c r="B356" s="3"/>
      <c r="C356" s="3"/>
      <c r="D356" s="3"/>
      <c r="E356" s="3" t="e">
        <f t="shared" si="12"/>
        <v>#N/A</v>
      </c>
      <c r="F356" s="3" t="e">
        <f t="shared" si="13"/>
        <v>#N/A</v>
      </c>
    </row>
    <row r="357" spans="2:6" x14ac:dyDescent="0.25">
      <c r="B357" s="3"/>
      <c r="C357" s="3"/>
      <c r="D357" s="3"/>
      <c r="E357" s="3" t="e">
        <f t="shared" si="12"/>
        <v>#N/A</v>
      </c>
      <c r="F357" s="3" t="e">
        <f t="shared" si="13"/>
        <v>#N/A</v>
      </c>
    </row>
    <row r="358" spans="2:6" x14ac:dyDescent="0.25">
      <c r="B358" s="3"/>
      <c r="C358" s="3"/>
      <c r="D358" s="3"/>
      <c r="E358" s="3" t="e">
        <f t="shared" si="12"/>
        <v>#N/A</v>
      </c>
      <c r="F358" s="3" t="e">
        <f t="shared" si="13"/>
        <v>#N/A</v>
      </c>
    </row>
    <row r="359" spans="2:6" x14ac:dyDescent="0.25">
      <c r="B359" s="3"/>
      <c r="C359" s="3"/>
      <c r="D359" s="3"/>
      <c r="E359" s="3" t="e">
        <f t="shared" si="12"/>
        <v>#N/A</v>
      </c>
      <c r="F359" s="3" t="e">
        <f t="shared" si="13"/>
        <v>#N/A</v>
      </c>
    </row>
    <row r="360" spans="2:6" x14ac:dyDescent="0.25">
      <c r="B360" s="3"/>
      <c r="C360" s="3"/>
      <c r="D360" s="3"/>
      <c r="E360" s="3" t="e">
        <f t="shared" si="12"/>
        <v>#N/A</v>
      </c>
      <c r="F360" s="3" t="e">
        <f t="shared" si="13"/>
        <v>#N/A</v>
      </c>
    </row>
    <row r="361" spans="2:6" x14ac:dyDescent="0.25">
      <c r="B361" s="3"/>
      <c r="C361" s="3"/>
      <c r="D361" s="3"/>
      <c r="E361" s="3" t="e">
        <f t="shared" si="12"/>
        <v>#N/A</v>
      </c>
      <c r="F361" s="3" t="e">
        <f t="shared" si="13"/>
        <v>#N/A</v>
      </c>
    </row>
    <row r="362" spans="2:6" x14ac:dyDescent="0.25">
      <c r="B362" s="3"/>
      <c r="C362" s="3"/>
      <c r="D362" s="3"/>
      <c r="E362" s="3" t="e">
        <f t="shared" si="12"/>
        <v>#N/A</v>
      </c>
      <c r="F362" s="3" t="e">
        <f t="shared" si="13"/>
        <v>#N/A</v>
      </c>
    </row>
    <row r="363" spans="2:6" x14ac:dyDescent="0.25">
      <c r="B363" s="3"/>
      <c r="C363" s="3"/>
      <c r="D363" s="3"/>
      <c r="E363" s="3" t="e">
        <f t="shared" si="12"/>
        <v>#N/A</v>
      </c>
      <c r="F363" s="3" t="e">
        <f t="shared" si="13"/>
        <v>#N/A</v>
      </c>
    </row>
    <row r="364" spans="2:6" x14ac:dyDescent="0.25">
      <c r="B364" s="3"/>
      <c r="C364" s="3"/>
      <c r="D364" s="3"/>
      <c r="E364" s="3" t="e">
        <f t="shared" si="12"/>
        <v>#N/A</v>
      </c>
      <c r="F364" s="3" t="e">
        <f t="shared" si="13"/>
        <v>#N/A</v>
      </c>
    </row>
    <row r="365" spans="2:6" x14ac:dyDescent="0.25">
      <c r="B365" s="3"/>
      <c r="C365" s="3"/>
      <c r="D365" s="3"/>
      <c r="E365" s="3" t="e">
        <f t="shared" si="12"/>
        <v>#N/A</v>
      </c>
      <c r="F365" s="3" t="e">
        <f t="shared" si="13"/>
        <v>#N/A</v>
      </c>
    </row>
    <row r="366" spans="2:6" x14ac:dyDescent="0.25">
      <c r="B366" s="3"/>
      <c r="C366" s="3"/>
      <c r="D366" s="3"/>
      <c r="E366" s="3" t="e">
        <f t="shared" si="12"/>
        <v>#N/A</v>
      </c>
      <c r="F366" s="3" t="e">
        <f t="shared" si="13"/>
        <v>#N/A</v>
      </c>
    </row>
    <row r="367" spans="2:6" x14ac:dyDescent="0.25">
      <c r="B367" s="3"/>
      <c r="C367" s="3"/>
      <c r="D367" s="3"/>
      <c r="E367" s="3" t="e">
        <f t="shared" si="12"/>
        <v>#N/A</v>
      </c>
      <c r="F367" s="3" t="e">
        <f t="shared" si="13"/>
        <v>#N/A</v>
      </c>
    </row>
    <row r="368" spans="2:6" x14ac:dyDescent="0.25">
      <c r="B368" s="3"/>
      <c r="C368" s="3"/>
      <c r="D368" s="3"/>
      <c r="E368" s="3" t="e">
        <f t="shared" si="12"/>
        <v>#N/A</v>
      </c>
      <c r="F368" s="3" t="e">
        <f t="shared" si="13"/>
        <v>#N/A</v>
      </c>
    </row>
    <row r="369" spans="2:6" x14ac:dyDescent="0.25">
      <c r="B369" s="3"/>
      <c r="C369" s="3"/>
      <c r="D369" s="3"/>
      <c r="E369" s="3" t="e">
        <f t="shared" si="12"/>
        <v>#N/A</v>
      </c>
      <c r="F369" s="3" t="e">
        <f t="shared" si="13"/>
        <v>#N/A</v>
      </c>
    </row>
    <row r="370" spans="2:6" x14ac:dyDescent="0.25">
      <c r="B370" s="3"/>
      <c r="C370" s="3"/>
      <c r="D370" s="3"/>
      <c r="E370" s="3" t="e">
        <f t="shared" si="12"/>
        <v>#N/A</v>
      </c>
      <c r="F370" s="3" t="e">
        <f t="shared" si="13"/>
        <v>#N/A</v>
      </c>
    </row>
    <row r="371" spans="2:6" x14ac:dyDescent="0.25">
      <c r="B371" s="3"/>
      <c r="C371" s="3"/>
      <c r="D371" s="3"/>
      <c r="E371" s="3" t="e">
        <f t="shared" si="12"/>
        <v>#N/A</v>
      </c>
      <c r="F371" s="3" t="e">
        <f t="shared" si="13"/>
        <v>#N/A</v>
      </c>
    </row>
    <row r="372" spans="2:6" x14ac:dyDescent="0.25">
      <c r="B372" s="3"/>
      <c r="C372" s="3"/>
      <c r="D372" s="3"/>
      <c r="E372" s="3" t="e">
        <f t="shared" si="12"/>
        <v>#N/A</v>
      </c>
      <c r="F372" s="3" t="e">
        <f t="shared" si="13"/>
        <v>#N/A</v>
      </c>
    </row>
    <row r="373" spans="2:6" x14ac:dyDescent="0.25">
      <c r="B373" s="3"/>
      <c r="C373" s="3"/>
      <c r="D373" s="3"/>
      <c r="E373" s="3" t="e">
        <f t="shared" si="12"/>
        <v>#N/A</v>
      </c>
      <c r="F373" s="3" t="e">
        <f t="shared" si="13"/>
        <v>#N/A</v>
      </c>
    </row>
    <row r="374" spans="2:6" x14ac:dyDescent="0.25">
      <c r="B374" s="3"/>
      <c r="C374" s="3"/>
      <c r="D374" s="3"/>
      <c r="E374" s="3" t="e">
        <f t="shared" si="12"/>
        <v>#N/A</v>
      </c>
      <c r="F374" s="3" t="e">
        <f t="shared" si="13"/>
        <v>#N/A</v>
      </c>
    </row>
    <row r="375" spans="2:6" x14ac:dyDescent="0.25">
      <c r="B375" s="3"/>
      <c r="C375" s="3"/>
      <c r="D375" s="3"/>
      <c r="E375" s="3" t="e">
        <f t="shared" si="12"/>
        <v>#N/A</v>
      </c>
      <c r="F375" s="3" t="e">
        <f t="shared" si="13"/>
        <v>#N/A</v>
      </c>
    </row>
    <row r="376" spans="2:6" x14ac:dyDescent="0.25">
      <c r="B376" s="3"/>
      <c r="C376" s="3"/>
      <c r="D376" s="3"/>
      <c r="E376" s="3" t="e">
        <f t="shared" si="12"/>
        <v>#N/A</v>
      </c>
      <c r="F376" s="3" t="e">
        <f t="shared" si="13"/>
        <v>#N/A</v>
      </c>
    </row>
    <row r="377" spans="2:6" x14ac:dyDescent="0.25">
      <c r="B377" s="3"/>
      <c r="C377" s="3"/>
      <c r="D377" s="3"/>
      <c r="E377" s="3" t="e">
        <f t="shared" si="12"/>
        <v>#N/A</v>
      </c>
      <c r="F377" s="3" t="e">
        <f t="shared" si="13"/>
        <v>#N/A</v>
      </c>
    </row>
    <row r="378" spans="2:6" x14ac:dyDescent="0.25">
      <c r="B378" s="3"/>
      <c r="C378" s="3"/>
      <c r="D378" s="3"/>
      <c r="E378" s="3" t="e">
        <f t="shared" si="12"/>
        <v>#N/A</v>
      </c>
      <c r="F378" s="3" t="e">
        <f t="shared" si="13"/>
        <v>#N/A</v>
      </c>
    </row>
    <row r="379" spans="2:6" x14ac:dyDescent="0.25">
      <c r="B379" s="3"/>
      <c r="C379" s="3"/>
      <c r="D379" s="3"/>
      <c r="E379" s="3" t="e">
        <f t="shared" si="12"/>
        <v>#N/A</v>
      </c>
      <c r="F379" s="3" t="e">
        <f t="shared" si="13"/>
        <v>#N/A</v>
      </c>
    </row>
    <row r="380" spans="2:6" x14ac:dyDescent="0.25">
      <c r="B380" s="3"/>
      <c r="C380" s="3"/>
      <c r="D380" s="3"/>
      <c r="E380" s="3" t="e">
        <f t="shared" si="12"/>
        <v>#N/A</v>
      </c>
      <c r="F380" s="3" t="e">
        <f t="shared" si="13"/>
        <v>#N/A</v>
      </c>
    </row>
    <row r="381" spans="2:6" x14ac:dyDescent="0.25">
      <c r="B381" s="3"/>
      <c r="C381" s="3"/>
      <c r="D381" s="3"/>
      <c r="E381" s="3" t="e">
        <f t="shared" si="12"/>
        <v>#N/A</v>
      </c>
      <c r="F381" s="3" t="e">
        <f t="shared" si="13"/>
        <v>#N/A</v>
      </c>
    </row>
    <row r="382" spans="2:6" x14ac:dyDescent="0.25">
      <c r="B382" s="3"/>
      <c r="C382" s="3"/>
      <c r="D382" s="3"/>
      <c r="E382" s="3" t="e">
        <f t="shared" si="12"/>
        <v>#N/A</v>
      </c>
      <c r="F382" s="3" t="e">
        <f t="shared" si="13"/>
        <v>#N/A</v>
      </c>
    </row>
    <row r="383" spans="2:6" x14ac:dyDescent="0.25">
      <c r="B383" s="3"/>
      <c r="C383" s="3"/>
      <c r="D383" s="3"/>
      <c r="E383" s="3" t="e">
        <f t="shared" si="12"/>
        <v>#N/A</v>
      </c>
      <c r="F383" s="3" t="e">
        <f t="shared" si="13"/>
        <v>#N/A</v>
      </c>
    </row>
    <row r="384" spans="2:6" x14ac:dyDescent="0.25">
      <c r="B384" s="3"/>
      <c r="C384" s="3"/>
      <c r="D384" s="3"/>
      <c r="E384" s="3" t="e">
        <f t="shared" si="12"/>
        <v>#N/A</v>
      </c>
      <c r="F384" s="3" t="e">
        <f t="shared" si="13"/>
        <v>#N/A</v>
      </c>
    </row>
    <row r="385" spans="2:6" x14ac:dyDescent="0.25">
      <c r="B385" s="3"/>
      <c r="C385" s="3"/>
      <c r="D385" s="3"/>
      <c r="E385" s="3" t="e">
        <f t="shared" si="12"/>
        <v>#N/A</v>
      </c>
      <c r="F385" s="3" t="e">
        <f t="shared" si="13"/>
        <v>#N/A</v>
      </c>
    </row>
    <row r="386" spans="2:6" x14ac:dyDescent="0.25">
      <c r="B386" s="3"/>
      <c r="C386" s="3"/>
      <c r="D386" s="3"/>
      <c r="E386" s="3" t="e">
        <f t="shared" si="12"/>
        <v>#N/A</v>
      </c>
      <c r="F386" s="3" t="e">
        <f t="shared" si="13"/>
        <v>#N/A</v>
      </c>
    </row>
    <row r="387" spans="2:6" x14ac:dyDescent="0.25">
      <c r="B387" s="3"/>
      <c r="C387" s="3"/>
      <c r="D387" s="3"/>
      <c r="E387" s="3" t="e">
        <f t="shared" si="12"/>
        <v>#N/A</v>
      </c>
      <c r="F387" s="3" t="e">
        <f t="shared" si="13"/>
        <v>#N/A</v>
      </c>
    </row>
    <row r="388" spans="2:6" x14ac:dyDescent="0.25">
      <c r="B388" s="3"/>
      <c r="C388" s="3"/>
      <c r="D388" s="3"/>
      <c r="E388" s="3" t="e">
        <f t="shared" ref="E388:E451" si="14">VLOOKUP(C388,I:J,2,0)</f>
        <v>#N/A</v>
      </c>
      <c r="F388" s="3" t="e">
        <f t="shared" ref="F388:F451" si="15">E388&amp;" "&amp;B388</f>
        <v>#N/A</v>
      </c>
    </row>
    <row r="389" spans="2:6" x14ac:dyDescent="0.25">
      <c r="B389" s="3"/>
      <c r="C389" s="3"/>
      <c r="D389" s="3"/>
      <c r="E389" s="3" t="e">
        <f t="shared" si="14"/>
        <v>#N/A</v>
      </c>
      <c r="F389" s="3" t="e">
        <f t="shared" si="15"/>
        <v>#N/A</v>
      </c>
    </row>
    <row r="390" spans="2:6" x14ac:dyDescent="0.25">
      <c r="B390" s="3"/>
      <c r="C390" s="3"/>
      <c r="D390" s="3"/>
      <c r="E390" s="3" t="e">
        <f t="shared" si="14"/>
        <v>#N/A</v>
      </c>
      <c r="F390" s="3" t="e">
        <f t="shared" si="15"/>
        <v>#N/A</v>
      </c>
    </row>
    <row r="391" spans="2:6" x14ac:dyDescent="0.25">
      <c r="B391" s="3"/>
      <c r="C391" s="3"/>
      <c r="D391" s="3"/>
      <c r="E391" s="3" t="e">
        <f t="shared" si="14"/>
        <v>#N/A</v>
      </c>
      <c r="F391" s="3" t="e">
        <f t="shared" si="15"/>
        <v>#N/A</v>
      </c>
    </row>
    <row r="392" spans="2:6" x14ac:dyDescent="0.25">
      <c r="B392" s="3"/>
      <c r="C392" s="3"/>
      <c r="D392" s="3"/>
      <c r="E392" s="3" t="e">
        <f t="shared" si="14"/>
        <v>#N/A</v>
      </c>
      <c r="F392" s="3" t="e">
        <f t="shared" si="15"/>
        <v>#N/A</v>
      </c>
    </row>
    <row r="393" spans="2:6" x14ac:dyDescent="0.25">
      <c r="B393" s="3"/>
      <c r="C393" s="3"/>
      <c r="D393" s="3"/>
      <c r="E393" s="3" t="e">
        <f t="shared" si="14"/>
        <v>#N/A</v>
      </c>
      <c r="F393" s="3" t="e">
        <f t="shared" si="15"/>
        <v>#N/A</v>
      </c>
    </row>
    <row r="394" spans="2:6" x14ac:dyDescent="0.25">
      <c r="B394" s="3"/>
      <c r="C394" s="3"/>
      <c r="D394" s="3"/>
      <c r="E394" s="3" t="e">
        <f t="shared" si="14"/>
        <v>#N/A</v>
      </c>
      <c r="F394" s="3" t="e">
        <f t="shared" si="15"/>
        <v>#N/A</v>
      </c>
    </row>
    <row r="395" spans="2:6" x14ac:dyDescent="0.25">
      <c r="B395" s="3"/>
      <c r="C395" s="3"/>
      <c r="D395" s="3"/>
      <c r="E395" s="3" t="e">
        <f t="shared" si="14"/>
        <v>#N/A</v>
      </c>
      <c r="F395" s="3" t="e">
        <f t="shared" si="15"/>
        <v>#N/A</v>
      </c>
    </row>
    <row r="396" spans="2:6" x14ac:dyDescent="0.25">
      <c r="B396" s="3"/>
      <c r="C396" s="3"/>
      <c r="D396" s="3"/>
      <c r="E396" s="3" t="e">
        <f t="shared" si="14"/>
        <v>#N/A</v>
      </c>
      <c r="F396" s="3" t="e">
        <f t="shared" si="15"/>
        <v>#N/A</v>
      </c>
    </row>
    <row r="397" spans="2:6" x14ac:dyDescent="0.25">
      <c r="B397" s="3"/>
      <c r="C397" s="3"/>
      <c r="D397" s="3"/>
      <c r="E397" s="3" t="e">
        <f t="shared" si="14"/>
        <v>#N/A</v>
      </c>
      <c r="F397" s="3" t="e">
        <f t="shared" si="15"/>
        <v>#N/A</v>
      </c>
    </row>
    <row r="398" spans="2:6" x14ac:dyDescent="0.25">
      <c r="B398" s="3"/>
      <c r="C398" s="3"/>
      <c r="D398" s="3"/>
      <c r="E398" s="3" t="e">
        <f t="shared" si="14"/>
        <v>#N/A</v>
      </c>
      <c r="F398" s="3" t="e">
        <f t="shared" si="15"/>
        <v>#N/A</v>
      </c>
    </row>
    <row r="399" spans="2:6" x14ac:dyDescent="0.25">
      <c r="B399" s="3"/>
      <c r="C399" s="3"/>
      <c r="D399" s="3"/>
      <c r="E399" s="3" t="e">
        <f t="shared" si="14"/>
        <v>#N/A</v>
      </c>
      <c r="F399" s="3" t="e">
        <f t="shared" si="15"/>
        <v>#N/A</v>
      </c>
    </row>
    <row r="400" spans="2:6" x14ac:dyDescent="0.25">
      <c r="B400" s="3"/>
      <c r="C400" s="3"/>
      <c r="D400" s="3"/>
      <c r="E400" s="3" t="e">
        <f t="shared" si="14"/>
        <v>#N/A</v>
      </c>
      <c r="F400" s="3" t="e">
        <f t="shared" si="15"/>
        <v>#N/A</v>
      </c>
    </row>
    <row r="401" spans="2:6" x14ac:dyDescent="0.25">
      <c r="B401" s="3"/>
      <c r="C401" s="3"/>
      <c r="D401" s="3"/>
      <c r="E401" s="3" t="e">
        <f t="shared" si="14"/>
        <v>#N/A</v>
      </c>
      <c r="F401" s="3" t="e">
        <f t="shared" si="15"/>
        <v>#N/A</v>
      </c>
    </row>
    <row r="402" spans="2:6" x14ac:dyDescent="0.25">
      <c r="B402" s="3"/>
      <c r="C402" s="3"/>
      <c r="D402" s="3"/>
      <c r="E402" s="3" t="e">
        <f t="shared" si="14"/>
        <v>#N/A</v>
      </c>
      <c r="F402" s="3" t="e">
        <f t="shared" si="15"/>
        <v>#N/A</v>
      </c>
    </row>
    <row r="403" spans="2:6" x14ac:dyDescent="0.25">
      <c r="B403" s="3"/>
      <c r="C403" s="3"/>
      <c r="D403" s="3"/>
      <c r="E403" s="3" t="e">
        <f t="shared" si="14"/>
        <v>#N/A</v>
      </c>
      <c r="F403" s="3" t="e">
        <f t="shared" si="15"/>
        <v>#N/A</v>
      </c>
    </row>
    <row r="404" spans="2:6" x14ac:dyDescent="0.25">
      <c r="B404" s="3"/>
      <c r="C404" s="3"/>
      <c r="D404" s="3"/>
      <c r="E404" s="3" t="e">
        <f t="shared" si="14"/>
        <v>#N/A</v>
      </c>
      <c r="F404" s="3" t="e">
        <f t="shared" si="15"/>
        <v>#N/A</v>
      </c>
    </row>
    <row r="405" spans="2:6" x14ac:dyDescent="0.25">
      <c r="B405" s="3"/>
      <c r="C405" s="3"/>
      <c r="D405" s="3"/>
      <c r="E405" s="3" t="e">
        <f t="shared" si="14"/>
        <v>#N/A</v>
      </c>
      <c r="F405" s="3" t="e">
        <f t="shared" si="15"/>
        <v>#N/A</v>
      </c>
    </row>
    <row r="406" spans="2:6" x14ac:dyDescent="0.25">
      <c r="B406" s="3"/>
      <c r="C406" s="3"/>
      <c r="D406" s="3"/>
      <c r="E406" s="3" t="e">
        <f t="shared" si="14"/>
        <v>#N/A</v>
      </c>
      <c r="F406" s="3" t="e">
        <f t="shared" si="15"/>
        <v>#N/A</v>
      </c>
    </row>
    <row r="407" spans="2:6" x14ac:dyDescent="0.25">
      <c r="B407" s="3"/>
      <c r="C407" s="3"/>
      <c r="D407" s="3"/>
      <c r="E407" s="3" t="e">
        <f t="shared" si="14"/>
        <v>#N/A</v>
      </c>
      <c r="F407" s="3" t="e">
        <f t="shared" si="15"/>
        <v>#N/A</v>
      </c>
    </row>
    <row r="408" spans="2:6" x14ac:dyDescent="0.25">
      <c r="B408" s="3"/>
      <c r="C408" s="3"/>
      <c r="D408" s="3"/>
      <c r="E408" s="3" t="e">
        <f t="shared" si="14"/>
        <v>#N/A</v>
      </c>
      <c r="F408" s="3" t="e">
        <f t="shared" si="15"/>
        <v>#N/A</v>
      </c>
    </row>
    <row r="409" spans="2:6" x14ac:dyDescent="0.25">
      <c r="B409" s="3"/>
      <c r="C409" s="3"/>
      <c r="D409" s="3"/>
      <c r="E409" s="3" t="e">
        <f t="shared" si="14"/>
        <v>#N/A</v>
      </c>
      <c r="F409" s="3" t="e">
        <f t="shared" si="15"/>
        <v>#N/A</v>
      </c>
    </row>
    <row r="410" spans="2:6" x14ac:dyDescent="0.25">
      <c r="B410" s="3"/>
      <c r="C410" s="3"/>
      <c r="D410" s="3"/>
      <c r="E410" s="3" t="e">
        <f t="shared" si="14"/>
        <v>#N/A</v>
      </c>
      <c r="F410" s="3" t="e">
        <f t="shared" si="15"/>
        <v>#N/A</v>
      </c>
    </row>
    <row r="411" spans="2:6" x14ac:dyDescent="0.25">
      <c r="B411" s="3"/>
      <c r="C411" s="3"/>
      <c r="D411" s="3"/>
      <c r="E411" s="3" t="e">
        <f t="shared" si="14"/>
        <v>#N/A</v>
      </c>
      <c r="F411" s="3" t="e">
        <f t="shared" si="15"/>
        <v>#N/A</v>
      </c>
    </row>
    <row r="412" spans="2:6" x14ac:dyDescent="0.25">
      <c r="B412" s="3"/>
      <c r="C412" s="3"/>
      <c r="D412" s="3"/>
      <c r="E412" s="3" t="e">
        <f t="shared" si="14"/>
        <v>#N/A</v>
      </c>
      <c r="F412" s="3" t="e">
        <f t="shared" si="15"/>
        <v>#N/A</v>
      </c>
    </row>
    <row r="413" spans="2:6" x14ac:dyDescent="0.25">
      <c r="B413" s="3"/>
      <c r="C413" s="3"/>
      <c r="D413" s="3"/>
      <c r="E413" s="3" t="e">
        <f t="shared" si="14"/>
        <v>#N/A</v>
      </c>
      <c r="F413" s="3" t="e">
        <f t="shared" si="15"/>
        <v>#N/A</v>
      </c>
    </row>
    <row r="414" spans="2:6" x14ac:dyDescent="0.25">
      <c r="B414" s="3"/>
      <c r="C414" s="3"/>
      <c r="D414" s="3"/>
      <c r="E414" s="3" t="e">
        <f t="shared" si="14"/>
        <v>#N/A</v>
      </c>
      <c r="F414" s="3" t="e">
        <f t="shared" si="15"/>
        <v>#N/A</v>
      </c>
    </row>
    <row r="415" spans="2:6" x14ac:dyDescent="0.25">
      <c r="B415" s="3"/>
      <c r="C415" s="3"/>
      <c r="D415" s="3"/>
      <c r="E415" s="3" t="e">
        <f t="shared" si="14"/>
        <v>#N/A</v>
      </c>
      <c r="F415" s="3" t="e">
        <f t="shared" si="15"/>
        <v>#N/A</v>
      </c>
    </row>
    <row r="416" spans="2:6" x14ac:dyDescent="0.25">
      <c r="B416" s="3"/>
      <c r="C416" s="3"/>
      <c r="D416" s="3"/>
      <c r="E416" s="3" t="e">
        <f t="shared" si="14"/>
        <v>#N/A</v>
      </c>
      <c r="F416" s="3" t="e">
        <f t="shared" si="15"/>
        <v>#N/A</v>
      </c>
    </row>
    <row r="417" spans="2:6" x14ac:dyDescent="0.25">
      <c r="B417" s="3"/>
      <c r="C417" s="3"/>
      <c r="D417" s="3"/>
      <c r="E417" s="3" t="e">
        <f t="shared" si="14"/>
        <v>#N/A</v>
      </c>
      <c r="F417" s="3" t="e">
        <f t="shared" si="15"/>
        <v>#N/A</v>
      </c>
    </row>
    <row r="418" spans="2:6" x14ac:dyDescent="0.25">
      <c r="B418" s="3"/>
      <c r="C418" s="3"/>
      <c r="D418" s="3"/>
      <c r="E418" s="3" t="e">
        <f t="shared" si="14"/>
        <v>#N/A</v>
      </c>
      <c r="F418" s="3" t="e">
        <f t="shared" si="15"/>
        <v>#N/A</v>
      </c>
    </row>
    <row r="419" spans="2:6" x14ac:dyDescent="0.25">
      <c r="B419" s="3"/>
      <c r="C419" s="3"/>
      <c r="D419" s="3"/>
      <c r="E419" s="3" t="e">
        <f t="shared" si="14"/>
        <v>#N/A</v>
      </c>
      <c r="F419" s="3" t="e">
        <f t="shared" si="15"/>
        <v>#N/A</v>
      </c>
    </row>
    <row r="420" spans="2:6" x14ac:dyDescent="0.25">
      <c r="B420" s="3"/>
      <c r="C420" s="3"/>
      <c r="D420" s="3"/>
      <c r="E420" s="3" t="e">
        <f t="shared" si="14"/>
        <v>#N/A</v>
      </c>
      <c r="F420" s="3" t="e">
        <f t="shared" si="15"/>
        <v>#N/A</v>
      </c>
    </row>
    <row r="421" spans="2:6" x14ac:dyDescent="0.25">
      <c r="B421" s="3"/>
      <c r="C421" s="3"/>
      <c r="D421" s="3"/>
      <c r="E421" s="3" t="e">
        <f t="shared" si="14"/>
        <v>#N/A</v>
      </c>
      <c r="F421" s="3" t="e">
        <f t="shared" si="15"/>
        <v>#N/A</v>
      </c>
    </row>
    <row r="422" spans="2:6" x14ac:dyDescent="0.25">
      <c r="B422" s="3"/>
      <c r="C422" s="3"/>
      <c r="D422" s="3"/>
      <c r="E422" s="3" t="e">
        <f t="shared" si="14"/>
        <v>#N/A</v>
      </c>
      <c r="F422" s="3" t="e">
        <f t="shared" si="15"/>
        <v>#N/A</v>
      </c>
    </row>
    <row r="423" spans="2:6" x14ac:dyDescent="0.25">
      <c r="B423" s="3"/>
      <c r="C423" s="3"/>
      <c r="D423" s="3"/>
      <c r="E423" s="3" t="e">
        <f t="shared" si="14"/>
        <v>#N/A</v>
      </c>
      <c r="F423" s="3" t="e">
        <f t="shared" si="15"/>
        <v>#N/A</v>
      </c>
    </row>
    <row r="424" spans="2:6" x14ac:dyDescent="0.25">
      <c r="B424" s="3"/>
      <c r="C424" s="3"/>
      <c r="D424" s="3"/>
      <c r="E424" s="3" t="e">
        <f t="shared" si="14"/>
        <v>#N/A</v>
      </c>
      <c r="F424" s="3" t="e">
        <f t="shared" si="15"/>
        <v>#N/A</v>
      </c>
    </row>
    <row r="425" spans="2:6" x14ac:dyDescent="0.25">
      <c r="B425" s="3"/>
      <c r="C425" s="3"/>
      <c r="D425" s="3"/>
      <c r="E425" s="3" t="e">
        <f t="shared" si="14"/>
        <v>#N/A</v>
      </c>
      <c r="F425" s="3" t="e">
        <f t="shared" si="15"/>
        <v>#N/A</v>
      </c>
    </row>
    <row r="426" spans="2:6" x14ac:dyDescent="0.25">
      <c r="B426" s="3"/>
      <c r="C426" s="3"/>
      <c r="D426" s="3"/>
      <c r="E426" s="3" t="e">
        <f t="shared" si="14"/>
        <v>#N/A</v>
      </c>
      <c r="F426" s="3" t="e">
        <f t="shared" si="15"/>
        <v>#N/A</v>
      </c>
    </row>
    <row r="427" spans="2:6" x14ac:dyDescent="0.25">
      <c r="B427" s="3"/>
      <c r="C427" s="3"/>
      <c r="D427" s="3"/>
      <c r="E427" s="3" t="e">
        <f t="shared" si="14"/>
        <v>#N/A</v>
      </c>
      <c r="F427" s="3" t="e">
        <f t="shared" si="15"/>
        <v>#N/A</v>
      </c>
    </row>
    <row r="428" spans="2:6" x14ac:dyDescent="0.25">
      <c r="B428" s="3"/>
      <c r="C428" s="3"/>
      <c r="D428" s="3"/>
      <c r="E428" s="3" t="e">
        <f t="shared" si="14"/>
        <v>#N/A</v>
      </c>
      <c r="F428" s="3" t="e">
        <f t="shared" si="15"/>
        <v>#N/A</v>
      </c>
    </row>
    <row r="429" spans="2:6" x14ac:dyDescent="0.25">
      <c r="B429" s="3"/>
      <c r="C429" s="3"/>
      <c r="D429" s="3"/>
      <c r="E429" s="3" t="e">
        <f t="shared" si="14"/>
        <v>#N/A</v>
      </c>
      <c r="F429" s="3" t="e">
        <f t="shared" si="15"/>
        <v>#N/A</v>
      </c>
    </row>
    <row r="430" spans="2:6" x14ac:dyDescent="0.25">
      <c r="B430" s="3"/>
      <c r="C430" s="3"/>
      <c r="D430" s="3"/>
      <c r="E430" s="3" t="e">
        <f t="shared" si="14"/>
        <v>#N/A</v>
      </c>
      <c r="F430" s="3" t="e">
        <f t="shared" si="15"/>
        <v>#N/A</v>
      </c>
    </row>
    <row r="431" spans="2:6" x14ac:dyDescent="0.25">
      <c r="B431" s="3"/>
      <c r="C431" s="3"/>
      <c r="D431" s="3"/>
      <c r="E431" s="3" t="e">
        <f t="shared" si="14"/>
        <v>#N/A</v>
      </c>
      <c r="F431" s="3" t="e">
        <f t="shared" si="15"/>
        <v>#N/A</v>
      </c>
    </row>
    <row r="432" spans="2:6" x14ac:dyDescent="0.25">
      <c r="B432" s="3"/>
      <c r="C432" s="3"/>
      <c r="D432" s="3"/>
      <c r="E432" s="3" t="e">
        <f t="shared" si="14"/>
        <v>#N/A</v>
      </c>
      <c r="F432" s="3" t="e">
        <f t="shared" si="15"/>
        <v>#N/A</v>
      </c>
    </row>
    <row r="433" spans="2:6" x14ac:dyDescent="0.25">
      <c r="B433" s="3"/>
      <c r="C433" s="3"/>
      <c r="D433" s="3"/>
      <c r="E433" s="3" t="e">
        <f t="shared" si="14"/>
        <v>#N/A</v>
      </c>
      <c r="F433" s="3" t="e">
        <f t="shared" si="15"/>
        <v>#N/A</v>
      </c>
    </row>
    <row r="434" spans="2:6" x14ac:dyDescent="0.25">
      <c r="B434" s="3"/>
      <c r="C434" s="3"/>
      <c r="D434" s="3"/>
      <c r="E434" s="3" t="e">
        <f t="shared" si="14"/>
        <v>#N/A</v>
      </c>
      <c r="F434" s="3" t="e">
        <f t="shared" si="15"/>
        <v>#N/A</v>
      </c>
    </row>
    <row r="435" spans="2:6" x14ac:dyDescent="0.25">
      <c r="B435" s="3"/>
      <c r="C435" s="3"/>
      <c r="D435" s="3"/>
      <c r="E435" s="3" t="e">
        <f t="shared" si="14"/>
        <v>#N/A</v>
      </c>
      <c r="F435" s="3" t="e">
        <f t="shared" si="15"/>
        <v>#N/A</v>
      </c>
    </row>
    <row r="436" spans="2:6" x14ac:dyDescent="0.25">
      <c r="B436" s="3"/>
      <c r="C436" s="3"/>
      <c r="D436" s="3"/>
      <c r="E436" s="3" t="e">
        <f t="shared" si="14"/>
        <v>#N/A</v>
      </c>
      <c r="F436" s="3" t="e">
        <f t="shared" si="15"/>
        <v>#N/A</v>
      </c>
    </row>
    <row r="437" spans="2:6" x14ac:dyDescent="0.25">
      <c r="B437" s="3"/>
      <c r="C437" s="3"/>
      <c r="D437" s="3"/>
      <c r="E437" s="3" t="e">
        <f t="shared" si="14"/>
        <v>#N/A</v>
      </c>
      <c r="F437" s="3" t="e">
        <f t="shared" si="15"/>
        <v>#N/A</v>
      </c>
    </row>
    <row r="438" spans="2:6" x14ac:dyDescent="0.25">
      <c r="B438" s="3"/>
      <c r="C438" s="3"/>
      <c r="D438" s="3"/>
      <c r="E438" s="3" t="e">
        <f t="shared" si="14"/>
        <v>#N/A</v>
      </c>
      <c r="F438" s="3" t="e">
        <f t="shared" si="15"/>
        <v>#N/A</v>
      </c>
    </row>
    <row r="439" spans="2:6" x14ac:dyDescent="0.25">
      <c r="B439" s="3"/>
      <c r="C439" s="3"/>
      <c r="D439" s="3"/>
      <c r="E439" s="3" t="e">
        <f t="shared" si="14"/>
        <v>#N/A</v>
      </c>
      <c r="F439" s="3" t="e">
        <f t="shared" si="15"/>
        <v>#N/A</v>
      </c>
    </row>
    <row r="440" spans="2:6" x14ac:dyDescent="0.25">
      <c r="B440" s="3"/>
      <c r="C440" s="3"/>
      <c r="D440" s="3"/>
      <c r="E440" s="3" t="e">
        <f t="shared" si="14"/>
        <v>#N/A</v>
      </c>
      <c r="F440" s="3" t="e">
        <f t="shared" si="15"/>
        <v>#N/A</v>
      </c>
    </row>
    <row r="441" spans="2:6" x14ac:dyDescent="0.25">
      <c r="B441" s="3"/>
      <c r="C441" s="3"/>
      <c r="D441" s="3"/>
      <c r="E441" s="3" t="e">
        <f t="shared" si="14"/>
        <v>#N/A</v>
      </c>
      <c r="F441" s="3" t="e">
        <f t="shared" si="15"/>
        <v>#N/A</v>
      </c>
    </row>
    <row r="442" spans="2:6" x14ac:dyDescent="0.25">
      <c r="B442" s="3"/>
      <c r="C442" s="3"/>
      <c r="D442" s="3"/>
      <c r="E442" s="3" t="e">
        <f t="shared" si="14"/>
        <v>#N/A</v>
      </c>
      <c r="F442" s="3" t="e">
        <f t="shared" si="15"/>
        <v>#N/A</v>
      </c>
    </row>
    <row r="443" spans="2:6" x14ac:dyDescent="0.25">
      <c r="B443" s="3"/>
      <c r="C443" s="3"/>
      <c r="D443" s="3"/>
      <c r="E443" s="3" t="e">
        <f t="shared" si="14"/>
        <v>#N/A</v>
      </c>
      <c r="F443" s="3" t="e">
        <f t="shared" si="15"/>
        <v>#N/A</v>
      </c>
    </row>
    <row r="444" spans="2:6" x14ac:dyDescent="0.25">
      <c r="B444" s="3"/>
      <c r="C444" s="3"/>
      <c r="D444" s="3"/>
      <c r="E444" s="3" t="e">
        <f t="shared" si="14"/>
        <v>#N/A</v>
      </c>
      <c r="F444" s="3" t="e">
        <f t="shared" si="15"/>
        <v>#N/A</v>
      </c>
    </row>
    <row r="445" spans="2:6" x14ac:dyDescent="0.25">
      <c r="B445" s="3"/>
      <c r="C445" s="3"/>
      <c r="D445" s="3"/>
      <c r="E445" s="3" t="e">
        <f t="shared" si="14"/>
        <v>#N/A</v>
      </c>
      <c r="F445" s="3" t="e">
        <f t="shared" si="15"/>
        <v>#N/A</v>
      </c>
    </row>
    <row r="446" spans="2:6" x14ac:dyDescent="0.25">
      <c r="B446" s="3"/>
      <c r="C446" s="3"/>
      <c r="D446" s="3"/>
      <c r="E446" s="3" t="e">
        <f t="shared" si="14"/>
        <v>#N/A</v>
      </c>
      <c r="F446" s="3" t="e">
        <f t="shared" si="15"/>
        <v>#N/A</v>
      </c>
    </row>
    <row r="447" spans="2:6" x14ac:dyDescent="0.25">
      <c r="B447" s="3"/>
      <c r="C447" s="3"/>
      <c r="D447" s="3"/>
      <c r="E447" s="3" t="e">
        <f t="shared" si="14"/>
        <v>#N/A</v>
      </c>
      <c r="F447" s="3" t="e">
        <f t="shared" si="15"/>
        <v>#N/A</v>
      </c>
    </row>
    <row r="448" spans="2:6" x14ac:dyDescent="0.25">
      <c r="B448" s="3"/>
      <c r="C448" s="3"/>
      <c r="D448" s="3"/>
      <c r="E448" s="3" t="e">
        <f t="shared" si="14"/>
        <v>#N/A</v>
      </c>
      <c r="F448" s="3" t="e">
        <f t="shared" si="15"/>
        <v>#N/A</v>
      </c>
    </row>
    <row r="449" spans="2:6" x14ac:dyDescent="0.25">
      <c r="B449" s="3"/>
      <c r="C449" s="3"/>
      <c r="D449" s="3"/>
      <c r="E449" s="3" t="e">
        <f t="shared" si="14"/>
        <v>#N/A</v>
      </c>
      <c r="F449" s="3" t="e">
        <f t="shared" si="15"/>
        <v>#N/A</v>
      </c>
    </row>
    <row r="450" spans="2:6" x14ac:dyDescent="0.25">
      <c r="B450" s="3"/>
      <c r="C450" s="3"/>
      <c r="D450" s="3"/>
      <c r="E450" s="3" t="e">
        <f t="shared" si="14"/>
        <v>#N/A</v>
      </c>
      <c r="F450" s="3" t="e">
        <f t="shared" si="15"/>
        <v>#N/A</v>
      </c>
    </row>
    <row r="451" spans="2:6" x14ac:dyDescent="0.25">
      <c r="B451" s="3"/>
      <c r="C451" s="3"/>
      <c r="D451" s="3"/>
      <c r="E451" s="3" t="e">
        <f t="shared" si="14"/>
        <v>#N/A</v>
      </c>
      <c r="F451" s="3" t="e">
        <f t="shared" si="15"/>
        <v>#N/A</v>
      </c>
    </row>
    <row r="452" spans="2:6" x14ac:dyDescent="0.25">
      <c r="B452" s="3"/>
      <c r="C452" s="3"/>
      <c r="D452" s="3"/>
      <c r="E452" s="3" t="e">
        <f t="shared" ref="E452:E515" si="16">VLOOKUP(C452,I:J,2,0)</f>
        <v>#N/A</v>
      </c>
      <c r="F452" s="3" t="e">
        <f t="shared" ref="F452:F515" si="17">E452&amp;" "&amp;B452</f>
        <v>#N/A</v>
      </c>
    </row>
    <row r="453" spans="2:6" x14ac:dyDescent="0.25">
      <c r="B453" s="3"/>
      <c r="C453" s="3"/>
      <c r="D453" s="3"/>
      <c r="E453" s="3" t="e">
        <f t="shared" si="16"/>
        <v>#N/A</v>
      </c>
      <c r="F453" s="3" t="e">
        <f t="shared" si="17"/>
        <v>#N/A</v>
      </c>
    </row>
    <row r="454" spans="2:6" x14ac:dyDescent="0.25">
      <c r="B454" s="3"/>
      <c r="C454" s="3"/>
      <c r="D454" s="3"/>
      <c r="E454" s="3" t="e">
        <f t="shared" si="16"/>
        <v>#N/A</v>
      </c>
      <c r="F454" s="3" t="e">
        <f t="shared" si="17"/>
        <v>#N/A</v>
      </c>
    </row>
    <row r="455" spans="2:6" x14ac:dyDescent="0.25">
      <c r="B455" s="3"/>
      <c r="C455" s="3"/>
      <c r="D455" s="3"/>
      <c r="E455" s="3" t="e">
        <f t="shared" si="16"/>
        <v>#N/A</v>
      </c>
      <c r="F455" s="3" t="e">
        <f t="shared" si="17"/>
        <v>#N/A</v>
      </c>
    </row>
    <row r="456" spans="2:6" x14ac:dyDescent="0.25">
      <c r="B456" s="3"/>
      <c r="C456" s="3"/>
      <c r="D456" s="3"/>
      <c r="E456" s="3" t="e">
        <f t="shared" si="16"/>
        <v>#N/A</v>
      </c>
      <c r="F456" s="3" t="e">
        <f t="shared" si="17"/>
        <v>#N/A</v>
      </c>
    </row>
    <row r="457" spans="2:6" x14ac:dyDescent="0.25">
      <c r="B457" s="3"/>
      <c r="C457" s="3"/>
      <c r="D457" s="3"/>
      <c r="E457" s="3" t="e">
        <f t="shared" si="16"/>
        <v>#N/A</v>
      </c>
      <c r="F457" s="3" t="e">
        <f t="shared" si="17"/>
        <v>#N/A</v>
      </c>
    </row>
    <row r="458" spans="2:6" x14ac:dyDescent="0.25">
      <c r="B458" s="3"/>
      <c r="C458" s="3"/>
      <c r="D458" s="3"/>
      <c r="E458" s="3" t="e">
        <f t="shared" si="16"/>
        <v>#N/A</v>
      </c>
      <c r="F458" s="3" t="e">
        <f t="shared" si="17"/>
        <v>#N/A</v>
      </c>
    </row>
    <row r="459" spans="2:6" x14ac:dyDescent="0.25">
      <c r="B459" s="3"/>
      <c r="C459" s="3"/>
      <c r="D459" s="3"/>
      <c r="E459" s="3" t="e">
        <f t="shared" si="16"/>
        <v>#N/A</v>
      </c>
      <c r="F459" s="3" t="e">
        <f t="shared" si="17"/>
        <v>#N/A</v>
      </c>
    </row>
    <row r="460" spans="2:6" x14ac:dyDescent="0.25">
      <c r="B460" s="3"/>
      <c r="C460" s="3"/>
      <c r="D460" s="3"/>
      <c r="E460" s="3" t="e">
        <f t="shared" si="16"/>
        <v>#N/A</v>
      </c>
      <c r="F460" s="3" t="e">
        <f t="shared" si="17"/>
        <v>#N/A</v>
      </c>
    </row>
    <row r="461" spans="2:6" x14ac:dyDescent="0.25">
      <c r="B461" s="3"/>
      <c r="C461" s="3"/>
      <c r="D461" s="3"/>
      <c r="E461" s="3" t="e">
        <f t="shared" si="16"/>
        <v>#N/A</v>
      </c>
      <c r="F461" s="3" t="e">
        <f t="shared" si="17"/>
        <v>#N/A</v>
      </c>
    </row>
    <row r="462" spans="2:6" x14ac:dyDescent="0.25">
      <c r="B462" s="3"/>
      <c r="C462" s="3"/>
      <c r="D462" s="3"/>
      <c r="E462" s="3" t="e">
        <f t="shared" si="16"/>
        <v>#N/A</v>
      </c>
      <c r="F462" s="3" t="e">
        <f t="shared" si="17"/>
        <v>#N/A</v>
      </c>
    </row>
    <row r="463" spans="2:6" x14ac:dyDescent="0.25">
      <c r="B463" s="3"/>
      <c r="C463" s="3"/>
      <c r="D463" s="3"/>
      <c r="E463" s="3" t="e">
        <f t="shared" si="16"/>
        <v>#N/A</v>
      </c>
      <c r="F463" s="3" t="e">
        <f t="shared" si="17"/>
        <v>#N/A</v>
      </c>
    </row>
    <row r="464" spans="2:6" x14ac:dyDescent="0.25">
      <c r="B464" s="3"/>
      <c r="C464" s="3"/>
      <c r="D464" s="3"/>
      <c r="E464" s="3" t="e">
        <f t="shared" si="16"/>
        <v>#N/A</v>
      </c>
      <c r="F464" s="3" t="e">
        <f t="shared" si="17"/>
        <v>#N/A</v>
      </c>
    </row>
    <row r="465" spans="2:6" x14ac:dyDescent="0.25">
      <c r="B465" s="3"/>
      <c r="C465" s="3"/>
      <c r="D465" s="3"/>
      <c r="E465" s="3" t="e">
        <f t="shared" si="16"/>
        <v>#N/A</v>
      </c>
      <c r="F465" s="3" t="e">
        <f t="shared" si="17"/>
        <v>#N/A</v>
      </c>
    </row>
    <row r="466" spans="2:6" x14ac:dyDescent="0.25">
      <c r="B466" s="3"/>
      <c r="C466" s="3"/>
      <c r="D466" s="3"/>
      <c r="E466" s="3" t="e">
        <f t="shared" si="16"/>
        <v>#N/A</v>
      </c>
      <c r="F466" s="3" t="e">
        <f t="shared" si="17"/>
        <v>#N/A</v>
      </c>
    </row>
    <row r="467" spans="2:6" x14ac:dyDescent="0.25">
      <c r="B467" s="3"/>
      <c r="C467" s="3"/>
      <c r="D467" s="3"/>
      <c r="E467" s="3" t="e">
        <f t="shared" si="16"/>
        <v>#N/A</v>
      </c>
      <c r="F467" s="3" t="e">
        <f t="shared" si="17"/>
        <v>#N/A</v>
      </c>
    </row>
    <row r="468" spans="2:6" x14ac:dyDescent="0.25">
      <c r="B468" s="3"/>
      <c r="C468" s="3"/>
      <c r="D468" s="3"/>
      <c r="E468" s="3" t="e">
        <f t="shared" si="16"/>
        <v>#N/A</v>
      </c>
      <c r="F468" s="3" t="e">
        <f t="shared" si="17"/>
        <v>#N/A</v>
      </c>
    </row>
    <row r="469" spans="2:6" x14ac:dyDescent="0.25">
      <c r="B469" s="3"/>
      <c r="C469" s="3"/>
      <c r="D469" s="3"/>
      <c r="E469" s="3" t="e">
        <f t="shared" si="16"/>
        <v>#N/A</v>
      </c>
      <c r="F469" s="3" t="e">
        <f t="shared" si="17"/>
        <v>#N/A</v>
      </c>
    </row>
    <row r="470" spans="2:6" x14ac:dyDescent="0.25">
      <c r="B470" s="3"/>
      <c r="C470" s="3"/>
      <c r="D470" s="3"/>
      <c r="E470" s="3" t="e">
        <f t="shared" si="16"/>
        <v>#N/A</v>
      </c>
      <c r="F470" s="3" t="e">
        <f t="shared" si="17"/>
        <v>#N/A</v>
      </c>
    </row>
    <row r="471" spans="2:6" x14ac:dyDescent="0.25">
      <c r="B471" s="3"/>
      <c r="C471" s="3"/>
      <c r="D471" s="3"/>
      <c r="E471" s="3" t="e">
        <f t="shared" si="16"/>
        <v>#N/A</v>
      </c>
      <c r="F471" s="3" t="e">
        <f t="shared" si="17"/>
        <v>#N/A</v>
      </c>
    </row>
    <row r="472" spans="2:6" x14ac:dyDescent="0.25">
      <c r="B472" s="3"/>
      <c r="C472" s="3"/>
      <c r="D472" s="3"/>
      <c r="E472" s="3" t="e">
        <f t="shared" si="16"/>
        <v>#N/A</v>
      </c>
      <c r="F472" s="3" t="e">
        <f t="shared" si="17"/>
        <v>#N/A</v>
      </c>
    </row>
    <row r="473" spans="2:6" x14ac:dyDescent="0.25">
      <c r="B473" s="3"/>
      <c r="C473" s="3"/>
      <c r="D473" s="3"/>
      <c r="E473" s="3" t="e">
        <f t="shared" si="16"/>
        <v>#N/A</v>
      </c>
      <c r="F473" s="3" t="e">
        <f t="shared" si="17"/>
        <v>#N/A</v>
      </c>
    </row>
    <row r="474" spans="2:6" x14ac:dyDescent="0.25">
      <c r="B474" s="3"/>
      <c r="C474" s="3"/>
      <c r="D474" s="3"/>
      <c r="E474" s="3" t="e">
        <f t="shared" si="16"/>
        <v>#N/A</v>
      </c>
      <c r="F474" s="3" t="e">
        <f t="shared" si="17"/>
        <v>#N/A</v>
      </c>
    </row>
    <row r="475" spans="2:6" x14ac:dyDescent="0.25">
      <c r="B475" s="3"/>
      <c r="C475" s="3"/>
      <c r="D475" s="3"/>
      <c r="E475" s="3" t="e">
        <f t="shared" si="16"/>
        <v>#N/A</v>
      </c>
      <c r="F475" s="3" t="e">
        <f t="shared" si="17"/>
        <v>#N/A</v>
      </c>
    </row>
    <row r="476" spans="2:6" x14ac:dyDescent="0.25">
      <c r="B476" s="3"/>
      <c r="C476" s="3"/>
      <c r="D476" s="3"/>
      <c r="E476" s="3" t="e">
        <f t="shared" si="16"/>
        <v>#N/A</v>
      </c>
      <c r="F476" s="3" t="e">
        <f t="shared" si="17"/>
        <v>#N/A</v>
      </c>
    </row>
    <row r="477" spans="2:6" x14ac:dyDescent="0.25">
      <c r="B477" s="3"/>
      <c r="C477" s="3"/>
      <c r="D477" s="3"/>
      <c r="E477" s="3" t="e">
        <f t="shared" si="16"/>
        <v>#N/A</v>
      </c>
      <c r="F477" s="3" t="e">
        <f t="shared" si="17"/>
        <v>#N/A</v>
      </c>
    </row>
    <row r="478" spans="2:6" x14ac:dyDescent="0.25">
      <c r="B478" s="3"/>
      <c r="C478" s="3"/>
      <c r="D478" s="3"/>
      <c r="E478" s="3" t="e">
        <f t="shared" si="16"/>
        <v>#N/A</v>
      </c>
      <c r="F478" s="3" t="e">
        <f t="shared" si="17"/>
        <v>#N/A</v>
      </c>
    </row>
    <row r="479" spans="2:6" x14ac:dyDescent="0.25">
      <c r="B479" s="3"/>
      <c r="C479" s="3"/>
      <c r="D479" s="3"/>
      <c r="E479" s="3" t="e">
        <f t="shared" si="16"/>
        <v>#N/A</v>
      </c>
      <c r="F479" s="3" t="e">
        <f t="shared" si="17"/>
        <v>#N/A</v>
      </c>
    </row>
    <row r="480" spans="2:6" x14ac:dyDescent="0.25">
      <c r="B480" s="3"/>
      <c r="C480" s="3"/>
      <c r="D480" s="3"/>
      <c r="E480" s="3" t="e">
        <f t="shared" si="16"/>
        <v>#N/A</v>
      </c>
      <c r="F480" s="3" t="e">
        <f t="shared" si="17"/>
        <v>#N/A</v>
      </c>
    </row>
    <row r="481" spans="2:6" x14ac:dyDescent="0.25">
      <c r="B481" s="3"/>
      <c r="C481" s="3"/>
      <c r="D481" s="3"/>
      <c r="E481" s="3" t="e">
        <f t="shared" si="16"/>
        <v>#N/A</v>
      </c>
      <c r="F481" s="3" t="e">
        <f t="shared" si="17"/>
        <v>#N/A</v>
      </c>
    </row>
    <row r="482" spans="2:6" x14ac:dyDescent="0.25">
      <c r="B482" s="3"/>
      <c r="C482" s="3"/>
      <c r="D482" s="3"/>
      <c r="E482" s="3" t="e">
        <f t="shared" si="16"/>
        <v>#N/A</v>
      </c>
      <c r="F482" s="3" t="e">
        <f t="shared" si="17"/>
        <v>#N/A</v>
      </c>
    </row>
    <row r="483" spans="2:6" x14ac:dyDescent="0.25">
      <c r="B483" s="3"/>
      <c r="C483" s="3"/>
      <c r="D483" s="3"/>
      <c r="E483" s="3" t="e">
        <f t="shared" si="16"/>
        <v>#N/A</v>
      </c>
      <c r="F483" s="3" t="e">
        <f t="shared" si="17"/>
        <v>#N/A</v>
      </c>
    </row>
    <row r="484" spans="2:6" x14ac:dyDescent="0.25">
      <c r="B484" s="3"/>
      <c r="C484" s="3"/>
      <c r="D484" s="3"/>
      <c r="E484" s="3" t="e">
        <f t="shared" si="16"/>
        <v>#N/A</v>
      </c>
      <c r="F484" s="3" t="e">
        <f t="shared" si="17"/>
        <v>#N/A</v>
      </c>
    </row>
    <row r="485" spans="2:6" x14ac:dyDescent="0.25">
      <c r="B485" s="3"/>
      <c r="C485" s="3"/>
      <c r="D485" s="3"/>
      <c r="E485" s="3" t="e">
        <f t="shared" si="16"/>
        <v>#N/A</v>
      </c>
      <c r="F485" s="3" t="e">
        <f t="shared" si="17"/>
        <v>#N/A</v>
      </c>
    </row>
    <row r="486" spans="2:6" x14ac:dyDescent="0.25">
      <c r="B486" s="3"/>
      <c r="C486" s="3"/>
      <c r="D486" s="3"/>
      <c r="E486" s="3" t="e">
        <f t="shared" si="16"/>
        <v>#N/A</v>
      </c>
      <c r="F486" s="3" t="e">
        <f t="shared" si="17"/>
        <v>#N/A</v>
      </c>
    </row>
    <row r="487" spans="2:6" x14ac:dyDescent="0.25">
      <c r="B487" s="3"/>
      <c r="C487" s="3"/>
      <c r="D487" s="3"/>
      <c r="E487" s="3" t="e">
        <f t="shared" si="16"/>
        <v>#N/A</v>
      </c>
      <c r="F487" s="3" t="e">
        <f t="shared" si="17"/>
        <v>#N/A</v>
      </c>
    </row>
    <row r="488" spans="2:6" x14ac:dyDescent="0.25">
      <c r="B488" s="3"/>
      <c r="C488" s="3"/>
      <c r="D488" s="3"/>
      <c r="E488" s="3" t="e">
        <f t="shared" si="16"/>
        <v>#N/A</v>
      </c>
      <c r="F488" s="3" t="e">
        <f t="shared" si="17"/>
        <v>#N/A</v>
      </c>
    </row>
    <row r="489" spans="2:6" x14ac:dyDescent="0.25">
      <c r="B489" s="3"/>
      <c r="C489" s="3"/>
      <c r="D489" s="3"/>
      <c r="E489" s="3" t="e">
        <f t="shared" si="16"/>
        <v>#N/A</v>
      </c>
      <c r="F489" s="3" t="e">
        <f t="shared" si="17"/>
        <v>#N/A</v>
      </c>
    </row>
    <row r="490" spans="2:6" x14ac:dyDescent="0.25">
      <c r="B490" s="3"/>
      <c r="C490" s="3"/>
      <c r="D490" s="3"/>
      <c r="E490" s="3" t="e">
        <f t="shared" si="16"/>
        <v>#N/A</v>
      </c>
      <c r="F490" s="3" t="e">
        <f t="shared" si="17"/>
        <v>#N/A</v>
      </c>
    </row>
    <row r="491" spans="2:6" x14ac:dyDescent="0.25">
      <c r="B491" s="3"/>
      <c r="C491" s="3"/>
      <c r="D491" s="3"/>
      <c r="E491" s="3" t="e">
        <f t="shared" si="16"/>
        <v>#N/A</v>
      </c>
      <c r="F491" s="3" t="e">
        <f t="shared" si="17"/>
        <v>#N/A</v>
      </c>
    </row>
    <row r="492" spans="2:6" x14ac:dyDescent="0.25">
      <c r="B492" s="3"/>
      <c r="C492" s="3"/>
      <c r="D492" s="3"/>
      <c r="E492" s="3" t="e">
        <f t="shared" si="16"/>
        <v>#N/A</v>
      </c>
      <c r="F492" s="3" t="e">
        <f t="shared" si="17"/>
        <v>#N/A</v>
      </c>
    </row>
    <row r="493" spans="2:6" x14ac:dyDescent="0.25">
      <c r="B493" s="3"/>
      <c r="C493" s="3"/>
      <c r="D493" s="3"/>
      <c r="E493" s="3" t="e">
        <f t="shared" si="16"/>
        <v>#N/A</v>
      </c>
      <c r="F493" s="3" t="e">
        <f t="shared" si="17"/>
        <v>#N/A</v>
      </c>
    </row>
    <row r="494" spans="2:6" x14ac:dyDescent="0.25">
      <c r="B494" s="3"/>
      <c r="C494" s="3"/>
      <c r="D494" s="3"/>
      <c r="E494" s="3" t="e">
        <f t="shared" si="16"/>
        <v>#N/A</v>
      </c>
      <c r="F494" s="3" t="e">
        <f t="shared" si="17"/>
        <v>#N/A</v>
      </c>
    </row>
    <row r="495" spans="2:6" x14ac:dyDescent="0.25">
      <c r="B495" s="3"/>
      <c r="C495" s="3"/>
      <c r="D495" s="3"/>
      <c r="E495" s="3" t="e">
        <f t="shared" si="16"/>
        <v>#N/A</v>
      </c>
      <c r="F495" s="3" t="e">
        <f t="shared" si="17"/>
        <v>#N/A</v>
      </c>
    </row>
    <row r="496" spans="2:6" x14ac:dyDescent="0.25">
      <c r="B496" s="3"/>
      <c r="C496" s="3"/>
      <c r="D496" s="3"/>
      <c r="E496" s="3" t="e">
        <f t="shared" si="16"/>
        <v>#N/A</v>
      </c>
      <c r="F496" s="3" t="e">
        <f t="shared" si="17"/>
        <v>#N/A</v>
      </c>
    </row>
    <row r="497" spans="2:6" x14ac:dyDescent="0.25">
      <c r="B497" s="3"/>
      <c r="C497" s="3"/>
      <c r="D497" s="3"/>
      <c r="E497" s="3" t="e">
        <f t="shared" si="16"/>
        <v>#N/A</v>
      </c>
      <c r="F497" s="3" t="e">
        <f t="shared" si="17"/>
        <v>#N/A</v>
      </c>
    </row>
    <row r="498" spans="2:6" x14ac:dyDescent="0.25">
      <c r="B498" s="3"/>
      <c r="C498" s="3"/>
      <c r="D498" s="3"/>
      <c r="E498" s="3" t="e">
        <f t="shared" si="16"/>
        <v>#N/A</v>
      </c>
      <c r="F498" s="3" t="e">
        <f t="shared" si="17"/>
        <v>#N/A</v>
      </c>
    </row>
    <row r="499" spans="2:6" x14ac:dyDescent="0.25">
      <c r="B499" s="3"/>
      <c r="C499" s="3"/>
      <c r="D499" s="3"/>
      <c r="E499" s="3" t="e">
        <f t="shared" si="16"/>
        <v>#N/A</v>
      </c>
      <c r="F499" s="3" t="e">
        <f t="shared" si="17"/>
        <v>#N/A</v>
      </c>
    </row>
    <row r="500" spans="2:6" x14ac:dyDescent="0.25">
      <c r="B500" s="3"/>
      <c r="C500" s="3"/>
      <c r="D500" s="3"/>
      <c r="E500" s="3" t="e">
        <f t="shared" si="16"/>
        <v>#N/A</v>
      </c>
      <c r="F500" s="3" t="e">
        <f t="shared" si="17"/>
        <v>#N/A</v>
      </c>
    </row>
    <row r="501" spans="2:6" x14ac:dyDescent="0.25">
      <c r="B501" s="3"/>
      <c r="C501" s="3"/>
      <c r="D501" s="3"/>
      <c r="E501" s="3" t="e">
        <f t="shared" si="16"/>
        <v>#N/A</v>
      </c>
      <c r="F501" s="3" t="e">
        <f t="shared" si="17"/>
        <v>#N/A</v>
      </c>
    </row>
    <row r="502" spans="2:6" x14ac:dyDescent="0.25">
      <c r="B502" s="3"/>
      <c r="C502" s="3"/>
      <c r="D502" s="3"/>
      <c r="E502" s="3" t="e">
        <f t="shared" si="16"/>
        <v>#N/A</v>
      </c>
      <c r="F502" s="3" t="e">
        <f t="shared" si="17"/>
        <v>#N/A</v>
      </c>
    </row>
    <row r="503" spans="2:6" x14ac:dyDescent="0.25">
      <c r="B503" s="3"/>
      <c r="C503" s="3"/>
      <c r="D503" s="3"/>
      <c r="E503" s="3" t="e">
        <f t="shared" si="16"/>
        <v>#N/A</v>
      </c>
      <c r="F503" s="3" t="e">
        <f t="shared" si="17"/>
        <v>#N/A</v>
      </c>
    </row>
    <row r="504" spans="2:6" x14ac:dyDescent="0.25">
      <c r="B504" s="3"/>
      <c r="C504" s="3"/>
      <c r="D504" s="3"/>
      <c r="E504" s="3" t="e">
        <f t="shared" si="16"/>
        <v>#N/A</v>
      </c>
      <c r="F504" s="3" t="e">
        <f t="shared" si="17"/>
        <v>#N/A</v>
      </c>
    </row>
    <row r="505" spans="2:6" x14ac:dyDescent="0.25">
      <c r="B505" s="3"/>
      <c r="C505" s="3"/>
      <c r="D505" s="3"/>
      <c r="E505" s="3" t="e">
        <f t="shared" si="16"/>
        <v>#N/A</v>
      </c>
      <c r="F505" s="3" t="e">
        <f t="shared" si="17"/>
        <v>#N/A</v>
      </c>
    </row>
    <row r="506" spans="2:6" x14ac:dyDescent="0.25">
      <c r="B506" s="3"/>
      <c r="C506" s="3"/>
      <c r="D506" s="3"/>
      <c r="E506" s="3" t="e">
        <f t="shared" si="16"/>
        <v>#N/A</v>
      </c>
      <c r="F506" s="3" t="e">
        <f t="shared" si="17"/>
        <v>#N/A</v>
      </c>
    </row>
    <row r="507" spans="2:6" x14ac:dyDescent="0.25">
      <c r="B507" s="3"/>
      <c r="C507" s="3"/>
      <c r="D507" s="3"/>
      <c r="E507" s="3" t="e">
        <f t="shared" si="16"/>
        <v>#N/A</v>
      </c>
      <c r="F507" s="3" t="e">
        <f t="shared" si="17"/>
        <v>#N/A</v>
      </c>
    </row>
    <row r="508" spans="2:6" x14ac:dyDescent="0.25">
      <c r="B508" s="3"/>
      <c r="C508" s="3"/>
      <c r="D508" s="3"/>
      <c r="E508" s="3" t="e">
        <f t="shared" si="16"/>
        <v>#N/A</v>
      </c>
      <c r="F508" s="3" t="e">
        <f t="shared" si="17"/>
        <v>#N/A</v>
      </c>
    </row>
    <row r="509" spans="2:6" x14ac:dyDescent="0.25">
      <c r="B509" s="3"/>
      <c r="C509" s="3"/>
      <c r="D509" s="3"/>
      <c r="E509" s="3" t="e">
        <f t="shared" si="16"/>
        <v>#N/A</v>
      </c>
      <c r="F509" s="3" t="e">
        <f t="shared" si="17"/>
        <v>#N/A</v>
      </c>
    </row>
    <row r="510" spans="2:6" x14ac:dyDescent="0.25">
      <c r="B510" s="3"/>
      <c r="C510" s="3"/>
      <c r="D510" s="3"/>
      <c r="E510" s="3" t="e">
        <f t="shared" si="16"/>
        <v>#N/A</v>
      </c>
      <c r="F510" s="3" t="e">
        <f t="shared" si="17"/>
        <v>#N/A</v>
      </c>
    </row>
    <row r="511" spans="2:6" x14ac:dyDescent="0.25">
      <c r="B511" s="3"/>
      <c r="C511" s="3"/>
      <c r="D511" s="3"/>
      <c r="E511" s="3" t="e">
        <f t="shared" si="16"/>
        <v>#N/A</v>
      </c>
      <c r="F511" s="3" t="e">
        <f t="shared" si="17"/>
        <v>#N/A</v>
      </c>
    </row>
    <row r="512" spans="2:6" x14ac:dyDescent="0.25">
      <c r="B512" s="3"/>
      <c r="C512" s="3"/>
      <c r="D512" s="3"/>
      <c r="E512" s="3" t="e">
        <f t="shared" si="16"/>
        <v>#N/A</v>
      </c>
      <c r="F512" s="3" t="e">
        <f t="shared" si="17"/>
        <v>#N/A</v>
      </c>
    </row>
    <row r="513" spans="2:6" x14ac:dyDescent="0.25">
      <c r="B513" s="3"/>
      <c r="C513" s="3"/>
      <c r="D513" s="3"/>
      <c r="E513" s="3" t="e">
        <f t="shared" si="16"/>
        <v>#N/A</v>
      </c>
      <c r="F513" s="3" t="e">
        <f t="shared" si="17"/>
        <v>#N/A</v>
      </c>
    </row>
    <row r="514" spans="2:6" x14ac:dyDescent="0.25">
      <c r="B514" s="3"/>
      <c r="C514" s="3"/>
      <c r="D514" s="3"/>
      <c r="E514" s="3" t="e">
        <f t="shared" si="16"/>
        <v>#N/A</v>
      </c>
      <c r="F514" s="3" t="e">
        <f t="shared" si="17"/>
        <v>#N/A</v>
      </c>
    </row>
    <row r="515" spans="2:6" x14ac:dyDescent="0.25">
      <c r="B515" s="3"/>
      <c r="C515" s="3"/>
      <c r="D515" s="3"/>
      <c r="E515" s="3" t="e">
        <f t="shared" si="16"/>
        <v>#N/A</v>
      </c>
      <c r="F515" s="3" t="e">
        <f t="shared" si="17"/>
        <v>#N/A</v>
      </c>
    </row>
    <row r="516" spans="2:6" x14ac:dyDescent="0.25">
      <c r="B516" s="3"/>
      <c r="C516" s="3"/>
      <c r="D516" s="3"/>
      <c r="E516" s="3" t="e">
        <f t="shared" ref="E516:E579" si="18">VLOOKUP(C516,I:J,2,0)</f>
        <v>#N/A</v>
      </c>
      <c r="F516" s="3" t="e">
        <f t="shared" ref="F516:F579" si="19">E516&amp;" "&amp;B516</f>
        <v>#N/A</v>
      </c>
    </row>
    <row r="517" spans="2:6" x14ac:dyDescent="0.25">
      <c r="B517" s="3"/>
      <c r="C517" s="3"/>
      <c r="D517" s="3"/>
      <c r="E517" s="3" t="e">
        <f t="shared" si="18"/>
        <v>#N/A</v>
      </c>
      <c r="F517" s="3" t="e">
        <f t="shared" si="19"/>
        <v>#N/A</v>
      </c>
    </row>
    <row r="518" spans="2:6" x14ac:dyDescent="0.25">
      <c r="B518" s="3"/>
      <c r="C518" s="3"/>
      <c r="D518" s="3"/>
      <c r="E518" s="3" t="e">
        <f t="shared" si="18"/>
        <v>#N/A</v>
      </c>
      <c r="F518" s="3" t="e">
        <f t="shared" si="19"/>
        <v>#N/A</v>
      </c>
    </row>
    <row r="519" spans="2:6" x14ac:dyDescent="0.25">
      <c r="B519" s="3"/>
      <c r="C519" s="3"/>
      <c r="D519" s="3"/>
      <c r="E519" s="3" t="e">
        <f t="shared" si="18"/>
        <v>#N/A</v>
      </c>
      <c r="F519" s="3" t="e">
        <f t="shared" si="19"/>
        <v>#N/A</v>
      </c>
    </row>
    <row r="520" spans="2:6" x14ac:dyDescent="0.25">
      <c r="B520" s="3"/>
      <c r="C520" s="3"/>
      <c r="D520" s="3"/>
      <c r="E520" s="3" t="e">
        <f t="shared" si="18"/>
        <v>#N/A</v>
      </c>
      <c r="F520" s="3" t="e">
        <f t="shared" si="19"/>
        <v>#N/A</v>
      </c>
    </row>
    <row r="521" spans="2:6" x14ac:dyDescent="0.25">
      <c r="B521" s="3"/>
      <c r="C521" s="3"/>
      <c r="D521" s="3"/>
      <c r="E521" s="3" t="e">
        <f t="shared" si="18"/>
        <v>#N/A</v>
      </c>
      <c r="F521" s="3" t="e">
        <f t="shared" si="19"/>
        <v>#N/A</v>
      </c>
    </row>
    <row r="522" spans="2:6" x14ac:dyDescent="0.25">
      <c r="B522" s="3"/>
      <c r="C522" s="3"/>
      <c r="D522" s="3"/>
      <c r="E522" s="3" t="e">
        <f t="shared" si="18"/>
        <v>#N/A</v>
      </c>
      <c r="F522" s="3" t="e">
        <f t="shared" si="19"/>
        <v>#N/A</v>
      </c>
    </row>
    <row r="523" spans="2:6" x14ac:dyDescent="0.25">
      <c r="B523" s="3"/>
      <c r="C523" s="3"/>
      <c r="D523" s="3"/>
      <c r="E523" s="3" t="e">
        <f t="shared" si="18"/>
        <v>#N/A</v>
      </c>
      <c r="F523" s="3" t="e">
        <f t="shared" si="19"/>
        <v>#N/A</v>
      </c>
    </row>
    <row r="524" spans="2:6" x14ac:dyDescent="0.25">
      <c r="B524" s="3"/>
      <c r="C524" s="3"/>
      <c r="D524" s="3"/>
      <c r="E524" s="3" t="e">
        <f t="shared" si="18"/>
        <v>#N/A</v>
      </c>
      <c r="F524" s="3" t="e">
        <f t="shared" si="19"/>
        <v>#N/A</v>
      </c>
    </row>
    <row r="525" spans="2:6" x14ac:dyDescent="0.25">
      <c r="B525" s="3"/>
      <c r="C525" s="3"/>
      <c r="D525" s="3"/>
      <c r="E525" s="3" t="e">
        <f t="shared" si="18"/>
        <v>#N/A</v>
      </c>
      <c r="F525" s="3" t="e">
        <f t="shared" si="19"/>
        <v>#N/A</v>
      </c>
    </row>
    <row r="526" spans="2:6" x14ac:dyDescent="0.25">
      <c r="B526" s="3"/>
      <c r="C526" s="3"/>
      <c r="D526" s="3"/>
      <c r="E526" s="3" t="e">
        <f t="shared" si="18"/>
        <v>#N/A</v>
      </c>
      <c r="F526" s="3" t="e">
        <f t="shared" si="19"/>
        <v>#N/A</v>
      </c>
    </row>
    <row r="527" spans="2:6" x14ac:dyDescent="0.25">
      <c r="B527" s="3"/>
      <c r="C527" s="3"/>
      <c r="D527" s="3"/>
      <c r="E527" s="3" t="e">
        <f t="shared" si="18"/>
        <v>#N/A</v>
      </c>
      <c r="F527" s="3" t="e">
        <f t="shared" si="19"/>
        <v>#N/A</v>
      </c>
    </row>
    <row r="528" spans="2:6" x14ac:dyDescent="0.25">
      <c r="B528" s="3"/>
      <c r="C528" s="3"/>
      <c r="D528" s="3"/>
      <c r="E528" s="3" t="e">
        <f t="shared" si="18"/>
        <v>#N/A</v>
      </c>
      <c r="F528" s="3" t="e">
        <f t="shared" si="19"/>
        <v>#N/A</v>
      </c>
    </row>
    <row r="529" spans="2:6" x14ac:dyDescent="0.25">
      <c r="B529" s="3"/>
      <c r="C529" s="3"/>
      <c r="D529" s="3"/>
      <c r="E529" s="3" t="e">
        <f t="shared" si="18"/>
        <v>#N/A</v>
      </c>
      <c r="F529" s="3" t="e">
        <f t="shared" si="19"/>
        <v>#N/A</v>
      </c>
    </row>
    <row r="530" spans="2:6" x14ac:dyDescent="0.25">
      <c r="B530" s="3"/>
      <c r="C530" s="3"/>
      <c r="D530" s="3"/>
      <c r="E530" s="3" t="e">
        <f t="shared" si="18"/>
        <v>#N/A</v>
      </c>
      <c r="F530" s="3" t="e">
        <f t="shared" si="19"/>
        <v>#N/A</v>
      </c>
    </row>
    <row r="531" spans="2:6" x14ac:dyDescent="0.25">
      <c r="B531" s="3"/>
      <c r="C531" s="3"/>
      <c r="D531" s="3"/>
      <c r="E531" s="3" t="e">
        <f t="shared" si="18"/>
        <v>#N/A</v>
      </c>
      <c r="F531" s="3" t="e">
        <f t="shared" si="19"/>
        <v>#N/A</v>
      </c>
    </row>
    <row r="532" spans="2:6" x14ac:dyDescent="0.25">
      <c r="B532" s="3"/>
      <c r="C532" s="3"/>
      <c r="D532" s="3"/>
      <c r="E532" s="3" t="e">
        <f t="shared" si="18"/>
        <v>#N/A</v>
      </c>
      <c r="F532" s="3" t="e">
        <f t="shared" si="19"/>
        <v>#N/A</v>
      </c>
    </row>
    <row r="533" spans="2:6" x14ac:dyDescent="0.25">
      <c r="B533" s="3"/>
      <c r="C533" s="3"/>
      <c r="D533" s="3"/>
      <c r="E533" s="3" t="e">
        <f t="shared" si="18"/>
        <v>#N/A</v>
      </c>
      <c r="F533" s="3" t="e">
        <f t="shared" si="19"/>
        <v>#N/A</v>
      </c>
    </row>
    <row r="534" spans="2:6" x14ac:dyDescent="0.25">
      <c r="B534" s="3"/>
      <c r="C534" s="3"/>
      <c r="D534" s="3"/>
      <c r="E534" s="3" t="e">
        <f t="shared" si="18"/>
        <v>#N/A</v>
      </c>
      <c r="F534" s="3" t="e">
        <f t="shared" si="19"/>
        <v>#N/A</v>
      </c>
    </row>
    <row r="535" spans="2:6" x14ac:dyDescent="0.25">
      <c r="B535" s="3"/>
      <c r="C535" s="3"/>
      <c r="D535" s="3"/>
      <c r="E535" s="3" t="e">
        <f t="shared" si="18"/>
        <v>#N/A</v>
      </c>
      <c r="F535" s="3" t="e">
        <f t="shared" si="19"/>
        <v>#N/A</v>
      </c>
    </row>
    <row r="536" spans="2:6" x14ac:dyDescent="0.25">
      <c r="B536" s="3"/>
      <c r="C536" s="3"/>
      <c r="D536" s="3"/>
      <c r="E536" s="3" t="e">
        <f t="shared" si="18"/>
        <v>#N/A</v>
      </c>
      <c r="F536" s="3" t="e">
        <f t="shared" si="19"/>
        <v>#N/A</v>
      </c>
    </row>
    <row r="537" spans="2:6" x14ac:dyDescent="0.25">
      <c r="B537" s="3"/>
      <c r="C537" s="3"/>
      <c r="D537" s="3"/>
      <c r="E537" s="3" t="e">
        <f t="shared" si="18"/>
        <v>#N/A</v>
      </c>
      <c r="F537" s="3" t="e">
        <f t="shared" si="19"/>
        <v>#N/A</v>
      </c>
    </row>
    <row r="538" spans="2:6" x14ac:dyDescent="0.25">
      <c r="B538" s="3"/>
      <c r="C538" s="3"/>
      <c r="D538" s="3"/>
      <c r="E538" s="3" t="e">
        <f t="shared" si="18"/>
        <v>#N/A</v>
      </c>
      <c r="F538" s="3" t="e">
        <f t="shared" si="19"/>
        <v>#N/A</v>
      </c>
    </row>
    <row r="539" spans="2:6" x14ac:dyDescent="0.25">
      <c r="B539" s="3"/>
      <c r="C539" s="3"/>
      <c r="D539" s="3"/>
      <c r="E539" s="3" t="e">
        <f t="shared" si="18"/>
        <v>#N/A</v>
      </c>
      <c r="F539" s="3" t="e">
        <f t="shared" si="19"/>
        <v>#N/A</v>
      </c>
    </row>
    <row r="540" spans="2:6" x14ac:dyDescent="0.25">
      <c r="B540" s="3"/>
      <c r="C540" s="3"/>
      <c r="D540" s="3"/>
      <c r="E540" s="3" t="e">
        <f t="shared" si="18"/>
        <v>#N/A</v>
      </c>
      <c r="F540" s="3" t="e">
        <f t="shared" si="19"/>
        <v>#N/A</v>
      </c>
    </row>
    <row r="541" spans="2:6" x14ac:dyDescent="0.25">
      <c r="B541" s="3"/>
      <c r="C541" s="3"/>
      <c r="D541" s="3"/>
      <c r="E541" s="3" t="e">
        <f t="shared" si="18"/>
        <v>#N/A</v>
      </c>
      <c r="F541" s="3" t="e">
        <f t="shared" si="19"/>
        <v>#N/A</v>
      </c>
    </row>
    <row r="542" spans="2:6" x14ac:dyDescent="0.25">
      <c r="B542" s="3"/>
      <c r="C542" s="3"/>
      <c r="D542" s="3"/>
      <c r="E542" s="3" t="e">
        <f t="shared" si="18"/>
        <v>#N/A</v>
      </c>
      <c r="F542" s="3" t="e">
        <f t="shared" si="19"/>
        <v>#N/A</v>
      </c>
    </row>
    <row r="543" spans="2:6" x14ac:dyDescent="0.25">
      <c r="B543" s="3"/>
      <c r="C543" s="3"/>
      <c r="D543" s="3"/>
      <c r="E543" s="3" t="e">
        <f t="shared" si="18"/>
        <v>#N/A</v>
      </c>
      <c r="F543" s="3" t="e">
        <f t="shared" si="19"/>
        <v>#N/A</v>
      </c>
    </row>
    <row r="544" spans="2:6" x14ac:dyDescent="0.25">
      <c r="B544" s="3"/>
      <c r="C544" s="3"/>
      <c r="D544" s="3"/>
      <c r="E544" s="3" t="e">
        <f t="shared" si="18"/>
        <v>#N/A</v>
      </c>
      <c r="F544" s="3" t="e">
        <f t="shared" si="19"/>
        <v>#N/A</v>
      </c>
    </row>
    <row r="545" spans="2:6" x14ac:dyDescent="0.25">
      <c r="B545" s="3"/>
      <c r="C545" s="3"/>
      <c r="D545" s="3"/>
      <c r="E545" s="3" t="e">
        <f t="shared" si="18"/>
        <v>#N/A</v>
      </c>
      <c r="F545" s="3" t="e">
        <f t="shared" si="19"/>
        <v>#N/A</v>
      </c>
    </row>
    <row r="546" spans="2:6" x14ac:dyDescent="0.25">
      <c r="B546" s="3"/>
      <c r="C546" s="3"/>
      <c r="D546" s="3"/>
      <c r="E546" s="3" t="e">
        <f t="shared" si="18"/>
        <v>#N/A</v>
      </c>
      <c r="F546" s="3" t="e">
        <f t="shared" si="19"/>
        <v>#N/A</v>
      </c>
    </row>
    <row r="547" spans="2:6" x14ac:dyDescent="0.25">
      <c r="B547" s="3"/>
      <c r="C547" s="3"/>
      <c r="D547" s="3"/>
      <c r="E547" s="3" t="e">
        <f t="shared" si="18"/>
        <v>#N/A</v>
      </c>
      <c r="F547" s="3" t="e">
        <f t="shared" si="19"/>
        <v>#N/A</v>
      </c>
    </row>
    <row r="548" spans="2:6" x14ac:dyDescent="0.25">
      <c r="B548" s="3"/>
      <c r="C548" s="3"/>
      <c r="D548" s="3"/>
      <c r="E548" s="3" t="e">
        <f t="shared" si="18"/>
        <v>#N/A</v>
      </c>
      <c r="F548" s="3" t="e">
        <f t="shared" si="19"/>
        <v>#N/A</v>
      </c>
    </row>
    <row r="549" spans="2:6" x14ac:dyDescent="0.25">
      <c r="B549" s="3"/>
      <c r="C549" s="3"/>
      <c r="D549" s="3"/>
      <c r="E549" s="3" t="e">
        <f t="shared" si="18"/>
        <v>#N/A</v>
      </c>
      <c r="F549" s="3" t="e">
        <f t="shared" si="19"/>
        <v>#N/A</v>
      </c>
    </row>
    <row r="550" spans="2:6" x14ac:dyDescent="0.25">
      <c r="B550" s="3"/>
      <c r="C550" s="3"/>
      <c r="D550" s="3"/>
      <c r="E550" s="3" t="e">
        <f t="shared" si="18"/>
        <v>#N/A</v>
      </c>
      <c r="F550" s="3" t="e">
        <f t="shared" si="19"/>
        <v>#N/A</v>
      </c>
    </row>
    <row r="551" spans="2:6" x14ac:dyDescent="0.25">
      <c r="B551" s="3"/>
      <c r="C551" s="3"/>
      <c r="D551" s="3"/>
      <c r="E551" s="3" t="e">
        <f t="shared" si="18"/>
        <v>#N/A</v>
      </c>
      <c r="F551" s="3" t="e">
        <f t="shared" si="19"/>
        <v>#N/A</v>
      </c>
    </row>
    <row r="552" spans="2:6" x14ac:dyDescent="0.25">
      <c r="B552" s="3"/>
      <c r="C552" s="3"/>
      <c r="D552" s="3"/>
      <c r="E552" s="3" t="e">
        <f t="shared" si="18"/>
        <v>#N/A</v>
      </c>
      <c r="F552" s="3" t="e">
        <f t="shared" si="19"/>
        <v>#N/A</v>
      </c>
    </row>
    <row r="553" spans="2:6" x14ac:dyDescent="0.25">
      <c r="B553" s="3"/>
      <c r="C553" s="3"/>
      <c r="D553" s="3"/>
      <c r="E553" s="3" t="e">
        <f t="shared" si="18"/>
        <v>#N/A</v>
      </c>
      <c r="F553" s="3" t="e">
        <f t="shared" si="19"/>
        <v>#N/A</v>
      </c>
    </row>
    <row r="554" spans="2:6" x14ac:dyDescent="0.25">
      <c r="B554" s="3"/>
      <c r="C554" s="3"/>
      <c r="D554" s="3"/>
      <c r="E554" s="3" t="e">
        <f t="shared" si="18"/>
        <v>#N/A</v>
      </c>
      <c r="F554" s="3" t="e">
        <f t="shared" si="19"/>
        <v>#N/A</v>
      </c>
    </row>
    <row r="555" spans="2:6" x14ac:dyDescent="0.25">
      <c r="B555" s="3"/>
      <c r="C555" s="3"/>
      <c r="D555" s="3"/>
      <c r="E555" s="3" t="e">
        <f t="shared" si="18"/>
        <v>#N/A</v>
      </c>
      <c r="F555" s="3" t="e">
        <f t="shared" si="19"/>
        <v>#N/A</v>
      </c>
    </row>
    <row r="556" spans="2:6" x14ac:dyDescent="0.25">
      <c r="B556" s="3"/>
      <c r="C556" s="3"/>
      <c r="D556" s="3"/>
      <c r="E556" s="3" t="e">
        <f t="shared" si="18"/>
        <v>#N/A</v>
      </c>
      <c r="F556" s="3" t="e">
        <f t="shared" si="19"/>
        <v>#N/A</v>
      </c>
    </row>
    <row r="557" spans="2:6" x14ac:dyDescent="0.25">
      <c r="B557" s="3"/>
      <c r="C557" s="3"/>
      <c r="D557" s="3"/>
      <c r="E557" s="3" t="e">
        <f t="shared" si="18"/>
        <v>#N/A</v>
      </c>
      <c r="F557" s="3" t="e">
        <f t="shared" si="19"/>
        <v>#N/A</v>
      </c>
    </row>
    <row r="558" spans="2:6" x14ac:dyDescent="0.25">
      <c r="B558" s="3"/>
      <c r="C558" s="3"/>
      <c r="D558" s="3"/>
      <c r="E558" s="3" t="e">
        <f t="shared" si="18"/>
        <v>#N/A</v>
      </c>
      <c r="F558" s="3" t="e">
        <f t="shared" si="19"/>
        <v>#N/A</v>
      </c>
    </row>
    <row r="559" spans="2:6" x14ac:dyDescent="0.25">
      <c r="B559" s="3"/>
      <c r="C559" s="3"/>
      <c r="D559" s="3"/>
      <c r="E559" s="3" t="e">
        <f t="shared" si="18"/>
        <v>#N/A</v>
      </c>
      <c r="F559" s="3" t="e">
        <f t="shared" si="19"/>
        <v>#N/A</v>
      </c>
    </row>
    <row r="560" spans="2:6" x14ac:dyDescent="0.25">
      <c r="B560" s="3"/>
      <c r="C560" s="3"/>
      <c r="D560" s="3"/>
      <c r="E560" s="3" t="e">
        <f t="shared" si="18"/>
        <v>#N/A</v>
      </c>
      <c r="F560" s="3" t="e">
        <f t="shared" si="19"/>
        <v>#N/A</v>
      </c>
    </row>
    <row r="561" spans="2:6" x14ac:dyDescent="0.25">
      <c r="B561" s="3"/>
      <c r="C561" s="3"/>
      <c r="D561" s="3"/>
      <c r="E561" s="3" t="e">
        <f t="shared" si="18"/>
        <v>#N/A</v>
      </c>
      <c r="F561" s="3" t="e">
        <f t="shared" si="19"/>
        <v>#N/A</v>
      </c>
    </row>
    <row r="562" spans="2:6" x14ac:dyDescent="0.25">
      <c r="B562" s="3"/>
      <c r="C562" s="3"/>
      <c r="D562" s="3"/>
      <c r="E562" s="3" t="e">
        <f t="shared" si="18"/>
        <v>#N/A</v>
      </c>
      <c r="F562" s="3" t="e">
        <f t="shared" si="19"/>
        <v>#N/A</v>
      </c>
    </row>
    <row r="563" spans="2:6" x14ac:dyDescent="0.25">
      <c r="B563" s="3"/>
      <c r="C563" s="3"/>
      <c r="D563" s="3"/>
      <c r="E563" s="3" t="e">
        <f t="shared" si="18"/>
        <v>#N/A</v>
      </c>
      <c r="F563" s="3" t="e">
        <f t="shared" si="19"/>
        <v>#N/A</v>
      </c>
    </row>
    <row r="564" spans="2:6" x14ac:dyDescent="0.25">
      <c r="B564" s="3"/>
      <c r="C564" s="3"/>
      <c r="D564" s="3"/>
      <c r="E564" s="3" t="e">
        <f t="shared" si="18"/>
        <v>#N/A</v>
      </c>
      <c r="F564" s="3" t="e">
        <f t="shared" si="19"/>
        <v>#N/A</v>
      </c>
    </row>
    <row r="565" spans="2:6" x14ac:dyDescent="0.25">
      <c r="B565" s="3"/>
      <c r="C565" s="3"/>
      <c r="D565" s="3"/>
      <c r="E565" s="3" t="e">
        <f t="shared" si="18"/>
        <v>#N/A</v>
      </c>
      <c r="F565" s="3" t="e">
        <f t="shared" si="19"/>
        <v>#N/A</v>
      </c>
    </row>
    <row r="566" spans="2:6" x14ac:dyDescent="0.25">
      <c r="B566" s="3"/>
      <c r="C566" s="3"/>
      <c r="D566" s="3"/>
      <c r="E566" s="3" t="e">
        <f t="shared" si="18"/>
        <v>#N/A</v>
      </c>
      <c r="F566" s="3" t="e">
        <f t="shared" si="19"/>
        <v>#N/A</v>
      </c>
    </row>
    <row r="567" spans="2:6" x14ac:dyDescent="0.25">
      <c r="B567" s="3"/>
      <c r="C567" s="3"/>
      <c r="D567" s="3"/>
      <c r="E567" s="3" t="e">
        <f t="shared" si="18"/>
        <v>#N/A</v>
      </c>
      <c r="F567" s="3" t="e">
        <f t="shared" si="19"/>
        <v>#N/A</v>
      </c>
    </row>
    <row r="568" spans="2:6" x14ac:dyDescent="0.25">
      <c r="B568" s="3"/>
      <c r="C568" s="3"/>
      <c r="D568" s="3"/>
      <c r="E568" s="3" t="e">
        <f t="shared" si="18"/>
        <v>#N/A</v>
      </c>
      <c r="F568" s="3" t="e">
        <f t="shared" si="19"/>
        <v>#N/A</v>
      </c>
    </row>
    <row r="569" spans="2:6" x14ac:dyDescent="0.25">
      <c r="B569" s="3"/>
      <c r="C569" s="3"/>
      <c r="D569" s="3"/>
      <c r="E569" s="3" t="e">
        <f t="shared" si="18"/>
        <v>#N/A</v>
      </c>
      <c r="F569" s="3" t="e">
        <f t="shared" si="19"/>
        <v>#N/A</v>
      </c>
    </row>
    <row r="570" spans="2:6" x14ac:dyDescent="0.25">
      <c r="B570" s="3"/>
      <c r="C570" s="3"/>
      <c r="D570" s="3"/>
      <c r="E570" s="3" t="e">
        <f t="shared" si="18"/>
        <v>#N/A</v>
      </c>
      <c r="F570" s="3" t="e">
        <f t="shared" si="19"/>
        <v>#N/A</v>
      </c>
    </row>
    <row r="571" spans="2:6" x14ac:dyDescent="0.25">
      <c r="B571" s="3"/>
      <c r="C571" s="3"/>
      <c r="D571" s="3"/>
      <c r="E571" s="3" t="e">
        <f t="shared" si="18"/>
        <v>#N/A</v>
      </c>
      <c r="F571" s="3" t="e">
        <f t="shared" si="19"/>
        <v>#N/A</v>
      </c>
    </row>
    <row r="572" spans="2:6" x14ac:dyDescent="0.25">
      <c r="B572" s="3"/>
      <c r="C572" s="3"/>
      <c r="D572" s="3"/>
      <c r="E572" s="3" t="e">
        <f t="shared" si="18"/>
        <v>#N/A</v>
      </c>
      <c r="F572" s="3" t="e">
        <f t="shared" si="19"/>
        <v>#N/A</v>
      </c>
    </row>
    <row r="573" spans="2:6" x14ac:dyDescent="0.25">
      <c r="B573" s="3"/>
      <c r="C573" s="3"/>
      <c r="D573" s="3"/>
      <c r="E573" s="3" t="e">
        <f t="shared" si="18"/>
        <v>#N/A</v>
      </c>
      <c r="F573" s="3" t="e">
        <f t="shared" si="19"/>
        <v>#N/A</v>
      </c>
    </row>
    <row r="574" spans="2:6" x14ac:dyDescent="0.25">
      <c r="B574" s="3"/>
      <c r="C574" s="3"/>
      <c r="D574" s="3"/>
      <c r="E574" s="3" t="e">
        <f t="shared" si="18"/>
        <v>#N/A</v>
      </c>
      <c r="F574" s="3" t="e">
        <f t="shared" si="19"/>
        <v>#N/A</v>
      </c>
    </row>
    <row r="575" spans="2:6" x14ac:dyDescent="0.25">
      <c r="B575" s="3"/>
      <c r="C575" s="3"/>
      <c r="D575" s="3"/>
      <c r="E575" s="3" t="e">
        <f t="shared" si="18"/>
        <v>#N/A</v>
      </c>
      <c r="F575" s="3" t="e">
        <f t="shared" si="19"/>
        <v>#N/A</v>
      </c>
    </row>
    <row r="576" spans="2:6" x14ac:dyDescent="0.25">
      <c r="B576" s="3"/>
      <c r="C576" s="3"/>
      <c r="D576" s="3"/>
      <c r="E576" s="3" t="e">
        <f t="shared" si="18"/>
        <v>#N/A</v>
      </c>
      <c r="F576" s="3" t="e">
        <f t="shared" si="19"/>
        <v>#N/A</v>
      </c>
    </row>
    <row r="577" spans="2:6" x14ac:dyDescent="0.25">
      <c r="B577" s="3"/>
      <c r="C577" s="3"/>
      <c r="D577" s="3"/>
      <c r="E577" s="3" t="e">
        <f t="shared" si="18"/>
        <v>#N/A</v>
      </c>
      <c r="F577" s="3" t="e">
        <f t="shared" si="19"/>
        <v>#N/A</v>
      </c>
    </row>
    <row r="578" spans="2:6" x14ac:dyDescent="0.25">
      <c r="B578" s="3"/>
      <c r="C578" s="3"/>
      <c r="D578" s="3"/>
      <c r="E578" s="3" t="e">
        <f t="shared" si="18"/>
        <v>#N/A</v>
      </c>
      <c r="F578" s="3" t="e">
        <f t="shared" si="19"/>
        <v>#N/A</v>
      </c>
    </row>
    <row r="579" spans="2:6" x14ac:dyDescent="0.25">
      <c r="B579" s="3"/>
      <c r="C579" s="3"/>
      <c r="D579" s="3"/>
      <c r="E579" s="3" t="e">
        <f t="shared" si="18"/>
        <v>#N/A</v>
      </c>
      <c r="F579" s="3" t="e">
        <f t="shared" si="19"/>
        <v>#N/A</v>
      </c>
    </row>
    <row r="580" spans="2:6" x14ac:dyDescent="0.25">
      <c r="B580" s="3"/>
      <c r="C580" s="3"/>
      <c r="D580" s="3"/>
      <c r="E580" s="3" t="e">
        <f t="shared" ref="E580:E643" si="20">VLOOKUP(C580,I:J,2,0)</f>
        <v>#N/A</v>
      </c>
      <c r="F580" s="3" t="e">
        <f t="shared" ref="F580:F643" si="21">E580&amp;" "&amp;B580</f>
        <v>#N/A</v>
      </c>
    </row>
    <row r="581" spans="2:6" x14ac:dyDescent="0.25">
      <c r="B581" s="3"/>
      <c r="C581" s="3"/>
      <c r="D581" s="3"/>
      <c r="E581" s="3" t="e">
        <f t="shared" si="20"/>
        <v>#N/A</v>
      </c>
      <c r="F581" s="3" t="e">
        <f t="shared" si="21"/>
        <v>#N/A</v>
      </c>
    </row>
    <row r="582" spans="2:6" x14ac:dyDescent="0.25">
      <c r="B582" s="3"/>
      <c r="C582" s="3"/>
      <c r="D582" s="3"/>
      <c r="E582" s="3" t="e">
        <f t="shared" si="20"/>
        <v>#N/A</v>
      </c>
      <c r="F582" s="3" t="e">
        <f t="shared" si="21"/>
        <v>#N/A</v>
      </c>
    </row>
    <row r="583" spans="2:6" x14ac:dyDescent="0.25">
      <c r="B583" s="3"/>
      <c r="C583" s="3"/>
      <c r="D583" s="3"/>
      <c r="E583" s="3" t="e">
        <f t="shared" si="20"/>
        <v>#N/A</v>
      </c>
      <c r="F583" s="3" t="e">
        <f t="shared" si="21"/>
        <v>#N/A</v>
      </c>
    </row>
    <row r="584" spans="2:6" x14ac:dyDescent="0.25">
      <c r="B584" s="3"/>
      <c r="C584" s="3"/>
      <c r="D584" s="3"/>
      <c r="E584" s="3" t="e">
        <f t="shared" si="20"/>
        <v>#N/A</v>
      </c>
      <c r="F584" s="3" t="e">
        <f t="shared" si="21"/>
        <v>#N/A</v>
      </c>
    </row>
    <row r="585" spans="2:6" x14ac:dyDescent="0.25">
      <c r="B585" s="3"/>
      <c r="C585" s="3"/>
      <c r="D585" s="3"/>
      <c r="E585" s="3" t="e">
        <f t="shared" si="20"/>
        <v>#N/A</v>
      </c>
      <c r="F585" s="3" t="e">
        <f t="shared" si="21"/>
        <v>#N/A</v>
      </c>
    </row>
    <row r="586" spans="2:6" x14ac:dyDescent="0.25">
      <c r="B586" s="3"/>
      <c r="C586" s="3"/>
      <c r="D586" s="3"/>
      <c r="E586" s="3" t="e">
        <f t="shared" si="20"/>
        <v>#N/A</v>
      </c>
      <c r="F586" s="3" t="e">
        <f t="shared" si="21"/>
        <v>#N/A</v>
      </c>
    </row>
    <row r="587" spans="2:6" x14ac:dyDescent="0.25">
      <c r="B587" s="3"/>
      <c r="C587" s="3"/>
      <c r="D587" s="3"/>
      <c r="E587" s="3" t="e">
        <f t="shared" si="20"/>
        <v>#N/A</v>
      </c>
      <c r="F587" s="3" t="e">
        <f t="shared" si="21"/>
        <v>#N/A</v>
      </c>
    </row>
    <row r="588" spans="2:6" x14ac:dyDescent="0.25">
      <c r="B588" s="3"/>
      <c r="C588" s="3"/>
      <c r="D588" s="3"/>
      <c r="E588" s="3" t="e">
        <f t="shared" si="20"/>
        <v>#N/A</v>
      </c>
      <c r="F588" s="3" t="e">
        <f t="shared" si="21"/>
        <v>#N/A</v>
      </c>
    </row>
    <row r="589" spans="2:6" x14ac:dyDescent="0.25">
      <c r="B589" s="3"/>
      <c r="C589" s="3"/>
      <c r="D589" s="3"/>
      <c r="E589" s="3" t="e">
        <f t="shared" si="20"/>
        <v>#N/A</v>
      </c>
      <c r="F589" s="3" t="e">
        <f t="shared" si="21"/>
        <v>#N/A</v>
      </c>
    </row>
    <row r="590" spans="2:6" x14ac:dyDescent="0.25">
      <c r="B590" s="3"/>
      <c r="C590" s="3"/>
      <c r="D590" s="3"/>
      <c r="E590" s="3" t="e">
        <f t="shared" si="20"/>
        <v>#N/A</v>
      </c>
      <c r="F590" s="3" t="e">
        <f t="shared" si="21"/>
        <v>#N/A</v>
      </c>
    </row>
    <row r="591" spans="2:6" x14ac:dyDescent="0.25">
      <c r="B591" s="3"/>
      <c r="C591" s="3"/>
      <c r="D591" s="3"/>
      <c r="E591" s="3" t="e">
        <f t="shared" si="20"/>
        <v>#N/A</v>
      </c>
      <c r="F591" s="3" t="e">
        <f t="shared" si="21"/>
        <v>#N/A</v>
      </c>
    </row>
    <row r="592" spans="2:6" x14ac:dyDescent="0.25">
      <c r="B592" s="3"/>
      <c r="C592" s="3"/>
      <c r="D592" s="3"/>
      <c r="E592" s="3" t="e">
        <f t="shared" si="20"/>
        <v>#N/A</v>
      </c>
      <c r="F592" s="3" t="e">
        <f t="shared" si="21"/>
        <v>#N/A</v>
      </c>
    </row>
    <row r="593" spans="2:6" x14ac:dyDescent="0.25">
      <c r="B593" s="3"/>
      <c r="C593" s="3"/>
      <c r="D593" s="3"/>
      <c r="E593" s="3" t="e">
        <f t="shared" si="20"/>
        <v>#N/A</v>
      </c>
      <c r="F593" s="3" t="e">
        <f t="shared" si="21"/>
        <v>#N/A</v>
      </c>
    </row>
    <row r="594" spans="2:6" x14ac:dyDescent="0.25">
      <c r="B594" s="3"/>
      <c r="C594" s="3"/>
      <c r="D594" s="3"/>
      <c r="E594" s="3" t="e">
        <f t="shared" si="20"/>
        <v>#N/A</v>
      </c>
      <c r="F594" s="3" t="e">
        <f t="shared" si="21"/>
        <v>#N/A</v>
      </c>
    </row>
    <row r="595" spans="2:6" x14ac:dyDescent="0.25">
      <c r="B595" s="3"/>
      <c r="C595" s="3"/>
      <c r="D595" s="3"/>
      <c r="E595" s="3" t="e">
        <f t="shared" si="20"/>
        <v>#N/A</v>
      </c>
      <c r="F595" s="3" t="e">
        <f t="shared" si="21"/>
        <v>#N/A</v>
      </c>
    </row>
    <row r="596" spans="2:6" x14ac:dyDescent="0.25">
      <c r="B596" s="3"/>
      <c r="C596" s="3"/>
      <c r="D596" s="3"/>
      <c r="E596" s="3" t="e">
        <f t="shared" si="20"/>
        <v>#N/A</v>
      </c>
      <c r="F596" s="3" t="e">
        <f t="shared" si="21"/>
        <v>#N/A</v>
      </c>
    </row>
    <row r="597" spans="2:6" x14ac:dyDescent="0.25">
      <c r="B597" s="3"/>
      <c r="C597" s="3"/>
      <c r="D597" s="3"/>
      <c r="E597" s="3" t="e">
        <f t="shared" si="20"/>
        <v>#N/A</v>
      </c>
      <c r="F597" s="3" t="e">
        <f t="shared" si="21"/>
        <v>#N/A</v>
      </c>
    </row>
    <row r="598" spans="2:6" x14ac:dyDescent="0.25">
      <c r="B598" s="3"/>
      <c r="C598" s="3"/>
      <c r="D598" s="3"/>
      <c r="E598" s="3" t="e">
        <f t="shared" si="20"/>
        <v>#N/A</v>
      </c>
      <c r="F598" s="3" t="e">
        <f t="shared" si="21"/>
        <v>#N/A</v>
      </c>
    </row>
    <row r="599" spans="2:6" x14ac:dyDescent="0.25">
      <c r="B599" s="3"/>
      <c r="C599" s="3"/>
      <c r="D599" s="3"/>
      <c r="E599" s="3" t="e">
        <f t="shared" si="20"/>
        <v>#N/A</v>
      </c>
      <c r="F599" s="3" t="e">
        <f t="shared" si="21"/>
        <v>#N/A</v>
      </c>
    </row>
    <row r="600" spans="2:6" x14ac:dyDescent="0.25">
      <c r="B600" s="3"/>
      <c r="C600" s="3"/>
      <c r="D600" s="3"/>
      <c r="E600" s="3" t="e">
        <f t="shared" si="20"/>
        <v>#N/A</v>
      </c>
      <c r="F600" s="3" t="e">
        <f t="shared" si="21"/>
        <v>#N/A</v>
      </c>
    </row>
    <row r="601" spans="2:6" x14ac:dyDescent="0.25">
      <c r="B601" s="3"/>
      <c r="C601" s="3"/>
      <c r="D601" s="3"/>
      <c r="E601" s="3" t="e">
        <f t="shared" si="20"/>
        <v>#N/A</v>
      </c>
      <c r="F601" s="3" t="e">
        <f t="shared" si="21"/>
        <v>#N/A</v>
      </c>
    </row>
    <row r="602" spans="2:6" x14ac:dyDescent="0.25">
      <c r="B602" s="3"/>
      <c r="C602" s="3"/>
      <c r="D602" s="3"/>
      <c r="E602" s="3" t="e">
        <f t="shared" si="20"/>
        <v>#N/A</v>
      </c>
      <c r="F602" s="3" t="e">
        <f t="shared" si="21"/>
        <v>#N/A</v>
      </c>
    </row>
    <row r="603" spans="2:6" x14ac:dyDescent="0.25">
      <c r="B603" s="3"/>
      <c r="C603" s="3"/>
      <c r="D603" s="3"/>
      <c r="E603" s="3" t="e">
        <f t="shared" si="20"/>
        <v>#N/A</v>
      </c>
      <c r="F603" s="3" t="e">
        <f t="shared" si="21"/>
        <v>#N/A</v>
      </c>
    </row>
    <row r="604" spans="2:6" x14ac:dyDescent="0.25">
      <c r="B604" s="3"/>
      <c r="C604" s="3"/>
      <c r="D604" s="3"/>
      <c r="E604" s="3" t="e">
        <f t="shared" si="20"/>
        <v>#N/A</v>
      </c>
      <c r="F604" s="3" t="e">
        <f t="shared" si="21"/>
        <v>#N/A</v>
      </c>
    </row>
    <row r="605" spans="2:6" x14ac:dyDescent="0.25">
      <c r="B605" s="3"/>
      <c r="C605" s="3"/>
      <c r="D605" s="3"/>
      <c r="E605" s="3" t="e">
        <f t="shared" si="20"/>
        <v>#N/A</v>
      </c>
      <c r="F605" s="3" t="e">
        <f t="shared" si="21"/>
        <v>#N/A</v>
      </c>
    </row>
    <row r="606" spans="2:6" x14ac:dyDescent="0.25">
      <c r="B606" s="3"/>
      <c r="C606" s="3"/>
      <c r="D606" s="3"/>
      <c r="E606" s="3" t="e">
        <f t="shared" si="20"/>
        <v>#N/A</v>
      </c>
      <c r="F606" s="3" t="e">
        <f t="shared" si="21"/>
        <v>#N/A</v>
      </c>
    </row>
    <row r="607" spans="2:6" x14ac:dyDescent="0.25">
      <c r="B607" s="3"/>
      <c r="C607" s="3"/>
      <c r="D607" s="3"/>
      <c r="E607" s="3" t="e">
        <f t="shared" si="20"/>
        <v>#N/A</v>
      </c>
      <c r="F607" s="3" t="e">
        <f t="shared" si="21"/>
        <v>#N/A</v>
      </c>
    </row>
    <row r="608" spans="2:6" x14ac:dyDescent="0.25">
      <c r="B608" s="3"/>
      <c r="C608" s="3"/>
      <c r="D608" s="3"/>
      <c r="E608" s="3" t="e">
        <f t="shared" si="20"/>
        <v>#N/A</v>
      </c>
      <c r="F608" s="3" t="e">
        <f t="shared" si="21"/>
        <v>#N/A</v>
      </c>
    </row>
    <row r="609" spans="2:6" x14ac:dyDescent="0.25">
      <c r="B609" s="3"/>
      <c r="C609" s="3"/>
      <c r="D609" s="3"/>
      <c r="E609" s="3" t="e">
        <f t="shared" si="20"/>
        <v>#N/A</v>
      </c>
      <c r="F609" s="3" t="e">
        <f t="shared" si="21"/>
        <v>#N/A</v>
      </c>
    </row>
    <row r="610" spans="2:6" x14ac:dyDescent="0.25">
      <c r="B610" s="3"/>
      <c r="C610" s="3"/>
      <c r="D610" s="3"/>
      <c r="E610" s="3" t="e">
        <f t="shared" si="20"/>
        <v>#N/A</v>
      </c>
      <c r="F610" s="3" t="e">
        <f t="shared" si="21"/>
        <v>#N/A</v>
      </c>
    </row>
    <row r="611" spans="2:6" x14ac:dyDescent="0.25">
      <c r="B611" s="3"/>
      <c r="C611" s="3"/>
      <c r="D611" s="3"/>
      <c r="E611" s="3" t="e">
        <f t="shared" si="20"/>
        <v>#N/A</v>
      </c>
      <c r="F611" s="3" t="e">
        <f t="shared" si="21"/>
        <v>#N/A</v>
      </c>
    </row>
    <row r="612" spans="2:6" x14ac:dyDescent="0.25">
      <c r="B612" s="3"/>
      <c r="C612" s="3"/>
      <c r="D612" s="3"/>
      <c r="E612" s="3" t="e">
        <f t="shared" si="20"/>
        <v>#N/A</v>
      </c>
      <c r="F612" s="3" t="e">
        <f t="shared" si="21"/>
        <v>#N/A</v>
      </c>
    </row>
    <row r="613" spans="2:6" x14ac:dyDescent="0.25">
      <c r="B613" s="3"/>
      <c r="C613" s="3"/>
      <c r="D613" s="3"/>
      <c r="E613" s="3" t="e">
        <f t="shared" si="20"/>
        <v>#N/A</v>
      </c>
      <c r="F613" s="3" t="e">
        <f t="shared" si="21"/>
        <v>#N/A</v>
      </c>
    </row>
    <row r="614" spans="2:6" x14ac:dyDescent="0.25">
      <c r="B614" s="3"/>
      <c r="C614" s="3"/>
      <c r="D614" s="3"/>
      <c r="E614" s="3" t="e">
        <f t="shared" si="20"/>
        <v>#N/A</v>
      </c>
      <c r="F614" s="3" t="e">
        <f t="shared" si="21"/>
        <v>#N/A</v>
      </c>
    </row>
    <row r="615" spans="2:6" x14ac:dyDescent="0.25">
      <c r="B615" s="3"/>
      <c r="C615" s="3"/>
      <c r="D615" s="3"/>
      <c r="E615" s="3" t="e">
        <f t="shared" si="20"/>
        <v>#N/A</v>
      </c>
      <c r="F615" s="3" t="e">
        <f t="shared" si="21"/>
        <v>#N/A</v>
      </c>
    </row>
    <row r="616" spans="2:6" x14ac:dyDescent="0.25">
      <c r="B616" s="3"/>
      <c r="C616" s="3"/>
      <c r="D616" s="3"/>
      <c r="E616" s="3" t="e">
        <f t="shared" si="20"/>
        <v>#N/A</v>
      </c>
      <c r="F616" s="3" t="e">
        <f t="shared" si="21"/>
        <v>#N/A</v>
      </c>
    </row>
    <row r="617" spans="2:6" x14ac:dyDescent="0.25">
      <c r="B617" s="3"/>
      <c r="C617" s="3"/>
      <c r="D617" s="3"/>
      <c r="E617" s="3" t="e">
        <f t="shared" si="20"/>
        <v>#N/A</v>
      </c>
      <c r="F617" s="3" t="e">
        <f t="shared" si="21"/>
        <v>#N/A</v>
      </c>
    </row>
    <row r="618" spans="2:6" x14ac:dyDescent="0.25">
      <c r="B618" s="3"/>
      <c r="C618" s="3"/>
      <c r="D618" s="3"/>
      <c r="E618" s="3" t="e">
        <f t="shared" si="20"/>
        <v>#N/A</v>
      </c>
      <c r="F618" s="3" t="e">
        <f t="shared" si="21"/>
        <v>#N/A</v>
      </c>
    </row>
    <row r="619" spans="2:6" x14ac:dyDescent="0.25">
      <c r="B619" s="3"/>
      <c r="C619" s="3"/>
      <c r="D619" s="3"/>
      <c r="E619" s="3" t="e">
        <f t="shared" si="20"/>
        <v>#N/A</v>
      </c>
      <c r="F619" s="3" t="e">
        <f t="shared" si="21"/>
        <v>#N/A</v>
      </c>
    </row>
    <row r="620" spans="2:6" x14ac:dyDescent="0.25">
      <c r="B620" s="3"/>
      <c r="C620" s="3"/>
      <c r="D620" s="3"/>
      <c r="E620" s="3" t="e">
        <f t="shared" si="20"/>
        <v>#N/A</v>
      </c>
      <c r="F620" s="3" t="e">
        <f t="shared" si="21"/>
        <v>#N/A</v>
      </c>
    </row>
    <row r="621" spans="2:6" x14ac:dyDescent="0.25">
      <c r="B621" s="3"/>
      <c r="C621" s="3"/>
      <c r="D621" s="3"/>
      <c r="E621" s="3" t="e">
        <f t="shared" si="20"/>
        <v>#N/A</v>
      </c>
      <c r="F621" s="3" t="e">
        <f t="shared" si="21"/>
        <v>#N/A</v>
      </c>
    </row>
    <row r="622" spans="2:6" x14ac:dyDescent="0.25">
      <c r="B622" s="3"/>
      <c r="C622" s="3"/>
      <c r="D622" s="3"/>
      <c r="E622" s="3" t="e">
        <f t="shared" si="20"/>
        <v>#N/A</v>
      </c>
      <c r="F622" s="3" t="e">
        <f t="shared" si="21"/>
        <v>#N/A</v>
      </c>
    </row>
    <row r="623" spans="2:6" x14ac:dyDescent="0.25">
      <c r="B623" s="3"/>
      <c r="C623" s="3"/>
      <c r="D623" s="3"/>
      <c r="E623" s="3" t="e">
        <f t="shared" si="20"/>
        <v>#N/A</v>
      </c>
      <c r="F623" s="3" t="e">
        <f t="shared" si="21"/>
        <v>#N/A</v>
      </c>
    </row>
    <row r="624" spans="2:6" x14ac:dyDescent="0.25">
      <c r="B624" s="3"/>
      <c r="C624" s="3"/>
      <c r="D624" s="3"/>
      <c r="E624" s="3" t="e">
        <f t="shared" si="20"/>
        <v>#N/A</v>
      </c>
      <c r="F624" s="3" t="e">
        <f t="shared" si="21"/>
        <v>#N/A</v>
      </c>
    </row>
    <row r="625" spans="2:6" x14ac:dyDescent="0.25">
      <c r="B625" s="3"/>
      <c r="C625" s="3"/>
      <c r="D625" s="3"/>
      <c r="E625" s="3" t="e">
        <f t="shared" si="20"/>
        <v>#N/A</v>
      </c>
      <c r="F625" s="3" t="e">
        <f t="shared" si="21"/>
        <v>#N/A</v>
      </c>
    </row>
    <row r="626" spans="2:6" x14ac:dyDescent="0.25">
      <c r="B626" s="3"/>
      <c r="C626" s="3"/>
      <c r="D626" s="3"/>
      <c r="E626" s="3" t="e">
        <f t="shared" si="20"/>
        <v>#N/A</v>
      </c>
      <c r="F626" s="3" t="e">
        <f t="shared" si="21"/>
        <v>#N/A</v>
      </c>
    </row>
    <row r="627" spans="2:6" x14ac:dyDescent="0.25">
      <c r="B627" s="3"/>
      <c r="C627" s="3"/>
      <c r="D627" s="3"/>
      <c r="E627" s="3" t="e">
        <f t="shared" si="20"/>
        <v>#N/A</v>
      </c>
      <c r="F627" s="3" t="e">
        <f t="shared" si="21"/>
        <v>#N/A</v>
      </c>
    </row>
    <row r="628" spans="2:6" x14ac:dyDescent="0.25">
      <c r="B628" s="3"/>
      <c r="C628" s="3"/>
      <c r="D628" s="3"/>
      <c r="E628" s="3" t="e">
        <f t="shared" si="20"/>
        <v>#N/A</v>
      </c>
      <c r="F628" s="3" t="e">
        <f t="shared" si="21"/>
        <v>#N/A</v>
      </c>
    </row>
    <row r="629" spans="2:6" x14ac:dyDescent="0.25">
      <c r="B629" s="3"/>
      <c r="C629" s="3"/>
      <c r="D629" s="3"/>
      <c r="E629" s="3" t="e">
        <f t="shared" si="20"/>
        <v>#N/A</v>
      </c>
      <c r="F629" s="3" t="e">
        <f t="shared" si="21"/>
        <v>#N/A</v>
      </c>
    </row>
    <row r="630" spans="2:6" x14ac:dyDescent="0.25">
      <c r="B630" s="3"/>
      <c r="C630" s="3"/>
      <c r="D630" s="3"/>
      <c r="E630" s="3" t="e">
        <f t="shared" si="20"/>
        <v>#N/A</v>
      </c>
      <c r="F630" s="3" t="e">
        <f t="shared" si="21"/>
        <v>#N/A</v>
      </c>
    </row>
    <row r="631" spans="2:6" x14ac:dyDescent="0.25">
      <c r="B631" s="3"/>
      <c r="C631" s="3"/>
      <c r="D631" s="3"/>
      <c r="E631" s="3" t="e">
        <f t="shared" si="20"/>
        <v>#N/A</v>
      </c>
      <c r="F631" s="3" t="e">
        <f t="shared" si="21"/>
        <v>#N/A</v>
      </c>
    </row>
    <row r="632" spans="2:6" x14ac:dyDescent="0.25">
      <c r="B632" s="3"/>
      <c r="C632" s="3"/>
      <c r="D632" s="3"/>
      <c r="E632" s="3" t="e">
        <f t="shared" si="20"/>
        <v>#N/A</v>
      </c>
      <c r="F632" s="3" t="e">
        <f t="shared" si="21"/>
        <v>#N/A</v>
      </c>
    </row>
    <row r="633" spans="2:6" x14ac:dyDescent="0.25">
      <c r="B633" s="3"/>
      <c r="C633" s="3"/>
      <c r="D633" s="3"/>
      <c r="E633" s="3" t="e">
        <f t="shared" si="20"/>
        <v>#N/A</v>
      </c>
      <c r="F633" s="3" t="e">
        <f t="shared" si="21"/>
        <v>#N/A</v>
      </c>
    </row>
    <row r="634" spans="2:6" x14ac:dyDescent="0.25">
      <c r="B634" s="3"/>
      <c r="C634" s="3"/>
      <c r="D634" s="3"/>
      <c r="E634" s="3" t="e">
        <f t="shared" si="20"/>
        <v>#N/A</v>
      </c>
      <c r="F634" s="3" t="e">
        <f t="shared" si="21"/>
        <v>#N/A</v>
      </c>
    </row>
    <row r="635" spans="2:6" x14ac:dyDescent="0.25">
      <c r="B635" s="3"/>
      <c r="C635" s="3"/>
      <c r="D635" s="3"/>
      <c r="E635" s="3" t="e">
        <f t="shared" si="20"/>
        <v>#N/A</v>
      </c>
      <c r="F635" s="3" t="e">
        <f t="shared" si="21"/>
        <v>#N/A</v>
      </c>
    </row>
    <row r="636" spans="2:6" x14ac:dyDescent="0.25">
      <c r="B636" s="3"/>
      <c r="C636" s="3"/>
      <c r="D636" s="3"/>
      <c r="E636" s="3" t="e">
        <f t="shared" si="20"/>
        <v>#N/A</v>
      </c>
      <c r="F636" s="3" t="e">
        <f t="shared" si="21"/>
        <v>#N/A</v>
      </c>
    </row>
    <row r="637" spans="2:6" x14ac:dyDescent="0.25">
      <c r="B637" s="3"/>
      <c r="C637" s="3"/>
      <c r="D637" s="3"/>
      <c r="E637" s="3" t="e">
        <f t="shared" si="20"/>
        <v>#N/A</v>
      </c>
      <c r="F637" s="3" t="e">
        <f t="shared" si="21"/>
        <v>#N/A</v>
      </c>
    </row>
    <row r="638" spans="2:6" x14ac:dyDescent="0.25">
      <c r="B638" s="3"/>
      <c r="C638" s="3"/>
      <c r="D638" s="3"/>
      <c r="E638" s="3" t="e">
        <f t="shared" si="20"/>
        <v>#N/A</v>
      </c>
      <c r="F638" s="3" t="e">
        <f t="shared" si="21"/>
        <v>#N/A</v>
      </c>
    </row>
    <row r="639" spans="2:6" x14ac:dyDescent="0.25">
      <c r="B639" s="3"/>
      <c r="C639" s="3"/>
      <c r="D639" s="3"/>
      <c r="E639" s="3" t="e">
        <f t="shared" si="20"/>
        <v>#N/A</v>
      </c>
      <c r="F639" s="3" t="e">
        <f t="shared" si="21"/>
        <v>#N/A</v>
      </c>
    </row>
    <row r="640" spans="2:6" x14ac:dyDescent="0.25">
      <c r="B640" s="3"/>
      <c r="C640" s="3"/>
      <c r="D640" s="3"/>
      <c r="E640" s="3" t="e">
        <f t="shared" si="20"/>
        <v>#N/A</v>
      </c>
      <c r="F640" s="3" t="e">
        <f t="shared" si="21"/>
        <v>#N/A</v>
      </c>
    </row>
    <row r="641" spans="2:6" x14ac:dyDescent="0.25">
      <c r="B641" s="3"/>
      <c r="C641" s="3"/>
      <c r="D641" s="3"/>
      <c r="E641" s="3" t="e">
        <f t="shared" si="20"/>
        <v>#N/A</v>
      </c>
      <c r="F641" s="3" t="e">
        <f t="shared" si="21"/>
        <v>#N/A</v>
      </c>
    </row>
    <row r="642" spans="2:6" x14ac:dyDescent="0.25">
      <c r="B642" s="3"/>
      <c r="C642" s="3"/>
      <c r="D642" s="3"/>
      <c r="E642" s="3" t="e">
        <f t="shared" si="20"/>
        <v>#N/A</v>
      </c>
      <c r="F642" s="3" t="e">
        <f t="shared" si="21"/>
        <v>#N/A</v>
      </c>
    </row>
    <row r="643" spans="2:6" x14ac:dyDescent="0.25">
      <c r="B643" s="3"/>
      <c r="C643" s="3"/>
      <c r="D643" s="3"/>
      <c r="E643" s="3" t="e">
        <f t="shared" si="20"/>
        <v>#N/A</v>
      </c>
      <c r="F643" s="3" t="e">
        <f t="shared" si="21"/>
        <v>#N/A</v>
      </c>
    </row>
    <row r="644" spans="2:6" x14ac:dyDescent="0.25">
      <c r="B644" s="3"/>
      <c r="C644" s="3"/>
      <c r="D644" s="3"/>
      <c r="E644" s="3" t="e">
        <f t="shared" ref="E644:E707" si="22">VLOOKUP(C644,I:J,2,0)</f>
        <v>#N/A</v>
      </c>
      <c r="F644" s="3" t="e">
        <f t="shared" ref="F644:F707" si="23">E644&amp;" "&amp;B644</f>
        <v>#N/A</v>
      </c>
    </row>
    <row r="645" spans="2:6" x14ac:dyDescent="0.25">
      <c r="B645" s="3"/>
      <c r="C645" s="3"/>
      <c r="D645" s="3"/>
      <c r="E645" s="3" t="e">
        <f t="shared" si="22"/>
        <v>#N/A</v>
      </c>
      <c r="F645" s="3" t="e">
        <f t="shared" si="23"/>
        <v>#N/A</v>
      </c>
    </row>
    <row r="646" spans="2:6" x14ac:dyDescent="0.25">
      <c r="B646" s="3"/>
      <c r="C646" s="3"/>
      <c r="D646" s="3"/>
      <c r="E646" s="3" t="e">
        <f t="shared" si="22"/>
        <v>#N/A</v>
      </c>
      <c r="F646" s="3" t="e">
        <f t="shared" si="23"/>
        <v>#N/A</v>
      </c>
    </row>
    <row r="647" spans="2:6" x14ac:dyDescent="0.25">
      <c r="B647" s="3"/>
      <c r="C647" s="3"/>
      <c r="D647" s="3"/>
      <c r="E647" s="3" t="e">
        <f t="shared" si="22"/>
        <v>#N/A</v>
      </c>
      <c r="F647" s="3" t="e">
        <f t="shared" si="23"/>
        <v>#N/A</v>
      </c>
    </row>
    <row r="648" spans="2:6" x14ac:dyDescent="0.25">
      <c r="B648" s="3"/>
      <c r="C648" s="3"/>
      <c r="D648" s="3"/>
      <c r="E648" s="3" t="e">
        <f t="shared" si="22"/>
        <v>#N/A</v>
      </c>
      <c r="F648" s="3" t="e">
        <f t="shared" si="23"/>
        <v>#N/A</v>
      </c>
    </row>
    <row r="649" spans="2:6" x14ac:dyDescent="0.25">
      <c r="B649" s="3"/>
      <c r="C649" s="3"/>
      <c r="D649" s="3"/>
      <c r="E649" s="3" t="e">
        <f t="shared" si="22"/>
        <v>#N/A</v>
      </c>
      <c r="F649" s="3" t="e">
        <f t="shared" si="23"/>
        <v>#N/A</v>
      </c>
    </row>
    <row r="650" spans="2:6" x14ac:dyDescent="0.25">
      <c r="B650" s="3"/>
      <c r="C650" s="3"/>
      <c r="D650" s="3"/>
      <c r="E650" s="3" t="e">
        <f t="shared" si="22"/>
        <v>#N/A</v>
      </c>
      <c r="F650" s="3" t="e">
        <f t="shared" si="23"/>
        <v>#N/A</v>
      </c>
    </row>
    <row r="651" spans="2:6" x14ac:dyDescent="0.25">
      <c r="B651" s="3"/>
      <c r="C651" s="3"/>
      <c r="D651" s="3"/>
      <c r="E651" s="3" t="e">
        <f t="shared" si="22"/>
        <v>#N/A</v>
      </c>
      <c r="F651" s="3" t="e">
        <f t="shared" si="23"/>
        <v>#N/A</v>
      </c>
    </row>
    <row r="652" spans="2:6" x14ac:dyDescent="0.25">
      <c r="B652" s="3"/>
      <c r="C652" s="3"/>
      <c r="D652" s="3"/>
      <c r="E652" s="3" t="e">
        <f t="shared" si="22"/>
        <v>#N/A</v>
      </c>
      <c r="F652" s="3" t="e">
        <f t="shared" si="23"/>
        <v>#N/A</v>
      </c>
    </row>
    <row r="653" spans="2:6" x14ac:dyDescent="0.25">
      <c r="B653" s="3"/>
      <c r="C653" s="3"/>
      <c r="D653" s="3"/>
      <c r="E653" s="3" t="e">
        <f t="shared" si="22"/>
        <v>#N/A</v>
      </c>
      <c r="F653" s="3" t="e">
        <f t="shared" si="23"/>
        <v>#N/A</v>
      </c>
    </row>
    <row r="654" spans="2:6" x14ac:dyDescent="0.25">
      <c r="B654" s="3"/>
      <c r="C654" s="3"/>
      <c r="D654" s="3"/>
      <c r="E654" s="3" t="e">
        <f t="shared" si="22"/>
        <v>#N/A</v>
      </c>
      <c r="F654" s="3" t="e">
        <f t="shared" si="23"/>
        <v>#N/A</v>
      </c>
    </row>
    <row r="655" spans="2:6" x14ac:dyDescent="0.25">
      <c r="B655" s="3"/>
      <c r="C655" s="3"/>
      <c r="D655" s="3"/>
      <c r="E655" s="3" t="e">
        <f t="shared" si="22"/>
        <v>#N/A</v>
      </c>
      <c r="F655" s="3" t="e">
        <f t="shared" si="23"/>
        <v>#N/A</v>
      </c>
    </row>
    <row r="656" spans="2:6" x14ac:dyDescent="0.25">
      <c r="B656" s="3"/>
      <c r="C656" s="3"/>
      <c r="D656" s="3"/>
      <c r="E656" s="3" t="e">
        <f t="shared" si="22"/>
        <v>#N/A</v>
      </c>
      <c r="F656" s="3" t="e">
        <f t="shared" si="23"/>
        <v>#N/A</v>
      </c>
    </row>
    <row r="657" spans="2:6" x14ac:dyDescent="0.25">
      <c r="B657" s="3"/>
      <c r="C657" s="3"/>
      <c r="D657" s="3"/>
      <c r="E657" s="3" t="e">
        <f t="shared" si="22"/>
        <v>#N/A</v>
      </c>
      <c r="F657" s="3" t="e">
        <f t="shared" si="23"/>
        <v>#N/A</v>
      </c>
    </row>
    <row r="658" spans="2:6" x14ac:dyDescent="0.25">
      <c r="B658" s="3"/>
      <c r="C658" s="3"/>
      <c r="D658" s="3"/>
      <c r="E658" s="3" t="e">
        <f t="shared" si="22"/>
        <v>#N/A</v>
      </c>
      <c r="F658" s="3" t="e">
        <f t="shared" si="23"/>
        <v>#N/A</v>
      </c>
    </row>
    <row r="659" spans="2:6" x14ac:dyDescent="0.25">
      <c r="B659" s="3"/>
      <c r="C659" s="3"/>
      <c r="D659" s="3"/>
      <c r="E659" s="3" t="e">
        <f t="shared" si="22"/>
        <v>#N/A</v>
      </c>
      <c r="F659" s="3" t="e">
        <f t="shared" si="23"/>
        <v>#N/A</v>
      </c>
    </row>
    <row r="660" spans="2:6" x14ac:dyDescent="0.25">
      <c r="B660" s="3"/>
      <c r="C660" s="3"/>
      <c r="D660" s="3"/>
      <c r="E660" s="3" t="e">
        <f t="shared" si="22"/>
        <v>#N/A</v>
      </c>
      <c r="F660" s="3" t="e">
        <f t="shared" si="23"/>
        <v>#N/A</v>
      </c>
    </row>
    <row r="661" spans="2:6" x14ac:dyDescent="0.25">
      <c r="B661" s="3"/>
      <c r="C661" s="3"/>
      <c r="D661" s="3"/>
      <c r="E661" s="3" t="e">
        <f t="shared" si="22"/>
        <v>#N/A</v>
      </c>
      <c r="F661" s="3" t="e">
        <f t="shared" si="23"/>
        <v>#N/A</v>
      </c>
    </row>
    <row r="662" spans="2:6" x14ac:dyDescent="0.25">
      <c r="B662" s="3"/>
      <c r="C662" s="3"/>
      <c r="D662" s="3"/>
      <c r="E662" s="3" t="e">
        <f t="shared" si="22"/>
        <v>#N/A</v>
      </c>
      <c r="F662" s="3" t="e">
        <f t="shared" si="23"/>
        <v>#N/A</v>
      </c>
    </row>
    <row r="663" spans="2:6" x14ac:dyDescent="0.25">
      <c r="B663" s="3"/>
      <c r="C663" s="3"/>
      <c r="D663" s="3"/>
      <c r="E663" s="3" t="e">
        <f t="shared" si="22"/>
        <v>#N/A</v>
      </c>
      <c r="F663" s="3" t="e">
        <f t="shared" si="23"/>
        <v>#N/A</v>
      </c>
    </row>
    <row r="664" spans="2:6" x14ac:dyDescent="0.25">
      <c r="B664" s="3"/>
      <c r="C664" s="3"/>
      <c r="D664" s="3"/>
      <c r="E664" s="3" t="e">
        <f t="shared" si="22"/>
        <v>#N/A</v>
      </c>
      <c r="F664" s="3" t="e">
        <f t="shared" si="23"/>
        <v>#N/A</v>
      </c>
    </row>
    <row r="665" spans="2:6" x14ac:dyDescent="0.25">
      <c r="B665" s="3"/>
      <c r="C665" s="3"/>
      <c r="D665" s="3"/>
      <c r="E665" s="3" t="e">
        <f t="shared" si="22"/>
        <v>#N/A</v>
      </c>
      <c r="F665" s="3" t="e">
        <f t="shared" si="23"/>
        <v>#N/A</v>
      </c>
    </row>
    <row r="666" spans="2:6" x14ac:dyDescent="0.25">
      <c r="B666" s="3"/>
      <c r="C666" s="3"/>
      <c r="D666" s="3"/>
      <c r="E666" s="3" t="e">
        <f t="shared" si="22"/>
        <v>#N/A</v>
      </c>
      <c r="F666" s="3" t="e">
        <f t="shared" si="23"/>
        <v>#N/A</v>
      </c>
    </row>
    <row r="667" spans="2:6" x14ac:dyDescent="0.25">
      <c r="B667" s="3"/>
      <c r="C667" s="3"/>
      <c r="D667" s="3"/>
      <c r="E667" s="3" t="e">
        <f t="shared" si="22"/>
        <v>#N/A</v>
      </c>
      <c r="F667" s="3" t="e">
        <f t="shared" si="23"/>
        <v>#N/A</v>
      </c>
    </row>
    <row r="668" spans="2:6" x14ac:dyDescent="0.25">
      <c r="B668" s="3"/>
      <c r="C668" s="3"/>
      <c r="D668" s="3"/>
      <c r="E668" s="3" t="e">
        <f t="shared" si="22"/>
        <v>#N/A</v>
      </c>
      <c r="F668" s="3" t="e">
        <f t="shared" si="23"/>
        <v>#N/A</v>
      </c>
    </row>
    <row r="669" spans="2:6" x14ac:dyDescent="0.25">
      <c r="B669" s="3"/>
      <c r="C669" s="3"/>
      <c r="D669" s="3"/>
      <c r="E669" s="3" t="e">
        <f t="shared" si="22"/>
        <v>#N/A</v>
      </c>
      <c r="F669" s="3" t="e">
        <f t="shared" si="23"/>
        <v>#N/A</v>
      </c>
    </row>
    <row r="670" spans="2:6" x14ac:dyDescent="0.25">
      <c r="B670" s="3"/>
      <c r="C670" s="3"/>
      <c r="D670" s="3"/>
      <c r="E670" s="3" t="e">
        <f t="shared" si="22"/>
        <v>#N/A</v>
      </c>
      <c r="F670" s="3" t="e">
        <f t="shared" si="23"/>
        <v>#N/A</v>
      </c>
    </row>
    <row r="671" spans="2:6" x14ac:dyDescent="0.25">
      <c r="B671" s="3"/>
      <c r="C671" s="3"/>
      <c r="D671" s="3"/>
      <c r="E671" s="3" t="e">
        <f t="shared" si="22"/>
        <v>#N/A</v>
      </c>
      <c r="F671" s="3" t="e">
        <f t="shared" si="23"/>
        <v>#N/A</v>
      </c>
    </row>
    <row r="672" spans="2:6" x14ac:dyDescent="0.25">
      <c r="B672" s="3"/>
      <c r="C672" s="3"/>
      <c r="D672" s="3"/>
      <c r="E672" s="3" t="e">
        <f t="shared" si="22"/>
        <v>#N/A</v>
      </c>
      <c r="F672" s="3" t="e">
        <f t="shared" si="23"/>
        <v>#N/A</v>
      </c>
    </row>
    <row r="673" spans="2:6" x14ac:dyDescent="0.25">
      <c r="B673" s="3"/>
      <c r="C673" s="3"/>
      <c r="D673" s="3"/>
      <c r="E673" s="3" t="e">
        <f t="shared" si="22"/>
        <v>#N/A</v>
      </c>
      <c r="F673" s="3" t="e">
        <f t="shared" si="23"/>
        <v>#N/A</v>
      </c>
    </row>
    <row r="674" spans="2:6" x14ac:dyDescent="0.25">
      <c r="B674" s="3"/>
      <c r="C674" s="3"/>
      <c r="D674" s="3"/>
      <c r="E674" s="3" t="e">
        <f t="shared" si="22"/>
        <v>#N/A</v>
      </c>
      <c r="F674" s="3" t="e">
        <f t="shared" si="23"/>
        <v>#N/A</v>
      </c>
    </row>
    <row r="675" spans="2:6" x14ac:dyDescent="0.25">
      <c r="B675" s="3"/>
      <c r="C675" s="3"/>
      <c r="D675" s="3"/>
      <c r="E675" s="3" t="e">
        <f t="shared" si="22"/>
        <v>#N/A</v>
      </c>
      <c r="F675" s="3" t="e">
        <f t="shared" si="23"/>
        <v>#N/A</v>
      </c>
    </row>
    <row r="676" spans="2:6" x14ac:dyDescent="0.25">
      <c r="B676" s="3"/>
      <c r="C676" s="3"/>
      <c r="D676" s="3"/>
      <c r="E676" s="3" t="e">
        <f t="shared" si="22"/>
        <v>#N/A</v>
      </c>
      <c r="F676" s="3" t="e">
        <f t="shared" si="23"/>
        <v>#N/A</v>
      </c>
    </row>
    <row r="677" spans="2:6" x14ac:dyDescent="0.25">
      <c r="B677" s="3"/>
      <c r="C677" s="3"/>
      <c r="D677" s="3"/>
      <c r="E677" s="3" t="e">
        <f t="shared" si="22"/>
        <v>#N/A</v>
      </c>
      <c r="F677" s="3" t="e">
        <f t="shared" si="23"/>
        <v>#N/A</v>
      </c>
    </row>
    <row r="678" spans="2:6" x14ac:dyDescent="0.25">
      <c r="B678" s="3"/>
      <c r="C678" s="3"/>
      <c r="D678" s="3"/>
      <c r="E678" s="3" t="e">
        <f t="shared" si="22"/>
        <v>#N/A</v>
      </c>
      <c r="F678" s="3" t="e">
        <f t="shared" si="23"/>
        <v>#N/A</v>
      </c>
    </row>
    <row r="679" spans="2:6" x14ac:dyDescent="0.25">
      <c r="B679" s="3"/>
      <c r="C679" s="3"/>
      <c r="D679" s="3"/>
      <c r="E679" s="3" t="e">
        <f t="shared" si="22"/>
        <v>#N/A</v>
      </c>
      <c r="F679" s="3" t="e">
        <f t="shared" si="23"/>
        <v>#N/A</v>
      </c>
    </row>
    <row r="680" spans="2:6" x14ac:dyDescent="0.25">
      <c r="B680" s="3"/>
      <c r="C680" s="3"/>
      <c r="D680" s="3"/>
      <c r="E680" s="3" t="e">
        <f t="shared" si="22"/>
        <v>#N/A</v>
      </c>
      <c r="F680" s="3" t="e">
        <f t="shared" si="23"/>
        <v>#N/A</v>
      </c>
    </row>
    <row r="681" spans="2:6" x14ac:dyDescent="0.25">
      <c r="B681" s="3"/>
      <c r="C681" s="3"/>
      <c r="D681" s="3"/>
      <c r="E681" s="3" t="e">
        <f t="shared" si="22"/>
        <v>#N/A</v>
      </c>
      <c r="F681" s="3" t="e">
        <f t="shared" si="23"/>
        <v>#N/A</v>
      </c>
    </row>
    <row r="682" spans="2:6" x14ac:dyDescent="0.25">
      <c r="B682" s="3"/>
      <c r="C682" s="3"/>
      <c r="D682" s="3"/>
      <c r="E682" s="3" t="e">
        <f t="shared" si="22"/>
        <v>#N/A</v>
      </c>
      <c r="F682" s="3" t="e">
        <f t="shared" si="23"/>
        <v>#N/A</v>
      </c>
    </row>
    <row r="683" spans="2:6" x14ac:dyDescent="0.25">
      <c r="B683" s="3"/>
      <c r="C683" s="3"/>
      <c r="D683" s="3"/>
      <c r="E683" s="3" t="e">
        <f t="shared" si="22"/>
        <v>#N/A</v>
      </c>
      <c r="F683" s="3" t="e">
        <f t="shared" si="23"/>
        <v>#N/A</v>
      </c>
    </row>
    <row r="684" spans="2:6" x14ac:dyDescent="0.25">
      <c r="B684" s="3"/>
      <c r="C684" s="3"/>
      <c r="D684" s="3"/>
      <c r="E684" s="3" t="e">
        <f t="shared" si="22"/>
        <v>#N/A</v>
      </c>
      <c r="F684" s="3" t="e">
        <f t="shared" si="23"/>
        <v>#N/A</v>
      </c>
    </row>
    <row r="685" spans="2:6" x14ac:dyDescent="0.25">
      <c r="B685" s="3"/>
      <c r="C685" s="3"/>
      <c r="D685" s="3"/>
      <c r="E685" s="3" t="e">
        <f t="shared" si="22"/>
        <v>#N/A</v>
      </c>
      <c r="F685" s="3" t="e">
        <f t="shared" si="23"/>
        <v>#N/A</v>
      </c>
    </row>
    <row r="686" spans="2:6" x14ac:dyDescent="0.25">
      <c r="B686" s="3"/>
      <c r="C686" s="3"/>
      <c r="D686" s="3"/>
      <c r="E686" s="3" t="e">
        <f t="shared" si="22"/>
        <v>#N/A</v>
      </c>
      <c r="F686" s="3" t="e">
        <f t="shared" si="23"/>
        <v>#N/A</v>
      </c>
    </row>
    <row r="687" spans="2:6" x14ac:dyDescent="0.25">
      <c r="B687" s="3"/>
      <c r="C687" s="3"/>
      <c r="D687" s="3"/>
      <c r="E687" s="3" t="e">
        <f t="shared" si="22"/>
        <v>#N/A</v>
      </c>
      <c r="F687" s="3" t="e">
        <f t="shared" si="23"/>
        <v>#N/A</v>
      </c>
    </row>
    <row r="688" spans="2:6" x14ac:dyDescent="0.25">
      <c r="B688" s="3"/>
      <c r="C688" s="3"/>
      <c r="D688" s="3"/>
      <c r="E688" s="3" t="e">
        <f t="shared" si="22"/>
        <v>#N/A</v>
      </c>
      <c r="F688" s="3" t="e">
        <f t="shared" si="23"/>
        <v>#N/A</v>
      </c>
    </row>
    <row r="689" spans="2:6" x14ac:dyDescent="0.25">
      <c r="B689" s="3"/>
      <c r="C689" s="3"/>
      <c r="D689" s="3"/>
      <c r="E689" s="3" t="e">
        <f t="shared" si="22"/>
        <v>#N/A</v>
      </c>
      <c r="F689" s="3" t="e">
        <f t="shared" si="23"/>
        <v>#N/A</v>
      </c>
    </row>
    <row r="690" spans="2:6" x14ac:dyDescent="0.25">
      <c r="B690" s="3"/>
      <c r="C690" s="3"/>
      <c r="D690" s="3"/>
      <c r="E690" s="3" t="e">
        <f t="shared" si="22"/>
        <v>#N/A</v>
      </c>
      <c r="F690" s="3" t="e">
        <f t="shared" si="23"/>
        <v>#N/A</v>
      </c>
    </row>
    <row r="691" spans="2:6" x14ac:dyDescent="0.25">
      <c r="B691" s="3"/>
      <c r="C691" s="3"/>
      <c r="D691" s="3"/>
      <c r="E691" s="3" t="e">
        <f t="shared" si="22"/>
        <v>#N/A</v>
      </c>
      <c r="F691" s="3" t="e">
        <f t="shared" si="23"/>
        <v>#N/A</v>
      </c>
    </row>
    <row r="692" spans="2:6" x14ac:dyDescent="0.25">
      <c r="B692" s="3"/>
      <c r="C692" s="3"/>
      <c r="D692" s="3"/>
      <c r="E692" s="3" t="e">
        <f t="shared" si="22"/>
        <v>#N/A</v>
      </c>
      <c r="F692" s="3" t="e">
        <f t="shared" si="23"/>
        <v>#N/A</v>
      </c>
    </row>
    <row r="693" spans="2:6" x14ac:dyDescent="0.25">
      <c r="B693" s="3"/>
      <c r="C693" s="3"/>
      <c r="D693" s="3"/>
      <c r="E693" s="3" t="e">
        <f t="shared" si="22"/>
        <v>#N/A</v>
      </c>
      <c r="F693" s="3" t="e">
        <f t="shared" si="23"/>
        <v>#N/A</v>
      </c>
    </row>
    <row r="694" spans="2:6" x14ac:dyDescent="0.25">
      <c r="B694" s="3"/>
      <c r="C694" s="3"/>
      <c r="D694" s="3"/>
      <c r="E694" s="3" t="e">
        <f t="shared" si="22"/>
        <v>#N/A</v>
      </c>
      <c r="F694" s="3" t="e">
        <f t="shared" si="23"/>
        <v>#N/A</v>
      </c>
    </row>
    <row r="695" spans="2:6" x14ac:dyDescent="0.25">
      <c r="B695" s="3"/>
      <c r="C695" s="3"/>
      <c r="D695" s="3"/>
      <c r="E695" s="3" t="e">
        <f t="shared" si="22"/>
        <v>#N/A</v>
      </c>
      <c r="F695" s="3" t="e">
        <f t="shared" si="23"/>
        <v>#N/A</v>
      </c>
    </row>
    <row r="696" spans="2:6" x14ac:dyDescent="0.25">
      <c r="B696" s="3"/>
      <c r="C696" s="3"/>
      <c r="D696" s="3"/>
      <c r="E696" s="3" t="e">
        <f t="shared" si="22"/>
        <v>#N/A</v>
      </c>
      <c r="F696" s="3" t="e">
        <f t="shared" si="23"/>
        <v>#N/A</v>
      </c>
    </row>
    <row r="697" spans="2:6" x14ac:dyDescent="0.25">
      <c r="B697" s="3"/>
      <c r="C697" s="3"/>
      <c r="D697" s="3"/>
      <c r="E697" s="3" t="e">
        <f t="shared" si="22"/>
        <v>#N/A</v>
      </c>
      <c r="F697" s="3" t="e">
        <f t="shared" si="23"/>
        <v>#N/A</v>
      </c>
    </row>
    <row r="698" spans="2:6" x14ac:dyDescent="0.25">
      <c r="B698" s="3"/>
      <c r="C698" s="3"/>
      <c r="D698" s="3"/>
      <c r="E698" s="3" t="e">
        <f t="shared" si="22"/>
        <v>#N/A</v>
      </c>
      <c r="F698" s="3" t="e">
        <f t="shared" si="23"/>
        <v>#N/A</v>
      </c>
    </row>
    <row r="699" spans="2:6" x14ac:dyDescent="0.25">
      <c r="B699" s="3"/>
      <c r="C699" s="3"/>
      <c r="D699" s="3"/>
      <c r="E699" s="3" t="e">
        <f t="shared" si="22"/>
        <v>#N/A</v>
      </c>
      <c r="F699" s="3" t="e">
        <f t="shared" si="23"/>
        <v>#N/A</v>
      </c>
    </row>
    <row r="700" spans="2:6" x14ac:dyDescent="0.25">
      <c r="B700" s="3"/>
      <c r="C700" s="3"/>
      <c r="D700" s="3"/>
      <c r="E700" s="3" t="e">
        <f t="shared" si="22"/>
        <v>#N/A</v>
      </c>
      <c r="F700" s="3" t="e">
        <f t="shared" si="23"/>
        <v>#N/A</v>
      </c>
    </row>
    <row r="701" spans="2:6" x14ac:dyDescent="0.25">
      <c r="B701" s="3"/>
      <c r="C701" s="3"/>
      <c r="D701" s="3"/>
      <c r="E701" s="3" t="e">
        <f t="shared" si="22"/>
        <v>#N/A</v>
      </c>
      <c r="F701" s="3" t="e">
        <f t="shared" si="23"/>
        <v>#N/A</v>
      </c>
    </row>
    <row r="702" spans="2:6" x14ac:dyDescent="0.25">
      <c r="B702" s="3"/>
      <c r="C702" s="3"/>
      <c r="D702" s="3"/>
      <c r="E702" s="3" t="e">
        <f t="shared" si="22"/>
        <v>#N/A</v>
      </c>
      <c r="F702" s="3" t="e">
        <f t="shared" si="23"/>
        <v>#N/A</v>
      </c>
    </row>
    <row r="703" spans="2:6" x14ac:dyDescent="0.25">
      <c r="B703" s="3"/>
      <c r="C703" s="3"/>
      <c r="D703" s="3"/>
      <c r="E703" s="3" t="e">
        <f t="shared" si="22"/>
        <v>#N/A</v>
      </c>
      <c r="F703" s="3" t="e">
        <f t="shared" si="23"/>
        <v>#N/A</v>
      </c>
    </row>
    <row r="704" spans="2:6" x14ac:dyDescent="0.25">
      <c r="B704" s="3"/>
      <c r="C704" s="3"/>
      <c r="D704" s="3"/>
      <c r="E704" s="3" t="e">
        <f t="shared" si="22"/>
        <v>#N/A</v>
      </c>
      <c r="F704" s="3" t="e">
        <f t="shared" si="23"/>
        <v>#N/A</v>
      </c>
    </row>
    <row r="705" spans="2:6" x14ac:dyDescent="0.25">
      <c r="B705" s="3"/>
      <c r="C705" s="3"/>
      <c r="D705" s="3"/>
      <c r="E705" s="3" t="e">
        <f t="shared" si="22"/>
        <v>#N/A</v>
      </c>
      <c r="F705" s="3" t="e">
        <f t="shared" si="23"/>
        <v>#N/A</v>
      </c>
    </row>
    <row r="706" spans="2:6" x14ac:dyDescent="0.25">
      <c r="B706" s="3"/>
      <c r="C706" s="3"/>
      <c r="D706" s="3"/>
      <c r="E706" s="3" t="e">
        <f t="shared" si="22"/>
        <v>#N/A</v>
      </c>
      <c r="F706" s="3" t="e">
        <f t="shared" si="23"/>
        <v>#N/A</v>
      </c>
    </row>
    <row r="707" spans="2:6" x14ac:dyDescent="0.25">
      <c r="B707" s="3"/>
      <c r="C707" s="3"/>
      <c r="D707" s="3"/>
      <c r="E707" s="3" t="e">
        <f t="shared" si="22"/>
        <v>#N/A</v>
      </c>
      <c r="F707" s="3" t="e">
        <f t="shared" si="23"/>
        <v>#N/A</v>
      </c>
    </row>
    <row r="708" spans="2:6" x14ac:dyDescent="0.25">
      <c r="B708" s="3"/>
      <c r="C708" s="3"/>
      <c r="D708" s="3"/>
      <c r="E708" s="3" t="e">
        <f t="shared" ref="E708:E771" si="24">VLOOKUP(C708,I:J,2,0)</f>
        <v>#N/A</v>
      </c>
      <c r="F708" s="3" t="e">
        <f t="shared" ref="F708:F771" si="25">E708&amp;" "&amp;B708</f>
        <v>#N/A</v>
      </c>
    </row>
    <row r="709" spans="2:6" x14ac:dyDescent="0.25">
      <c r="B709" s="3"/>
      <c r="C709" s="3"/>
      <c r="D709" s="3"/>
      <c r="E709" s="3" t="e">
        <f t="shared" si="24"/>
        <v>#N/A</v>
      </c>
      <c r="F709" s="3" t="e">
        <f t="shared" si="25"/>
        <v>#N/A</v>
      </c>
    </row>
    <row r="710" spans="2:6" x14ac:dyDescent="0.25">
      <c r="B710" s="3"/>
      <c r="C710" s="3"/>
      <c r="D710" s="3"/>
      <c r="E710" s="3" t="e">
        <f t="shared" si="24"/>
        <v>#N/A</v>
      </c>
      <c r="F710" s="3" t="e">
        <f t="shared" si="25"/>
        <v>#N/A</v>
      </c>
    </row>
    <row r="711" spans="2:6" x14ac:dyDescent="0.25">
      <c r="B711" s="3"/>
      <c r="C711" s="3"/>
      <c r="D711" s="3"/>
      <c r="E711" s="3" t="e">
        <f t="shared" si="24"/>
        <v>#N/A</v>
      </c>
      <c r="F711" s="3" t="e">
        <f t="shared" si="25"/>
        <v>#N/A</v>
      </c>
    </row>
    <row r="712" spans="2:6" x14ac:dyDescent="0.25">
      <c r="B712" s="3"/>
      <c r="C712" s="3"/>
      <c r="D712" s="3"/>
      <c r="E712" s="3" t="e">
        <f t="shared" si="24"/>
        <v>#N/A</v>
      </c>
      <c r="F712" s="3" t="e">
        <f t="shared" si="25"/>
        <v>#N/A</v>
      </c>
    </row>
    <row r="713" spans="2:6" x14ac:dyDescent="0.25">
      <c r="B713" s="3"/>
      <c r="C713" s="3"/>
      <c r="D713" s="3"/>
      <c r="E713" s="3" t="e">
        <f t="shared" si="24"/>
        <v>#N/A</v>
      </c>
      <c r="F713" s="3" t="e">
        <f t="shared" si="25"/>
        <v>#N/A</v>
      </c>
    </row>
    <row r="714" spans="2:6" x14ac:dyDescent="0.25">
      <c r="B714" s="3"/>
      <c r="C714" s="3"/>
      <c r="D714" s="3"/>
      <c r="E714" s="3" t="e">
        <f t="shared" si="24"/>
        <v>#N/A</v>
      </c>
      <c r="F714" s="3" t="e">
        <f t="shared" si="25"/>
        <v>#N/A</v>
      </c>
    </row>
    <row r="715" spans="2:6" x14ac:dyDescent="0.25">
      <c r="B715" s="3"/>
      <c r="C715" s="3"/>
      <c r="D715" s="3"/>
      <c r="E715" s="3" t="e">
        <f t="shared" si="24"/>
        <v>#N/A</v>
      </c>
      <c r="F715" s="3" t="e">
        <f t="shared" si="25"/>
        <v>#N/A</v>
      </c>
    </row>
    <row r="716" spans="2:6" x14ac:dyDescent="0.25">
      <c r="B716" s="3"/>
      <c r="C716" s="3"/>
      <c r="D716" s="3"/>
      <c r="E716" s="3" t="e">
        <f t="shared" si="24"/>
        <v>#N/A</v>
      </c>
      <c r="F716" s="3" t="e">
        <f t="shared" si="25"/>
        <v>#N/A</v>
      </c>
    </row>
    <row r="717" spans="2:6" x14ac:dyDescent="0.25">
      <c r="B717" s="3"/>
      <c r="C717" s="3"/>
      <c r="D717" s="3"/>
      <c r="E717" s="3" t="e">
        <f t="shared" si="24"/>
        <v>#N/A</v>
      </c>
      <c r="F717" s="3" t="e">
        <f t="shared" si="25"/>
        <v>#N/A</v>
      </c>
    </row>
    <row r="718" spans="2:6" x14ac:dyDescent="0.25">
      <c r="B718" s="3"/>
      <c r="C718" s="3"/>
      <c r="D718" s="3"/>
      <c r="E718" s="3" t="e">
        <f t="shared" si="24"/>
        <v>#N/A</v>
      </c>
      <c r="F718" s="3" t="e">
        <f t="shared" si="25"/>
        <v>#N/A</v>
      </c>
    </row>
    <row r="719" spans="2:6" x14ac:dyDescent="0.25">
      <c r="B719" s="3"/>
      <c r="C719" s="3"/>
      <c r="D719" s="3"/>
      <c r="E719" s="3" t="e">
        <f t="shared" si="24"/>
        <v>#N/A</v>
      </c>
      <c r="F719" s="3" t="e">
        <f t="shared" si="25"/>
        <v>#N/A</v>
      </c>
    </row>
    <row r="720" spans="2:6" x14ac:dyDescent="0.25">
      <c r="B720" s="3"/>
      <c r="C720" s="3"/>
      <c r="D720" s="3"/>
      <c r="E720" s="3" t="e">
        <f t="shared" si="24"/>
        <v>#N/A</v>
      </c>
      <c r="F720" s="3" t="e">
        <f t="shared" si="25"/>
        <v>#N/A</v>
      </c>
    </row>
    <row r="721" spans="2:6" x14ac:dyDescent="0.25">
      <c r="B721" s="3"/>
      <c r="C721" s="3"/>
      <c r="D721" s="3"/>
      <c r="E721" s="3" t="e">
        <f t="shared" si="24"/>
        <v>#N/A</v>
      </c>
      <c r="F721" s="3" t="e">
        <f t="shared" si="25"/>
        <v>#N/A</v>
      </c>
    </row>
    <row r="722" spans="2:6" x14ac:dyDescent="0.25">
      <c r="B722" s="3"/>
      <c r="C722" s="3"/>
      <c r="D722" s="3"/>
      <c r="E722" s="3" t="e">
        <f t="shared" si="24"/>
        <v>#N/A</v>
      </c>
      <c r="F722" s="3" t="e">
        <f t="shared" si="25"/>
        <v>#N/A</v>
      </c>
    </row>
    <row r="723" spans="2:6" x14ac:dyDescent="0.25">
      <c r="B723" s="3"/>
      <c r="C723" s="3"/>
      <c r="D723" s="3"/>
      <c r="E723" s="3" t="e">
        <f t="shared" si="24"/>
        <v>#N/A</v>
      </c>
      <c r="F723" s="3" t="e">
        <f t="shared" si="25"/>
        <v>#N/A</v>
      </c>
    </row>
    <row r="724" spans="2:6" x14ac:dyDescent="0.25">
      <c r="B724" s="3"/>
      <c r="C724" s="3"/>
      <c r="D724" s="3"/>
      <c r="E724" s="3" t="e">
        <f t="shared" si="24"/>
        <v>#N/A</v>
      </c>
      <c r="F724" s="3" t="e">
        <f t="shared" si="25"/>
        <v>#N/A</v>
      </c>
    </row>
    <row r="725" spans="2:6" x14ac:dyDescent="0.25">
      <c r="B725" s="3"/>
      <c r="C725" s="3"/>
      <c r="D725" s="3"/>
      <c r="E725" s="3" t="e">
        <f t="shared" si="24"/>
        <v>#N/A</v>
      </c>
      <c r="F725" s="3" t="e">
        <f t="shared" si="25"/>
        <v>#N/A</v>
      </c>
    </row>
    <row r="726" spans="2:6" x14ac:dyDescent="0.25">
      <c r="B726" s="3"/>
      <c r="C726" s="3"/>
      <c r="D726" s="3"/>
      <c r="E726" s="3" t="e">
        <f t="shared" si="24"/>
        <v>#N/A</v>
      </c>
      <c r="F726" s="3" t="e">
        <f t="shared" si="25"/>
        <v>#N/A</v>
      </c>
    </row>
    <row r="727" spans="2:6" x14ac:dyDescent="0.25">
      <c r="B727" s="3"/>
      <c r="C727" s="3"/>
      <c r="D727" s="3"/>
      <c r="E727" s="3" t="e">
        <f t="shared" si="24"/>
        <v>#N/A</v>
      </c>
      <c r="F727" s="3" t="e">
        <f t="shared" si="25"/>
        <v>#N/A</v>
      </c>
    </row>
    <row r="728" spans="2:6" x14ac:dyDescent="0.25">
      <c r="B728" s="3"/>
      <c r="C728" s="3"/>
      <c r="D728" s="3"/>
      <c r="E728" s="3" t="e">
        <f t="shared" si="24"/>
        <v>#N/A</v>
      </c>
      <c r="F728" s="3" t="e">
        <f t="shared" si="25"/>
        <v>#N/A</v>
      </c>
    </row>
    <row r="729" spans="2:6" x14ac:dyDescent="0.25">
      <c r="B729" s="3"/>
      <c r="C729" s="3"/>
      <c r="D729" s="3"/>
      <c r="E729" s="3" t="e">
        <f t="shared" si="24"/>
        <v>#N/A</v>
      </c>
      <c r="F729" s="3" t="e">
        <f t="shared" si="25"/>
        <v>#N/A</v>
      </c>
    </row>
    <row r="730" spans="2:6" x14ac:dyDescent="0.25">
      <c r="B730" s="3"/>
      <c r="C730" s="3"/>
      <c r="D730" s="3"/>
      <c r="E730" s="3" t="e">
        <f t="shared" si="24"/>
        <v>#N/A</v>
      </c>
      <c r="F730" s="3" t="e">
        <f t="shared" si="25"/>
        <v>#N/A</v>
      </c>
    </row>
    <row r="731" spans="2:6" x14ac:dyDescent="0.25">
      <c r="B731" s="3"/>
      <c r="C731" s="3"/>
      <c r="D731" s="3"/>
      <c r="E731" s="3" t="e">
        <f t="shared" si="24"/>
        <v>#N/A</v>
      </c>
      <c r="F731" s="3" t="e">
        <f t="shared" si="25"/>
        <v>#N/A</v>
      </c>
    </row>
    <row r="732" spans="2:6" x14ac:dyDescent="0.25">
      <c r="B732" s="3"/>
      <c r="C732" s="3"/>
      <c r="D732" s="3"/>
      <c r="E732" s="3" t="e">
        <f t="shared" si="24"/>
        <v>#N/A</v>
      </c>
      <c r="F732" s="3" t="e">
        <f t="shared" si="25"/>
        <v>#N/A</v>
      </c>
    </row>
    <row r="733" spans="2:6" x14ac:dyDescent="0.25">
      <c r="B733" s="3"/>
      <c r="C733" s="3"/>
      <c r="D733" s="3"/>
      <c r="E733" s="3" t="e">
        <f t="shared" si="24"/>
        <v>#N/A</v>
      </c>
      <c r="F733" s="3" t="e">
        <f t="shared" si="25"/>
        <v>#N/A</v>
      </c>
    </row>
    <row r="734" spans="2:6" x14ac:dyDescent="0.25">
      <c r="B734" s="3"/>
      <c r="C734" s="3"/>
      <c r="D734" s="3"/>
      <c r="E734" s="3" t="e">
        <f t="shared" si="24"/>
        <v>#N/A</v>
      </c>
      <c r="F734" s="3" t="e">
        <f t="shared" si="25"/>
        <v>#N/A</v>
      </c>
    </row>
    <row r="735" spans="2:6" x14ac:dyDescent="0.25">
      <c r="B735" s="3"/>
      <c r="C735" s="3"/>
      <c r="D735" s="3"/>
      <c r="E735" s="3" t="e">
        <f t="shared" si="24"/>
        <v>#N/A</v>
      </c>
      <c r="F735" s="3" t="e">
        <f t="shared" si="25"/>
        <v>#N/A</v>
      </c>
    </row>
    <row r="736" spans="2:6" x14ac:dyDescent="0.25">
      <c r="B736" s="3"/>
      <c r="C736" s="3"/>
      <c r="D736" s="3"/>
      <c r="E736" s="3" t="e">
        <f t="shared" si="24"/>
        <v>#N/A</v>
      </c>
      <c r="F736" s="3" t="e">
        <f t="shared" si="25"/>
        <v>#N/A</v>
      </c>
    </row>
    <row r="737" spans="2:6" x14ac:dyDescent="0.25">
      <c r="B737" s="3"/>
      <c r="C737" s="3"/>
      <c r="D737" s="3"/>
      <c r="E737" s="3" t="e">
        <f t="shared" si="24"/>
        <v>#N/A</v>
      </c>
      <c r="F737" s="3" t="e">
        <f t="shared" si="25"/>
        <v>#N/A</v>
      </c>
    </row>
    <row r="738" spans="2:6" x14ac:dyDescent="0.25">
      <c r="B738" s="3"/>
      <c r="C738" s="3"/>
      <c r="D738" s="3"/>
      <c r="E738" s="3" t="e">
        <f t="shared" si="24"/>
        <v>#N/A</v>
      </c>
      <c r="F738" s="3" t="e">
        <f t="shared" si="25"/>
        <v>#N/A</v>
      </c>
    </row>
    <row r="739" spans="2:6" x14ac:dyDescent="0.25">
      <c r="B739" s="3"/>
      <c r="C739" s="3"/>
      <c r="D739" s="3"/>
      <c r="E739" s="3" t="e">
        <f t="shared" si="24"/>
        <v>#N/A</v>
      </c>
      <c r="F739" s="3" t="e">
        <f t="shared" si="25"/>
        <v>#N/A</v>
      </c>
    </row>
    <row r="740" spans="2:6" x14ac:dyDescent="0.25">
      <c r="B740" s="3"/>
      <c r="C740" s="3"/>
      <c r="D740" s="3"/>
      <c r="E740" s="3" t="e">
        <f t="shared" si="24"/>
        <v>#N/A</v>
      </c>
      <c r="F740" s="3" t="e">
        <f t="shared" si="25"/>
        <v>#N/A</v>
      </c>
    </row>
    <row r="741" spans="2:6" x14ac:dyDescent="0.25">
      <c r="B741" s="3"/>
      <c r="C741" s="3"/>
      <c r="D741" s="3"/>
      <c r="E741" s="3" t="e">
        <f t="shared" si="24"/>
        <v>#N/A</v>
      </c>
      <c r="F741" s="3" t="e">
        <f t="shared" si="25"/>
        <v>#N/A</v>
      </c>
    </row>
    <row r="742" spans="2:6" x14ac:dyDescent="0.25">
      <c r="B742" s="3"/>
      <c r="C742" s="3"/>
      <c r="D742" s="3"/>
      <c r="E742" s="3" t="e">
        <f t="shared" si="24"/>
        <v>#N/A</v>
      </c>
      <c r="F742" s="3" t="e">
        <f t="shared" si="25"/>
        <v>#N/A</v>
      </c>
    </row>
    <row r="743" spans="2:6" x14ac:dyDescent="0.25">
      <c r="B743" s="3"/>
      <c r="C743" s="3"/>
      <c r="D743" s="3"/>
      <c r="E743" s="3" t="e">
        <f t="shared" si="24"/>
        <v>#N/A</v>
      </c>
      <c r="F743" s="3" t="e">
        <f t="shared" si="25"/>
        <v>#N/A</v>
      </c>
    </row>
    <row r="744" spans="2:6" x14ac:dyDescent="0.25">
      <c r="B744" s="3"/>
      <c r="C744" s="3"/>
      <c r="D744" s="3"/>
      <c r="E744" s="3" t="e">
        <f t="shared" si="24"/>
        <v>#N/A</v>
      </c>
      <c r="F744" s="3" t="e">
        <f t="shared" si="25"/>
        <v>#N/A</v>
      </c>
    </row>
    <row r="745" spans="2:6" x14ac:dyDescent="0.25">
      <c r="B745" s="3"/>
      <c r="C745" s="3"/>
      <c r="D745" s="3"/>
      <c r="E745" s="3" t="e">
        <f t="shared" si="24"/>
        <v>#N/A</v>
      </c>
      <c r="F745" s="3" t="e">
        <f t="shared" si="25"/>
        <v>#N/A</v>
      </c>
    </row>
    <row r="746" spans="2:6" x14ac:dyDescent="0.25">
      <c r="B746" s="3"/>
      <c r="C746" s="3"/>
      <c r="D746" s="3"/>
      <c r="E746" s="3" t="e">
        <f t="shared" si="24"/>
        <v>#N/A</v>
      </c>
      <c r="F746" s="3" t="e">
        <f t="shared" si="25"/>
        <v>#N/A</v>
      </c>
    </row>
    <row r="747" spans="2:6" x14ac:dyDescent="0.25">
      <c r="B747" s="3"/>
      <c r="C747" s="3"/>
      <c r="D747" s="3"/>
      <c r="E747" s="3" t="e">
        <f t="shared" si="24"/>
        <v>#N/A</v>
      </c>
      <c r="F747" s="3" t="e">
        <f t="shared" si="25"/>
        <v>#N/A</v>
      </c>
    </row>
    <row r="748" spans="2:6" x14ac:dyDescent="0.25">
      <c r="B748" s="3"/>
      <c r="C748" s="3"/>
      <c r="D748" s="3"/>
      <c r="E748" s="3" t="e">
        <f t="shared" si="24"/>
        <v>#N/A</v>
      </c>
      <c r="F748" s="3" t="e">
        <f t="shared" si="25"/>
        <v>#N/A</v>
      </c>
    </row>
    <row r="749" spans="2:6" x14ac:dyDescent="0.25">
      <c r="B749" s="3"/>
      <c r="C749" s="3"/>
      <c r="D749" s="3"/>
      <c r="E749" s="3" t="e">
        <f t="shared" si="24"/>
        <v>#N/A</v>
      </c>
      <c r="F749" s="3" t="e">
        <f t="shared" si="25"/>
        <v>#N/A</v>
      </c>
    </row>
    <row r="750" spans="2:6" x14ac:dyDescent="0.25">
      <c r="B750" s="3"/>
      <c r="C750" s="3"/>
      <c r="D750" s="3"/>
      <c r="E750" s="3" t="e">
        <f t="shared" si="24"/>
        <v>#N/A</v>
      </c>
      <c r="F750" s="3" t="e">
        <f t="shared" si="25"/>
        <v>#N/A</v>
      </c>
    </row>
    <row r="751" spans="2:6" x14ac:dyDescent="0.25">
      <c r="B751" s="3"/>
      <c r="C751" s="3"/>
      <c r="D751" s="3"/>
      <c r="E751" s="3" t="e">
        <f t="shared" si="24"/>
        <v>#N/A</v>
      </c>
      <c r="F751" s="3" t="e">
        <f t="shared" si="25"/>
        <v>#N/A</v>
      </c>
    </row>
    <row r="752" spans="2:6" x14ac:dyDescent="0.25">
      <c r="B752" s="3"/>
      <c r="C752" s="3"/>
      <c r="D752" s="3"/>
      <c r="E752" s="3" t="e">
        <f t="shared" si="24"/>
        <v>#N/A</v>
      </c>
      <c r="F752" s="3" t="e">
        <f t="shared" si="25"/>
        <v>#N/A</v>
      </c>
    </row>
    <row r="753" spans="2:6" x14ac:dyDescent="0.25">
      <c r="B753" s="3"/>
      <c r="C753" s="3"/>
      <c r="D753" s="3"/>
      <c r="E753" s="3" t="e">
        <f t="shared" si="24"/>
        <v>#N/A</v>
      </c>
      <c r="F753" s="3" t="e">
        <f t="shared" si="25"/>
        <v>#N/A</v>
      </c>
    </row>
    <row r="754" spans="2:6" x14ac:dyDescent="0.25">
      <c r="B754" s="3"/>
      <c r="C754" s="3"/>
      <c r="D754" s="3"/>
      <c r="E754" s="3" t="e">
        <f t="shared" si="24"/>
        <v>#N/A</v>
      </c>
      <c r="F754" s="3" t="e">
        <f t="shared" si="25"/>
        <v>#N/A</v>
      </c>
    </row>
    <row r="755" spans="2:6" x14ac:dyDescent="0.25">
      <c r="B755" s="3"/>
      <c r="C755" s="3"/>
      <c r="D755" s="3"/>
      <c r="E755" s="3" t="e">
        <f t="shared" si="24"/>
        <v>#N/A</v>
      </c>
      <c r="F755" s="3" t="e">
        <f t="shared" si="25"/>
        <v>#N/A</v>
      </c>
    </row>
    <row r="756" spans="2:6" x14ac:dyDescent="0.25">
      <c r="B756" s="3"/>
      <c r="C756" s="3"/>
      <c r="D756" s="3"/>
      <c r="E756" s="3" t="e">
        <f t="shared" si="24"/>
        <v>#N/A</v>
      </c>
      <c r="F756" s="3" t="e">
        <f t="shared" si="25"/>
        <v>#N/A</v>
      </c>
    </row>
    <row r="757" spans="2:6" x14ac:dyDescent="0.25">
      <c r="B757" s="3"/>
      <c r="C757" s="3"/>
      <c r="D757" s="3"/>
      <c r="E757" s="3" t="e">
        <f t="shared" si="24"/>
        <v>#N/A</v>
      </c>
      <c r="F757" s="3" t="e">
        <f t="shared" si="25"/>
        <v>#N/A</v>
      </c>
    </row>
    <row r="758" spans="2:6" x14ac:dyDescent="0.25">
      <c r="B758" s="3"/>
      <c r="C758" s="3"/>
      <c r="D758" s="3"/>
      <c r="E758" s="3" t="e">
        <f t="shared" si="24"/>
        <v>#N/A</v>
      </c>
      <c r="F758" s="3" t="e">
        <f t="shared" si="25"/>
        <v>#N/A</v>
      </c>
    </row>
    <row r="759" spans="2:6" x14ac:dyDescent="0.25">
      <c r="B759" s="3"/>
      <c r="C759" s="3"/>
      <c r="D759" s="3"/>
      <c r="E759" s="3" t="e">
        <f t="shared" si="24"/>
        <v>#N/A</v>
      </c>
      <c r="F759" s="3" t="e">
        <f t="shared" si="25"/>
        <v>#N/A</v>
      </c>
    </row>
    <row r="760" spans="2:6" x14ac:dyDescent="0.25">
      <c r="B760" s="3"/>
      <c r="C760" s="3"/>
      <c r="D760" s="3"/>
      <c r="E760" s="3" t="e">
        <f t="shared" si="24"/>
        <v>#N/A</v>
      </c>
      <c r="F760" s="3" t="e">
        <f t="shared" si="25"/>
        <v>#N/A</v>
      </c>
    </row>
    <row r="761" spans="2:6" x14ac:dyDescent="0.25">
      <c r="B761" s="3"/>
      <c r="C761" s="3"/>
      <c r="D761" s="3"/>
      <c r="E761" s="3" t="e">
        <f t="shared" si="24"/>
        <v>#N/A</v>
      </c>
      <c r="F761" s="3" t="e">
        <f t="shared" si="25"/>
        <v>#N/A</v>
      </c>
    </row>
    <row r="762" spans="2:6" x14ac:dyDescent="0.25">
      <c r="B762" s="3"/>
      <c r="C762" s="3"/>
      <c r="D762" s="3"/>
      <c r="E762" s="3" t="e">
        <f t="shared" si="24"/>
        <v>#N/A</v>
      </c>
      <c r="F762" s="3" t="e">
        <f t="shared" si="25"/>
        <v>#N/A</v>
      </c>
    </row>
    <row r="763" spans="2:6" x14ac:dyDescent="0.25">
      <c r="B763" s="3"/>
      <c r="C763" s="3"/>
      <c r="D763" s="3"/>
      <c r="E763" s="3" t="e">
        <f t="shared" si="24"/>
        <v>#N/A</v>
      </c>
      <c r="F763" s="3" t="e">
        <f t="shared" si="25"/>
        <v>#N/A</v>
      </c>
    </row>
    <row r="764" spans="2:6" x14ac:dyDescent="0.25">
      <c r="B764" s="3"/>
      <c r="C764" s="3"/>
      <c r="D764" s="3"/>
      <c r="E764" s="3" t="e">
        <f t="shared" si="24"/>
        <v>#N/A</v>
      </c>
      <c r="F764" s="3" t="e">
        <f t="shared" si="25"/>
        <v>#N/A</v>
      </c>
    </row>
    <row r="765" spans="2:6" x14ac:dyDescent="0.25">
      <c r="B765" s="3"/>
      <c r="C765" s="3"/>
      <c r="D765" s="3"/>
      <c r="E765" s="3" t="e">
        <f t="shared" si="24"/>
        <v>#N/A</v>
      </c>
      <c r="F765" s="3" t="e">
        <f t="shared" si="25"/>
        <v>#N/A</v>
      </c>
    </row>
    <row r="766" spans="2:6" x14ac:dyDescent="0.25">
      <c r="B766" s="3"/>
      <c r="C766" s="3"/>
      <c r="D766" s="3"/>
      <c r="E766" s="3" t="e">
        <f t="shared" si="24"/>
        <v>#N/A</v>
      </c>
      <c r="F766" s="3" t="e">
        <f t="shared" si="25"/>
        <v>#N/A</v>
      </c>
    </row>
    <row r="767" spans="2:6" x14ac:dyDescent="0.25">
      <c r="B767" s="3"/>
      <c r="C767" s="3"/>
      <c r="D767" s="3"/>
      <c r="E767" s="3" t="e">
        <f t="shared" si="24"/>
        <v>#N/A</v>
      </c>
      <c r="F767" s="3" t="e">
        <f t="shared" si="25"/>
        <v>#N/A</v>
      </c>
    </row>
    <row r="768" spans="2:6" x14ac:dyDescent="0.25">
      <c r="B768" s="3"/>
      <c r="C768" s="3"/>
      <c r="D768" s="3"/>
      <c r="E768" s="3" t="e">
        <f t="shared" si="24"/>
        <v>#N/A</v>
      </c>
      <c r="F768" s="3" t="e">
        <f t="shared" si="25"/>
        <v>#N/A</v>
      </c>
    </row>
    <row r="769" spans="2:6" x14ac:dyDescent="0.25">
      <c r="B769" s="3"/>
      <c r="C769" s="3"/>
      <c r="D769" s="3"/>
      <c r="E769" s="3" t="e">
        <f t="shared" si="24"/>
        <v>#N/A</v>
      </c>
      <c r="F769" s="3" t="e">
        <f t="shared" si="25"/>
        <v>#N/A</v>
      </c>
    </row>
    <row r="770" spans="2:6" x14ac:dyDescent="0.25">
      <c r="B770" s="3"/>
      <c r="C770" s="3"/>
      <c r="D770" s="3"/>
      <c r="E770" s="3" t="e">
        <f t="shared" si="24"/>
        <v>#N/A</v>
      </c>
      <c r="F770" s="3" t="e">
        <f t="shared" si="25"/>
        <v>#N/A</v>
      </c>
    </row>
    <row r="771" spans="2:6" x14ac:dyDescent="0.25">
      <c r="B771" s="3"/>
      <c r="C771" s="3"/>
      <c r="D771" s="3"/>
      <c r="E771" s="3" t="e">
        <f t="shared" si="24"/>
        <v>#N/A</v>
      </c>
      <c r="F771" s="3" t="e">
        <f t="shared" si="25"/>
        <v>#N/A</v>
      </c>
    </row>
    <row r="772" spans="2:6" x14ac:dyDescent="0.25">
      <c r="B772" s="3"/>
      <c r="C772" s="3"/>
      <c r="D772" s="3"/>
      <c r="E772" s="3" t="e">
        <f t="shared" ref="E772:E835" si="26">VLOOKUP(C772,I:J,2,0)</f>
        <v>#N/A</v>
      </c>
      <c r="F772" s="3" t="e">
        <f t="shared" ref="F772:F835" si="27">E772&amp;" "&amp;B772</f>
        <v>#N/A</v>
      </c>
    </row>
    <row r="773" spans="2:6" x14ac:dyDescent="0.25">
      <c r="B773" s="3"/>
      <c r="C773" s="3"/>
      <c r="D773" s="3"/>
      <c r="E773" s="3" t="e">
        <f t="shared" si="26"/>
        <v>#N/A</v>
      </c>
      <c r="F773" s="3" t="e">
        <f t="shared" si="27"/>
        <v>#N/A</v>
      </c>
    </row>
    <row r="774" spans="2:6" x14ac:dyDescent="0.25">
      <c r="B774" s="3"/>
      <c r="C774" s="3"/>
      <c r="D774" s="3"/>
      <c r="E774" s="3" t="e">
        <f t="shared" si="26"/>
        <v>#N/A</v>
      </c>
      <c r="F774" s="3" t="e">
        <f t="shared" si="27"/>
        <v>#N/A</v>
      </c>
    </row>
    <row r="775" spans="2:6" x14ac:dyDescent="0.25">
      <c r="B775" s="3"/>
      <c r="C775" s="3"/>
      <c r="D775" s="3"/>
      <c r="E775" s="3" t="e">
        <f t="shared" si="26"/>
        <v>#N/A</v>
      </c>
      <c r="F775" s="3" t="e">
        <f t="shared" si="27"/>
        <v>#N/A</v>
      </c>
    </row>
    <row r="776" spans="2:6" x14ac:dyDescent="0.25">
      <c r="B776" s="3"/>
      <c r="C776" s="3"/>
      <c r="D776" s="3"/>
      <c r="E776" s="3" t="e">
        <f t="shared" si="26"/>
        <v>#N/A</v>
      </c>
      <c r="F776" s="3" t="e">
        <f t="shared" si="27"/>
        <v>#N/A</v>
      </c>
    </row>
    <row r="777" spans="2:6" x14ac:dyDescent="0.25">
      <c r="B777" s="3"/>
      <c r="C777" s="3"/>
      <c r="D777" s="3"/>
      <c r="E777" s="3" t="e">
        <f t="shared" si="26"/>
        <v>#N/A</v>
      </c>
      <c r="F777" s="3" t="e">
        <f t="shared" si="27"/>
        <v>#N/A</v>
      </c>
    </row>
    <row r="778" spans="2:6" x14ac:dyDescent="0.25">
      <c r="B778" s="3"/>
      <c r="C778" s="3"/>
      <c r="D778" s="3"/>
      <c r="E778" s="3" t="e">
        <f t="shared" si="26"/>
        <v>#N/A</v>
      </c>
      <c r="F778" s="3" t="e">
        <f t="shared" si="27"/>
        <v>#N/A</v>
      </c>
    </row>
    <row r="779" spans="2:6" x14ac:dyDescent="0.25">
      <c r="B779" s="3"/>
      <c r="C779" s="3"/>
      <c r="D779" s="3"/>
      <c r="E779" s="3" t="e">
        <f t="shared" si="26"/>
        <v>#N/A</v>
      </c>
      <c r="F779" s="3" t="e">
        <f t="shared" si="27"/>
        <v>#N/A</v>
      </c>
    </row>
    <row r="780" spans="2:6" x14ac:dyDescent="0.25">
      <c r="B780" s="3"/>
      <c r="C780" s="3"/>
      <c r="D780" s="3"/>
      <c r="E780" s="3" t="e">
        <f t="shared" si="26"/>
        <v>#N/A</v>
      </c>
      <c r="F780" s="3" t="e">
        <f t="shared" si="27"/>
        <v>#N/A</v>
      </c>
    </row>
    <row r="781" spans="2:6" x14ac:dyDescent="0.25">
      <c r="B781" s="3"/>
      <c r="C781" s="3"/>
      <c r="D781" s="3"/>
      <c r="E781" s="3" t="e">
        <f t="shared" si="26"/>
        <v>#N/A</v>
      </c>
      <c r="F781" s="3" t="e">
        <f t="shared" si="27"/>
        <v>#N/A</v>
      </c>
    </row>
    <row r="782" spans="2:6" x14ac:dyDescent="0.25">
      <c r="B782" s="3"/>
      <c r="C782" s="3"/>
      <c r="D782" s="3"/>
      <c r="E782" s="3" t="e">
        <f t="shared" si="26"/>
        <v>#N/A</v>
      </c>
      <c r="F782" s="3" t="e">
        <f t="shared" si="27"/>
        <v>#N/A</v>
      </c>
    </row>
    <row r="783" spans="2:6" x14ac:dyDescent="0.25">
      <c r="B783" s="3"/>
      <c r="C783" s="3"/>
      <c r="D783" s="3"/>
      <c r="E783" s="3" t="e">
        <f t="shared" si="26"/>
        <v>#N/A</v>
      </c>
      <c r="F783" s="3" t="e">
        <f t="shared" si="27"/>
        <v>#N/A</v>
      </c>
    </row>
    <row r="784" spans="2:6" x14ac:dyDescent="0.25">
      <c r="B784" s="3"/>
      <c r="C784" s="3"/>
      <c r="D784" s="3"/>
      <c r="E784" s="3" t="e">
        <f t="shared" si="26"/>
        <v>#N/A</v>
      </c>
      <c r="F784" s="3" t="e">
        <f t="shared" si="27"/>
        <v>#N/A</v>
      </c>
    </row>
    <row r="785" spans="2:6" x14ac:dyDescent="0.25">
      <c r="B785" s="3"/>
      <c r="C785" s="3"/>
      <c r="D785" s="3"/>
      <c r="E785" s="3" t="e">
        <f t="shared" si="26"/>
        <v>#N/A</v>
      </c>
      <c r="F785" s="3" t="e">
        <f t="shared" si="27"/>
        <v>#N/A</v>
      </c>
    </row>
    <row r="786" spans="2:6" x14ac:dyDescent="0.25">
      <c r="B786" s="3"/>
      <c r="C786" s="3"/>
      <c r="D786" s="3"/>
      <c r="E786" s="3" t="e">
        <f t="shared" si="26"/>
        <v>#N/A</v>
      </c>
      <c r="F786" s="3" t="e">
        <f t="shared" si="27"/>
        <v>#N/A</v>
      </c>
    </row>
    <row r="787" spans="2:6" x14ac:dyDescent="0.25">
      <c r="B787" s="3"/>
      <c r="C787" s="3"/>
      <c r="D787" s="3"/>
      <c r="E787" s="3" t="e">
        <f t="shared" si="26"/>
        <v>#N/A</v>
      </c>
      <c r="F787" s="3" t="e">
        <f t="shared" si="27"/>
        <v>#N/A</v>
      </c>
    </row>
    <row r="788" spans="2:6" x14ac:dyDescent="0.25">
      <c r="B788" s="3"/>
      <c r="C788" s="3"/>
      <c r="D788" s="3"/>
      <c r="E788" s="3" t="e">
        <f t="shared" si="26"/>
        <v>#N/A</v>
      </c>
      <c r="F788" s="3" t="e">
        <f t="shared" si="27"/>
        <v>#N/A</v>
      </c>
    </row>
    <row r="789" spans="2:6" x14ac:dyDescent="0.25">
      <c r="B789" s="3"/>
      <c r="C789" s="3"/>
      <c r="D789" s="3"/>
      <c r="E789" s="3" t="e">
        <f t="shared" si="26"/>
        <v>#N/A</v>
      </c>
      <c r="F789" s="3" t="e">
        <f t="shared" si="27"/>
        <v>#N/A</v>
      </c>
    </row>
    <row r="790" spans="2:6" x14ac:dyDescent="0.25">
      <c r="B790" s="3"/>
      <c r="C790" s="3"/>
      <c r="D790" s="3"/>
      <c r="E790" s="3" t="e">
        <f t="shared" si="26"/>
        <v>#N/A</v>
      </c>
      <c r="F790" s="3" t="e">
        <f t="shared" si="27"/>
        <v>#N/A</v>
      </c>
    </row>
    <row r="791" spans="2:6" x14ac:dyDescent="0.25">
      <c r="B791" s="3"/>
      <c r="C791" s="3"/>
      <c r="D791" s="3"/>
      <c r="E791" s="3" t="e">
        <f t="shared" si="26"/>
        <v>#N/A</v>
      </c>
      <c r="F791" s="3" t="e">
        <f t="shared" si="27"/>
        <v>#N/A</v>
      </c>
    </row>
    <row r="792" spans="2:6" x14ac:dyDescent="0.25">
      <c r="B792" s="3"/>
      <c r="C792" s="3"/>
      <c r="D792" s="3"/>
      <c r="E792" s="3" t="e">
        <f t="shared" si="26"/>
        <v>#N/A</v>
      </c>
      <c r="F792" s="3" t="e">
        <f t="shared" si="27"/>
        <v>#N/A</v>
      </c>
    </row>
    <row r="793" spans="2:6" x14ac:dyDescent="0.25">
      <c r="B793" s="3"/>
      <c r="C793" s="3"/>
      <c r="D793" s="3"/>
      <c r="E793" s="3" t="e">
        <f t="shared" si="26"/>
        <v>#N/A</v>
      </c>
      <c r="F793" s="3" t="e">
        <f t="shared" si="27"/>
        <v>#N/A</v>
      </c>
    </row>
    <row r="794" spans="2:6" x14ac:dyDescent="0.25">
      <c r="B794" s="3"/>
      <c r="C794" s="3"/>
      <c r="D794" s="3"/>
      <c r="E794" s="3" t="e">
        <f t="shared" si="26"/>
        <v>#N/A</v>
      </c>
      <c r="F794" s="3" t="e">
        <f t="shared" si="27"/>
        <v>#N/A</v>
      </c>
    </row>
    <row r="795" spans="2:6" x14ac:dyDescent="0.25">
      <c r="B795" s="3"/>
      <c r="C795" s="3"/>
      <c r="D795" s="3"/>
      <c r="E795" s="3" t="e">
        <f t="shared" si="26"/>
        <v>#N/A</v>
      </c>
      <c r="F795" s="3" t="e">
        <f t="shared" si="27"/>
        <v>#N/A</v>
      </c>
    </row>
    <row r="796" spans="2:6" x14ac:dyDescent="0.25">
      <c r="B796" s="3"/>
      <c r="C796" s="3"/>
      <c r="D796" s="3"/>
      <c r="E796" s="3" t="e">
        <f t="shared" si="26"/>
        <v>#N/A</v>
      </c>
      <c r="F796" s="3" t="e">
        <f t="shared" si="27"/>
        <v>#N/A</v>
      </c>
    </row>
    <row r="797" spans="2:6" x14ac:dyDescent="0.25">
      <c r="B797" s="3"/>
      <c r="C797" s="3"/>
      <c r="D797" s="3"/>
      <c r="E797" s="3" t="e">
        <f t="shared" si="26"/>
        <v>#N/A</v>
      </c>
      <c r="F797" s="3" t="e">
        <f t="shared" si="27"/>
        <v>#N/A</v>
      </c>
    </row>
    <row r="798" spans="2:6" x14ac:dyDescent="0.25">
      <c r="B798" s="3"/>
      <c r="C798" s="3"/>
      <c r="D798" s="3"/>
      <c r="E798" s="3" t="e">
        <f t="shared" si="26"/>
        <v>#N/A</v>
      </c>
      <c r="F798" s="3" t="e">
        <f t="shared" si="27"/>
        <v>#N/A</v>
      </c>
    </row>
    <row r="799" spans="2:6" x14ac:dyDescent="0.25">
      <c r="B799" s="3"/>
      <c r="C799" s="3"/>
      <c r="D799" s="3"/>
      <c r="E799" s="3" t="e">
        <f t="shared" si="26"/>
        <v>#N/A</v>
      </c>
      <c r="F799" s="3" t="e">
        <f t="shared" si="27"/>
        <v>#N/A</v>
      </c>
    </row>
    <row r="800" spans="2:6" x14ac:dyDescent="0.25">
      <c r="B800" s="3"/>
      <c r="C800" s="3"/>
      <c r="D800" s="3"/>
      <c r="E800" s="3" t="e">
        <f t="shared" si="26"/>
        <v>#N/A</v>
      </c>
      <c r="F800" s="3" t="e">
        <f t="shared" si="27"/>
        <v>#N/A</v>
      </c>
    </row>
    <row r="801" spans="2:6" x14ac:dyDescent="0.25">
      <c r="B801" s="3"/>
      <c r="C801" s="3"/>
      <c r="D801" s="3"/>
      <c r="E801" s="3" t="e">
        <f t="shared" si="26"/>
        <v>#N/A</v>
      </c>
      <c r="F801" s="3" t="e">
        <f t="shared" si="27"/>
        <v>#N/A</v>
      </c>
    </row>
    <row r="802" spans="2:6" x14ac:dyDescent="0.25">
      <c r="B802" s="3"/>
      <c r="C802" s="3"/>
      <c r="D802" s="3"/>
      <c r="E802" s="3" t="e">
        <f t="shared" si="26"/>
        <v>#N/A</v>
      </c>
      <c r="F802" s="3" t="e">
        <f t="shared" si="27"/>
        <v>#N/A</v>
      </c>
    </row>
    <row r="803" spans="2:6" x14ac:dyDescent="0.25">
      <c r="B803" s="3"/>
      <c r="C803" s="3"/>
      <c r="D803" s="3"/>
      <c r="E803" s="3" t="e">
        <f t="shared" si="26"/>
        <v>#N/A</v>
      </c>
      <c r="F803" s="3" t="e">
        <f t="shared" si="27"/>
        <v>#N/A</v>
      </c>
    </row>
    <row r="804" spans="2:6" x14ac:dyDescent="0.25">
      <c r="B804" s="3"/>
      <c r="C804" s="3"/>
      <c r="D804" s="3"/>
      <c r="E804" s="3" t="e">
        <f t="shared" si="26"/>
        <v>#N/A</v>
      </c>
      <c r="F804" s="3" t="e">
        <f t="shared" si="27"/>
        <v>#N/A</v>
      </c>
    </row>
    <row r="805" spans="2:6" x14ac:dyDescent="0.25">
      <c r="B805" s="3"/>
      <c r="C805" s="3"/>
      <c r="D805" s="3"/>
      <c r="E805" s="3" t="e">
        <f t="shared" si="26"/>
        <v>#N/A</v>
      </c>
      <c r="F805" s="3" t="e">
        <f t="shared" si="27"/>
        <v>#N/A</v>
      </c>
    </row>
    <row r="806" spans="2:6" x14ac:dyDescent="0.25">
      <c r="B806" s="3"/>
      <c r="C806" s="3"/>
      <c r="D806" s="3"/>
      <c r="E806" s="3" t="e">
        <f t="shared" si="26"/>
        <v>#N/A</v>
      </c>
      <c r="F806" s="3" t="e">
        <f t="shared" si="27"/>
        <v>#N/A</v>
      </c>
    </row>
    <row r="807" spans="2:6" x14ac:dyDescent="0.25">
      <c r="B807" s="3"/>
      <c r="C807" s="3"/>
      <c r="D807" s="3"/>
      <c r="E807" s="3" t="e">
        <f t="shared" si="26"/>
        <v>#N/A</v>
      </c>
      <c r="F807" s="3" t="e">
        <f t="shared" si="27"/>
        <v>#N/A</v>
      </c>
    </row>
    <row r="808" spans="2:6" x14ac:dyDescent="0.25">
      <c r="B808" s="3"/>
      <c r="C808" s="3"/>
      <c r="D808" s="3"/>
      <c r="E808" s="3" t="e">
        <f t="shared" si="26"/>
        <v>#N/A</v>
      </c>
      <c r="F808" s="3" t="e">
        <f t="shared" si="27"/>
        <v>#N/A</v>
      </c>
    </row>
    <row r="809" spans="2:6" x14ac:dyDescent="0.25">
      <c r="B809" s="3"/>
      <c r="C809" s="3"/>
      <c r="D809" s="3"/>
      <c r="E809" s="3" t="e">
        <f t="shared" si="26"/>
        <v>#N/A</v>
      </c>
      <c r="F809" s="3" t="e">
        <f t="shared" si="27"/>
        <v>#N/A</v>
      </c>
    </row>
    <row r="810" spans="2:6" x14ac:dyDescent="0.25">
      <c r="B810" s="3"/>
      <c r="C810" s="3"/>
      <c r="D810" s="3"/>
      <c r="E810" s="3" t="e">
        <f t="shared" si="26"/>
        <v>#N/A</v>
      </c>
      <c r="F810" s="3" t="e">
        <f t="shared" si="27"/>
        <v>#N/A</v>
      </c>
    </row>
    <row r="811" spans="2:6" x14ac:dyDescent="0.25">
      <c r="B811" s="3"/>
      <c r="C811" s="3"/>
      <c r="D811" s="3"/>
      <c r="E811" s="3" t="e">
        <f t="shared" si="26"/>
        <v>#N/A</v>
      </c>
      <c r="F811" s="3" t="e">
        <f t="shared" si="27"/>
        <v>#N/A</v>
      </c>
    </row>
    <row r="812" spans="2:6" x14ac:dyDescent="0.25">
      <c r="B812" s="3"/>
      <c r="C812" s="3"/>
      <c r="D812" s="3"/>
      <c r="E812" s="3" t="e">
        <f t="shared" si="26"/>
        <v>#N/A</v>
      </c>
      <c r="F812" s="3" t="e">
        <f t="shared" si="27"/>
        <v>#N/A</v>
      </c>
    </row>
    <row r="813" spans="2:6" x14ac:dyDescent="0.25">
      <c r="B813" s="3"/>
      <c r="C813" s="3"/>
      <c r="D813" s="3"/>
      <c r="E813" s="3" t="e">
        <f t="shared" si="26"/>
        <v>#N/A</v>
      </c>
      <c r="F813" s="3" t="e">
        <f t="shared" si="27"/>
        <v>#N/A</v>
      </c>
    </row>
    <row r="814" spans="2:6" x14ac:dyDescent="0.25">
      <c r="B814" s="3"/>
      <c r="C814" s="3"/>
      <c r="D814" s="3"/>
      <c r="E814" s="3" t="e">
        <f t="shared" si="26"/>
        <v>#N/A</v>
      </c>
      <c r="F814" s="3" t="e">
        <f t="shared" si="27"/>
        <v>#N/A</v>
      </c>
    </row>
    <row r="815" spans="2:6" x14ac:dyDescent="0.25">
      <c r="B815" s="3"/>
      <c r="C815" s="3"/>
      <c r="D815" s="3"/>
      <c r="E815" s="3" t="e">
        <f t="shared" si="26"/>
        <v>#N/A</v>
      </c>
      <c r="F815" s="3" t="e">
        <f t="shared" si="27"/>
        <v>#N/A</v>
      </c>
    </row>
    <row r="816" spans="2:6" x14ac:dyDescent="0.25">
      <c r="B816" s="3"/>
      <c r="C816" s="3"/>
      <c r="D816" s="3"/>
      <c r="E816" s="3" t="e">
        <f t="shared" si="26"/>
        <v>#N/A</v>
      </c>
      <c r="F816" s="3" t="e">
        <f t="shared" si="27"/>
        <v>#N/A</v>
      </c>
    </row>
    <row r="817" spans="2:6" x14ac:dyDescent="0.25">
      <c r="B817" s="3"/>
      <c r="C817" s="3"/>
      <c r="D817" s="3"/>
      <c r="E817" s="3" t="e">
        <f t="shared" si="26"/>
        <v>#N/A</v>
      </c>
      <c r="F817" s="3" t="e">
        <f t="shared" si="27"/>
        <v>#N/A</v>
      </c>
    </row>
    <row r="818" spans="2:6" x14ac:dyDescent="0.25">
      <c r="B818" s="3"/>
      <c r="C818" s="3"/>
      <c r="D818" s="3"/>
      <c r="E818" s="3" t="e">
        <f t="shared" si="26"/>
        <v>#N/A</v>
      </c>
      <c r="F818" s="3" t="e">
        <f t="shared" si="27"/>
        <v>#N/A</v>
      </c>
    </row>
    <row r="819" spans="2:6" x14ac:dyDescent="0.25">
      <c r="B819" s="3"/>
      <c r="C819" s="3"/>
      <c r="D819" s="3"/>
      <c r="E819" s="3" t="e">
        <f t="shared" si="26"/>
        <v>#N/A</v>
      </c>
      <c r="F819" s="3" t="e">
        <f t="shared" si="27"/>
        <v>#N/A</v>
      </c>
    </row>
    <row r="820" spans="2:6" x14ac:dyDescent="0.25">
      <c r="B820" s="3"/>
      <c r="C820" s="3"/>
      <c r="D820" s="3"/>
      <c r="E820" s="3" t="e">
        <f t="shared" si="26"/>
        <v>#N/A</v>
      </c>
      <c r="F820" s="3" t="e">
        <f t="shared" si="27"/>
        <v>#N/A</v>
      </c>
    </row>
    <row r="821" spans="2:6" x14ac:dyDescent="0.25">
      <c r="B821" s="3"/>
      <c r="C821" s="3"/>
      <c r="D821" s="3"/>
      <c r="E821" s="3" t="e">
        <f t="shared" si="26"/>
        <v>#N/A</v>
      </c>
      <c r="F821" s="3" t="e">
        <f t="shared" si="27"/>
        <v>#N/A</v>
      </c>
    </row>
    <row r="822" spans="2:6" x14ac:dyDescent="0.25">
      <c r="B822" s="3"/>
      <c r="C822" s="3"/>
      <c r="D822" s="3"/>
      <c r="E822" s="3" t="e">
        <f t="shared" si="26"/>
        <v>#N/A</v>
      </c>
      <c r="F822" s="3" t="e">
        <f t="shared" si="27"/>
        <v>#N/A</v>
      </c>
    </row>
    <row r="823" spans="2:6" x14ac:dyDescent="0.25">
      <c r="B823" s="3"/>
      <c r="C823" s="3"/>
      <c r="D823" s="3"/>
      <c r="E823" s="3" t="e">
        <f t="shared" si="26"/>
        <v>#N/A</v>
      </c>
      <c r="F823" s="3" t="e">
        <f t="shared" si="27"/>
        <v>#N/A</v>
      </c>
    </row>
    <row r="824" spans="2:6" x14ac:dyDescent="0.25">
      <c r="B824" s="3"/>
      <c r="C824" s="3"/>
      <c r="D824" s="3"/>
      <c r="E824" s="3" t="e">
        <f t="shared" si="26"/>
        <v>#N/A</v>
      </c>
      <c r="F824" s="3" t="e">
        <f t="shared" si="27"/>
        <v>#N/A</v>
      </c>
    </row>
    <row r="825" spans="2:6" x14ac:dyDescent="0.25">
      <c r="B825" s="3"/>
      <c r="C825" s="3"/>
      <c r="D825" s="3"/>
      <c r="E825" s="3" t="e">
        <f t="shared" si="26"/>
        <v>#N/A</v>
      </c>
      <c r="F825" s="3" t="e">
        <f t="shared" si="27"/>
        <v>#N/A</v>
      </c>
    </row>
    <row r="826" spans="2:6" x14ac:dyDescent="0.25">
      <c r="B826" s="3"/>
      <c r="C826" s="3"/>
      <c r="D826" s="3"/>
      <c r="E826" s="3" t="e">
        <f t="shared" si="26"/>
        <v>#N/A</v>
      </c>
      <c r="F826" s="3" t="e">
        <f t="shared" si="27"/>
        <v>#N/A</v>
      </c>
    </row>
    <row r="827" spans="2:6" x14ac:dyDescent="0.25">
      <c r="B827" s="3"/>
      <c r="C827" s="3"/>
      <c r="D827" s="3"/>
      <c r="E827" s="3" t="e">
        <f t="shared" si="26"/>
        <v>#N/A</v>
      </c>
      <c r="F827" s="3" t="e">
        <f t="shared" si="27"/>
        <v>#N/A</v>
      </c>
    </row>
    <row r="828" spans="2:6" x14ac:dyDescent="0.25">
      <c r="B828" s="3"/>
      <c r="C828" s="3"/>
      <c r="D828" s="3"/>
      <c r="E828" s="3" t="e">
        <f t="shared" si="26"/>
        <v>#N/A</v>
      </c>
      <c r="F828" s="3" t="e">
        <f t="shared" si="27"/>
        <v>#N/A</v>
      </c>
    </row>
    <row r="829" spans="2:6" x14ac:dyDescent="0.25">
      <c r="B829" s="3"/>
      <c r="C829" s="3"/>
      <c r="D829" s="3"/>
      <c r="E829" s="3" t="e">
        <f t="shared" si="26"/>
        <v>#N/A</v>
      </c>
      <c r="F829" s="3" t="e">
        <f t="shared" si="27"/>
        <v>#N/A</v>
      </c>
    </row>
    <row r="830" spans="2:6" x14ac:dyDescent="0.25">
      <c r="B830" s="3"/>
      <c r="C830" s="3"/>
      <c r="D830" s="3"/>
      <c r="E830" s="3" t="e">
        <f t="shared" si="26"/>
        <v>#N/A</v>
      </c>
      <c r="F830" s="3" t="e">
        <f t="shared" si="27"/>
        <v>#N/A</v>
      </c>
    </row>
    <row r="831" spans="2:6" x14ac:dyDescent="0.25">
      <c r="B831" s="3"/>
      <c r="C831" s="3"/>
      <c r="D831" s="3"/>
      <c r="E831" s="3" t="e">
        <f t="shared" si="26"/>
        <v>#N/A</v>
      </c>
      <c r="F831" s="3" t="e">
        <f t="shared" si="27"/>
        <v>#N/A</v>
      </c>
    </row>
    <row r="832" spans="2:6" x14ac:dyDescent="0.25">
      <c r="B832" s="3"/>
      <c r="C832" s="3"/>
      <c r="D832" s="3"/>
      <c r="E832" s="3" t="e">
        <f t="shared" si="26"/>
        <v>#N/A</v>
      </c>
      <c r="F832" s="3" t="e">
        <f t="shared" si="27"/>
        <v>#N/A</v>
      </c>
    </row>
    <row r="833" spans="2:6" x14ac:dyDescent="0.25">
      <c r="B833" s="3"/>
      <c r="C833" s="3"/>
      <c r="D833" s="3"/>
      <c r="E833" s="3" t="e">
        <f t="shared" si="26"/>
        <v>#N/A</v>
      </c>
      <c r="F833" s="3" t="e">
        <f t="shared" si="27"/>
        <v>#N/A</v>
      </c>
    </row>
    <row r="834" spans="2:6" x14ac:dyDescent="0.25">
      <c r="B834" s="3"/>
      <c r="C834" s="3"/>
      <c r="D834" s="3"/>
      <c r="E834" s="3" t="e">
        <f t="shared" si="26"/>
        <v>#N/A</v>
      </c>
      <c r="F834" s="3" t="e">
        <f t="shared" si="27"/>
        <v>#N/A</v>
      </c>
    </row>
    <row r="835" spans="2:6" x14ac:dyDescent="0.25">
      <c r="B835" s="3"/>
      <c r="C835" s="3"/>
      <c r="D835" s="3"/>
      <c r="E835" s="3" t="e">
        <f t="shared" si="26"/>
        <v>#N/A</v>
      </c>
      <c r="F835" s="3" t="e">
        <f t="shared" si="27"/>
        <v>#N/A</v>
      </c>
    </row>
    <row r="836" spans="2:6" x14ac:dyDescent="0.25">
      <c r="B836" s="3"/>
      <c r="C836" s="3"/>
      <c r="D836" s="3"/>
      <c r="E836" s="3" t="e">
        <f t="shared" ref="E836:E899" si="28">VLOOKUP(C836,I:J,2,0)</f>
        <v>#N/A</v>
      </c>
      <c r="F836" s="3" t="e">
        <f t="shared" ref="F836:F899" si="29">E836&amp;" "&amp;B836</f>
        <v>#N/A</v>
      </c>
    </row>
    <row r="837" spans="2:6" x14ac:dyDescent="0.25">
      <c r="B837" s="3"/>
      <c r="C837" s="3"/>
      <c r="D837" s="3"/>
      <c r="E837" s="3" t="e">
        <f t="shared" si="28"/>
        <v>#N/A</v>
      </c>
      <c r="F837" s="3" t="e">
        <f t="shared" si="29"/>
        <v>#N/A</v>
      </c>
    </row>
    <row r="838" spans="2:6" x14ac:dyDescent="0.25">
      <c r="B838" s="3"/>
      <c r="C838" s="3"/>
      <c r="D838" s="3"/>
      <c r="E838" s="3" t="e">
        <f t="shared" si="28"/>
        <v>#N/A</v>
      </c>
      <c r="F838" s="3" t="e">
        <f t="shared" si="29"/>
        <v>#N/A</v>
      </c>
    </row>
    <row r="839" spans="2:6" x14ac:dyDescent="0.25">
      <c r="B839" s="3"/>
      <c r="C839" s="3"/>
      <c r="D839" s="3"/>
      <c r="E839" s="3" t="e">
        <f t="shared" si="28"/>
        <v>#N/A</v>
      </c>
      <c r="F839" s="3" t="e">
        <f t="shared" si="29"/>
        <v>#N/A</v>
      </c>
    </row>
    <row r="840" spans="2:6" x14ac:dyDescent="0.25">
      <c r="B840" s="3"/>
      <c r="C840" s="3"/>
      <c r="D840" s="3"/>
      <c r="E840" s="3" t="e">
        <f t="shared" si="28"/>
        <v>#N/A</v>
      </c>
      <c r="F840" s="3" t="e">
        <f t="shared" si="29"/>
        <v>#N/A</v>
      </c>
    </row>
    <row r="841" spans="2:6" x14ac:dyDescent="0.25">
      <c r="B841" s="3"/>
      <c r="C841" s="3"/>
      <c r="D841" s="3"/>
      <c r="E841" s="3" t="e">
        <f t="shared" si="28"/>
        <v>#N/A</v>
      </c>
      <c r="F841" s="3" t="e">
        <f t="shared" si="29"/>
        <v>#N/A</v>
      </c>
    </row>
    <row r="842" spans="2:6" x14ac:dyDescent="0.25">
      <c r="B842" s="3"/>
      <c r="C842" s="3"/>
      <c r="D842" s="3"/>
      <c r="E842" s="3" t="e">
        <f t="shared" si="28"/>
        <v>#N/A</v>
      </c>
      <c r="F842" s="3" t="e">
        <f t="shared" si="29"/>
        <v>#N/A</v>
      </c>
    </row>
    <row r="843" spans="2:6" x14ac:dyDescent="0.25">
      <c r="B843" s="3"/>
      <c r="C843" s="3"/>
      <c r="D843" s="3"/>
      <c r="E843" s="3" t="e">
        <f t="shared" si="28"/>
        <v>#N/A</v>
      </c>
      <c r="F843" s="3" t="e">
        <f t="shared" si="29"/>
        <v>#N/A</v>
      </c>
    </row>
    <row r="844" spans="2:6" x14ac:dyDescent="0.25">
      <c r="B844" s="3"/>
      <c r="C844" s="3"/>
      <c r="D844" s="3"/>
      <c r="E844" s="3" t="e">
        <f t="shared" si="28"/>
        <v>#N/A</v>
      </c>
      <c r="F844" s="3" t="e">
        <f t="shared" si="29"/>
        <v>#N/A</v>
      </c>
    </row>
    <row r="845" spans="2:6" x14ac:dyDescent="0.25">
      <c r="B845" s="3"/>
      <c r="C845" s="3"/>
      <c r="D845" s="3"/>
      <c r="E845" s="3" t="e">
        <f t="shared" si="28"/>
        <v>#N/A</v>
      </c>
      <c r="F845" s="3" t="e">
        <f t="shared" si="29"/>
        <v>#N/A</v>
      </c>
    </row>
    <row r="846" spans="2:6" x14ac:dyDescent="0.25">
      <c r="B846" s="3"/>
      <c r="C846" s="3"/>
      <c r="D846" s="3"/>
      <c r="E846" s="3" t="e">
        <f t="shared" si="28"/>
        <v>#N/A</v>
      </c>
      <c r="F846" s="3" t="e">
        <f t="shared" si="29"/>
        <v>#N/A</v>
      </c>
    </row>
    <row r="847" spans="2:6" x14ac:dyDescent="0.25">
      <c r="B847" s="3"/>
      <c r="C847" s="3"/>
      <c r="D847" s="3"/>
      <c r="E847" s="3" t="e">
        <f t="shared" si="28"/>
        <v>#N/A</v>
      </c>
      <c r="F847" s="3" t="e">
        <f t="shared" si="29"/>
        <v>#N/A</v>
      </c>
    </row>
    <row r="848" spans="2:6" x14ac:dyDescent="0.25">
      <c r="B848" s="3"/>
      <c r="C848" s="3"/>
      <c r="D848" s="3"/>
      <c r="E848" s="3" t="e">
        <f t="shared" si="28"/>
        <v>#N/A</v>
      </c>
      <c r="F848" s="3" t="e">
        <f t="shared" si="29"/>
        <v>#N/A</v>
      </c>
    </row>
    <row r="849" spans="2:6" x14ac:dyDescent="0.25">
      <c r="B849" s="3"/>
      <c r="C849" s="3"/>
      <c r="D849" s="3"/>
      <c r="E849" s="3" t="e">
        <f t="shared" si="28"/>
        <v>#N/A</v>
      </c>
      <c r="F849" s="3" t="e">
        <f t="shared" si="29"/>
        <v>#N/A</v>
      </c>
    </row>
    <row r="850" spans="2:6" x14ac:dyDescent="0.25">
      <c r="B850" s="3"/>
      <c r="C850" s="3"/>
      <c r="D850" s="3"/>
      <c r="E850" s="3" t="e">
        <f t="shared" si="28"/>
        <v>#N/A</v>
      </c>
      <c r="F850" s="3" t="e">
        <f t="shared" si="29"/>
        <v>#N/A</v>
      </c>
    </row>
    <row r="851" spans="2:6" x14ac:dyDescent="0.25">
      <c r="B851" s="3"/>
      <c r="C851" s="3"/>
      <c r="D851" s="3"/>
      <c r="E851" s="3" t="e">
        <f t="shared" si="28"/>
        <v>#N/A</v>
      </c>
      <c r="F851" s="3" t="e">
        <f t="shared" si="29"/>
        <v>#N/A</v>
      </c>
    </row>
    <row r="852" spans="2:6" x14ac:dyDescent="0.25">
      <c r="B852" s="3"/>
      <c r="C852" s="3"/>
      <c r="D852" s="3"/>
      <c r="E852" s="3" t="e">
        <f t="shared" si="28"/>
        <v>#N/A</v>
      </c>
      <c r="F852" s="3" t="e">
        <f t="shared" si="29"/>
        <v>#N/A</v>
      </c>
    </row>
    <row r="853" spans="2:6" x14ac:dyDescent="0.25">
      <c r="B853" s="3"/>
      <c r="C853" s="3"/>
      <c r="D853" s="3"/>
      <c r="E853" s="3" t="e">
        <f t="shared" si="28"/>
        <v>#N/A</v>
      </c>
      <c r="F853" s="3" t="e">
        <f t="shared" si="29"/>
        <v>#N/A</v>
      </c>
    </row>
    <row r="854" spans="2:6" x14ac:dyDescent="0.25">
      <c r="B854" s="3"/>
      <c r="C854" s="3"/>
      <c r="D854" s="3"/>
      <c r="E854" s="3" t="e">
        <f t="shared" si="28"/>
        <v>#N/A</v>
      </c>
      <c r="F854" s="3" t="e">
        <f t="shared" si="29"/>
        <v>#N/A</v>
      </c>
    </row>
    <row r="855" spans="2:6" x14ac:dyDescent="0.25">
      <c r="B855" s="3"/>
      <c r="C855" s="3"/>
      <c r="D855" s="3"/>
      <c r="E855" s="3" t="e">
        <f t="shared" si="28"/>
        <v>#N/A</v>
      </c>
      <c r="F855" s="3" t="e">
        <f t="shared" si="29"/>
        <v>#N/A</v>
      </c>
    </row>
    <row r="856" spans="2:6" x14ac:dyDescent="0.25">
      <c r="B856" s="3"/>
      <c r="C856" s="3"/>
      <c r="D856" s="3"/>
      <c r="E856" s="3" t="e">
        <f t="shared" si="28"/>
        <v>#N/A</v>
      </c>
      <c r="F856" s="3" t="e">
        <f t="shared" si="29"/>
        <v>#N/A</v>
      </c>
    </row>
    <row r="857" spans="2:6" x14ac:dyDescent="0.25">
      <c r="B857" s="3"/>
      <c r="C857" s="3"/>
      <c r="D857" s="3"/>
      <c r="E857" s="3" t="e">
        <f t="shared" si="28"/>
        <v>#N/A</v>
      </c>
      <c r="F857" s="3" t="e">
        <f t="shared" si="29"/>
        <v>#N/A</v>
      </c>
    </row>
    <row r="858" spans="2:6" x14ac:dyDescent="0.25">
      <c r="B858" s="3"/>
      <c r="C858" s="3"/>
      <c r="D858" s="3"/>
      <c r="E858" s="3" t="e">
        <f t="shared" si="28"/>
        <v>#N/A</v>
      </c>
      <c r="F858" s="3" t="e">
        <f t="shared" si="29"/>
        <v>#N/A</v>
      </c>
    </row>
    <row r="859" spans="2:6" x14ac:dyDescent="0.25">
      <c r="B859" s="3"/>
      <c r="C859" s="3"/>
      <c r="D859" s="3"/>
      <c r="E859" s="3" t="e">
        <f t="shared" si="28"/>
        <v>#N/A</v>
      </c>
      <c r="F859" s="3" t="e">
        <f t="shared" si="29"/>
        <v>#N/A</v>
      </c>
    </row>
    <row r="860" spans="2:6" x14ac:dyDescent="0.25">
      <c r="B860" s="3"/>
      <c r="C860" s="3"/>
      <c r="D860" s="3"/>
      <c r="E860" s="3" t="e">
        <f t="shared" si="28"/>
        <v>#N/A</v>
      </c>
      <c r="F860" s="3" t="e">
        <f t="shared" si="29"/>
        <v>#N/A</v>
      </c>
    </row>
    <row r="861" spans="2:6" x14ac:dyDescent="0.25">
      <c r="B861" s="3"/>
      <c r="C861" s="3"/>
      <c r="D861" s="3"/>
      <c r="E861" s="3" t="e">
        <f t="shared" si="28"/>
        <v>#N/A</v>
      </c>
      <c r="F861" s="3" t="e">
        <f t="shared" si="29"/>
        <v>#N/A</v>
      </c>
    </row>
    <row r="862" spans="2:6" x14ac:dyDescent="0.25">
      <c r="B862" s="3"/>
      <c r="C862" s="3"/>
      <c r="D862" s="3"/>
      <c r="E862" s="3" t="e">
        <f t="shared" si="28"/>
        <v>#N/A</v>
      </c>
      <c r="F862" s="3" t="e">
        <f t="shared" si="29"/>
        <v>#N/A</v>
      </c>
    </row>
    <row r="863" spans="2:6" x14ac:dyDescent="0.25">
      <c r="B863" s="3"/>
      <c r="C863" s="3"/>
      <c r="D863" s="3"/>
      <c r="E863" s="3" t="e">
        <f t="shared" si="28"/>
        <v>#N/A</v>
      </c>
      <c r="F863" s="3" t="e">
        <f t="shared" si="29"/>
        <v>#N/A</v>
      </c>
    </row>
    <row r="864" spans="2:6" x14ac:dyDescent="0.25">
      <c r="B864" s="3"/>
      <c r="C864" s="3"/>
      <c r="D864" s="3"/>
      <c r="E864" s="3" t="e">
        <f t="shared" si="28"/>
        <v>#N/A</v>
      </c>
      <c r="F864" s="3" t="e">
        <f t="shared" si="29"/>
        <v>#N/A</v>
      </c>
    </row>
    <row r="865" spans="2:6" x14ac:dyDescent="0.25">
      <c r="B865" s="3"/>
      <c r="C865" s="3"/>
      <c r="D865" s="3"/>
      <c r="E865" s="3" t="e">
        <f t="shared" si="28"/>
        <v>#N/A</v>
      </c>
      <c r="F865" s="3" t="e">
        <f t="shared" si="29"/>
        <v>#N/A</v>
      </c>
    </row>
    <row r="866" spans="2:6" x14ac:dyDescent="0.25">
      <c r="B866" s="3"/>
      <c r="C866" s="3"/>
      <c r="D866" s="3"/>
      <c r="E866" s="3" t="e">
        <f t="shared" si="28"/>
        <v>#N/A</v>
      </c>
      <c r="F866" s="3" t="e">
        <f t="shared" si="29"/>
        <v>#N/A</v>
      </c>
    </row>
    <row r="867" spans="2:6" x14ac:dyDescent="0.25">
      <c r="B867" s="3"/>
      <c r="C867" s="3"/>
      <c r="D867" s="3"/>
      <c r="E867" s="3" t="e">
        <f t="shared" si="28"/>
        <v>#N/A</v>
      </c>
      <c r="F867" s="3" t="e">
        <f t="shared" si="29"/>
        <v>#N/A</v>
      </c>
    </row>
    <row r="868" spans="2:6" x14ac:dyDescent="0.25">
      <c r="B868" s="3"/>
      <c r="C868" s="3"/>
      <c r="D868" s="3"/>
      <c r="E868" s="3" t="e">
        <f t="shared" si="28"/>
        <v>#N/A</v>
      </c>
      <c r="F868" s="3" t="e">
        <f t="shared" si="29"/>
        <v>#N/A</v>
      </c>
    </row>
    <row r="869" spans="2:6" x14ac:dyDescent="0.25">
      <c r="B869" s="3"/>
      <c r="C869" s="3"/>
      <c r="D869" s="3"/>
      <c r="E869" s="3" t="e">
        <f t="shared" si="28"/>
        <v>#N/A</v>
      </c>
      <c r="F869" s="3" t="e">
        <f t="shared" si="29"/>
        <v>#N/A</v>
      </c>
    </row>
    <row r="870" spans="2:6" x14ac:dyDescent="0.25">
      <c r="B870" s="3"/>
      <c r="C870" s="3"/>
      <c r="D870" s="3"/>
      <c r="E870" s="3" t="e">
        <f t="shared" si="28"/>
        <v>#N/A</v>
      </c>
      <c r="F870" s="3" t="e">
        <f t="shared" si="29"/>
        <v>#N/A</v>
      </c>
    </row>
    <row r="871" spans="2:6" x14ac:dyDescent="0.25">
      <c r="B871" s="3"/>
      <c r="C871" s="3"/>
      <c r="D871" s="3"/>
      <c r="E871" s="3" t="e">
        <f t="shared" si="28"/>
        <v>#N/A</v>
      </c>
      <c r="F871" s="3" t="e">
        <f t="shared" si="29"/>
        <v>#N/A</v>
      </c>
    </row>
    <row r="872" spans="2:6" x14ac:dyDescent="0.25">
      <c r="B872" s="3"/>
      <c r="C872" s="3"/>
      <c r="D872" s="3"/>
      <c r="E872" s="3" t="e">
        <f t="shared" si="28"/>
        <v>#N/A</v>
      </c>
      <c r="F872" s="3" t="e">
        <f t="shared" si="29"/>
        <v>#N/A</v>
      </c>
    </row>
    <row r="873" spans="2:6" x14ac:dyDescent="0.25">
      <c r="B873" s="3"/>
      <c r="C873" s="3"/>
      <c r="D873" s="3"/>
      <c r="E873" s="3" t="e">
        <f t="shared" si="28"/>
        <v>#N/A</v>
      </c>
      <c r="F873" s="3" t="e">
        <f t="shared" si="29"/>
        <v>#N/A</v>
      </c>
    </row>
    <row r="874" spans="2:6" x14ac:dyDescent="0.25">
      <c r="B874" s="3"/>
      <c r="C874" s="3"/>
      <c r="D874" s="3"/>
      <c r="E874" s="3" t="e">
        <f t="shared" si="28"/>
        <v>#N/A</v>
      </c>
      <c r="F874" s="3" t="e">
        <f t="shared" si="29"/>
        <v>#N/A</v>
      </c>
    </row>
    <row r="875" spans="2:6" x14ac:dyDescent="0.25">
      <c r="B875" s="3"/>
      <c r="C875" s="3"/>
      <c r="D875" s="3"/>
      <c r="E875" s="3" t="e">
        <f t="shared" si="28"/>
        <v>#N/A</v>
      </c>
      <c r="F875" s="3" t="e">
        <f t="shared" si="29"/>
        <v>#N/A</v>
      </c>
    </row>
    <row r="876" spans="2:6" x14ac:dyDescent="0.25">
      <c r="B876" s="3"/>
      <c r="C876" s="3"/>
      <c r="D876" s="3"/>
      <c r="E876" s="3" t="e">
        <f t="shared" si="28"/>
        <v>#N/A</v>
      </c>
      <c r="F876" s="3" t="e">
        <f t="shared" si="29"/>
        <v>#N/A</v>
      </c>
    </row>
    <row r="877" spans="2:6" x14ac:dyDescent="0.25">
      <c r="B877" s="3"/>
      <c r="C877" s="3"/>
      <c r="D877" s="3"/>
      <c r="E877" s="3" t="e">
        <f t="shared" si="28"/>
        <v>#N/A</v>
      </c>
      <c r="F877" s="3" t="e">
        <f t="shared" si="29"/>
        <v>#N/A</v>
      </c>
    </row>
    <row r="878" spans="2:6" x14ac:dyDescent="0.25">
      <c r="B878" s="3"/>
      <c r="C878" s="3"/>
      <c r="D878" s="3"/>
      <c r="E878" s="3" t="e">
        <f t="shared" si="28"/>
        <v>#N/A</v>
      </c>
      <c r="F878" s="3" t="e">
        <f t="shared" si="29"/>
        <v>#N/A</v>
      </c>
    </row>
    <row r="879" spans="2:6" x14ac:dyDescent="0.25">
      <c r="B879" s="3"/>
      <c r="C879" s="3"/>
      <c r="D879" s="3"/>
      <c r="E879" s="3" t="e">
        <f t="shared" si="28"/>
        <v>#N/A</v>
      </c>
      <c r="F879" s="3" t="e">
        <f t="shared" si="29"/>
        <v>#N/A</v>
      </c>
    </row>
    <row r="880" spans="2:6" x14ac:dyDescent="0.25">
      <c r="B880" s="3"/>
      <c r="C880" s="3"/>
      <c r="D880" s="3"/>
      <c r="E880" s="3" t="e">
        <f t="shared" si="28"/>
        <v>#N/A</v>
      </c>
      <c r="F880" s="3" t="e">
        <f t="shared" si="29"/>
        <v>#N/A</v>
      </c>
    </row>
    <row r="881" spans="2:6" x14ac:dyDescent="0.25">
      <c r="B881" s="3"/>
      <c r="C881" s="3"/>
      <c r="D881" s="3"/>
      <c r="E881" s="3" t="e">
        <f t="shared" si="28"/>
        <v>#N/A</v>
      </c>
      <c r="F881" s="3" t="e">
        <f t="shared" si="29"/>
        <v>#N/A</v>
      </c>
    </row>
    <row r="882" spans="2:6" x14ac:dyDescent="0.25">
      <c r="B882" s="3"/>
      <c r="C882" s="3"/>
      <c r="D882" s="3"/>
      <c r="E882" s="3" t="e">
        <f t="shared" si="28"/>
        <v>#N/A</v>
      </c>
      <c r="F882" s="3" t="e">
        <f t="shared" si="29"/>
        <v>#N/A</v>
      </c>
    </row>
    <row r="883" spans="2:6" x14ac:dyDescent="0.25">
      <c r="B883" s="3"/>
      <c r="C883" s="3"/>
      <c r="D883" s="3"/>
      <c r="E883" s="3" t="e">
        <f t="shared" si="28"/>
        <v>#N/A</v>
      </c>
      <c r="F883" s="3" t="e">
        <f t="shared" si="29"/>
        <v>#N/A</v>
      </c>
    </row>
    <row r="884" spans="2:6" x14ac:dyDescent="0.25">
      <c r="B884" s="3"/>
      <c r="C884" s="3"/>
      <c r="D884" s="3"/>
      <c r="E884" s="3" t="e">
        <f t="shared" si="28"/>
        <v>#N/A</v>
      </c>
      <c r="F884" s="3" t="e">
        <f t="shared" si="29"/>
        <v>#N/A</v>
      </c>
    </row>
    <row r="885" spans="2:6" x14ac:dyDescent="0.25">
      <c r="B885" s="3"/>
      <c r="C885" s="3"/>
      <c r="D885" s="3"/>
      <c r="E885" s="3" t="e">
        <f t="shared" si="28"/>
        <v>#N/A</v>
      </c>
      <c r="F885" s="3" t="e">
        <f t="shared" si="29"/>
        <v>#N/A</v>
      </c>
    </row>
    <row r="886" spans="2:6" x14ac:dyDescent="0.25">
      <c r="B886" s="3"/>
      <c r="C886" s="3"/>
      <c r="D886" s="3"/>
      <c r="E886" s="3" t="e">
        <f t="shared" si="28"/>
        <v>#N/A</v>
      </c>
      <c r="F886" s="3" t="e">
        <f t="shared" si="29"/>
        <v>#N/A</v>
      </c>
    </row>
    <row r="887" spans="2:6" x14ac:dyDescent="0.25">
      <c r="B887" s="3"/>
      <c r="C887" s="3"/>
      <c r="D887" s="3"/>
      <c r="E887" s="3" t="e">
        <f t="shared" si="28"/>
        <v>#N/A</v>
      </c>
      <c r="F887" s="3" t="e">
        <f t="shared" si="29"/>
        <v>#N/A</v>
      </c>
    </row>
    <row r="888" spans="2:6" x14ac:dyDescent="0.25">
      <c r="B888" s="3"/>
      <c r="C888" s="3"/>
      <c r="D888" s="3"/>
      <c r="E888" s="3" t="e">
        <f t="shared" si="28"/>
        <v>#N/A</v>
      </c>
      <c r="F888" s="3" t="e">
        <f t="shared" si="29"/>
        <v>#N/A</v>
      </c>
    </row>
    <row r="889" spans="2:6" x14ac:dyDescent="0.25">
      <c r="B889" s="3"/>
      <c r="C889" s="3"/>
      <c r="D889" s="3"/>
      <c r="E889" s="3" t="e">
        <f t="shared" si="28"/>
        <v>#N/A</v>
      </c>
      <c r="F889" s="3" t="e">
        <f t="shared" si="29"/>
        <v>#N/A</v>
      </c>
    </row>
    <row r="890" spans="2:6" x14ac:dyDescent="0.25">
      <c r="B890" s="3"/>
      <c r="C890" s="3"/>
      <c r="D890" s="3"/>
      <c r="E890" s="3" t="e">
        <f t="shared" si="28"/>
        <v>#N/A</v>
      </c>
      <c r="F890" s="3" t="e">
        <f t="shared" si="29"/>
        <v>#N/A</v>
      </c>
    </row>
    <row r="891" spans="2:6" x14ac:dyDescent="0.25">
      <c r="B891" s="3"/>
      <c r="C891" s="3"/>
      <c r="D891" s="3"/>
      <c r="E891" s="3" t="e">
        <f t="shared" si="28"/>
        <v>#N/A</v>
      </c>
      <c r="F891" s="3" t="e">
        <f t="shared" si="29"/>
        <v>#N/A</v>
      </c>
    </row>
    <row r="892" spans="2:6" x14ac:dyDescent="0.25">
      <c r="B892" s="3"/>
      <c r="C892" s="3"/>
      <c r="D892" s="3"/>
      <c r="E892" s="3" t="e">
        <f t="shared" si="28"/>
        <v>#N/A</v>
      </c>
      <c r="F892" s="3" t="e">
        <f t="shared" si="29"/>
        <v>#N/A</v>
      </c>
    </row>
    <row r="893" spans="2:6" x14ac:dyDescent="0.25">
      <c r="B893" s="3"/>
      <c r="C893" s="3"/>
      <c r="D893" s="3"/>
      <c r="E893" s="3" t="e">
        <f t="shared" si="28"/>
        <v>#N/A</v>
      </c>
      <c r="F893" s="3" t="e">
        <f t="shared" si="29"/>
        <v>#N/A</v>
      </c>
    </row>
    <row r="894" spans="2:6" x14ac:dyDescent="0.25">
      <c r="B894" s="3"/>
      <c r="C894" s="3"/>
      <c r="D894" s="3"/>
      <c r="E894" s="3" t="e">
        <f t="shared" si="28"/>
        <v>#N/A</v>
      </c>
      <c r="F894" s="3" t="e">
        <f t="shared" si="29"/>
        <v>#N/A</v>
      </c>
    </row>
    <row r="895" spans="2:6" x14ac:dyDescent="0.25">
      <c r="B895" s="3"/>
      <c r="C895" s="3"/>
      <c r="D895" s="3"/>
      <c r="E895" s="3" t="e">
        <f t="shared" si="28"/>
        <v>#N/A</v>
      </c>
      <c r="F895" s="3" t="e">
        <f t="shared" si="29"/>
        <v>#N/A</v>
      </c>
    </row>
    <row r="896" spans="2:6" x14ac:dyDescent="0.25">
      <c r="B896" s="3"/>
      <c r="C896" s="3"/>
      <c r="D896" s="3"/>
      <c r="E896" s="3" t="e">
        <f t="shared" si="28"/>
        <v>#N/A</v>
      </c>
      <c r="F896" s="3" t="e">
        <f t="shared" si="29"/>
        <v>#N/A</v>
      </c>
    </row>
    <row r="897" spans="2:6" x14ac:dyDescent="0.25">
      <c r="B897" s="3"/>
      <c r="C897" s="3"/>
      <c r="D897" s="3"/>
      <c r="E897" s="3" t="e">
        <f t="shared" si="28"/>
        <v>#N/A</v>
      </c>
      <c r="F897" s="3" t="e">
        <f t="shared" si="29"/>
        <v>#N/A</v>
      </c>
    </row>
    <row r="898" spans="2:6" x14ac:dyDescent="0.25">
      <c r="B898" s="3"/>
      <c r="C898" s="3"/>
      <c r="D898" s="3"/>
      <c r="E898" s="3" t="e">
        <f t="shared" si="28"/>
        <v>#N/A</v>
      </c>
      <c r="F898" s="3" t="e">
        <f t="shared" si="29"/>
        <v>#N/A</v>
      </c>
    </row>
    <row r="899" spans="2:6" x14ac:dyDescent="0.25">
      <c r="B899" s="3"/>
      <c r="C899" s="3"/>
      <c r="D899" s="3"/>
      <c r="E899" s="3" t="e">
        <f t="shared" si="28"/>
        <v>#N/A</v>
      </c>
      <c r="F899" s="3" t="e">
        <f t="shared" si="29"/>
        <v>#N/A</v>
      </c>
    </row>
    <row r="900" spans="2:6" x14ac:dyDescent="0.25">
      <c r="B900" s="3"/>
      <c r="C900" s="3"/>
      <c r="D900" s="3"/>
      <c r="E900" s="3" t="e">
        <f t="shared" ref="E900:E963" si="30">VLOOKUP(C900,I:J,2,0)</f>
        <v>#N/A</v>
      </c>
      <c r="F900" s="3" t="e">
        <f t="shared" ref="F900:F963" si="31">E900&amp;" "&amp;B900</f>
        <v>#N/A</v>
      </c>
    </row>
    <row r="901" spans="2:6" x14ac:dyDescent="0.25">
      <c r="B901" s="3"/>
      <c r="C901" s="3"/>
      <c r="D901" s="3"/>
      <c r="E901" s="3" t="e">
        <f t="shared" si="30"/>
        <v>#N/A</v>
      </c>
      <c r="F901" s="3" t="e">
        <f t="shared" si="31"/>
        <v>#N/A</v>
      </c>
    </row>
    <row r="902" spans="2:6" x14ac:dyDescent="0.25">
      <c r="B902" s="3"/>
      <c r="C902" s="3"/>
      <c r="D902" s="3"/>
      <c r="E902" s="3" t="e">
        <f t="shared" si="30"/>
        <v>#N/A</v>
      </c>
      <c r="F902" s="3" t="e">
        <f t="shared" si="31"/>
        <v>#N/A</v>
      </c>
    </row>
    <row r="903" spans="2:6" x14ac:dyDescent="0.25">
      <c r="B903" s="3"/>
      <c r="C903" s="3"/>
      <c r="D903" s="3"/>
      <c r="E903" s="3" t="e">
        <f t="shared" si="30"/>
        <v>#N/A</v>
      </c>
      <c r="F903" s="3" t="e">
        <f t="shared" si="31"/>
        <v>#N/A</v>
      </c>
    </row>
    <row r="904" spans="2:6" x14ac:dyDescent="0.25">
      <c r="B904" s="3"/>
      <c r="C904" s="3"/>
      <c r="D904" s="3"/>
      <c r="E904" s="3" t="e">
        <f t="shared" si="30"/>
        <v>#N/A</v>
      </c>
      <c r="F904" s="3" t="e">
        <f t="shared" si="31"/>
        <v>#N/A</v>
      </c>
    </row>
    <row r="905" spans="2:6" x14ac:dyDescent="0.25">
      <c r="B905" s="3"/>
      <c r="C905" s="3"/>
      <c r="D905" s="3"/>
      <c r="E905" s="3" t="e">
        <f t="shared" si="30"/>
        <v>#N/A</v>
      </c>
      <c r="F905" s="3" t="e">
        <f t="shared" si="31"/>
        <v>#N/A</v>
      </c>
    </row>
    <row r="906" spans="2:6" x14ac:dyDescent="0.25">
      <c r="B906" s="3"/>
      <c r="C906" s="3"/>
      <c r="D906" s="3"/>
      <c r="E906" s="3" t="e">
        <f t="shared" si="30"/>
        <v>#N/A</v>
      </c>
      <c r="F906" s="3" t="e">
        <f t="shared" si="31"/>
        <v>#N/A</v>
      </c>
    </row>
    <row r="907" spans="2:6" x14ac:dyDescent="0.25">
      <c r="B907" s="3"/>
      <c r="C907" s="3"/>
      <c r="D907" s="3"/>
      <c r="E907" s="3" t="e">
        <f t="shared" si="30"/>
        <v>#N/A</v>
      </c>
      <c r="F907" s="3" t="e">
        <f t="shared" si="31"/>
        <v>#N/A</v>
      </c>
    </row>
    <row r="908" spans="2:6" x14ac:dyDescent="0.25">
      <c r="B908" s="3"/>
      <c r="C908" s="3"/>
      <c r="D908" s="3"/>
      <c r="E908" s="3" t="e">
        <f t="shared" si="30"/>
        <v>#N/A</v>
      </c>
      <c r="F908" s="3" t="e">
        <f t="shared" si="31"/>
        <v>#N/A</v>
      </c>
    </row>
    <row r="909" spans="2:6" x14ac:dyDescent="0.25">
      <c r="B909" s="3"/>
      <c r="C909" s="3"/>
      <c r="D909" s="3"/>
      <c r="E909" s="3" t="e">
        <f t="shared" si="30"/>
        <v>#N/A</v>
      </c>
      <c r="F909" s="3" t="e">
        <f t="shared" si="31"/>
        <v>#N/A</v>
      </c>
    </row>
    <row r="910" spans="2:6" x14ac:dyDescent="0.25">
      <c r="B910" s="3"/>
      <c r="C910" s="3"/>
      <c r="D910" s="3"/>
      <c r="E910" s="3" t="e">
        <f t="shared" si="30"/>
        <v>#N/A</v>
      </c>
      <c r="F910" s="3" t="e">
        <f t="shared" si="31"/>
        <v>#N/A</v>
      </c>
    </row>
    <row r="911" spans="2:6" x14ac:dyDescent="0.25">
      <c r="B911" s="3"/>
      <c r="C911" s="3"/>
      <c r="D911" s="3"/>
      <c r="E911" s="3" t="e">
        <f t="shared" si="30"/>
        <v>#N/A</v>
      </c>
      <c r="F911" s="3" t="e">
        <f t="shared" si="31"/>
        <v>#N/A</v>
      </c>
    </row>
    <row r="912" spans="2:6" x14ac:dyDescent="0.25">
      <c r="B912" s="3"/>
      <c r="C912" s="3"/>
      <c r="D912" s="3"/>
      <c r="E912" s="3" t="e">
        <f t="shared" si="30"/>
        <v>#N/A</v>
      </c>
      <c r="F912" s="3" t="e">
        <f t="shared" si="31"/>
        <v>#N/A</v>
      </c>
    </row>
    <row r="913" spans="2:6" x14ac:dyDescent="0.25">
      <c r="B913" s="3"/>
      <c r="C913" s="3"/>
      <c r="D913" s="3"/>
      <c r="E913" s="3" t="e">
        <f t="shared" si="30"/>
        <v>#N/A</v>
      </c>
      <c r="F913" s="3" t="e">
        <f t="shared" si="31"/>
        <v>#N/A</v>
      </c>
    </row>
    <row r="914" spans="2:6" x14ac:dyDescent="0.25">
      <c r="B914" s="3"/>
      <c r="C914" s="3"/>
      <c r="D914" s="3"/>
      <c r="E914" s="3" t="e">
        <f t="shared" si="30"/>
        <v>#N/A</v>
      </c>
      <c r="F914" s="3" t="e">
        <f t="shared" si="31"/>
        <v>#N/A</v>
      </c>
    </row>
    <row r="915" spans="2:6" x14ac:dyDescent="0.25">
      <c r="B915" s="3"/>
      <c r="C915" s="3"/>
      <c r="D915" s="3"/>
      <c r="E915" s="3" t="e">
        <f t="shared" si="30"/>
        <v>#N/A</v>
      </c>
      <c r="F915" s="3" t="e">
        <f t="shared" si="31"/>
        <v>#N/A</v>
      </c>
    </row>
    <row r="916" spans="2:6" x14ac:dyDescent="0.25">
      <c r="B916" s="3"/>
      <c r="C916" s="3"/>
      <c r="D916" s="3"/>
      <c r="E916" s="3" t="e">
        <f t="shared" si="30"/>
        <v>#N/A</v>
      </c>
      <c r="F916" s="3" t="e">
        <f t="shared" si="31"/>
        <v>#N/A</v>
      </c>
    </row>
    <row r="917" spans="2:6" x14ac:dyDescent="0.25">
      <c r="B917" s="3"/>
      <c r="C917" s="3"/>
      <c r="D917" s="3"/>
      <c r="E917" s="3" t="e">
        <f t="shared" si="30"/>
        <v>#N/A</v>
      </c>
      <c r="F917" s="3" t="e">
        <f t="shared" si="31"/>
        <v>#N/A</v>
      </c>
    </row>
    <row r="918" spans="2:6" x14ac:dyDescent="0.25">
      <c r="B918" s="3"/>
      <c r="C918" s="3"/>
      <c r="D918" s="3"/>
      <c r="E918" s="3" t="e">
        <f t="shared" si="30"/>
        <v>#N/A</v>
      </c>
      <c r="F918" s="3" t="e">
        <f t="shared" si="31"/>
        <v>#N/A</v>
      </c>
    </row>
    <row r="919" spans="2:6" x14ac:dyDescent="0.25">
      <c r="B919" s="3"/>
      <c r="C919" s="3"/>
      <c r="D919" s="3"/>
      <c r="E919" s="3" t="e">
        <f t="shared" si="30"/>
        <v>#N/A</v>
      </c>
      <c r="F919" s="3" t="e">
        <f t="shared" si="31"/>
        <v>#N/A</v>
      </c>
    </row>
    <row r="920" spans="2:6" x14ac:dyDescent="0.25">
      <c r="B920" s="3"/>
      <c r="C920" s="3"/>
      <c r="D920" s="3"/>
      <c r="E920" s="3" t="e">
        <f t="shared" si="30"/>
        <v>#N/A</v>
      </c>
      <c r="F920" s="3" t="e">
        <f t="shared" si="31"/>
        <v>#N/A</v>
      </c>
    </row>
    <row r="921" spans="2:6" x14ac:dyDescent="0.25">
      <c r="B921" s="3"/>
      <c r="C921" s="3"/>
      <c r="D921" s="3"/>
      <c r="E921" s="3" t="e">
        <f t="shared" si="30"/>
        <v>#N/A</v>
      </c>
      <c r="F921" s="3" t="e">
        <f t="shared" si="31"/>
        <v>#N/A</v>
      </c>
    </row>
    <row r="922" spans="2:6" x14ac:dyDescent="0.25">
      <c r="B922" s="3"/>
      <c r="C922" s="3"/>
      <c r="D922" s="3"/>
      <c r="E922" s="3" t="e">
        <f t="shared" si="30"/>
        <v>#N/A</v>
      </c>
      <c r="F922" s="3" t="e">
        <f t="shared" si="31"/>
        <v>#N/A</v>
      </c>
    </row>
    <row r="923" spans="2:6" x14ac:dyDescent="0.25">
      <c r="B923" s="3"/>
      <c r="C923" s="3"/>
      <c r="D923" s="3"/>
      <c r="E923" s="3" t="e">
        <f t="shared" si="30"/>
        <v>#N/A</v>
      </c>
      <c r="F923" s="3" t="e">
        <f t="shared" si="31"/>
        <v>#N/A</v>
      </c>
    </row>
    <row r="924" spans="2:6" x14ac:dyDescent="0.25">
      <c r="B924" s="3"/>
      <c r="C924" s="3"/>
      <c r="D924" s="3"/>
      <c r="E924" s="3" t="e">
        <f t="shared" si="30"/>
        <v>#N/A</v>
      </c>
      <c r="F924" s="3" t="e">
        <f t="shared" si="31"/>
        <v>#N/A</v>
      </c>
    </row>
    <row r="925" spans="2:6" x14ac:dyDescent="0.25">
      <c r="B925" s="3"/>
      <c r="C925" s="3"/>
      <c r="D925" s="3"/>
      <c r="E925" s="3" t="e">
        <f t="shared" si="30"/>
        <v>#N/A</v>
      </c>
      <c r="F925" s="3" t="e">
        <f t="shared" si="31"/>
        <v>#N/A</v>
      </c>
    </row>
    <row r="926" spans="2:6" x14ac:dyDescent="0.25">
      <c r="B926" s="3"/>
      <c r="C926" s="3"/>
      <c r="D926" s="3"/>
      <c r="E926" s="3" t="e">
        <f t="shared" si="30"/>
        <v>#N/A</v>
      </c>
      <c r="F926" s="3" t="e">
        <f t="shared" si="31"/>
        <v>#N/A</v>
      </c>
    </row>
    <row r="927" spans="2:6" x14ac:dyDescent="0.25">
      <c r="B927" s="3"/>
      <c r="C927" s="3"/>
      <c r="D927" s="3"/>
      <c r="E927" s="3" t="e">
        <f t="shared" si="30"/>
        <v>#N/A</v>
      </c>
      <c r="F927" s="3" t="e">
        <f t="shared" si="31"/>
        <v>#N/A</v>
      </c>
    </row>
    <row r="928" spans="2:6" x14ac:dyDescent="0.25">
      <c r="B928" s="3"/>
      <c r="C928" s="3"/>
      <c r="D928" s="3"/>
      <c r="E928" s="3" t="e">
        <f t="shared" si="30"/>
        <v>#N/A</v>
      </c>
      <c r="F928" s="3" t="e">
        <f t="shared" si="31"/>
        <v>#N/A</v>
      </c>
    </row>
    <row r="929" spans="2:6" x14ac:dyDescent="0.25">
      <c r="B929" s="3"/>
      <c r="C929" s="3"/>
      <c r="D929" s="3"/>
      <c r="E929" s="3" t="e">
        <f t="shared" si="30"/>
        <v>#N/A</v>
      </c>
      <c r="F929" s="3" t="e">
        <f t="shared" si="31"/>
        <v>#N/A</v>
      </c>
    </row>
    <row r="930" spans="2:6" x14ac:dyDescent="0.25">
      <c r="B930" s="3"/>
      <c r="C930" s="3"/>
      <c r="D930" s="3"/>
      <c r="E930" s="3" t="e">
        <f t="shared" si="30"/>
        <v>#N/A</v>
      </c>
      <c r="F930" s="3" t="e">
        <f t="shared" si="31"/>
        <v>#N/A</v>
      </c>
    </row>
    <row r="931" spans="2:6" x14ac:dyDescent="0.25">
      <c r="B931" s="3"/>
      <c r="C931" s="3"/>
      <c r="D931" s="3"/>
      <c r="E931" s="3" t="e">
        <f t="shared" si="30"/>
        <v>#N/A</v>
      </c>
      <c r="F931" s="3" t="e">
        <f t="shared" si="31"/>
        <v>#N/A</v>
      </c>
    </row>
    <row r="932" spans="2:6" x14ac:dyDescent="0.25">
      <c r="B932" s="3"/>
      <c r="C932" s="3"/>
      <c r="D932" s="3"/>
      <c r="E932" s="3" t="e">
        <f t="shared" si="30"/>
        <v>#N/A</v>
      </c>
      <c r="F932" s="3" t="e">
        <f t="shared" si="31"/>
        <v>#N/A</v>
      </c>
    </row>
    <row r="933" spans="2:6" x14ac:dyDescent="0.25">
      <c r="B933" s="3"/>
      <c r="C933" s="3"/>
      <c r="D933" s="3"/>
      <c r="E933" s="3" t="e">
        <f t="shared" si="30"/>
        <v>#N/A</v>
      </c>
      <c r="F933" s="3" t="e">
        <f t="shared" si="31"/>
        <v>#N/A</v>
      </c>
    </row>
    <row r="934" spans="2:6" x14ac:dyDescent="0.25">
      <c r="B934" s="3"/>
      <c r="C934" s="3"/>
      <c r="D934" s="3"/>
      <c r="E934" s="3" t="e">
        <f t="shared" si="30"/>
        <v>#N/A</v>
      </c>
      <c r="F934" s="3" t="e">
        <f t="shared" si="31"/>
        <v>#N/A</v>
      </c>
    </row>
    <row r="935" spans="2:6" x14ac:dyDescent="0.25">
      <c r="B935" s="3"/>
      <c r="C935" s="3"/>
      <c r="D935" s="3"/>
      <c r="E935" s="3" t="e">
        <f t="shared" si="30"/>
        <v>#N/A</v>
      </c>
      <c r="F935" s="3" t="e">
        <f t="shared" si="31"/>
        <v>#N/A</v>
      </c>
    </row>
    <row r="936" spans="2:6" x14ac:dyDescent="0.25">
      <c r="B936" s="3"/>
      <c r="C936" s="3"/>
      <c r="D936" s="3"/>
      <c r="E936" s="3" t="e">
        <f t="shared" si="30"/>
        <v>#N/A</v>
      </c>
      <c r="F936" s="3" t="e">
        <f t="shared" si="31"/>
        <v>#N/A</v>
      </c>
    </row>
    <row r="937" spans="2:6" x14ac:dyDescent="0.25">
      <c r="B937" s="3"/>
      <c r="C937" s="3"/>
      <c r="D937" s="3"/>
      <c r="E937" s="3" t="e">
        <f t="shared" si="30"/>
        <v>#N/A</v>
      </c>
      <c r="F937" s="3" t="e">
        <f t="shared" si="31"/>
        <v>#N/A</v>
      </c>
    </row>
    <row r="938" spans="2:6" x14ac:dyDescent="0.25">
      <c r="B938" s="3"/>
      <c r="C938" s="3"/>
      <c r="D938" s="3"/>
      <c r="E938" s="3" t="e">
        <f t="shared" si="30"/>
        <v>#N/A</v>
      </c>
      <c r="F938" s="3" t="e">
        <f t="shared" si="31"/>
        <v>#N/A</v>
      </c>
    </row>
    <row r="939" spans="2:6" x14ac:dyDescent="0.25">
      <c r="B939" s="3"/>
      <c r="C939" s="3"/>
      <c r="D939" s="3"/>
      <c r="E939" s="3" t="e">
        <f t="shared" si="30"/>
        <v>#N/A</v>
      </c>
      <c r="F939" s="3" t="e">
        <f t="shared" si="31"/>
        <v>#N/A</v>
      </c>
    </row>
    <row r="940" spans="2:6" x14ac:dyDescent="0.25">
      <c r="B940" s="3"/>
      <c r="C940" s="3"/>
      <c r="D940" s="3"/>
      <c r="E940" s="3" t="e">
        <f t="shared" si="30"/>
        <v>#N/A</v>
      </c>
      <c r="F940" s="3" t="e">
        <f t="shared" si="31"/>
        <v>#N/A</v>
      </c>
    </row>
    <row r="941" spans="2:6" x14ac:dyDescent="0.25">
      <c r="B941" s="3"/>
      <c r="C941" s="3"/>
      <c r="D941" s="3"/>
      <c r="E941" s="3" t="e">
        <f t="shared" si="30"/>
        <v>#N/A</v>
      </c>
      <c r="F941" s="3" t="e">
        <f t="shared" si="31"/>
        <v>#N/A</v>
      </c>
    </row>
    <row r="942" spans="2:6" x14ac:dyDescent="0.25">
      <c r="B942" s="3"/>
      <c r="C942" s="3"/>
      <c r="D942" s="3"/>
      <c r="E942" s="3" t="e">
        <f t="shared" si="30"/>
        <v>#N/A</v>
      </c>
      <c r="F942" s="3" t="e">
        <f t="shared" si="31"/>
        <v>#N/A</v>
      </c>
    </row>
    <row r="943" spans="2:6" x14ac:dyDescent="0.25">
      <c r="B943" s="3"/>
      <c r="C943" s="3"/>
      <c r="D943" s="3"/>
      <c r="E943" s="3" t="e">
        <f t="shared" si="30"/>
        <v>#N/A</v>
      </c>
      <c r="F943" s="3" t="e">
        <f t="shared" si="31"/>
        <v>#N/A</v>
      </c>
    </row>
    <row r="944" spans="2:6" x14ac:dyDescent="0.25">
      <c r="B944" s="3"/>
      <c r="C944" s="3"/>
      <c r="D944" s="3"/>
      <c r="E944" s="3" t="e">
        <f t="shared" si="30"/>
        <v>#N/A</v>
      </c>
      <c r="F944" s="3" t="e">
        <f t="shared" si="31"/>
        <v>#N/A</v>
      </c>
    </row>
    <row r="945" spans="2:6" x14ac:dyDescent="0.25">
      <c r="B945" s="3"/>
      <c r="C945" s="3"/>
      <c r="D945" s="3"/>
      <c r="E945" s="3" t="e">
        <f t="shared" si="30"/>
        <v>#N/A</v>
      </c>
      <c r="F945" s="3" t="e">
        <f t="shared" si="31"/>
        <v>#N/A</v>
      </c>
    </row>
    <row r="946" spans="2:6" x14ac:dyDescent="0.25">
      <c r="B946" s="3"/>
      <c r="C946" s="3"/>
      <c r="D946" s="3"/>
      <c r="E946" s="3" t="e">
        <f t="shared" si="30"/>
        <v>#N/A</v>
      </c>
      <c r="F946" s="3" t="e">
        <f t="shared" si="31"/>
        <v>#N/A</v>
      </c>
    </row>
    <row r="947" spans="2:6" x14ac:dyDescent="0.25">
      <c r="B947" s="3"/>
      <c r="C947" s="3"/>
      <c r="D947" s="3"/>
      <c r="E947" s="3" t="e">
        <f t="shared" si="30"/>
        <v>#N/A</v>
      </c>
      <c r="F947" s="3" t="e">
        <f t="shared" si="31"/>
        <v>#N/A</v>
      </c>
    </row>
    <row r="948" spans="2:6" x14ac:dyDescent="0.25">
      <c r="B948" s="3"/>
      <c r="C948" s="3"/>
      <c r="D948" s="3"/>
      <c r="E948" s="3" t="e">
        <f t="shared" si="30"/>
        <v>#N/A</v>
      </c>
      <c r="F948" s="3" t="e">
        <f t="shared" si="31"/>
        <v>#N/A</v>
      </c>
    </row>
    <row r="949" spans="2:6" x14ac:dyDescent="0.25">
      <c r="B949" s="3"/>
      <c r="C949" s="3"/>
      <c r="D949" s="3"/>
      <c r="E949" s="3" t="e">
        <f t="shared" si="30"/>
        <v>#N/A</v>
      </c>
      <c r="F949" s="3" t="e">
        <f t="shared" si="31"/>
        <v>#N/A</v>
      </c>
    </row>
    <row r="950" spans="2:6" x14ac:dyDescent="0.25">
      <c r="B950" s="3"/>
      <c r="C950" s="3"/>
      <c r="D950" s="3"/>
      <c r="E950" s="3" t="e">
        <f t="shared" si="30"/>
        <v>#N/A</v>
      </c>
      <c r="F950" s="3" t="e">
        <f t="shared" si="31"/>
        <v>#N/A</v>
      </c>
    </row>
    <row r="951" spans="2:6" x14ac:dyDescent="0.25">
      <c r="B951" s="3"/>
      <c r="C951" s="3"/>
      <c r="D951" s="3"/>
      <c r="E951" s="3" t="e">
        <f t="shared" si="30"/>
        <v>#N/A</v>
      </c>
      <c r="F951" s="3" t="e">
        <f t="shared" si="31"/>
        <v>#N/A</v>
      </c>
    </row>
    <row r="952" spans="2:6" x14ac:dyDescent="0.25">
      <c r="B952" s="3"/>
      <c r="C952" s="3"/>
      <c r="D952" s="3"/>
      <c r="E952" s="3" t="e">
        <f t="shared" si="30"/>
        <v>#N/A</v>
      </c>
      <c r="F952" s="3" t="e">
        <f t="shared" si="31"/>
        <v>#N/A</v>
      </c>
    </row>
    <row r="953" spans="2:6" x14ac:dyDescent="0.25">
      <c r="B953" s="3"/>
      <c r="C953" s="3"/>
      <c r="D953" s="3"/>
      <c r="E953" s="3" t="e">
        <f t="shared" si="30"/>
        <v>#N/A</v>
      </c>
      <c r="F953" s="3" t="e">
        <f t="shared" si="31"/>
        <v>#N/A</v>
      </c>
    </row>
    <row r="954" spans="2:6" x14ac:dyDescent="0.25">
      <c r="B954" s="3"/>
      <c r="C954" s="3"/>
      <c r="D954" s="3"/>
      <c r="E954" s="3" t="e">
        <f t="shared" si="30"/>
        <v>#N/A</v>
      </c>
      <c r="F954" s="3" t="e">
        <f t="shared" si="31"/>
        <v>#N/A</v>
      </c>
    </row>
    <row r="955" spans="2:6" x14ac:dyDescent="0.25">
      <c r="B955" s="3"/>
      <c r="C955" s="3"/>
      <c r="D955" s="3"/>
      <c r="E955" s="3" t="e">
        <f t="shared" si="30"/>
        <v>#N/A</v>
      </c>
      <c r="F955" s="3" t="e">
        <f t="shared" si="31"/>
        <v>#N/A</v>
      </c>
    </row>
    <row r="956" spans="2:6" x14ac:dyDescent="0.25">
      <c r="B956" s="3"/>
      <c r="C956" s="3"/>
      <c r="D956" s="3"/>
      <c r="E956" s="3" t="e">
        <f t="shared" si="30"/>
        <v>#N/A</v>
      </c>
      <c r="F956" s="3" t="e">
        <f t="shared" si="31"/>
        <v>#N/A</v>
      </c>
    </row>
    <row r="957" spans="2:6" x14ac:dyDescent="0.25">
      <c r="B957" s="3"/>
      <c r="C957" s="3"/>
      <c r="D957" s="3"/>
      <c r="E957" s="3" t="e">
        <f t="shared" si="30"/>
        <v>#N/A</v>
      </c>
      <c r="F957" s="3" t="e">
        <f t="shared" si="31"/>
        <v>#N/A</v>
      </c>
    </row>
    <row r="958" spans="2:6" x14ac:dyDescent="0.25">
      <c r="B958" s="3"/>
      <c r="C958" s="3"/>
      <c r="D958" s="3"/>
      <c r="E958" s="3" t="e">
        <f t="shared" si="30"/>
        <v>#N/A</v>
      </c>
      <c r="F958" s="3" t="e">
        <f t="shared" si="31"/>
        <v>#N/A</v>
      </c>
    </row>
    <row r="959" spans="2:6" x14ac:dyDescent="0.25">
      <c r="B959" s="3"/>
      <c r="C959" s="3"/>
      <c r="D959" s="3"/>
      <c r="E959" s="3" t="e">
        <f t="shared" si="30"/>
        <v>#N/A</v>
      </c>
      <c r="F959" s="3" t="e">
        <f t="shared" si="31"/>
        <v>#N/A</v>
      </c>
    </row>
    <row r="960" spans="2:6" x14ac:dyDescent="0.25">
      <c r="B960" s="3"/>
      <c r="C960" s="3"/>
      <c r="D960" s="3"/>
      <c r="E960" s="3" t="e">
        <f t="shared" si="30"/>
        <v>#N/A</v>
      </c>
      <c r="F960" s="3" t="e">
        <f t="shared" si="31"/>
        <v>#N/A</v>
      </c>
    </row>
    <row r="961" spans="2:6" x14ac:dyDescent="0.25">
      <c r="B961" s="3"/>
      <c r="C961" s="3"/>
      <c r="D961" s="3"/>
      <c r="E961" s="3" t="e">
        <f t="shared" si="30"/>
        <v>#N/A</v>
      </c>
      <c r="F961" s="3" t="e">
        <f t="shared" si="31"/>
        <v>#N/A</v>
      </c>
    </row>
    <row r="962" spans="2:6" x14ac:dyDescent="0.25">
      <c r="B962" s="3"/>
      <c r="C962" s="3"/>
      <c r="D962" s="3"/>
      <c r="E962" s="3" t="e">
        <f t="shared" si="30"/>
        <v>#N/A</v>
      </c>
      <c r="F962" s="3" t="e">
        <f t="shared" si="31"/>
        <v>#N/A</v>
      </c>
    </row>
    <row r="963" spans="2:6" x14ac:dyDescent="0.25">
      <c r="B963" s="3"/>
      <c r="C963" s="3"/>
      <c r="D963" s="3"/>
      <c r="E963" s="3" t="e">
        <f t="shared" si="30"/>
        <v>#N/A</v>
      </c>
      <c r="F963" s="3" t="e">
        <f t="shared" si="31"/>
        <v>#N/A</v>
      </c>
    </row>
    <row r="964" spans="2:6" x14ac:dyDescent="0.25">
      <c r="B964" s="3"/>
      <c r="C964" s="3"/>
      <c r="D964" s="3"/>
      <c r="E964" s="3" t="e">
        <f t="shared" ref="E964:E1027" si="32">VLOOKUP(C964,I:J,2,0)</f>
        <v>#N/A</v>
      </c>
      <c r="F964" s="3" t="e">
        <f t="shared" ref="F964:F1027" si="33">E964&amp;" "&amp;B964</f>
        <v>#N/A</v>
      </c>
    </row>
    <row r="965" spans="2:6" x14ac:dyDescent="0.25">
      <c r="B965" s="3"/>
      <c r="C965" s="3"/>
      <c r="D965" s="3"/>
      <c r="E965" s="3" t="e">
        <f t="shared" si="32"/>
        <v>#N/A</v>
      </c>
      <c r="F965" s="3" t="e">
        <f t="shared" si="33"/>
        <v>#N/A</v>
      </c>
    </row>
    <row r="966" spans="2:6" x14ac:dyDescent="0.25">
      <c r="B966" s="3"/>
      <c r="C966" s="3"/>
      <c r="D966" s="3"/>
      <c r="E966" s="3" t="e">
        <f t="shared" si="32"/>
        <v>#N/A</v>
      </c>
      <c r="F966" s="3" t="e">
        <f t="shared" si="33"/>
        <v>#N/A</v>
      </c>
    </row>
    <row r="967" spans="2:6" x14ac:dyDescent="0.25">
      <c r="B967" s="3"/>
      <c r="C967" s="3"/>
      <c r="D967" s="3"/>
      <c r="E967" s="3" t="e">
        <f t="shared" si="32"/>
        <v>#N/A</v>
      </c>
      <c r="F967" s="3" t="e">
        <f t="shared" si="33"/>
        <v>#N/A</v>
      </c>
    </row>
    <row r="968" spans="2:6" x14ac:dyDescent="0.25">
      <c r="B968" s="3"/>
      <c r="C968" s="3"/>
      <c r="D968" s="3"/>
      <c r="E968" s="3" t="e">
        <f t="shared" si="32"/>
        <v>#N/A</v>
      </c>
      <c r="F968" s="3" t="e">
        <f t="shared" si="33"/>
        <v>#N/A</v>
      </c>
    </row>
    <row r="969" spans="2:6" x14ac:dyDescent="0.25">
      <c r="B969" s="3"/>
      <c r="C969" s="3"/>
      <c r="D969" s="3"/>
      <c r="E969" s="3" t="e">
        <f t="shared" si="32"/>
        <v>#N/A</v>
      </c>
      <c r="F969" s="3" t="e">
        <f t="shared" si="33"/>
        <v>#N/A</v>
      </c>
    </row>
    <row r="970" spans="2:6" x14ac:dyDescent="0.25">
      <c r="B970" s="3"/>
      <c r="C970" s="3"/>
      <c r="D970" s="3"/>
      <c r="E970" s="3" t="e">
        <f t="shared" si="32"/>
        <v>#N/A</v>
      </c>
      <c r="F970" s="3" t="e">
        <f t="shared" si="33"/>
        <v>#N/A</v>
      </c>
    </row>
    <row r="971" spans="2:6" x14ac:dyDescent="0.25">
      <c r="B971" s="3"/>
      <c r="C971" s="3"/>
      <c r="D971" s="3"/>
      <c r="E971" s="3" t="e">
        <f t="shared" si="32"/>
        <v>#N/A</v>
      </c>
      <c r="F971" s="3" t="e">
        <f t="shared" si="33"/>
        <v>#N/A</v>
      </c>
    </row>
    <row r="972" spans="2:6" x14ac:dyDescent="0.25">
      <c r="B972" s="3"/>
      <c r="C972" s="3"/>
      <c r="D972" s="3"/>
      <c r="E972" s="3" t="e">
        <f t="shared" si="32"/>
        <v>#N/A</v>
      </c>
      <c r="F972" s="3" t="e">
        <f t="shared" si="33"/>
        <v>#N/A</v>
      </c>
    </row>
    <row r="973" spans="2:6" x14ac:dyDescent="0.25">
      <c r="B973" s="3"/>
      <c r="C973" s="3"/>
      <c r="D973" s="3"/>
      <c r="E973" s="3" t="e">
        <f t="shared" si="32"/>
        <v>#N/A</v>
      </c>
      <c r="F973" s="3" t="e">
        <f t="shared" si="33"/>
        <v>#N/A</v>
      </c>
    </row>
    <row r="974" spans="2:6" x14ac:dyDescent="0.25">
      <c r="B974" s="3"/>
      <c r="C974" s="3"/>
      <c r="D974" s="3"/>
      <c r="E974" s="3" t="e">
        <f t="shared" si="32"/>
        <v>#N/A</v>
      </c>
      <c r="F974" s="3" t="e">
        <f t="shared" si="33"/>
        <v>#N/A</v>
      </c>
    </row>
    <row r="975" spans="2:6" x14ac:dyDescent="0.25">
      <c r="B975" s="3"/>
      <c r="C975" s="3"/>
      <c r="D975" s="3"/>
      <c r="E975" s="3" t="e">
        <f t="shared" si="32"/>
        <v>#N/A</v>
      </c>
      <c r="F975" s="3" t="e">
        <f t="shared" si="33"/>
        <v>#N/A</v>
      </c>
    </row>
    <row r="976" spans="2:6" x14ac:dyDescent="0.25">
      <c r="B976" s="3"/>
      <c r="C976" s="3"/>
      <c r="D976" s="3"/>
      <c r="E976" s="3" t="e">
        <f t="shared" si="32"/>
        <v>#N/A</v>
      </c>
      <c r="F976" s="3" t="e">
        <f t="shared" si="33"/>
        <v>#N/A</v>
      </c>
    </row>
    <row r="977" spans="2:6" x14ac:dyDescent="0.25">
      <c r="B977" s="3"/>
      <c r="C977" s="3"/>
      <c r="D977" s="3"/>
      <c r="E977" s="3" t="e">
        <f t="shared" si="32"/>
        <v>#N/A</v>
      </c>
      <c r="F977" s="3" t="e">
        <f t="shared" si="33"/>
        <v>#N/A</v>
      </c>
    </row>
    <row r="978" spans="2:6" x14ac:dyDescent="0.25">
      <c r="B978" s="3"/>
      <c r="C978" s="3"/>
      <c r="D978" s="3"/>
      <c r="E978" s="3" t="e">
        <f t="shared" si="32"/>
        <v>#N/A</v>
      </c>
      <c r="F978" s="3" t="e">
        <f t="shared" si="33"/>
        <v>#N/A</v>
      </c>
    </row>
    <row r="979" spans="2:6" x14ac:dyDescent="0.25">
      <c r="B979" s="3"/>
      <c r="C979" s="3"/>
      <c r="D979" s="3"/>
      <c r="E979" s="3" t="e">
        <f t="shared" si="32"/>
        <v>#N/A</v>
      </c>
      <c r="F979" s="3" t="e">
        <f t="shared" si="33"/>
        <v>#N/A</v>
      </c>
    </row>
    <row r="980" spans="2:6" x14ac:dyDescent="0.25">
      <c r="B980" s="3"/>
      <c r="C980" s="3"/>
      <c r="D980" s="3"/>
      <c r="E980" s="3" t="e">
        <f t="shared" si="32"/>
        <v>#N/A</v>
      </c>
      <c r="F980" s="3" t="e">
        <f t="shared" si="33"/>
        <v>#N/A</v>
      </c>
    </row>
    <row r="981" spans="2:6" x14ac:dyDescent="0.25">
      <c r="B981" s="3"/>
      <c r="C981" s="3"/>
      <c r="D981" s="3"/>
      <c r="E981" s="3" t="e">
        <f t="shared" si="32"/>
        <v>#N/A</v>
      </c>
      <c r="F981" s="3" t="e">
        <f t="shared" si="33"/>
        <v>#N/A</v>
      </c>
    </row>
    <row r="982" spans="2:6" x14ac:dyDescent="0.25">
      <c r="B982" s="3"/>
      <c r="C982" s="3"/>
      <c r="D982" s="3"/>
      <c r="E982" s="3" t="e">
        <f t="shared" si="32"/>
        <v>#N/A</v>
      </c>
      <c r="F982" s="3" t="e">
        <f t="shared" si="33"/>
        <v>#N/A</v>
      </c>
    </row>
    <row r="983" spans="2:6" x14ac:dyDescent="0.25">
      <c r="B983" s="3"/>
      <c r="C983" s="3"/>
      <c r="D983" s="3"/>
      <c r="E983" s="3" t="e">
        <f t="shared" si="32"/>
        <v>#N/A</v>
      </c>
      <c r="F983" s="3" t="e">
        <f t="shared" si="33"/>
        <v>#N/A</v>
      </c>
    </row>
    <row r="984" spans="2:6" x14ac:dyDescent="0.25">
      <c r="B984" s="3"/>
      <c r="C984" s="3"/>
      <c r="D984" s="3"/>
      <c r="E984" s="3" t="e">
        <f t="shared" si="32"/>
        <v>#N/A</v>
      </c>
      <c r="F984" s="3" t="e">
        <f t="shared" si="33"/>
        <v>#N/A</v>
      </c>
    </row>
    <row r="985" spans="2:6" x14ac:dyDescent="0.25">
      <c r="B985" s="3"/>
      <c r="C985" s="3"/>
      <c r="D985" s="3"/>
      <c r="E985" s="3" t="e">
        <f t="shared" si="32"/>
        <v>#N/A</v>
      </c>
      <c r="F985" s="3" t="e">
        <f t="shared" si="33"/>
        <v>#N/A</v>
      </c>
    </row>
    <row r="986" spans="2:6" x14ac:dyDescent="0.25">
      <c r="B986" s="3"/>
      <c r="C986" s="3"/>
      <c r="D986" s="3"/>
      <c r="E986" s="3" t="e">
        <f t="shared" si="32"/>
        <v>#N/A</v>
      </c>
      <c r="F986" s="3" t="e">
        <f t="shared" si="33"/>
        <v>#N/A</v>
      </c>
    </row>
    <row r="987" spans="2:6" x14ac:dyDescent="0.25">
      <c r="B987" s="3"/>
      <c r="C987" s="3"/>
      <c r="D987" s="3"/>
      <c r="E987" s="3" t="e">
        <f t="shared" si="32"/>
        <v>#N/A</v>
      </c>
      <c r="F987" s="3" t="e">
        <f t="shared" si="33"/>
        <v>#N/A</v>
      </c>
    </row>
    <row r="988" spans="2:6" x14ac:dyDescent="0.25">
      <c r="B988" s="3"/>
      <c r="C988" s="3"/>
      <c r="D988" s="3"/>
      <c r="E988" s="3" t="e">
        <f t="shared" si="32"/>
        <v>#N/A</v>
      </c>
      <c r="F988" s="3" t="e">
        <f t="shared" si="33"/>
        <v>#N/A</v>
      </c>
    </row>
    <row r="989" spans="2:6" x14ac:dyDescent="0.25">
      <c r="B989" s="3"/>
      <c r="C989" s="3"/>
      <c r="D989" s="3"/>
      <c r="E989" s="3" t="e">
        <f t="shared" si="32"/>
        <v>#N/A</v>
      </c>
      <c r="F989" s="3" t="e">
        <f t="shared" si="33"/>
        <v>#N/A</v>
      </c>
    </row>
    <row r="990" spans="2:6" x14ac:dyDescent="0.25">
      <c r="B990" s="3"/>
      <c r="C990" s="3"/>
      <c r="D990" s="3"/>
      <c r="E990" s="3" t="e">
        <f t="shared" si="32"/>
        <v>#N/A</v>
      </c>
      <c r="F990" s="3" t="e">
        <f t="shared" si="33"/>
        <v>#N/A</v>
      </c>
    </row>
    <row r="991" spans="2:6" x14ac:dyDescent="0.25">
      <c r="B991" s="3"/>
      <c r="C991" s="3"/>
      <c r="D991" s="3"/>
      <c r="E991" s="3" t="e">
        <f t="shared" si="32"/>
        <v>#N/A</v>
      </c>
      <c r="F991" s="3" t="e">
        <f t="shared" si="33"/>
        <v>#N/A</v>
      </c>
    </row>
    <row r="992" spans="2:6" x14ac:dyDescent="0.25">
      <c r="B992" s="3"/>
      <c r="C992" s="3"/>
      <c r="D992" s="3"/>
      <c r="E992" s="3" t="e">
        <f t="shared" si="32"/>
        <v>#N/A</v>
      </c>
      <c r="F992" s="3" t="e">
        <f t="shared" si="33"/>
        <v>#N/A</v>
      </c>
    </row>
    <row r="993" spans="2:6" x14ac:dyDescent="0.25">
      <c r="B993" s="3"/>
      <c r="C993" s="3"/>
      <c r="D993" s="3"/>
      <c r="E993" s="3" t="e">
        <f t="shared" si="32"/>
        <v>#N/A</v>
      </c>
      <c r="F993" s="3" t="e">
        <f t="shared" si="33"/>
        <v>#N/A</v>
      </c>
    </row>
    <row r="994" spans="2:6" x14ac:dyDescent="0.25">
      <c r="B994" s="3"/>
      <c r="C994" s="3"/>
      <c r="D994" s="3"/>
      <c r="E994" s="3" t="e">
        <f t="shared" si="32"/>
        <v>#N/A</v>
      </c>
      <c r="F994" s="3" t="e">
        <f t="shared" si="33"/>
        <v>#N/A</v>
      </c>
    </row>
    <row r="995" spans="2:6" x14ac:dyDescent="0.25">
      <c r="B995" s="3"/>
      <c r="C995" s="3"/>
      <c r="D995" s="3"/>
      <c r="E995" s="3" t="e">
        <f t="shared" si="32"/>
        <v>#N/A</v>
      </c>
      <c r="F995" s="3" t="e">
        <f t="shared" si="33"/>
        <v>#N/A</v>
      </c>
    </row>
    <row r="996" spans="2:6" x14ac:dyDescent="0.25">
      <c r="B996" s="3"/>
      <c r="C996" s="3"/>
      <c r="D996" s="3"/>
      <c r="E996" s="3" t="e">
        <f t="shared" si="32"/>
        <v>#N/A</v>
      </c>
      <c r="F996" s="3" t="e">
        <f t="shared" si="33"/>
        <v>#N/A</v>
      </c>
    </row>
    <row r="997" spans="2:6" x14ac:dyDescent="0.25">
      <c r="B997" s="3"/>
      <c r="C997" s="3"/>
      <c r="D997" s="3"/>
      <c r="E997" s="3" t="e">
        <f t="shared" si="32"/>
        <v>#N/A</v>
      </c>
      <c r="F997" s="3" t="e">
        <f t="shared" si="33"/>
        <v>#N/A</v>
      </c>
    </row>
    <row r="998" spans="2:6" x14ac:dyDescent="0.25">
      <c r="B998" s="3"/>
      <c r="C998" s="3"/>
      <c r="D998" s="3"/>
      <c r="E998" s="3" t="e">
        <f t="shared" si="32"/>
        <v>#N/A</v>
      </c>
      <c r="F998" s="3" t="e">
        <f t="shared" si="33"/>
        <v>#N/A</v>
      </c>
    </row>
    <row r="999" spans="2:6" x14ac:dyDescent="0.25">
      <c r="B999" s="3"/>
      <c r="C999" s="3"/>
      <c r="D999" s="3"/>
      <c r="E999" s="3" t="e">
        <f t="shared" si="32"/>
        <v>#N/A</v>
      </c>
      <c r="F999" s="3" t="e">
        <f t="shared" si="33"/>
        <v>#N/A</v>
      </c>
    </row>
    <row r="1000" spans="2:6" x14ac:dyDescent="0.25">
      <c r="B1000" s="3"/>
      <c r="C1000" s="3"/>
      <c r="D1000" s="3"/>
      <c r="E1000" s="3" t="e">
        <f t="shared" si="32"/>
        <v>#N/A</v>
      </c>
      <c r="F1000" s="3" t="e">
        <f t="shared" si="33"/>
        <v>#N/A</v>
      </c>
    </row>
    <row r="1001" spans="2:6" x14ac:dyDescent="0.25">
      <c r="B1001" s="3"/>
      <c r="C1001" s="3"/>
      <c r="D1001" s="3"/>
      <c r="E1001" s="3" t="e">
        <f t="shared" si="32"/>
        <v>#N/A</v>
      </c>
      <c r="F1001" s="3" t="e">
        <f t="shared" si="33"/>
        <v>#N/A</v>
      </c>
    </row>
    <row r="1002" spans="2:6" x14ac:dyDescent="0.25">
      <c r="B1002" s="3"/>
      <c r="C1002" s="3"/>
      <c r="D1002" s="3"/>
      <c r="E1002" s="3" t="e">
        <f t="shared" si="32"/>
        <v>#N/A</v>
      </c>
      <c r="F1002" s="3" t="e">
        <f t="shared" si="33"/>
        <v>#N/A</v>
      </c>
    </row>
    <row r="1003" spans="2:6" x14ac:dyDescent="0.25">
      <c r="B1003" s="3"/>
      <c r="C1003" s="3"/>
      <c r="D1003" s="3"/>
      <c r="E1003" s="3" t="e">
        <f t="shared" si="32"/>
        <v>#N/A</v>
      </c>
      <c r="F1003" s="3" t="e">
        <f t="shared" si="33"/>
        <v>#N/A</v>
      </c>
    </row>
    <row r="1004" spans="2:6" x14ac:dyDescent="0.25">
      <c r="B1004" s="3"/>
      <c r="C1004" s="3"/>
      <c r="D1004" s="3"/>
      <c r="E1004" s="3" t="e">
        <f t="shared" si="32"/>
        <v>#N/A</v>
      </c>
      <c r="F1004" s="3" t="e">
        <f t="shared" si="33"/>
        <v>#N/A</v>
      </c>
    </row>
    <row r="1005" spans="2:6" x14ac:dyDescent="0.25">
      <c r="B1005" s="3"/>
      <c r="C1005" s="3"/>
      <c r="D1005" s="3"/>
      <c r="E1005" s="3" t="e">
        <f t="shared" si="32"/>
        <v>#N/A</v>
      </c>
      <c r="F1005" s="3" t="e">
        <f t="shared" si="33"/>
        <v>#N/A</v>
      </c>
    </row>
    <row r="1006" spans="2:6" x14ac:dyDescent="0.25">
      <c r="B1006" s="3"/>
      <c r="C1006" s="3"/>
      <c r="D1006" s="3"/>
      <c r="E1006" s="3" t="e">
        <f t="shared" si="32"/>
        <v>#N/A</v>
      </c>
      <c r="F1006" s="3" t="e">
        <f t="shared" si="33"/>
        <v>#N/A</v>
      </c>
    </row>
    <row r="1007" spans="2:6" x14ac:dyDescent="0.25">
      <c r="B1007" s="3"/>
      <c r="C1007" s="3"/>
      <c r="D1007" s="3"/>
      <c r="E1007" s="3" t="e">
        <f t="shared" si="32"/>
        <v>#N/A</v>
      </c>
      <c r="F1007" s="3" t="e">
        <f t="shared" si="33"/>
        <v>#N/A</v>
      </c>
    </row>
    <row r="1008" spans="2:6" x14ac:dyDescent="0.25">
      <c r="B1008" s="3"/>
      <c r="C1008" s="3"/>
      <c r="D1008" s="3"/>
      <c r="E1008" s="3" t="e">
        <f t="shared" si="32"/>
        <v>#N/A</v>
      </c>
      <c r="F1008" s="3" t="e">
        <f t="shared" si="33"/>
        <v>#N/A</v>
      </c>
    </row>
    <row r="1009" spans="2:6" x14ac:dyDescent="0.25">
      <c r="B1009" s="3"/>
      <c r="C1009" s="3"/>
      <c r="D1009" s="3"/>
      <c r="E1009" s="3" t="e">
        <f t="shared" si="32"/>
        <v>#N/A</v>
      </c>
      <c r="F1009" s="3" t="e">
        <f t="shared" si="33"/>
        <v>#N/A</v>
      </c>
    </row>
    <row r="1010" spans="2:6" x14ac:dyDescent="0.25">
      <c r="B1010" s="3"/>
      <c r="C1010" s="3"/>
      <c r="D1010" s="3"/>
      <c r="E1010" s="3" t="e">
        <f t="shared" si="32"/>
        <v>#N/A</v>
      </c>
      <c r="F1010" s="3" t="e">
        <f t="shared" si="33"/>
        <v>#N/A</v>
      </c>
    </row>
    <row r="1011" spans="2:6" x14ac:dyDescent="0.25">
      <c r="B1011" s="3"/>
      <c r="C1011" s="3"/>
      <c r="D1011" s="3"/>
      <c r="E1011" s="3" t="e">
        <f t="shared" si="32"/>
        <v>#N/A</v>
      </c>
      <c r="F1011" s="3" t="e">
        <f t="shared" si="33"/>
        <v>#N/A</v>
      </c>
    </row>
    <row r="1012" spans="2:6" x14ac:dyDescent="0.25">
      <c r="B1012" s="3"/>
      <c r="C1012" s="3"/>
      <c r="D1012" s="3"/>
      <c r="E1012" s="3" t="e">
        <f t="shared" si="32"/>
        <v>#N/A</v>
      </c>
      <c r="F1012" s="3" t="e">
        <f t="shared" si="33"/>
        <v>#N/A</v>
      </c>
    </row>
    <row r="1013" spans="2:6" x14ac:dyDescent="0.25">
      <c r="B1013" s="3"/>
      <c r="C1013" s="3"/>
      <c r="D1013" s="3"/>
      <c r="E1013" s="3" t="e">
        <f t="shared" si="32"/>
        <v>#N/A</v>
      </c>
      <c r="F1013" s="3" t="e">
        <f t="shared" si="33"/>
        <v>#N/A</v>
      </c>
    </row>
    <row r="1014" spans="2:6" x14ac:dyDescent="0.25">
      <c r="B1014" s="3"/>
      <c r="C1014" s="3"/>
      <c r="D1014" s="3"/>
      <c r="E1014" s="3" t="e">
        <f t="shared" si="32"/>
        <v>#N/A</v>
      </c>
      <c r="F1014" s="3" t="e">
        <f t="shared" si="33"/>
        <v>#N/A</v>
      </c>
    </row>
    <row r="1015" spans="2:6" x14ac:dyDescent="0.25">
      <c r="B1015" s="3"/>
      <c r="C1015" s="3"/>
      <c r="D1015" s="3"/>
      <c r="E1015" s="3" t="e">
        <f t="shared" si="32"/>
        <v>#N/A</v>
      </c>
      <c r="F1015" s="3" t="e">
        <f t="shared" si="33"/>
        <v>#N/A</v>
      </c>
    </row>
    <row r="1016" spans="2:6" x14ac:dyDescent="0.25">
      <c r="B1016" s="3"/>
      <c r="C1016" s="3"/>
      <c r="D1016" s="3"/>
      <c r="E1016" s="3" t="e">
        <f t="shared" si="32"/>
        <v>#N/A</v>
      </c>
      <c r="F1016" s="3" t="e">
        <f t="shared" si="33"/>
        <v>#N/A</v>
      </c>
    </row>
    <row r="1017" spans="2:6" x14ac:dyDescent="0.25">
      <c r="B1017" s="3"/>
      <c r="C1017" s="3"/>
      <c r="D1017" s="3"/>
      <c r="E1017" s="3" t="e">
        <f t="shared" si="32"/>
        <v>#N/A</v>
      </c>
      <c r="F1017" s="3" t="e">
        <f t="shared" si="33"/>
        <v>#N/A</v>
      </c>
    </row>
    <row r="1018" spans="2:6" x14ac:dyDescent="0.25">
      <c r="B1018" s="3"/>
      <c r="C1018" s="3"/>
      <c r="D1018" s="3"/>
      <c r="E1018" s="3" t="e">
        <f t="shared" si="32"/>
        <v>#N/A</v>
      </c>
      <c r="F1018" s="3" t="e">
        <f t="shared" si="33"/>
        <v>#N/A</v>
      </c>
    </row>
    <row r="1019" spans="2:6" x14ac:dyDescent="0.25">
      <c r="B1019" s="3"/>
      <c r="C1019" s="3"/>
      <c r="D1019" s="3"/>
      <c r="E1019" s="3" t="e">
        <f t="shared" si="32"/>
        <v>#N/A</v>
      </c>
      <c r="F1019" s="3" t="e">
        <f t="shared" si="33"/>
        <v>#N/A</v>
      </c>
    </row>
    <row r="1020" spans="2:6" x14ac:dyDescent="0.25">
      <c r="B1020" s="3"/>
      <c r="C1020" s="3"/>
      <c r="D1020" s="3"/>
      <c r="E1020" s="3" t="e">
        <f t="shared" si="32"/>
        <v>#N/A</v>
      </c>
      <c r="F1020" s="3" t="e">
        <f t="shared" si="33"/>
        <v>#N/A</v>
      </c>
    </row>
    <row r="1021" spans="2:6" x14ac:dyDescent="0.25">
      <c r="B1021" s="3"/>
      <c r="C1021" s="3"/>
      <c r="D1021" s="3"/>
      <c r="E1021" s="3" t="e">
        <f t="shared" si="32"/>
        <v>#N/A</v>
      </c>
      <c r="F1021" s="3" t="e">
        <f t="shared" si="33"/>
        <v>#N/A</v>
      </c>
    </row>
    <row r="1022" spans="2:6" x14ac:dyDescent="0.25">
      <c r="B1022" s="3"/>
      <c r="C1022" s="3"/>
      <c r="D1022" s="3"/>
      <c r="E1022" s="3" t="e">
        <f t="shared" si="32"/>
        <v>#N/A</v>
      </c>
      <c r="F1022" s="3" t="e">
        <f t="shared" si="33"/>
        <v>#N/A</v>
      </c>
    </row>
    <row r="1023" spans="2:6" x14ac:dyDescent="0.25">
      <c r="B1023" s="3"/>
      <c r="C1023" s="3"/>
      <c r="D1023" s="3"/>
      <c r="E1023" s="3" t="e">
        <f t="shared" si="32"/>
        <v>#N/A</v>
      </c>
      <c r="F1023" s="3" t="e">
        <f t="shared" si="33"/>
        <v>#N/A</v>
      </c>
    </row>
    <row r="1024" spans="2:6" x14ac:dyDescent="0.25">
      <c r="B1024" s="3"/>
      <c r="C1024" s="3"/>
      <c r="D1024" s="3"/>
      <c r="E1024" s="3" t="e">
        <f t="shared" si="32"/>
        <v>#N/A</v>
      </c>
      <c r="F1024" s="3" t="e">
        <f t="shared" si="33"/>
        <v>#N/A</v>
      </c>
    </row>
    <row r="1025" spans="2:6" x14ac:dyDescent="0.25">
      <c r="B1025" s="3"/>
      <c r="C1025" s="3"/>
      <c r="D1025" s="3"/>
      <c r="E1025" s="3" t="e">
        <f t="shared" si="32"/>
        <v>#N/A</v>
      </c>
      <c r="F1025" s="3" t="e">
        <f t="shared" si="33"/>
        <v>#N/A</v>
      </c>
    </row>
    <row r="1026" spans="2:6" x14ac:dyDescent="0.25">
      <c r="B1026" s="3"/>
      <c r="C1026" s="3"/>
      <c r="D1026" s="3"/>
      <c r="E1026" s="3" t="e">
        <f t="shared" si="32"/>
        <v>#N/A</v>
      </c>
      <c r="F1026" s="3" t="e">
        <f t="shared" si="33"/>
        <v>#N/A</v>
      </c>
    </row>
    <row r="1027" spans="2:6" x14ac:dyDescent="0.25">
      <c r="B1027" s="3"/>
      <c r="C1027" s="3"/>
      <c r="D1027" s="3"/>
      <c r="E1027" s="3" t="e">
        <f t="shared" si="32"/>
        <v>#N/A</v>
      </c>
      <c r="F1027" s="3" t="e">
        <f t="shared" si="33"/>
        <v>#N/A</v>
      </c>
    </row>
    <row r="1028" spans="2:6" x14ac:dyDescent="0.25">
      <c r="B1028" s="3"/>
      <c r="C1028" s="3"/>
      <c r="D1028" s="3"/>
      <c r="E1028" s="3" t="e">
        <f t="shared" ref="E1028:E1091" si="34">VLOOKUP(C1028,I:J,2,0)</f>
        <v>#N/A</v>
      </c>
      <c r="F1028" s="3" t="e">
        <f t="shared" ref="F1028:F1091" si="35">E1028&amp;" "&amp;B1028</f>
        <v>#N/A</v>
      </c>
    </row>
    <row r="1029" spans="2:6" x14ac:dyDescent="0.25">
      <c r="B1029" s="3"/>
      <c r="C1029" s="3"/>
      <c r="D1029" s="3"/>
      <c r="E1029" s="3" t="e">
        <f t="shared" si="34"/>
        <v>#N/A</v>
      </c>
      <c r="F1029" s="3" t="e">
        <f t="shared" si="35"/>
        <v>#N/A</v>
      </c>
    </row>
    <row r="1030" spans="2:6" x14ac:dyDescent="0.25">
      <c r="B1030" s="3"/>
      <c r="C1030" s="3"/>
      <c r="D1030" s="3"/>
      <c r="E1030" s="3" t="e">
        <f t="shared" si="34"/>
        <v>#N/A</v>
      </c>
      <c r="F1030" s="3" t="e">
        <f t="shared" si="35"/>
        <v>#N/A</v>
      </c>
    </row>
    <row r="1031" spans="2:6" x14ac:dyDescent="0.25">
      <c r="B1031" s="3"/>
      <c r="C1031" s="3"/>
      <c r="D1031" s="3"/>
      <c r="E1031" s="3" t="e">
        <f t="shared" si="34"/>
        <v>#N/A</v>
      </c>
      <c r="F1031" s="3" t="e">
        <f t="shared" si="35"/>
        <v>#N/A</v>
      </c>
    </row>
    <row r="1032" spans="2:6" x14ac:dyDescent="0.25">
      <c r="B1032" s="3"/>
      <c r="C1032" s="3"/>
      <c r="D1032" s="3"/>
      <c r="E1032" s="3" t="e">
        <f t="shared" si="34"/>
        <v>#N/A</v>
      </c>
      <c r="F1032" s="3" t="e">
        <f t="shared" si="35"/>
        <v>#N/A</v>
      </c>
    </row>
    <row r="1033" spans="2:6" x14ac:dyDescent="0.25">
      <c r="B1033" s="3"/>
      <c r="C1033" s="3"/>
      <c r="D1033" s="3"/>
      <c r="E1033" s="3" t="e">
        <f t="shared" si="34"/>
        <v>#N/A</v>
      </c>
      <c r="F1033" s="3" t="e">
        <f t="shared" si="35"/>
        <v>#N/A</v>
      </c>
    </row>
    <row r="1034" spans="2:6" x14ac:dyDescent="0.25">
      <c r="B1034" s="3"/>
      <c r="C1034" s="3"/>
      <c r="D1034" s="3"/>
      <c r="E1034" s="3" t="e">
        <f t="shared" si="34"/>
        <v>#N/A</v>
      </c>
      <c r="F1034" s="3" t="e">
        <f t="shared" si="35"/>
        <v>#N/A</v>
      </c>
    </row>
    <row r="1035" spans="2:6" x14ac:dyDescent="0.25">
      <c r="B1035" s="3"/>
      <c r="C1035" s="3"/>
      <c r="D1035" s="3"/>
      <c r="E1035" s="3" t="e">
        <f t="shared" si="34"/>
        <v>#N/A</v>
      </c>
      <c r="F1035" s="3" t="e">
        <f t="shared" si="35"/>
        <v>#N/A</v>
      </c>
    </row>
    <row r="1036" spans="2:6" x14ac:dyDescent="0.25">
      <c r="B1036" s="3"/>
      <c r="C1036" s="3"/>
      <c r="D1036" s="3"/>
      <c r="E1036" s="3" t="e">
        <f t="shared" si="34"/>
        <v>#N/A</v>
      </c>
      <c r="F1036" s="3" t="e">
        <f t="shared" si="35"/>
        <v>#N/A</v>
      </c>
    </row>
    <row r="1037" spans="2:6" x14ac:dyDescent="0.25">
      <c r="B1037" s="3"/>
      <c r="C1037" s="3"/>
      <c r="D1037" s="3"/>
      <c r="E1037" s="3" t="e">
        <f t="shared" si="34"/>
        <v>#N/A</v>
      </c>
      <c r="F1037" s="3" t="e">
        <f t="shared" si="35"/>
        <v>#N/A</v>
      </c>
    </row>
    <row r="1038" spans="2:6" x14ac:dyDescent="0.25">
      <c r="B1038" s="3"/>
      <c r="C1038" s="3"/>
      <c r="D1038" s="3"/>
      <c r="E1038" s="3" t="e">
        <f t="shared" si="34"/>
        <v>#N/A</v>
      </c>
      <c r="F1038" s="3" t="e">
        <f t="shared" si="35"/>
        <v>#N/A</v>
      </c>
    </row>
    <row r="1039" spans="2:6" x14ac:dyDescent="0.25">
      <c r="B1039" s="3"/>
      <c r="C1039" s="3"/>
      <c r="D1039" s="3"/>
      <c r="E1039" s="3" t="e">
        <f t="shared" si="34"/>
        <v>#N/A</v>
      </c>
      <c r="F1039" s="3" t="e">
        <f t="shared" si="35"/>
        <v>#N/A</v>
      </c>
    </row>
    <row r="1040" spans="2:6" x14ac:dyDescent="0.25">
      <c r="B1040" s="3"/>
      <c r="C1040" s="3"/>
      <c r="D1040" s="3"/>
      <c r="E1040" s="3" t="e">
        <f t="shared" si="34"/>
        <v>#N/A</v>
      </c>
      <c r="F1040" s="3" t="e">
        <f t="shared" si="35"/>
        <v>#N/A</v>
      </c>
    </row>
    <row r="1041" spans="2:6" x14ac:dyDescent="0.25">
      <c r="B1041" s="3"/>
      <c r="C1041" s="3"/>
      <c r="D1041" s="3"/>
      <c r="E1041" s="3" t="e">
        <f t="shared" si="34"/>
        <v>#N/A</v>
      </c>
      <c r="F1041" s="3" t="e">
        <f t="shared" si="35"/>
        <v>#N/A</v>
      </c>
    </row>
    <row r="1042" spans="2:6" x14ac:dyDescent="0.25">
      <c r="B1042" s="3"/>
      <c r="C1042" s="3"/>
      <c r="D1042" s="3"/>
      <c r="E1042" s="3" t="e">
        <f t="shared" si="34"/>
        <v>#N/A</v>
      </c>
      <c r="F1042" s="3" t="e">
        <f t="shared" si="35"/>
        <v>#N/A</v>
      </c>
    </row>
    <row r="1043" spans="2:6" x14ac:dyDescent="0.25">
      <c r="B1043" s="3"/>
      <c r="C1043" s="3"/>
      <c r="D1043" s="3"/>
      <c r="E1043" s="3" t="e">
        <f t="shared" si="34"/>
        <v>#N/A</v>
      </c>
      <c r="F1043" s="3" t="e">
        <f t="shared" si="35"/>
        <v>#N/A</v>
      </c>
    </row>
    <row r="1044" spans="2:6" x14ac:dyDescent="0.25">
      <c r="B1044" s="3"/>
      <c r="C1044" s="3"/>
      <c r="D1044" s="3"/>
      <c r="E1044" s="3" t="e">
        <f t="shared" si="34"/>
        <v>#N/A</v>
      </c>
      <c r="F1044" s="3" t="e">
        <f t="shared" si="35"/>
        <v>#N/A</v>
      </c>
    </row>
    <row r="1045" spans="2:6" x14ac:dyDescent="0.25">
      <c r="B1045" s="3"/>
      <c r="C1045" s="3"/>
      <c r="D1045" s="3"/>
      <c r="E1045" s="3" t="e">
        <f t="shared" si="34"/>
        <v>#N/A</v>
      </c>
      <c r="F1045" s="3" t="e">
        <f t="shared" si="35"/>
        <v>#N/A</v>
      </c>
    </row>
    <row r="1046" spans="2:6" x14ac:dyDescent="0.25">
      <c r="B1046" s="3"/>
      <c r="C1046" s="3"/>
      <c r="D1046" s="3"/>
      <c r="E1046" s="3" t="e">
        <f t="shared" si="34"/>
        <v>#N/A</v>
      </c>
      <c r="F1046" s="3" t="e">
        <f t="shared" si="35"/>
        <v>#N/A</v>
      </c>
    </row>
    <row r="1047" spans="2:6" x14ac:dyDescent="0.25">
      <c r="B1047" s="3"/>
      <c r="C1047" s="3"/>
      <c r="D1047" s="3"/>
      <c r="E1047" s="3" t="e">
        <f t="shared" si="34"/>
        <v>#N/A</v>
      </c>
      <c r="F1047" s="3" t="e">
        <f t="shared" si="35"/>
        <v>#N/A</v>
      </c>
    </row>
    <row r="1048" spans="2:6" x14ac:dyDescent="0.25">
      <c r="B1048" s="3"/>
      <c r="C1048" s="3"/>
      <c r="D1048" s="3"/>
      <c r="E1048" s="3" t="e">
        <f t="shared" si="34"/>
        <v>#N/A</v>
      </c>
      <c r="F1048" s="3" t="e">
        <f t="shared" si="35"/>
        <v>#N/A</v>
      </c>
    </row>
    <row r="1049" spans="2:6" x14ac:dyDescent="0.25">
      <c r="B1049" s="3"/>
      <c r="C1049" s="3"/>
      <c r="D1049" s="3"/>
      <c r="E1049" s="3" t="e">
        <f t="shared" si="34"/>
        <v>#N/A</v>
      </c>
      <c r="F1049" s="3" t="e">
        <f t="shared" si="35"/>
        <v>#N/A</v>
      </c>
    </row>
    <row r="1050" spans="2:6" x14ac:dyDescent="0.25">
      <c r="B1050" s="3"/>
      <c r="C1050" s="3"/>
      <c r="D1050" s="3"/>
      <c r="E1050" s="3" t="e">
        <f t="shared" si="34"/>
        <v>#N/A</v>
      </c>
      <c r="F1050" s="3" t="e">
        <f t="shared" si="35"/>
        <v>#N/A</v>
      </c>
    </row>
    <row r="1051" spans="2:6" x14ac:dyDescent="0.25">
      <c r="B1051" s="3"/>
      <c r="C1051" s="3"/>
      <c r="D1051" s="3"/>
      <c r="E1051" s="3" t="e">
        <f t="shared" si="34"/>
        <v>#N/A</v>
      </c>
      <c r="F1051" s="3" t="e">
        <f t="shared" si="35"/>
        <v>#N/A</v>
      </c>
    </row>
    <row r="1052" spans="2:6" x14ac:dyDescent="0.25">
      <c r="B1052" s="3"/>
      <c r="C1052" s="3"/>
      <c r="D1052" s="3"/>
      <c r="E1052" s="3" t="e">
        <f t="shared" si="34"/>
        <v>#N/A</v>
      </c>
      <c r="F1052" s="3" t="e">
        <f t="shared" si="35"/>
        <v>#N/A</v>
      </c>
    </row>
    <row r="1053" spans="2:6" x14ac:dyDescent="0.25">
      <c r="B1053" s="3"/>
      <c r="C1053" s="3"/>
      <c r="D1053" s="3"/>
      <c r="E1053" s="3" t="e">
        <f t="shared" si="34"/>
        <v>#N/A</v>
      </c>
      <c r="F1053" s="3" t="e">
        <f t="shared" si="35"/>
        <v>#N/A</v>
      </c>
    </row>
    <row r="1054" spans="2:6" x14ac:dyDescent="0.25">
      <c r="B1054" s="3"/>
      <c r="C1054" s="3"/>
      <c r="D1054" s="3"/>
      <c r="E1054" s="3" t="e">
        <f t="shared" si="34"/>
        <v>#N/A</v>
      </c>
      <c r="F1054" s="3" t="e">
        <f t="shared" si="35"/>
        <v>#N/A</v>
      </c>
    </row>
    <row r="1055" spans="2:6" x14ac:dyDescent="0.25">
      <c r="B1055" s="3"/>
      <c r="C1055" s="3"/>
      <c r="D1055" s="3"/>
      <c r="E1055" s="3" t="e">
        <f t="shared" si="34"/>
        <v>#N/A</v>
      </c>
      <c r="F1055" s="3" t="e">
        <f t="shared" si="35"/>
        <v>#N/A</v>
      </c>
    </row>
    <row r="1056" spans="2:6" x14ac:dyDescent="0.25">
      <c r="B1056" s="3"/>
      <c r="C1056" s="3"/>
      <c r="D1056" s="3"/>
      <c r="E1056" s="3" t="e">
        <f t="shared" si="34"/>
        <v>#N/A</v>
      </c>
      <c r="F1056" s="3" t="e">
        <f t="shared" si="35"/>
        <v>#N/A</v>
      </c>
    </row>
    <row r="1057" spans="2:6" x14ac:dyDescent="0.25">
      <c r="B1057" s="3"/>
      <c r="C1057" s="3"/>
      <c r="D1057" s="3"/>
      <c r="E1057" s="3" t="e">
        <f t="shared" si="34"/>
        <v>#N/A</v>
      </c>
      <c r="F1057" s="3" t="e">
        <f t="shared" si="35"/>
        <v>#N/A</v>
      </c>
    </row>
    <row r="1058" spans="2:6" x14ac:dyDescent="0.25">
      <c r="B1058" s="3"/>
      <c r="C1058" s="3"/>
      <c r="D1058" s="3"/>
      <c r="E1058" s="3" t="e">
        <f t="shared" si="34"/>
        <v>#N/A</v>
      </c>
      <c r="F1058" s="3" t="e">
        <f t="shared" si="35"/>
        <v>#N/A</v>
      </c>
    </row>
    <row r="1059" spans="2:6" x14ac:dyDescent="0.25">
      <c r="B1059" s="3"/>
      <c r="C1059" s="3"/>
      <c r="D1059" s="3"/>
      <c r="E1059" s="3" t="e">
        <f t="shared" si="34"/>
        <v>#N/A</v>
      </c>
      <c r="F1059" s="3" t="e">
        <f t="shared" si="35"/>
        <v>#N/A</v>
      </c>
    </row>
    <row r="1060" spans="2:6" x14ac:dyDescent="0.25">
      <c r="B1060" s="3"/>
      <c r="C1060" s="3"/>
      <c r="D1060" s="3"/>
      <c r="E1060" s="3" t="e">
        <f t="shared" si="34"/>
        <v>#N/A</v>
      </c>
      <c r="F1060" s="3" t="e">
        <f t="shared" si="35"/>
        <v>#N/A</v>
      </c>
    </row>
    <row r="1061" spans="2:6" x14ac:dyDescent="0.25">
      <c r="B1061" s="3"/>
      <c r="C1061" s="3"/>
      <c r="D1061" s="3"/>
      <c r="E1061" s="3" t="e">
        <f t="shared" si="34"/>
        <v>#N/A</v>
      </c>
      <c r="F1061" s="3" t="e">
        <f t="shared" si="35"/>
        <v>#N/A</v>
      </c>
    </row>
    <row r="1062" spans="2:6" x14ac:dyDescent="0.25">
      <c r="B1062" s="3"/>
      <c r="C1062" s="3"/>
      <c r="D1062" s="3"/>
      <c r="E1062" s="3" t="e">
        <f t="shared" si="34"/>
        <v>#N/A</v>
      </c>
      <c r="F1062" s="3" t="e">
        <f t="shared" si="35"/>
        <v>#N/A</v>
      </c>
    </row>
    <row r="1063" spans="2:6" x14ac:dyDescent="0.25">
      <c r="B1063" s="3"/>
      <c r="C1063" s="3"/>
      <c r="D1063" s="3"/>
      <c r="E1063" s="3" t="e">
        <f t="shared" si="34"/>
        <v>#N/A</v>
      </c>
      <c r="F1063" s="3" t="e">
        <f t="shared" si="35"/>
        <v>#N/A</v>
      </c>
    </row>
    <row r="1064" spans="2:6" x14ac:dyDescent="0.25">
      <c r="B1064" s="3"/>
      <c r="C1064" s="3"/>
      <c r="D1064" s="3"/>
      <c r="E1064" s="3" t="e">
        <f t="shared" si="34"/>
        <v>#N/A</v>
      </c>
      <c r="F1064" s="3" t="e">
        <f t="shared" si="35"/>
        <v>#N/A</v>
      </c>
    </row>
    <row r="1065" spans="2:6" x14ac:dyDescent="0.25">
      <c r="B1065" s="3"/>
      <c r="C1065" s="3"/>
      <c r="D1065" s="3"/>
      <c r="E1065" s="3" t="e">
        <f t="shared" si="34"/>
        <v>#N/A</v>
      </c>
      <c r="F1065" s="3" t="e">
        <f t="shared" si="35"/>
        <v>#N/A</v>
      </c>
    </row>
    <row r="1066" spans="2:6" x14ac:dyDescent="0.25">
      <c r="B1066" s="3"/>
      <c r="C1066" s="3"/>
      <c r="D1066" s="3"/>
      <c r="E1066" s="3" t="e">
        <f t="shared" si="34"/>
        <v>#N/A</v>
      </c>
      <c r="F1066" s="3" t="e">
        <f t="shared" si="35"/>
        <v>#N/A</v>
      </c>
    </row>
    <row r="1067" spans="2:6" x14ac:dyDescent="0.25">
      <c r="B1067" s="3"/>
      <c r="C1067" s="3"/>
      <c r="D1067" s="3"/>
      <c r="E1067" s="3" t="e">
        <f t="shared" si="34"/>
        <v>#N/A</v>
      </c>
      <c r="F1067" s="3" t="e">
        <f t="shared" si="35"/>
        <v>#N/A</v>
      </c>
    </row>
    <row r="1068" spans="2:6" x14ac:dyDescent="0.25">
      <c r="B1068" s="3"/>
      <c r="C1068" s="3"/>
      <c r="D1068" s="3"/>
      <c r="E1068" s="3" t="e">
        <f t="shared" si="34"/>
        <v>#N/A</v>
      </c>
      <c r="F1068" s="3" t="e">
        <f t="shared" si="35"/>
        <v>#N/A</v>
      </c>
    </row>
    <row r="1069" spans="2:6" x14ac:dyDescent="0.25">
      <c r="B1069" s="3"/>
      <c r="C1069" s="3"/>
      <c r="D1069" s="3"/>
      <c r="E1069" s="3" t="e">
        <f t="shared" si="34"/>
        <v>#N/A</v>
      </c>
      <c r="F1069" s="3" t="e">
        <f t="shared" si="35"/>
        <v>#N/A</v>
      </c>
    </row>
    <row r="1070" spans="2:6" x14ac:dyDescent="0.25">
      <c r="B1070" s="3"/>
      <c r="C1070" s="3"/>
      <c r="D1070" s="3"/>
      <c r="E1070" s="3" t="e">
        <f t="shared" si="34"/>
        <v>#N/A</v>
      </c>
      <c r="F1070" s="3" t="e">
        <f t="shared" si="35"/>
        <v>#N/A</v>
      </c>
    </row>
    <row r="1071" spans="2:6" x14ac:dyDescent="0.25">
      <c r="B1071" s="3"/>
      <c r="C1071" s="3"/>
      <c r="D1071" s="3"/>
      <c r="E1071" s="3" t="e">
        <f t="shared" si="34"/>
        <v>#N/A</v>
      </c>
      <c r="F1071" s="3" t="e">
        <f t="shared" si="35"/>
        <v>#N/A</v>
      </c>
    </row>
    <row r="1072" spans="2:6" x14ac:dyDescent="0.25">
      <c r="B1072" s="3"/>
      <c r="C1072" s="3"/>
      <c r="D1072" s="3"/>
      <c r="E1072" s="3" t="e">
        <f t="shared" si="34"/>
        <v>#N/A</v>
      </c>
      <c r="F1072" s="3" t="e">
        <f t="shared" si="35"/>
        <v>#N/A</v>
      </c>
    </row>
    <row r="1073" spans="2:6" x14ac:dyDescent="0.25">
      <c r="B1073" s="3"/>
      <c r="C1073" s="3"/>
      <c r="D1073" s="3"/>
      <c r="E1073" s="3" t="e">
        <f t="shared" si="34"/>
        <v>#N/A</v>
      </c>
      <c r="F1073" s="3" t="e">
        <f t="shared" si="35"/>
        <v>#N/A</v>
      </c>
    </row>
    <row r="1074" spans="2:6" x14ac:dyDescent="0.25">
      <c r="B1074" s="3"/>
      <c r="C1074" s="3"/>
      <c r="D1074" s="3"/>
      <c r="E1074" s="3" t="e">
        <f t="shared" si="34"/>
        <v>#N/A</v>
      </c>
      <c r="F1074" s="3" t="e">
        <f t="shared" si="35"/>
        <v>#N/A</v>
      </c>
    </row>
    <row r="1075" spans="2:6" x14ac:dyDescent="0.25">
      <c r="B1075" s="3"/>
      <c r="C1075" s="3"/>
      <c r="D1075" s="3"/>
      <c r="E1075" s="3" t="e">
        <f t="shared" si="34"/>
        <v>#N/A</v>
      </c>
      <c r="F1075" s="3" t="e">
        <f t="shared" si="35"/>
        <v>#N/A</v>
      </c>
    </row>
    <row r="1076" spans="2:6" x14ac:dyDescent="0.25">
      <c r="B1076" s="3"/>
      <c r="C1076" s="3"/>
      <c r="D1076" s="3"/>
      <c r="E1076" s="3" t="e">
        <f t="shared" si="34"/>
        <v>#N/A</v>
      </c>
      <c r="F1076" s="3" t="e">
        <f t="shared" si="35"/>
        <v>#N/A</v>
      </c>
    </row>
    <row r="1077" spans="2:6" x14ac:dyDescent="0.25">
      <c r="B1077" s="3"/>
      <c r="C1077" s="3"/>
      <c r="D1077" s="3"/>
      <c r="E1077" s="3" t="e">
        <f t="shared" si="34"/>
        <v>#N/A</v>
      </c>
      <c r="F1077" s="3" t="e">
        <f t="shared" si="35"/>
        <v>#N/A</v>
      </c>
    </row>
    <row r="1078" spans="2:6" x14ac:dyDescent="0.25">
      <c r="B1078" s="3"/>
      <c r="C1078" s="3"/>
      <c r="D1078" s="3"/>
      <c r="E1078" s="3" t="e">
        <f t="shared" si="34"/>
        <v>#N/A</v>
      </c>
      <c r="F1078" s="3" t="e">
        <f t="shared" si="35"/>
        <v>#N/A</v>
      </c>
    </row>
    <row r="1079" spans="2:6" x14ac:dyDescent="0.25">
      <c r="B1079" s="3"/>
      <c r="C1079" s="3"/>
      <c r="D1079" s="3"/>
      <c r="E1079" s="3" t="e">
        <f t="shared" si="34"/>
        <v>#N/A</v>
      </c>
      <c r="F1079" s="3" t="e">
        <f t="shared" si="35"/>
        <v>#N/A</v>
      </c>
    </row>
    <row r="1080" spans="2:6" x14ac:dyDescent="0.25">
      <c r="B1080" s="3"/>
      <c r="C1080" s="3"/>
      <c r="D1080" s="3"/>
      <c r="E1080" s="3" t="e">
        <f t="shared" si="34"/>
        <v>#N/A</v>
      </c>
      <c r="F1080" s="3" t="e">
        <f t="shared" si="35"/>
        <v>#N/A</v>
      </c>
    </row>
    <row r="1081" spans="2:6" x14ac:dyDescent="0.25">
      <c r="B1081" s="3"/>
      <c r="C1081" s="3"/>
      <c r="D1081" s="3"/>
      <c r="E1081" s="3" t="e">
        <f t="shared" si="34"/>
        <v>#N/A</v>
      </c>
      <c r="F1081" s="3" t="e">
        <f t="shared" si="35"/>
        <v>#N/A</v>
      </c>
    </row>
    <row r="1082" spans="2:6" x14ac:dyDescent="0.25">
      <c r="B1082" s="3"/>
      <c r="C1082" s="3"/>
      <c r="D1082" s="3"/>
      <c r="E1082" s="3" t="e">
        <f t="shared" si="34"/>
        <v>#N/A</v>
      </c>
      <c r="F1082" s="3" t="e">
        <f t="shared" si="35"/>
        <v>#N/A</v>
      </c>
    </row>
    <row r="1083" spans="2:6" x14ac:dyDescent="0.25">
      <c r="B1083" s="3"/>
      <c r="C1083" s="3"/>
      <c r="D1083" s="3"/>
      <c r="E1083" s="3" t="e">
        <f t="shared" si="34"/>
        <v>#N/A</v>
      </c>
      <c r="F1083" s="3" t="e">
        <f t="shared" si="35"/>
        <v>#N/A</v>
      </c>
    </row>
    <row r="1084" spans="2:6" x14ac:dyDescent="0.25">
      <c r="B1084" s="3"/>
      <c r="C1084" s="3"/>
      <c r="D1084" s="3"/>
      <c r="E1084" s="3" t="e">
        <f t="shared" si="34"/>
        <v>#N/A</v>
      </c>
      <c r="F1084" s="3" t="e">
        <f t="shared" si="35"/>
        <v>#N/A</v>
      </c>
    </row>
    <row r="1085" spans="2:6" x14ac:dyDescent="0.25">
      <c r="B1085" s="3"/>
      <c r="C1085" s="3"/>
      <c r="D1085" s="3"/>
      <c r="E1085" s="3" t="e">
        <f t="shared" si="34"/>
        <v>#N/A</v>
      </c>
      <c r="F1085" s="3" t="e">
        <f t="shared" si="35"/>
        <v>#N/A</v>
      </c>
    </row>
    <row r="1086" spans="2:6" x14ac:dyDescent="0.25">
      <c r="B1086" s="3"/>
      <c r="C1086" s="3"/>
      <c r="D1086" s="3"/>
      <c r="E1086" s="3" t="e">
        <f t="shared" si="34"/>
        <v>#N/A</v>
      </c>
      <c r="F1086" s="3" t="e">
        <f t="shared" si="35"/>
        <v>#N/A</v>
      </c>
    </row>
    <row r="1087" spans="2:6" x14ac:dyDescent="0.25">
      <c r="B1087" s="3"/>
      <c r="C1087" s="3"/>
      <c r="D1087" s="3"/>
      <c r="E1087" s="3" t="e">
        <f t="shared" si="34"/>
        <v>#N/A</v>
      </c>
      <c r="F1087" s="3" t="e">
        <f t="shared" si="35"/>
        <v>#N/A</v>
      </c>
    </row>
    <row r="1088" spans="2:6" x14ac:dyDescent="0.25">
      <c r="B1088" s="3"/>
      <c r="C1088" s="3"/>
      <c r="D1088" s="3"/>
      <c r="E1088" s="3" t="e">
        <f t="shared" si="34"/>
        <v>#N/A</v>
      </c>
      <c r="F1088" s="3" t="e">
        <f t="shared" si="35"/>
        <v>#N/A</v>
      </c>
    </row>
    <row r="1089" spans="2:6" x14ac:dyDescent="0.25">
      <c r="B1089" s="3"/>
      <c r="C1089" s="3"/>
      <c r="D1089" s="3"/>
      <c r="E1089" s="3" t="e">
        <f t="shared" si="34"/>
        <v>#N/A</v>
      </c>
      <c r="F1089" s="3" t="e">
        <f t="shared" si="35"/>
        <v>#N/A</v>
      </c>
    </row>
    <row r="1090" spans="2:6" x14ac:dyDescent="0.25">
      <c r="B1090" s="3"/>
      <c r="C1090" s="3"/>
      <c r="D1090" s="3"/>
      <c r="E1090" s="3" t="e">
        <f t="shared" si="34"/>
        <v>#N/A</v>
      </c>
      <c r="F1090" s="3" t="e">
        <f t="shared" si="35"/>
        <v>#N/A</v>
      </c>
    </row>
    <row r="1091" spans="2:6" x14ac:dyDescent="0.25">
      <c r="B1091" s="3"/>
      <c r="C1091" s="3"/>
      <c r="D1091" s="3"/>
      <c r="E1091" s="3" t="e">
        <f t="shared" si="34"/>
        <v>#N/A</v>
      </c>
      <c r="F1091" s="3" t="e">
        <f t="shared" si="35"/>
        <v>#N/A</v>
      </c>
    </row>
    <row r="1092" spans="2:6" x14ac:dyDescent="0.25">
      <c r="B1092" s="3"/>
      <c r="C1092" s="3"/>
      <c r="D1092" s="3"/>
      <c r="E1092" s="3" t="e">
        <f t="shared" ref="E1092:E1155" si="36">VLOOKUP(C1092,I:J,2,0)</f>
        <v>#N/A</v>
      </c>
      <c r="F1092" s="3" t="e">
        <f t="shared" ref="F1092:F1155" si="37">E1092&amp;" "&amp;B1092</f>
        <v>#N/A</v>
      </c>
    </row>
    <row r="1093" spans="2:6" x14ac:dyDescent="0.25">
      <c r="B1093" s="3"/>
      <c r="C1093" s="3"/>
      <c r="D1093" s="3"/>
      <c r="E1093" s="3" t="e">
        <f t="shared" si="36"/>
        <v>#N/A</v>
      </c>
      <c r="F1093" s="3" t="e">
        <f t="shared" si="37"/>
        <v>#N/A</v>
      </c>
    </row>
    <row r="1094" spans="2:6" x14ac:dyDescent="0.25">
      <c r="B1094" s="3"/>
      <c r="C1094" s="3"/>
      <c r="D1094" s="3"/>
      <c r="E1094" s="3" t="e">
        <f t="shared" si="36"/>
        <v>#N/A</v>
      </c>
      <c r="F1094" s="3" t="e">
        <f t="shared" si="37"/>
        <v>#N/A</v>
      </c>
    </row>
    <row r="1095" spans="2:6" x14ac:dyDescent="0.25">
      <c r="B1095" s="3"/>
      <c r="C1095" s="3"/>
      <c r="D1095" s="3"/>
      <c r="E1095" s="3" t="e">
        <f t="shared" si="36"/>
        <v>#N/A</v>
      </c>
      <c r="F1095" s="3" t="e">
        <f t="shared" si="37"/>
        <v>#N/A</v>
      </c>
    </row>
    <row r="1096" spans="2:6" x14ac:dyDescent="0.25">
      <c r="B1096" s="3"/>
      <c r="C1096" s="3"/>
      <c r="D1096" s="3"/>
      <c r="E1096" s="3" t="e">
        <f t="shared" si="36"/>
        <v>#N/A</v>
      </c>
      <c r="F1096" s="3" t="e">
        <f t="shared" si="37"/>
        <v>#N/A</v>
      </c>
    </row>
    <row r="1097" spans="2:6" x14ac:dyDescent="0.25">
      <c r="B1097" s="3"/>
      <c r="C1097" s="3"/>
      <c r="D1097" s="3"/>
      <c r="E1097" s="3" t="e">
        <f t="shared" si="36"/>
        <v>#N/A</v>
      </c>
      <c r="F1097" s="3" t="e">
        <f t="shared" si="37"/>
        <v>#N/A</v>
      </c>
    </row>
    <row r="1098" spans="2:6" x14ac:dyDescent="0.25">
      <c r="B1098" s="3"/>
      <c r="C1098" s="3"/>
      <c r="D1098" s="3"/>
      <c r="E1098" s="3" t="e">
        <f t="shared" si="36"/>
        <v>#N/A</v>
      </c>
      <c r="F1098" s="3" t="e">
        <f t="shared" si="37"/>
        <v>#N/A</v>
      </c>
    </row>
    <row r="1099" spans="2:6" x14ac:dyDescent="0.25">
      <c r="B1099" s="3"/>
      <c r="C1099" s="3"/>
      <c r="D1099" s="3"/>
      <c r="E1099" s="3" t="e">
        <f t="shared" si="36"/>
        <v>#N/A</v>
      </c>
      <c r="F1099" s="3" t="e">
        <f t="shared" si="37"/>
        <v>#N/A</v>
      </c>
    </row>
    <row r="1100" spans="2:6" x14ac:dyDescent="0.25">
      <c r="B1100" s="3"/>
      <c r="C1100" s="3"/>
      <c r="D1100" s="3"/>
      <c r="E1100" s="3" t="e">
        <f t="shared" si="36"/>
        <v>#N/A</v>
      </c>
      <c r="F1100" s="3" t="e">
        <f t="shared" si="37"/>
        <v>#N/A</v>
      </c>
    </row>
    <row r="1101" spans="2:6" x14ac:dyDescent="0.25">
      <c r="B1101" s="3"/>
      <c r="C1101" s="3"/>
      <c r="D1101" s="3"/>
      <c r="E1101" s="3" t="e">
        <f t="shared" si="36"/>
        <v>#N/A</v>
      </c>
      <c r="F1101" s="3" t="e">
        <f t="shared" si="37"/>
        <v>#N/A</v>
      </c>
    </row>
    <row r="1102" spans="2:6" x14ac:dyDescent="0.25">
      <c r="B1102" s="3"/>
      <c r="C1102" s="3"/>
      <c r="D1102" s="3"/>
      <c r="E1102" s="3" t="e">
        <f t="shared" si="36"/>
        <v>#N/A</v>
      </c>
      <c r="F1102" s="3" t="e">
        <f t="shared" si="37"/>
        <v>#N/A</v>
      </c>
    </row>
    <row r="1103" spans="2:6" x14ac:dyDescent="0.25">
      <c r="B1103" s="3"/>
      <c r="C1103" s="3"/>
      <c r="D1103" s="3"/>
      <c r="E1103" s="3" t="e">
        <f t="shared" si="36"/>
        <v>#N/A</v>
      </c>
      <c r="F1103" s="3" t="e">
        <f t="shared" si="37"/>
        <v>#N/A</v>
      </c>
    </row>
    <row r="1104" spans="2:6" x14ac:dyDescent="0.25">
      <c r="B1104" s="3"/>
      <c r="C1104" s="3"/>
      <c r="D1104" s="3"/>
      <c r="E1104" s="3" t="e">
        <f t="shared" si="36"/>
        <v>#N/A</v>
      </c>
      <c r="F1104" s="3" t="e">
        <f t="shared" si="37"/>
        <v>#N/A</v>
      </c>
    </row>
    <row r="1105" spans="2:6" x14ac:dyDescent="0.25">
      <c r="B1105" s="3"/>
      <c r="C1105" s="3"/>
      <c r="D1105" s="3"/>
      <c r="E1105" s="3" t="e">
        <f t="shared" si="36"/>
        <v>#N/A</v>
      </c>
      <c r="F1105" s="3" t="e">
        <f t="shared" si="37"/>
        <v>#N/A</v>
      </c>
    </row>
    <row r="1106" spans="2:6" x14ac:dyDescent="0.25">
      <c r="B1106" s="3"/>
      <c r="C1106" s="3"/>
      <c r="D1106" s="3"/>
      <c r="E1106" s="3" t="e">
        <f t="shared" si="36"/>
        <v>#N/A</v>
      </c>
      <c r="F1106" s="3" t="e">
        <f t="shared" si="37"/>
        <v>#N/A</v>
      </c>
    </row>
    <row r="1107" spans="2:6" x14ac:dyDescent="0.25">
      <c r="B1107" s="3"/>
      <c r="C1107" s="3"/>
      <c r="D1107" s="3"/>
      <c r="E1107" s="3" t="e">
        <f t="shared" si="36"/>
        <v>#N/A</v>
      </c>
      <c r="F1107" s="3" t="e">
        <f t="shared" si="37"/>
        <v>#N/A</v>
      </c>
    </row>
    <row r="1108" spans="2:6" x14ac:dyDescent="0.25">
      <c r="B1108" s="3"/>
      <c r="C1108" s="3"/>
      <c r="D1108" s="3"/>
      <c r="E1108" s="3" t="e">
        <f t="shared" si="36"/>
        <v>#N/A</v>
      </c>
      <c r="F1108" s="3" t="e">
        <f t="shared" si="37"/>
        <v>#N/A</v>
      </c>
    </row>
    <row r="1109" spans="2:6" x14ac:dyDescent="0.25">
      <c r="B1109" s="3"/>
      <c r="C1109" s="3"/>
      <c r="D1109" s="3"/>
      <c r="E1109" s="3" t="e">
        <f t="shared" si="36"/>
        <v>#N/A</v>
      </c>
      <c r="F1109" s="3" t="e">
        <f t="shared" si="37"/>
        <v>#N/A</v>
      </c>
    </row>
    <row r="1110" spans="2:6" x14ac:dyDescent="0.25">
      <c r="B1110" s="3"/>
      <c r="C1110" s="3"/>
      <c r="D1110" s="3"/>
      <c r="E1110" s="3" t="e">
        <f t="shared" si="36"/>
        <v>#N/A</v>
      </c>
      <c r="F1110" s="3" t="e">
        <f t="shared" si="37"/>
        <v>#N/A</v>
      </c>
    </row>
    <row r="1111" spans="2:6" x14ac:dyDescent="0.25">
      <c r="B1111" s="3"/>
      <c r="C1111" s="3"/>
      <c r="D1111" s="3"/>
      <c r="E1111" s="3" t="e">
        <f t="shared" si="36"/>
        <v>#N/A</v>
      </c>
      <c r="F1111" s="3" t="e">
        <f t="shared" si="37"/>
        <v>#N/A</v>
      </c>
    </row>
    <row r="1112" spans="2:6" x14ac:dyDescent="0.25">
      <c r="B1112" s="3"/>
      <c r="C1112" s="3"/>
      <c r="D1112" s="3"/>
      <c r="E1112" s="3" t="e">
        <f t="shared" si="36"/>
        <v>#N/A</v>
      </c>
      <c r="F1112" s="3" t="e">
        <f t="shared" si="37"/>
        <v>#N/A</v>
      </c>
    </row>
    <row r="1113" spans="2:6" x14ac:dyDescent="0.25">
      <c r="B1113" s="3"/>
      <c r="C1113" s="3"/>
      <c r="D1113" s="3"/>
      <c r="E1113" s="3" t="e">
        <f t="shared" si="36"/>
        <v>#N/A</v>
      </c>
      <c r="F1113" s="3" t="e">
        <f t="shared" si="37"/>
        <v>#N/A</v>
      </c>
    </row>
    <row r="1114" spans="2:6" x14ac:dyDescent="0.25">
      <c r="B1114" s="3"/>
      <c r="C1114" s="3"/>
      <c r="D1114" s="3"/>
      <c r="E1114" s="3" t="e">
        <f t="shared" si="36"/>
        <v>#N/A</v>
      </c>
      <c r="F1114" s="3" t="e">
        <f t="shared" si="37"/>
        <v>#N/A</v>
      </c>
    </row>
    <row r="1115" spans="2:6" x14ac:dyDescent="0.25">
      <c r="B1115" s="3"/>
      <c r="C1115" s="3"/>
      <c r="D1115" s="3"/>
      <c r="E1115" s="3" t="e">
        <f t="shared" si="36"/>
        <v>#N/A</v>
      </c>
      <c r="F1115" s="3" t="e">
        <f t="shared" si="37"/>
        <v>#N/A</v>
      </c>
    </row>
    <row r="1116" spans="2:6" x14ac:dyDescent="0.25">
      <c r="B1116" s="3"/>
      <c r="C1116" s="3"/>
      <c r="D1116" s="3"/>
      <c r="E1116" s="3" t="e">
        <f t="shared" si="36"/>
        <v>#N/A</v>
      </c>
      <c r="F1116" s="3" t="e">
        <f t="shared" si="37"/>
        <v>#N/A</v>
      </c>
    </row>
    <row r="1117" spans="2:6" x14ac:dyDescent="0.25">
      <c r="B1117" s="3"/>
      <c r="C1117" s="3"/>
      <c r="D1117" s="3"/>
      <c r="E1117" s="3" t="e">
        <f t="shared" si="36"/>
        <v>#N/A</v>
      </c>
      <c r="F1117" s="3" t="e">
        <f t="shared" si="37"/>
        <v>#N/A</v>
      </c>
    </row>
    <row r="1118" spans="2:6" x14ac:dyDescent="0.25">
      <c r="B1118" s="3"/>
      <c r="C1118" s="3"/>
      <c r="D1118" s="3"/>
      <c r="E1118" s="3" t="e">
        <f t="shared" si="36"/>
        <v>#N/A</v>
      </c>
      <c r="F1118" s="3" t="e">
        <f t="shared" si="37"/>
        <v>#N/A</v>
      </c>
    </row>
    <row r="1119" spans="2:6" x14ac:dyDescent="0.25">
      <c r="B1119" s="3"/>
      <c r="C1119" s="3"/>
      <c r="D1119" s="3"/>
      <c r="E1119" s="3" t="e">
        <f t="shared" si="36"/>
        <v>#N/A</v>
      </c>
      <c r="F1119" s="3" t="e">
        <f t="shared" si="37"/>
        <v>#N/A</v>
      </c>
    </row>
    <row r="1120" spans="2:6" x14ac:dyDescent="0.25">
      <c r="B1120" s="3"/>
      <c r="C1120" s="3"/>
      <c r="D1120" s="3"/>
      <c r="E1120" s="3" t="e">
        <f t="shared" si="36"/>
        <v>#N/A</v>
      </c>
      <c r="F1120" s="3" t="e">
        <f t="shared" si="37"/>
        <v>#N/A</v>
      </c>
    </row>
    <row r="1121" spans="2:6" x14ac:dyDescent="0.25">
      <c r="B1121" s="3"/>
      <c r="C1121" s="3"/>
      <c r="D1121" s="3"/>
      <c r="E1121" s="3" t="e">
        <f t="shared" si="36"/>
        <v>#N/A</v>
      </c>
      <c r="F1121" s="3" t="e">
        <f t="shared" si="37"/>
        <v>#N/A</v>
      </c>
    </row>
    <row r="1122" spans="2:6" x14ac:dyDescent="0.25">
      <c r="B1122" s="3"/>
      <c r="C1122" s="3"/>
      <c r="D1122" s="3"/>
      <c r="E1122" s="3" t="e">
        <f t="shared" si="36"/>
        <v>#N/A</v>
      </c>
      <c r="F1122" s="3" t="e">
        <f t="shared" si="37"/>
        <v>#N/A</v>
      </c>
    </row>
    <row r="1123" spans="2:6" x14ac:dyDescent="0.25">
      <c r="B1123" s="3"/>
      <c r="C1123" s="3"/>
      <c r="D1123" s="3"/>
      <c r="E1123" s="3" t="e">
        <f t="shared" si="36"/>
        <v>#N/A</v>
      </c>
      <c r="F1123" s="3" t="e">
        <f t="shared" si="37"/>
        <v>#N/A</v>
      </c>
    </row>
    <row r="1124" spans="2:6" x14ac:dyDescent="0.25">
      <c r="B1124" s="3"/>
      <c r="C1124" s="3"/>
      <c r="D1124" s="3"/>
      <c r="E1124" s="3" t="e">
        <f t="shared" si="36"/>
        <v>#N/A</v>
      </c>
      <c r="F1124" s="3" t="e">
        <f t="shared" si="37"/>
        <v>#N/A</v>
      </c>
    </row>
    <row r="1125" spans="2:6" x14ac:dyDescent="0.25">
      <c r="B1125" s="3"/>
      <c r="C1125" s="3"/>
      <c r="D1125" s="3"/>
      <c r="E1125" s="3" t="e">
        <f t="shared" si="36"/>
        <v>#N/A</v>
      </c>
      <c r="F1125" s="3" t="e">
        <f t="shared" si="37"/>
        <v>#N/A</v>
      </c>
    </row>
    <row r="1126" spans="2:6" x14ac:dyDescent="0.25">
      <c r="B1126" s="3"/>
      <c r="C1126" s="3"/>
      <c r="D1126" s="3"/>
      <c r="E1126" s="3" t="e">
        <f t="shared" si="36"/>
        <v>#N/A</v>
      </c>
      <c r="F1126" s="3" t="e">
        <f t="shared" si="37"/>
        <v>#N/A</v>
      </c>
    </row>
    <row r="1127" spans="2:6" x14ac:dyDescent="0.25">
      <c r="B1127" s="3"/>
      <c r="C1127" s="3"/>
      <c r="D1127" s="3"/>
      <c r="E1127" s="3" t="e">
        <f t="shared" si="36"/>
        <v>#N/A</v>
      </c>
      <c r="F1127" s="3" t="e">
        <f t="shared" si="37"/>
        <v>#N/A</v>
      </c>
    </row>
    <row r="1128" spans="2:6" x14ac:dyDescent="0.25">
      <c r="B1128" s="3"/>
      <c r="C1128" s="3"/>
      <c r="D1128" s="3"/>
      <c r="E1128" s="3" t="e">
        <f t="shared" si="36"/>
        <v>#N/A</v>
      </c>
      <c r="F1128" s="3" t="e">
        <f t="shared" si="37"/>
        <v>#N/A</v>
      </c>
    </row>
    <row r="1129" spans="2:6" x14ac:dyDescent="0.25">
      <c r="B1129" s="3"/>
      <c r="C1129" s="3"/>
      <c r="D1129" s="3"/>
      <c r="E1129" s="3" t="e">
        <f t="shared" si="36"/>
        <v>#N/A</v>
      </c>
      <c r="F1129" s="3" t="e">
        <f t="shared" si="37"/>
        <v>#N/A</v>
      </c>
    </row>
    <row r="1130" spans="2:6" x14ac:dyDescent="0.25">
      <c r="B1130" s="3"/>
      <c r="C1130" s="3"/>
      <c r="D1130" s="3"/>
      <c r="E1130" s="3" t="e">
        <f t="shared" si="36"/>
        <v>#N/A</v>
      </c>
      <c r="F1130" s="3" t="e">
        <f t="shared" si="37"/>
        <v>#N/A</v>
      </c>
    </row>
    <row r="1131" spans="2:6" x14ac:dyDescent="0.25">
      <c r="B1131" s="3"/>
      <c r="C1131" s="3"/>
      <c r="D1131" s="3"/>
      <c r="E1131" s="3" t="e">
        <f t="shared" si="36"/>
        <v>#N/A</v>
      </c>
      <c r="F1131" s="3" t="e">
        <f t="shared" si="37"/>
        <v>#N/A</v>
      </c>
    </row>
    <row r="1132" spans="2:6" x14ac:dyDescent="0.25">
      <c r="B1132" s="3"/>
      <c r="C1132" s="3"/>
      <c r="D1132" s="3"/>
      <c r="E1132" s="3" t="e">
        <f t="shared" si="36"/>
        <v>#N/A</v>
      </c>
      <c r="F1132" s="3" t="e">
        <f t="shared" si="37"/>
        <v>#N/A</v>
      </c>
    </row>
    <row r="1133" spans="2:6" x14ac:dyDescent="0.25">
      <c r="B1133" s="3"/>
      <c r="C1133" s="3"/>
      <c r="D1133" s="3"/>
      <c r="E1133" s="3" t="e">
        <f t="shared" si="36"/>
        <v>#N/A</v>
      </c>
      <c r="F1133" s="3" t="e">
        <f t="shared" si="37"/>
        <v>#N/A</v>
      </c>
    </row>
    <row r="1134" spans="2:6" x14ac:dyDescent="0.25">
      <c r="B1134" s="3"/>
      <c r="C1134" s="3"/>
      <c r="D1134" s="3"/>
      <c r="E1134" s="3" t="e">
        <f t="shared" si="36"/>
        <v>#N/A</v>
      </c>
      <c r="F1134" s="3" t="e">
        <f t="shared" si="37"/>
        <v>#N/A</v>
      </c>
    </row>
    <row r="1135" spans="2:6" x14ac:dyDescent="0.25">
      <c r="B1135" s="3"/>
      <c r="C1135" s="3"/>
      <c r="D1135" s="3"/>
      <c r="E1135" s="3" t="e">
        <f t="shared" si="36"/>
        <v>#N/A</v>
      </c>
      <c r="F1135" s="3" t="e">
        <f t="shared" si="37"/>
        <v>#N/A</v>
      </c>
    </row>
    <row r="1136" spans="2:6" x14ac:dyDescent="0.25">
      <c r="B1136" s="3"/>
      <c r="C1136" s="3"/>
      <c r="D1136" s="3"/>
      <c r="E1136" s="3" t="e">
        <f t="shared" si="36"/>
        <v>#N/A</v>
      </c>
      <c r="F1136" s="3" t="e">
        <f t="shared" si="37"/>
        <v>#N/A</v>
      </c>
    </row>
    <row r="1137" spans="2:6" x14ac:dyDescent="0.25">
      <c r="B1137" s="3"/>
      <c r="C1137" s="3"/>
      <c r="D1137" s="3"/>
      <c r="E1137" s="3" t="e">
        <f t="shared" si="36"/>
        <v>#N/A</v>
      </c>
      <c r="F1137" s="3" t="e">
        <f t="shared" si="37"/>
        <v>#N/A</v>
      </c>
    </row>
    <row r="1138" spans="2:6" x14ac:dyDescent="0.25">
      <c r="B1138" s="3"/>
      <c r="C1138" s="3"/>
      <c r="D1138" s="3"/>
      <c r="E1138" s="3" t="e">
        <f t="shared" si="36"/>
        <v>#N/A</v>
      </c>
      <c r="F1138" s="3" t="e">
        <f t="shared" si="37"/>
        <v>#N/A</v>
      </c>
    </row>
    <row r="1139" spans="2:6" x14ac:dyDescent="0.25">
      <c r="B1139" s="3"/>
      <c r="C1139" s="3"/>
      <c r="D1139" s="3"/>
      <c r="E1139" s="3" t="e">
        <f t="shared" si="36"/>
        <v>#N/A</v>
      </c>
      <c r="F1139" s="3" t="e">
        <f t="shared" si="37"/>
        <v>#N/A</v>
      </c>
    </row>
    <row r="1140" spans="2:6" x14ac:dyDescent="0.25">
      <c r="B1140" s="3"/>
      <c r="C1140" s="3"/>
      <c r="D1140" s="3"/>
      <c r="E1140" s="3" t="e">
        <f t="shared" si="36"/>
        <v>#N/A</v>
      </c>
      <c r="F1140" s="3" t="e">
        <f t="shared" si="37"/>
        <v>#N/A</v>
      </c>
    </row>
    <row r="1141" spans="2:6" x14ac:dyDescent="0.25">
      <c r="B1141" s="3"/>
      <c r="C1141" s="3"/>
      <c r="D1141" s="3"/>
      <c r="E1141" s="3" t="e">
        <f t="shared" si="36"/>
        <v>#N/A</v>
      </c>
      <c r="F1141" s="3" t="e">
        <f t="shared" si="37"/>
        <v>#N/A</v>
      </c>
    </row>
    <row r="1142" spans="2:6" x14ac:dyDescent="0.25">
      <c r="B1142" s="3"/>
      <c r="C1142" s="3"/>
      <c r="D1142" s="3"/>
      <c r="E1142" s="3" t="e">
        <f t="shared" si="36"/>
        <v>#N/A</v>
      </c>
      <c r="F1142" s="3" t="e">
        <f t="shared" si="37"/>
        <v>#N/A</v>
      </c>
    </row>
    <row r="1143" spans="2:6" x14ac:dyDescent="0.25">
      <c r="B1143" s="3"/>
      <c r="C1143" s="3"/>
      <c r="D1143" s="3"/>
      <c r="E1143" s="3" t="e">
        <f t="shared" si="36"/>
        <v>#N/A</v>
      </c>
      <c r="F1143" s="3" t="e">
        <f t="shared" si="37"/>
        <v>#N/A</v>
      </c>
    </row>
    <row r="1144" spans="2:6" x14ac:dyDescent="0.25">
      <c r="B1144" s="3"/>
      <c r="C1144" s="3"/>
      <c r="D1144" s="3"/>
      <c r="E1144" s="3" t="e">
        <f t="shared" si="36"/>
        <v>#N/A</v>
      </c>
      <c r="F1144" s="3" t="e">
        <f t="shared" si="37"/>
        <v>#N/A</v>
      </c>
    </row>
    <row r="1145" spans="2:6" x14ac:dyDescent="0.25">
      <c r="B1145" s="3"/>
      <c r="C1145" s="3"/>
      <c r="D1145" s="3"/>
      <c r="E1145" s="3" t="e">
        <f t="shared" si="36"/>
        <v>#N/A</v>
      </c>
      <c r="F1145" s="3" t="e">
        <f t="shared" si="37"/>
        <v>#N/A</v>
      </c>
    </row>
    <row r="1146" spans="2:6" x14ac:dyDescent="0.25">
      <c r="B1146" s="3"/>
      <c r="C1146" s="3"/>
      <c r="D1146" s="3"/>
      <c r="E1146" s="3" t="e">
        <f t="shared" si="36"/>
        <v>#N/A</v>
      </c>
      <c r="F1146" s="3" t="e">
        <f t="shared" si="37"/>
        <v>#N/A</v>
      </c>
    </row>
    <row r="1147" spans="2:6" x14ac:dyDescent="0.25">
      <c r="B1147" s="3"/>
      <c r="C1147" s="3"/>
      <c r="D1147" s="3"/>
      <c r="E1147" s="3" t="e">
        <f t="shared" si="36"/>
        <v>#N/A</v>
      </c>
      <c r="F1147" s="3" t="e">
        <f t="shared" si="37"/>
        <v>#N/A</v>
      </c>
    </row>
    <row r="1148" spans="2:6" x14ac:dyDescent="0.25">
      <c r="B1148" s="3"/>
      <c r="C1148" s="3"/>
      <c r="D1148" s="3"/>
      <c r="E1148" s="3" t="e">
        <f t="shared" si="36"/>
        <v>#N/A</v>
      </c>
      <c r="F1148" s="3" t="e">
        <f t="shared" si="37"/>
        <v>#N/A</v>
      </c>
    </row>
    <row r="1149" spans="2:6" x14ac:dyDescent="0.25">
      <c r="B1149" s="3"/>
      <c r="C1149" s="3"/>
      <c r="D1149" s="3"/>
      <c r="E1149" s="3" t="e">
        <f t="shared" si="36"/>
        <v>#N/A</v>
      </c>
      <c r="F1149" s="3" t="e">
        <f t="shared" si="37"/>
        <v>#N/A</v>
      </c>
    </row>
    <row r="1150" spans="2:6" x14ac:dyDescent="0.25">
      <c r="B1150" s="3"/>
      <c r="C1150" s="3"/>
      <c r="D1150" s="3"/>
      <c r="E1150" s="3" t="e">
        <f t="shared" si="36"/>
        <v>#N/A</v>
      </c>
      <c r="F1150" s="3" t="e">
        <f t="shared" si="37"/>
        <v>#N/A</v>
      </c>
    </row>
    <row r="1151" spans="2:6" x14ac:dyDescent="0.25">
      <c r="B1151" s="3"/>
      <c r="C1151" s="3"/>
      <c r="D1151" s="3"/>
      <c r="E1151" s="3" t="e">
        <f t="shared" si="36"/>
        <v>#N/A</v>
      </c>
      <c r="F1151" s="3" t="e">
        <f t="shared" si="37"/>
        <v>#N/A</v>
      </c>
    </row>
    <row r="1152" spans="2:6" x14ac:dyDescent="0.25">
      <c r="B1152" s="3"/>
      <c r="C1152" s="3"/>
      <c r="D1152" s="3"/>
      <c r="E1152" s="3" t="e">
        <f t="shared" si="36"/>
        <v>#N/A</v>
      </c>
      <c r="F1152" s="3" t="e">
        <f t="shared" si="37"/>
        <v>#N/A</v>
      </c>
    </row>
    <row r="1153" spans="2:6" x14ac:dyDescent="0.25">
      <c r="B1153" s="3"/>
      <c r="C1153" s="3"/>
      <c r="D1153" s="3"/>
      <c r="E1153" s="3" t="e">
        <f t="shared" si="36"/>
        <v>#N/A</v>
      </c>
      <c r="F1153" s="3" t="e">
        <f t="shared" si="37"/>
        <v>#N/A</v>
      </c>
    </row>
    <row r="1154" spans="2:6" x14ac:dyDescent="0.25">
      <c r="B1154" s="3"/>
      <c r="C1154" s="3"/>
      <c r="D1154" s="3"/>
      <c r="E1154" s="3" t="e">
        <f t="shared" si="36"/>
        <v>#N/A</v>
      </c>
      <c r="F1154" s="3" t="e">
        <f t="shared" si="37"/>
        <v>#N/A</v>
      </c>
    </row>
    <row r="1155" spans="2:6" x14ac:dyDescent="0.25">
      <c r="B1155" s="3"/>
      <c r="C1155" s="3"/>
      <c r="D1155" s="3"/>
      <c r="E1155" s="3" t="e">
        <f t="shared" si="36"/>
        <v>#N/A</v>
      </c>
      <c r="F1155" s="3" t="e">
        <f t="shared" si="37"/>
        <v>#N/A</v>
      </c>
    </row>
    <row r="1156" spans="2:6" x14ac:dyDescent="0.25">
      <c r="B1156" s="3"/>
      <c r="C1156" s="3"/>
      <c r="D1156" s="3"/>
      <c r="E1156" s="3" t="e">
        <f t="shared" ref="E1156:E1219" si="38">VLOOKUP(C1156,I:J,2,0)</f>
        <v>#N/A</v>
      </c>
      <c r="F1156" s="3" t="e">
        <f t="shared" ref="F1156:F1219" si="39">E1156&amp;" "&amp;B1156</f>
        <v>#N/A</v>
      </c>
    </row>
    <row r="1157" spans="2:6" x14ac:dyDescent="0.25">
      <c r="B1157" s="3"/>
      <c r="C1157" s="3"/>
      <c r="D1157" s="3"/>
      <c r="E1157" s="3" t="e">
        <f t="shared" si="38"/>
        <v>#N/A</v>
      </c>
      <c r="F1157" s="3" t="e">
        <f t="shared" si="39"/>
        <v>#N/A</v>
      </c>
    </row>
    <row r="1158" spans="2:6" x14ac:dyDescent="0.25">
      <c r="B1158" s="3"/>
      <c r="C1158" s="3"/>
      <c r="D1158" s="3"/>
      <c r="E1158" s="3" t="e">
        <f t="shared" si="38"/>
        <v>#N/A</v>
      </c>
      <c r="F1158" s="3" t="e">
        <f t="shared" si="39"/>
        <v>#N/A</v>
      </c>
    </row>
    <row r="1159" spans="2:6" x14ac:dyDescent="0.25">
      <c r="B1159" s="3"/>
      <c r="C1159" s="3"/>
      <c r="D1159" s="3"/>
      <c r="E1159" s="3" t="e">
        <f t="shared" si="38"/>
        <v>#N/A</v>
      </c>
      <c r="F1159" s="3" t="e">
        <f t="shared" si="39"/>
        <v>#N/A</v>
      </c>
    </row>
    <row r="1160" spans="2:6" x14ac:dyDescent="0.25">
      <c r="B1160" s="3"/>
      <c r="C1160" s="3"/>
      <c r="D1160" s="3"/>
      <c r="E1160" s="3" t="e">
        <f t="shared" si="38"/>
        <v>#N/A</v>
      </c>
      <c r="F1160" s="3" t="e">
        <f t="shared" si="39"/>
        <v>#N/A</v>
      </c>
    </row>
    <row r="1161" spans="2:6" x14ac:dyDescent="0.25">
      <c r="B1161" s="3"/>
      <c r="C1161" s="3"/>
      <c r="D1161" s="3"/>
      <c r="E1161" s="3" t="e">
        <f t="shared" si="38"/>
        <v>#N/A</v>
      </c>
      <c r="F1161" s="3" t="e">
        <f t="shared" si="39"/>
        <v>#N/A</v>
      </c>
    </row>
    <row r="1162" spans="2:6" x14ac:dyDescent="0.25">
      <c r="B1162" s="3"/>
      <c r="C1162" s="3"/>
      <c r="D1162" s="3"/>
      <c r="E1162" s="3" t="e">
        <f t="shared" si="38"/>
        <v>#N/A</v>
      </c>
      <c r="F1162" s="3" t="e">
        <f t="shared" si="39"/>
        <v>#N/A</v>
      </c>
    </row>
    <row r="1163" spans="2:6" x14ac:dyDescent="0.25">
      <c r="B1163" s="3"/>
      <c r="C1163" s="3"/>
      <c r="D1163" s="3"/>
      <c r="E1163" s="3" t="e">
        <f t="shared" si="38"/>
        <v>#N/A</v>
      </c>
      <c r="F1163" s="3" t="e">
        <f t="shared" si="39"/>
        <v>#N/A</v>
      </c>
    </row>
    <row r="1164" spans="2:6" x14ac:dyDescent="0.25">
      <c r="B1164" s="3"/>
      <c r="C1164" s="3"/>
      <c r="D1164" s="3"/>
      <c r="E1164" s="3" t="e">
        <f t="shared" si="38"/>
        <v>#N/A</v>
      </c>
      <c r="F1164" s="3" t="e">
        <f t="shared" si="39"/>
        <v>#N/A</v>
      </c>
    </row>
    <row r="1165" spans="2:6" x14ac:dyDescent="0.25">
      <c r="B1165" s="3"/>
      <c r="C1165" s="3"/>
      <c r="D1165" s="3"/>
      <c r="E1165" s="3" t="e">
        <f t="shared" si="38"/>
        <v>#N/A</v>
      </c>
      <c r="F1165" s="3" t="e">
        <f t="shared" si="39"/>
        <v>#N/A</v>
      </c>
    </row>
    <row r="1166" spans="2:6" x14ac:dyDescent="0.25">
      <c r="B1166" s="3"/>
      <c r="C1166" s="3"/>
      <c r="D1166" s="3"/>
      <c r="E1166" s="3" t="e">
        <f t="shared" si="38"/>
        <v>#N/A</v>
      </c>
      <c r="F1166" s="3" t="e">
        <f t="shared" si="39"/>
        <v>#N/A</v>
      </c>
    </row>
    <row r="1167" spans="2:6" x14ac:dyDescent="0.25">
      <c r="B1167" s="3"/>
      <c r="C1167" s="3"/>
      <c r="D1167" s="3"/>
      <c r="E1167" s="3" t="e">
        <f t="shared" si="38"/>
        <v>#N/A</v>
      </c>
      <c r="F1167" s="3" t="e">
        <f t="shared" si="39"/>
        <v>#N/A</v>
      </c>
    </row>
    <row r="1168" spans="2:6" x14ac:dyDescent="0.25">
      <c r="B1168" s="3"/>
      <c r="C1168" s="3"/>
      <c r="D1168" s="3"/>
      <c r="E1168" s="3" t="e">
        <f t="shared" si="38"/>
        <v>#N/A</v>
      </c>
      <c r="F1168" s="3" t="e">
        <f t="shared" si="39"/>
        <v>#N/A</v>
      </c>
    </row>
    <row r="1169" spans="2:6" x14ac:dyDescent="0.25">
      <c r="B1169" s="3"/>
      <c r="C1169" s="3"/>
      <c r="D1169" s="3"/>
      <c r="E1169" s="3" t="e">
        <f t="shared" si="38"/>
        <v>#N/A</v>
      </c>
      <c r="F1169" s="3" t="e">
        <f t="shared" si="39"/>
        <v>#N/A</v>
      </c>
    </row>
    <row r="1170" spans="2:6" x14ac:dyDescent="0.25">
      <c r="B1170" s="3"/>
      <c r="C1170" s="3"/>
      <c r="D1170" s="3"/>
      <c r="E1170" s="3" t="e">
        <f t="shared" si="38"/>
        <v>#N/A</v>
      </c>
      <c r="F1170" s="3" t="e">
        <f t="shared" si="39"/>
        <v>#N/A</v>
      </c>
    </row>
    <row r="1171" spans="2:6" x14ac:dyDescent="0.25">
      <c r="B1171" s="3"/>
      <c r="C1171" s="3"/>
      <c r="D1171" s="3"/>
      <c r="E1171" s="3" t="e">
        <f t="shared" si="38"/>
        <v>#N/A</v>
      </c>
      <c r="F1171" s="3" t="e">
        <f t="shared" si="39"/>
        <v>#N/A</v>
      </c>
    </row>
    <row r="1172" spans="2:6" x14ac:dyDescent="0.25">
      <c r="B1172" s="3"/>
      <c r="C1172" s="3"/>
      <c r="D1172" s="3"/>
      <c r="E1172" s="3" t="e">
        <f t="shared" si="38"/>
        <v>#N/A</v>
      </c>
      <c r="F1172" s="3" t="e">
        <f t="shared" si="39"/>
        <v>#N/A</v>
      </c>
    </row>
    <row r="1173" spans="2:6" x14ac:dyDescent="0.25">
      <c r="B1173" s="3"/>
      <c r="C1173" s="3"/>
      <c r="D1173" s="3"/>
      <c r="E1173" s="3" t="e">
        <f t="shared" si="38"/>
        <v>#N/A</v>
      </c>
      <c r="F1173" s="3" t="e">
        <f t="shared" si="39"/>
        <v>#N/A</v>
      </c>
    </row>
    <row r="1174" spans="2:6" x14ac:dyDescent="0.25">
      <c r="B1174" s="3"/>
      <c r="C1174" s="3"/>
      <c r="D1174" s="3"/>
      <c r="E1174" s="3" t="e">
        <f t="shared" si="38"/>
        <v>#N/A</v>
      </c>
      <c r="F1174" s="3" t="e">
        <f t="shared" si="39"/>
        <v>#N/A</v>
      </c>
    </row>
    <row r="1175" spans="2:6" x14ac:dyDescent="0.25">
      <c r="B1175" s="3"/>
      <c r="C1175" s="3"/>
      <c r="D1175" s="3"/>
      <c r="E1175" s="3" t="e">
        <f t="shared" si="38"/>
        <v>#N/A</v>
      </c>
      <c r="F1175" s="3" t="e">
        <f t="shared" si="39"/>
        <v>#N/A</v>
      </c>
    </row>
    <row r="1176" spans="2:6" x14ac:dyDescent="0.25">
      <c r="B1176" s="3"/>
      <c r="C1176" s="3"/>
      <c r="D1176" s="3"/>
      <c r="E1176" s="3" t="e">
        <f t="shared" si="38"/>
        <v>#N/A</v>
      </c>
      <c r="F1176" s="3" t="e">
        <f t="shared" si="39"/>
        <v>#N/A</v>
      </c>
    </row>
    <row r="1177" spans="2:6" x14ac:dyDescent="0.25">
      <c r="B1177" s="3"/>
      <c r="C1177" s="3"/>
      <c r="D1177" s="3"/>
      <c r="E1177" s="3" t="e">
        <f t="shared" si="38"/>
        <v>#N/A</v>
      </c>
      <c r="F1177" s="3" t="e">
        <f t="shared" si="39"/>
        <v>#N/A</v>
      </c>
    </row>
    <row r="1178" spans="2:6" x14ac:dyDescent="0.25">
      <c r="B1178" s="3"/>
      <c r="C1178" s="3"/>
      <c r="D1178" s="3"/>
      <c r="E1178" s="3" t="e">
        <f t="shared" si="38"/>
        <v>#N/A</v>
      </c>
      <c r="F1178" s="3" t="e">
        <f t="shared" si="39"/>
        <v>#N/A</v>
      </c>
    </row>
    <row r="1179" spans="2:6" x14ac:dyDescent="0.25">
      <c r="B1179" s="3"/>
      <c r="C1179" s="3"/>
      <c r="D1179" s="3"/>
      <c r="E1179" s="3" t="e">
        <f t="shared" si="38"/>
        <v>#N/A</v>
      </c>
      <c r="F1179" s="3" t="e">
        <f t="shared" si="39"/>
        <v>#N/A</v>
      </c>
    </row>
    <row r="1180" spans="2:6" x14ac:dyDescent="0.25">
      <c r="B1180" s="3"/>
      <c r="C1180" s="3"/>
      <c r="D1180" s="3"/>
      <c r="E1180" s="3" t="e">
        <f t="shared" si="38"/>
        <v>#N/A</v>
      </c>
      <c r="F1180" s="3" t="e">
        <f t="shared" si="39"/>
        <v>#N/A</v>
      </c>
    </row>
    <row r="1181" spans="2:6" x14ac:dyDescent="0.25">
      <c r="B1181" s="3"/>
      <c r="C1181" s="3"/>
      <c r="D1181" s="3"/>
      <c r="E1181" s="3" t="e">
        <f t="shared" si="38"/>
        <v>#N/A</v>
      </c>
      <c r="F1181" s="3" t="e">
        <f t="shared" si="39"/>
        <v>#N/A</v>
      </c>
    </row>
    <row r="1182" spans="2:6" x14ac:dyDescent="0.25">
      <c r="B1182" s="3"/>
      <c r="C1182" s="3"/>
      <c r="D1182" s="3"/>
      <c r="E1182" s="3" t="e">
        <f t="shared" si="38"/>
        <v>#N/A</v>
      </c>
      <c r="F1182" s="3" t="e">
        <f t="shared" si="39"/>
        <v>#N/A</v>
      </c>
    </row>
    <row r="1183" spans="2:6" x14ac:dyDescent="0.25">
      <c r="B1183" s="3"/>
      <c r="C1183" s="3"/>
      <c r="D1183" s="3"/>
      <c r="E1183" s="3" t="e">
        <f t="shared" si="38"/>
        <v>#N/A</v>
      </c>
      <c r="F1183" s="3" t="e">
        <f t="shared" si="39"/>
        <v>#N/A</v>
      </c>
    </row>
    <row r="1184" spans="2:6" x14ac:dyDescent="0.25">
      <c r="B1184" s="3"/>
      <c r="C1184" s="3"/>
      <c r="D1184" s="3"/>
      <c r="E1184" s="3" t="e">
        <f t="shared" si="38"/>
        <v>#N/A</v>
      </c>
      <c r="F1184" s="3" t="e">
        <f t="shared" si="39"/>
        <v>#N/A</v>
      </c>
    </row>
    <row r="1185" spans="2:6" x14ac:dyDescent="0.25">
      <c r="B1185" s="3"/>
      <c r="C1185" s="3"/>
      <c r="D1185" s="3"/>
      <c r="E1185" s="3" t="e">
        <f t="shared" si="38"/>
        <v>#N/A</v>
      </c>
      <c r="F1185" s="3" t="e">
        <f t="shared" si="39"/>
        <v>#N/A</v>
      </c>
    </row>
    <row r="1186" spans="2:6" x14ac:dyDescent="0.25">
      <c r="B1186" s="3"/>
      <c r="C1186" s="3"/>
      <c r="D1186" s="3"/>
      <c r="E1186" s="3" t="e">
        <f t="shared" si="38"/>
        <v>#N/A</v>
      </c>
      <c r="F1186" s="3" t="e">
        <f t="shared" si="39"/>
        <v>#N/A</v>
      </c>
    </row>
    <row r="1187" spans="2:6" x14ac:dyDescent="0.25">
      <c r="B1187" s="3"/>
      <c r="C1187" s="3"/>
      <c r="D1187" s="3"/>
      <c r="E1187" s="3" t="e">
        <f t="shared" si="38"/>
        <v>#N/A</v>
      </c>
      <c r="F1187" s="3" t="e">
        <f t="shared" si="39"/>
        <v>#N/A</v>
      </c>
    </row>
    <row r="1188" spans="2:6" x14ac:dyDescent="0.25">
      <c r="B1188" s="3"/>
      <c r="C1188" s="3"/>
      <c r="D1188" s="3"/>
      <c r="E1188" s="3" t="e">
        <f t="shared" si="38"/>
        <v>#N/A</v>
      </c>
      <c r="F1188" s="3" t="e">
        <f t="shared" si="39"/>
        <v>#N/A</v>
      </c>
    </row>
    <row r="1189" spans="2:6" x14ac:dyDescent="0.25">
      <c r="B1189" s="3"/>
      <c r="C1189" s="3"/>
      <c r="D1189" s="3"/>
      <c r="E1189" s="3" t="e">
        <f t="shared" si="38"/>
        <v>#N/A</v>
      </c>
      <c r="F1189" s="3" t="e">
        <f t="shared" si="39"/>
        <v>#N/A</v>
      </c>
    </row>
    <row r="1190" spans="2:6" x14ac:dyDescent="0.25">
      <c r="B1190" s="3"/>
      <c r="C1190" s="3"/>
      <c r="D1190" s="3"/>
      <c r="E1190" s="3" t="e">
        <f t="shared" si="38"/>
        <v>#N/A</v>
      </c>
      <c r="F1190" s="3" t="e">
        <f t="shared" si="39"/>
        <v>#N/A</v>
      </c>
    </row>
    <row r="1191" spans="2:6" x14ac:dyDescent="0.25">
      <c r="B1191" s="3"/>
      <c r="C1191" s="3"/>
      <c r="D1191" s="3"/>
      <c r="E1191" s="3" t="e">
        <f t="shared" si="38"/>
        <v>#N/A</v>
      </c>
      <c r="F1191" s="3" t="e">
        <f t="shared" si="39"/>
        <v>#N/A</v>
      </c>
    </row>
    <row r="1192" spans="2:6" x14ac:dyDescent="0.25">
      <c r="B1192" s="3"/>
      <c r="C1192" s="3"/>
      <c r="D1192" s="3"/>
      <c r="E1192" s="3" t="e">
        <f t="shared" si="38"/>
        <v>#N/A</v>
      </c>
      <c r="F1192" s="3" t="e">
        <f t="shared" si="39"/>
        <v>#N/A</v>
      </c>
    </row>
    <row r="1193" spans="2:6" x14ac:dyDescent="0.25">
      <c r="B1193" s="3"/>
      <c r="C1193" s="3"/>
      <c r="D1193" s="3"/>
      <c r="E1193" s="3" t="e">
        <f t="shared" si="38"/>
        <v>#N/A</v>
      </c>
      <c r="F1193" s="3" t="e">
        <f t="shared" si="39"/>
        <v>#N/A</v>
      </c>
    </row>
    <row r="1194" spans="2:6" x14ac:dyDescent="0.25">
      <c r="B1194" s="3"/>
      <c r="C1194" s="3"/>
      <c r="D1194" s="3"/>
      <c r="E1194" s="3" t="e">
        <f t="shared" si="38"/>
        <v>#N/A</v>
      </c>
      <c r="F1194" s="3" t="e">
        <f t="shared" si="39"/>
        <v>#N/A</v>
      </c>
    </row>
    <row r="1195" spans="2:6" x14ac:dyDescent="0.25">
      <c r="B1195" s="3"/>
      <c r="C1195" s="3"/>
      <c r="D1195" s="3"/>
      <c r="E1195" s="3" t="e">
        <f t="shared" si="38"/>
        <v>#N/A</v>
      </c>
      <c r="F1195" s="3" t="e">
        <f t="shared" si="39"/>
        <v>#N/A</v>
      </c>
    </row>
    <row r="1196" spans="2:6" x14ac:dyDescent="0.25">
      <c r="B1196" s="3"/>
      <c r="C1196" s="3"/>
      <c r="D1196" s="3"/>
      <c r="E1196" s="3" t="e">
        <f t="shared" si="38"/>
        <v>#N/A</v>
      </c>
      <c r="F1196" s="3" t="e">
        <f t="shared" si="39"/>
        <v>#N/A</v>
      </c>
    </row>
    <row r="1197" spans="2:6" x14ac:dyDescent="0.25">
      <c r="B1197" s="3"/>
      <c r="C1197" s="3"/>
      <c r="D1197" s="3"/>
      <c r="E1197" s="3" t="e">
        <f t="shared" si="38"/>
        <v>#N/A</v>
      </c>
      <c r="F1197" s="3" t="e">
        <f t="shared" si="39"/>
        <v>#N/A</v>
      </c>
    </row>
    <row r="1198" spans="2:6" x14ac:dyDescent="0.25">
      <c r="B1198" s="3"/>
      <c r="C1198" s="3"/>
      <c r="D1198" s="3"/>
      <c r="E1198" s="3" t="e">
        <f t="shared" si="38"/>
        <v>#N/A</v>
      </c>
      <c r="F1198" s="3" t="e">
        <f t="shared" si="39"/>
        <v>#N/A</v>
      </c>
    </row>
    <row r="1199" spans="2:6" x14ac:dyDescent="0.25">
      <c r="B1199" s="3"/>
      <c r="C1199" s="3"/>
      <c r="D1199" s="3"/>
      <c r="E1199" s="3" t="e">
        <f t="shared" si="38"/>
        <v>#N/A</v>
      </c>
      <c r="F1199" s="3" t="e">
        <f t="shared" si="39"/>
        <v>#N/A</v>
      </c>
    </row>
    <row r="1200" spans="2:6" x14ac:dyDescent="0.25">
      <c r="B1200" s="3"/>
      <c r="C1200" s="3"/>
      <c r="D1200" s="3"/>
      <c r="E1200" s="3" t="e">
        <f t="shared" si="38"/>
        <v>#N/A</v>
      </c>
      <c r="F1200" s="3" t="e">
        <f t="shared" si="39"/>
        <v>#N/A</v>
      </c>
    </row>
    <row r="1201" spans="2:6" x14ac:dyDescent="0.25">
      <c r="B1201" s="3"/>
      <c r="C1201" s="3"/>
      <c r="D1201" s="3"/>
      <c r="E1201" s="3" t="e">
        <f t="shared" si="38"/>
        <v>#N/A</v>
      </c>
      <c r="F1201" s="3" t="e">
        <f t="shared" si="39"/>
        <v>#N/A</v>
      </c>
    </row>
    <row r="1202" spans="2:6" x14ac:dyDescent="0.25">
      <c r="B1202" s="3"/>
      <c r="C1202" s="3"/>
      <c r="D1202" s="3"/>
      <c r="E1202" s="3" t="e">
        <f t="shared" si="38"/>
        <v>#N/A</v>
      </c>
      <c r="F1202" s="3" t="e">
        <f t="shared" si="39"/>
        <v>#N/A</v>
      </c>
    </row>
    <row r="1203" spans="2:6" x14ac:dyDescent="0.25">
      <c r="B1203" s="3"/>
      <c r="C1203" s="3"/>
      <c r="D1203" s="3"/>
      <c r="E1203" s="3" t="e">
        <f t="shared" si="38"/>
        <v>#N/A</v>
      </c>
      <c r="F1203" s="3" t="e">
        <f t="shared" si="39"/>
        <v>#N/A</v>
      </c>
    </row>
    <row r="1204" spans="2:6" x14ac:dyDescent="0.25">
      <c r="B1204" s="3"/>
      <c r="C1204" s="3"/>
      <c r="D1204" s="3"/>
      <c r="E1204" s="3" t="e">
        <f t="shared" si="38"/>
        <v>#N/A</v>
      </c>
      <c r="F1204" s="3" t="e">
        <f t="shared" si="39"/>
        <v>#N/A</v>
      </c>
    </row>
    <row r="1205" spans="2:6" x14ac:dyDescent="0.25">
      <c r="B1205" s="3"/>
      <c r="C1205" s="3"/>
      <c r="D1205" s="3"/>
      <c r="E1205" s="3" t="e">
        <f t="shared" si="38"/>
        <v>#N/A</v>
      </c>
      <c r="F1205" s="3" t="e">
        <f t="shared" si="39"/>
        <v>#N/A</v>
      </c>
    </row>
    <row r="1206" spans="2:6" x14ac:dyDescent="0.25">
      <c r="B1206" s="3"/>
      <c r="C1206" s="3"/>
      <c r="D1206" s="3"/>
      <c r="E1206" s="3" t="e">
        <f t="shared" si="38"/>
        <v>#N/A</v>
      </c>
      <c r="F1206" s="3" t="e">
        <f t="shared" si="39"/>
        <v>#N/A</v>
      </c>
    </row>
    <row r="1207" spans="2:6" x14ac:dyDescent="0.25">
      <c r="B1207" s="3"/>
      <c r="C1207" s="3"/>
      <c r="D1207" s="3"/>
      <c r="E1207" s="3" t="e">
        <f t="shared" si="38"/>
        <v>#N/A</v>
      </c>
      <c r="F1207" s="3" t="e">
        <f t="shared" si="39"/>
        <v>#N/A</v>
      </c>
    </row>
    <row r="1208" spans="2:6" x14ac:dyDescent="0.25">
      <c r="B1208" s="3"/>
      <c r="C1208" s="3"/>
      <c r="D1208" s="3"/>
      <c r="E1208" s="3" t="e">
        <f t="shared" si="38"/>
        <v>#N/A</v>
      </c>
      <c r="F1208" s="3" t="e">
        <f t="shared" si="39"/>
        <v>#N/A</v>
      </c>
    </row>
    <row r="1209" spans="2:6" x14ac:dyDescent="0.25">
      <c r="B1209" s="3"/>
      <c r="C1209" s="3"/>
      <c r="D1209" s="3"/>
      <c r="E1209" s="3" t="e">
        <f t="shared" si="38"/>
        <v>#N/A</v>
      </c>
      <c r="F1209" s="3" t="e">
        <f t="shared" si="39"/>
        <v>#N/A</v>
      </c>
    </row>
    <row r="1210" spans="2:6" x14ac:dyDescent="0.25">
      <c r="B1210" s="3"/>
      <c r="C1210" s="3"/>
      <c r="D1210" s="3"/>
      <c r="E1210" s="3" t="e">
        <f t="shared" si="38"/>
        <v>#N/A</v>
      </c>
      <c r="F1210" s="3" t="e">
        <f t="shared" si="39"/>
        <v>#N/A</v>
      </c>
    </row>
    <row r="1211" spans="2:6" x14ac:dyDescent="0.25">
      <c r="B1211" s="3"/>
      <c r="C1211" s="3"/>
      <c r="D1211" s="3"/>
      <c r="E1211" s="3" t="e">
        <f t="shared" si="38"/>
        <v>#N/A</v>
      </c>
      <c r="F1211" s="3" t="e">
        <f t="shared" si="39"/>
        <v>#N/A</v>
      </c>
    </row>
    <row r="1212" spans="2:6" x14ac:dyDescent="0.25">
      <c r="B1212" s="3"/>
      <c r="C1212" s="3"/>
      <c r="D1212" s="3"/>
      <c r="E1212" s="3" t="e">
        <f t="shared" si="38"/>
        <v>#N/A</v>
      </c>
      <c r="F1212" s="3" t="e">
        <f t="shared" si="39"/>
        <v>#N/A</v>
      </c>
    </row>
    <row r="1213" spans="2:6" x14ac:dyDescent="0.25">
      <c r="B1213" s="3"/>
      <c r="C1213" s="3"/>
      <c r="D1213" s="3"/>
      <c r="E1213" s="3" t="e">
        <f t="shared" si="38"/>
        <v>#N/A</v>
      </c>
      <c r="F1213" s="3" t="e">
        <f t="shared" si="39"/>
        <v>#N/A</v>
      </c>
    </row>
    <row r="1214" spans="2:6" x14ac:dyDescent="0.25">
      <c r="B1214" s="3"/>
      <c r="C1214" s="3"/>
      <c r="D1214" s="3"/>
      <c r="E1214" s="3" t="e">
        <f t="shared" si="38"/>
        <v>#N/A</v>
      </c>
      <c r="F1214" s="3" t="e">
        <f t="shared" si="39"/>
        <v>#N/A</v>
      </c>
    </row>
    <row r="1215" spans="2:6" x14ac:dyDescent="0.25">
      <c r="B1215" s="3"/>
      <c r="C1215" s="3"/>
      <c r="D1215" s="3"/>
      <c r="E1215" s="3" t="e">
        <f t="shared" si="38"/>
        <v>#N/A</v>
      </c>
      <c r="F1215" s="3" t="e">
        <f t="shared" si="39"/>
        <v>#N/A</v>
      </c>
    </row>
    <row r="1216" spans="2:6" x14ac:dyDescent="0.25">
      <c r="B1216" s="3"/>
      <c r="C1216" s="3"/>
      <c r="D1216" s="3"/>
      <c r="E1216" s="3" t="e">
        <f t="shared" si="38"/>
        <v>#N/A</v>
      </c>
      <c r="F1216" s="3" t="e">
        <f t="shared" si="39"/>
        <v>#N/A</v>
      </c>
    </row>
    <row r="1217" spans="2:6" x14ac:dyDescent="0.25">
      <c r="B1217" s="3"/>
      <c r="C1217" s="3"/>
      <c r="D1217" s="3"/>
      <c r="E1217" s="3" t="e">
        <f t="shared" si="38"/>
        <v>#N/A</v>
      </c>
      <c r="F1217" s="3" t="e">
        <f t="shared" si="39"/>
        <v>#N/A</v>
      </c>
    </row>
    <row r="1218" spans="2:6" x14ac:dyDescent="0.25">
      <c r="B1218" s="3"/>
      <c r="C1218" s="3"/>
      <c r="D1218" s="3"/>
      <c r="E1218" s="3" t="e">
        <f t="shared" si="38"/>
        <v>#N/A</v>
      </c>
      <c r="F1218" s="3" t="e">
        <f t="shared" si="39"/>
        <v>#N/A</v>
      </c>
    </row>
    <row r="1219" spans="2:6" x14ac:dyDescent="0.25">
      <c r="B1219" s="3"/>
      <c r="C1219" s="3"/>
      <c r="D1219" s="3"/>
      <c r="E1219" s="3" t="e">
        <f t="shared" si="38"/>
        <v>#N/A</v>
      </c>
      <c r="F1219" s="3" t="e">
        <f t="shared" si="39"/>
        <v>#N/A</v>
      </c>
    </row>
    <row r="1220" spans="2:6" x14ac:dyDescent="0.25">
      <c r="B1220" s="3"/>
      <c r="C1220" s="3"/>
      <c r="D1220" s="3"/>
      <c r="E1220" s="3" t="e">
        <f t="shared" ref="E1220:E1283" si="40">VLOOKUP(C1220,I:J,2,0)</f>
        <v>#N/A</v>
      </c>
      <c r="F1220" s="3" t="e">
        <f t="shared" ref="F1220:F1283" si="41">E1220&amp;" "&amp;B1220</f>
        <v>#N/A</v>
      </c>
    </row>
    <row r="1221" spans="2:6" x14ac:dyDescent="0.25">
      <c r="B1221" s="3"/>
      <c r="C1221" s="3"/>
      <c r="D1221" s="3"/>
      <c r="E1221" s="3" t="e">
        <f t="shared" si="40"/>
        <v>#N/A</v>
      </c>
      <c r="F1221" s="3" t="e">
        <f t="shared" si="41"/>
        <v>#N/A</v>
      </c>
    </row>
    <row r="1222" spans="2:6" x14ac:dyDescent="0.25">
      <c r="B1222" s="3"/>
      <c r="C1222" s="3"/>
      <c r="D1222" s="3"/>
      <c r="E1222" s="3" t="e">
        <f t="shared" si="40"/>
        <v>#N/A</v>
      </c>
      <c r="F1222" s="3" t="e">
        <f t="shared" si="41"/>
        <v>#N/A</v>
      </c>
    </row>
    <row r="1223" spans="2:6" x14ac:dyDescent="0.25">
      <c r="B1223" s="3"/>
      <c r="C1223" s="3"/>
      <c r="D1223" s="3"/>
      <c r="E1223" s="3" t="e">
        <f t="shared" si="40"/>
        <v>#N/A</v>
      </c>
      <c r="F1223" s="3" t="e">
        <f t="shared" si="41"/>
        <v>#N/A</v>
      </c>
    </row>
    <row r="1224" spans="2:6" x14ac:dyDescent="0.25">
      <c r="B1224" s="3"/>
      <c r="C1224" s="3"/>
      <c r="D1224" s="3"/>
      <c r="E1224" s="3" t="e">
        <f t="shared" si="40"/>
        <v>#N/A</v>
      </c>
      <c r="F1224" s="3" t="e">
        <f t="shared" si="41"/>
        <v>#N/A</v>
      </c>
    </row>
    <row r="1225" spans="2:6" x14ac:dyDescent="0.25">
      <c r="B1225" s="3"/>
      <c r="C1225" s="3"/>
      <c r="D1225" s="3"/>
      <c r="E1225" s="3" t="e">
        <f t="shared" si="40"/>
        <v>#N/A</v>
      </c>
      <c r="F1225" s="3" t="e">
        <f t="shared" si="41"/>
        <v>#N/A</v>
      </c>
    </row>
    <row r="1226" spans="2:6" x14ac:dyDescent="0.25">
      <c r="B1226" s="3"/>
      <c r="C1226" s="3"/>
      <c r="D1226" s="3"/>
      <c r="E1226" s="3" t="e">
        <f t="shared" si="40"/>
        <v>#N/A</v>
      </c>
      <c r="F1226" s="3" t="e">
        <f t="shared" si="41"/>
        <v>#N/A</v>
      </c>
    </row>
    <row r="1227" spans="2:6" x14ac:dyDescent="0.25">
      <c r="B1227" s="3"/>
      <c r="C1227" s="3"/>
      <c r="D1227" s="3"/>
      <c r="E1227" s="3" t="e">
        <f t="shared" si="40"/>
        <v>#N/A</v>
      </c>
      <c r="F1227" s="3" t="e">
        <f t="shared" si="41"/>
        <v>#N/A</v>
      </c>
    </row>
    <row r="1228" spans="2:6" x14ac:dyDescent="0.25">
      <c r="B1228" s="3"/>
      <c r="C1228" s="3"/>
      <c r="D1228" s="3"/>
      <c r="E1228" s="3" t="e">
        <f t="shared" si="40"/>
        <v>#N/A</v>
      </c>
      <c r="F1228" s="3" t="e">
        <f t="shared" si="41"/>
        <v>#N/A</v>
      </c>
    </row>
    <row r="1229" spans="2:6" x14ac:dyDescent="0.25">
      <c r="B1229" s="3"/>
      <c r="C1229" s="3"/>
      <c r="D1229" s="3"/>
      <c r="E1229" s="3" t="e">
        <f t="shared" si="40"/>
        <v>#N/A</v>
      </c>
      <c r="F1229" s="3" t="e">
        <f t="shared" si="41"/>
        <v>#N/A</v>
      </c>
    </row>
    <row r="1230" spans="2:6" x14ac:dyDescent="0.25">
      <c r="B1230" s="3"/>
      <c r="C1230" s="3"/>
      <c r="D1230" s="3"/>
      <c r="E1230" s="3" t="e">
        <f t="shared" si="40"/>
        <v>#N/A</v>
      </c>
      <c r="F1230" s="3" t="e">
        <f t="shared" si="41"/>
        <v>#N/A</v>
      </c>
    </row>
    <row r="1231" spans="2:6" x14ac:dyDescent="0.25">
      <c r="B1231" s="3"/>
      <c r="C1231" s="3"/>
      <c r="D1231" s="3"/>
      <c r="E1231" s="3" t="e">
        <f t="shared" si="40"/>
        <v>#N/A</v>
      </c>
      <c r="F1231" s="3" t="e">
        <f t="shared" si="41"/>
        <v>#N/A</v>
      </c>
    </row>
    <row r="1232" spans="2:6" x14ac:dyDescent="0.25">
      <c r="B1232" s="3"/>
      <c r="C1232" s="3"/>
      <c r="D1232" s="3"/>
      <c r="E1232" s="3" t="e">
        <f t="shared" si="40"/>
        <v>#N/A</v>
      </c>
      <c r="F1232" s="3" t="e">
        <f t="shared" si="41"/>
        <v>#N/A</v>
      </c>
    </row>
    <row r="1233" spans="2:6" x14ac:dyDescent="0.25">
      <c r="B1233" s="3"/>
      <c r="C1233" s="3"/>
      <c r="D1233" s="3"/>
      <c r="E1233" s="3" t="e">
        <f t="shared" si="40"/>
        <v>#N/A</v>
      </c>
      <c r="F1233" s="3" t="e">
        <f t="shared" si="41"/>
        <v>#N/A</v>
      </c>
    </row>
    <row r="1234" spans="2:6" x14ac:dyDescent="0.25">
      <c r="B1234" s="3"/>
      <c r="C1234" s="3"/>
      <c r="D1234" s="3"/>
      <c r="E1234" s="3" t="e">
        <f t="shared" si="40"/>
        <v>#N/A</v>
      </c>
      <c r="F1234" s="3" t="e">
        <f t="shared" si="41"/>
        <v>#N/A</v>
      </c>
    </row>
    <row r="1235" spans="2:6" x14ac:dyDescent="0.25">
      <c r="B1235" s="3"/>
      <c r="C1235" s="3"/>
      <c r="D1235" s="3"/>
      <c r="E1235" s="3" t="e">
        <f t="shared" si="40"/>
        <v>#N/A</v>
      </c>
      <c r="F1235" s="3" t="e">
        <f t="shared" si="41"/>
        <v>#N/A</v>
      </c>
    </row>
    <row r="1236" spans="2:6" x14ac:dyDescent="0.25">
      <c r="B1236" s="3"/>
      <c r="C1236" s="3"/>
      <c r="D1236" s="3"/>
      <c r="E1236" s="3" t="e">
        <f t="shared" si="40"/>
        <v>#N/A</v>
      </c>
      <c r="F1236" s="3" t="e">
        <f t="shared" si="41"/>
        <v>#N/A</v>
      </c>
    </row>
    <row r="1237" spans="2:6" x14ac:dyDescent="0.25">
      <c r="B1237" s="3"/>
      <c r="C1237" s="3"/>
      <c r="D1237" s="3"/>
      <c r="E1237" s="3" t="e">
        <f t="shared" si="40"/>
        <v>#N/A</v>
      </c>
      <c r="F1237" s="3" t="e">
        <f t="shared" si="41"/>
        <v>#N/A</v>
      </c>
    </row>
    <row r="1238" spans="2:6" x14ac:dyDescent="0.25">
      <c r="B1238" s="3"/>
      <c r="C1238" s="3"/>
      <c r="D1238" s="3"/>
      <c r="E1238" s="3" t="e">
        <f t="shared" si="40"/>
        <v>#N/A</v>
      </c>
      <c r="F1238" s="3" t="e">
        <f t="shared" si="41"/>
        <v>#N/A</v>
      </c>
    </row>
    <row r="1239" spans="2:6" x14ac:dyDescent="0.25">
      <c r="B1239" s="3"/>
      <c r="C1239" s="3"/>
      <c r="D1239" s="3"/>
      <c r="E1239" s="3" t="e">
        <f t="shared" si="40"/>
        <v>#N/A</v>
      </c>
      <c r="F1239" s="3" t="e">
        <f t="shared" si="41"/>
        <v>#N/A</v>
      </c>
    </row>
    <row r="1240" spans="2:6" x14ac:dyDescent="0.25">
      <c r="B1240" s="3"/>
      <c r="C1240" s="3"/>
      <c r="D1240" s="3"/>
      <c r="E1240" s="3" t="e">
        <f t="shared" si="40"/>
        <v>#N/A</v>
      </c>
      <c r="F1240" s="3" t="e">
        <f t="shared" si="41"/>
        <v>#N/A</v>
      </c>
    </row>
    <row r="1241" spans="2:6" x14ac:dyDescent="0.25">
      <c r="B1241" s="3"/>
      <c r="C1241" s="3"/>
      <c r="D1241" s="3"/>
      <c r="E1241" s="3" t="e">
        <f t="shared" si="40"/>
        <v>#N/A</v>
      </c>
      <c r="F1241" s="3" t="e">
        <f t="shared" si="41"/>
        <v>#N/A</v>
      </c>
    </row>
    <row r="1242" spans="2:6" x14ac:dyDescent="0.25">
      <c r="B1242" s="3"/>
      <c r="C1242" s="3"/>
      <c r="D1242" s="3"/>
      <c r="E1242" s="3" t="e">
        <f t="shared" si="40"/>
        <v>#N/A</v>
      </c>
      <c r="F1242" s="3" t="e">
        <f t="shared" si="41"/>
        <v>#N/A</v>
      </c>
    </row>
    <row r="1243" spans="2:6" x14ac:dyDescent="0.25">
      <c r="B1243" s="3"/>
      <c r="C1243" s="3"/>
      <c r="D1243" s="3"/>
      <c r="E1243" s="3" t="e">
        <f t="shared" si="40"/>
        <v>#N/A</v>
      </c>
      <c r="F1243" s="3" t="e">
        <f t="shared" si="41"/>
        <v>#N/A</v>
      </c>
    </row>
    <row r="1244" spans="2:6" x14ac:dyDescent="0.25">
      <c r="B1244" s="3"/>
      <c r="C1244" s="3"/>
      <c r="D1244" s="3"/>
      <c r="E1244" s="3" t="e">
        <f t="shared" si="40"/>
        <v>#N/A</v>
      </c>
      <c r="F1244" s="3" t="e">
        <f t="shared" si="41"/>
        <v>#N/A</v>
      </c>
    </row>
    <row r="1245" spans="2:6" x14ac:dyDescent="0.25">
      <c r="B1245" s="3"/>
      <c r="C1245" s="3"/>
      <c r="D1245" s="3"/>
      <c r="E1245" s="3" t="e">
        <f t="shared" si="40"/>
        <v>#N/A</v>
      </c>
      <c r="F1245" s="3" t="e">
        <f t="shared" si="41"/>
        <v>#N/A</v>
      </c>
    </row>
    <row r="1246" spans="2:6" x14ac:dyDescent="0.25">
      <c r="B1246" s="3"/>
      <c r="C1246" s="3"/>
      <c r="D1246" s="3"/>
      <c r="E1246" s="3" t="e">
        <f t="shared" si="40"/>
        <v>#N/A</v>
      </c>
      <c r="F1246" s="3" t="e">
        <f t="shared" si="41"/>
        <v>#N/A</v>
      </c>
    </row>
    <row r="1247" spans="2:6" x14ac:dyDescent="0.25">
      <c r="B1247" s="3"/>
      <c r="C1247" s="3"/>
      <c r="D1247" s="3"/>
      <c r="E1247" s="3" t="e">
        <f t="shared" si="40"/>
        <v>#N/A</v>
      </c>
      <c r="F1247" s="3" t="e">
        <f t="shared" si="41"/>
        <v>#N/A</v>
      </c>
    </row>
    <row r="1248" spans="2:6" x14ac:dyDescent="0.25">
      <c r="B1248" s="3"/>
      <c r="C1248" s="3"/>
      <c r="D1248" s="3"/>
      <c r="E1248" s="3" t="e">
        <f t="shared" si="40"/>
        <v>#N/A</v>
      </c>
      <c r="F1248" s="3" t="e">
        <f t="shared" si="41"/>
        <v>#N/A</v>
      </c>
    </row>
    <row r="1249" spans="2:6" x14ac:dyDescent="0.25">
      <c r="B1249" s="3"/>
      <c r="C1249" s="3"/>
      <c r="D1249" s="3"/>
      <c r="E1249" s="3" t="e">
        <f t="shared" si="40"/>
        <v>#N/A</v>
      </c>
      <c r="F1249" s="3" t="e">
        <f t="shared" si="41"/>
        <v>#N/A</v>
      </c>
    </row>
    <row r="1250" spans="2:6" x14ac:dyDescent="0.25">
      <c r="B1250" s="3"/>
      <c r="C1250" s="3"/>
      <c r="D1250" s="3"/>
      <c r="E1250" s="3" t="e">
        <f t="shared" si="40"/>
        <v>#N/A</v>
      </c>
      <c r="F1250" s="3" t="e">
        <f t="shared" si="41"/>
        <v>#N/A</v>
      </c>
    </row>
    <row r="1251" spans="2:6" x14ac:dyDescent="0.25">
      <c r="B1251" s="3"/>
      <c r="C1251" s="3"/>
      <c r="D1251" s="3"/>
      <c r="E1251" s="3" t="e">
        <f t="shared" si="40"/>
        <v>#N/A</v>
      </c>
      <c r="F1251" s="3" t="e">
        <f t="shared" si="41"/>
        <v>#N/A</v>
      </c>
    </row>
    <row r="1252" spans="2:6" x14ac:dyDescent="0.25">
      <c r="B1252" s="3"/>
      <c r="C1252" s="3"/>
      <c r="D1252" s="3"/>
      <c r="E1252" s="3" t="e">
        <f t="shared" si="40"/>
        <v>#N/A</v>
      </c>
      <c r="F1252" s="3" t="e">
        <f t="shared" si="41"/>
        <v>#N/A</v>
      </c>
    </row>
    <row r="1253" spans="2:6" x14ac:dyDescent="0.25">
      <c r="B1253" s="3"/>
      <c r="C1253" s="3"/>
      <c r="D1253" s="3"/>
      <c r="E1253" s="3" t="e">
        <f t="shared" si="40"/>
        <v>#N/A</v>
      </c>
      <c r="F1253" s="3" t="e">
        <f t="shared" si="41"/>
        <v>#N/A</v>
      </c>
    </row>
    <row r="1254" spans="2:6" x14ac:dyDescent="0.25">
      <c r="B1254" s="3"/>
      <c r="C1254" s="3"/>
      <c r="D1254" s="3"/>
      <c r="E1254" s="3" t="e">
        <f t="shared" si="40"/>
        <v>#N/A</v>
      </c>
      <c r="F1254" s="3" t="e">
        <f t="shared" si="41"/>
        <v>#N/A</v>
      </c>
    </row>
    <row r="1255" spans="2:6" x14ac:dyDescent="0.25">
      <c r="B1255" s="3"/>
      <c r="C1255" s="3"/>
      <c r="D1255" s="3"/>
      <c r="E1255" s="3" t="e">
        <f t="shared" si="40"/>
        <v>#N/A</v>
      </c>
      <c r="F1255" s="3" t="e">
        <f t="shared" si="41"/>
        <v>#N/A</v>
      </c>
    </row>
    <row r="1256" spans="2:6" x14ac:dyDescent="0.25">
      <c r="B1256" s="3"/>
      <c r="C1256" s="3"/>
      <c r="D1256" s="3"/>
      <c r="E1256" s="3" t="e">
        <f t="shared" si="40"/>
        <v>#N/A</v>
      </c>
      <c r="F1256" s="3" t="e">
        <f t="shared" si="41"/>
        <v>#N/A</v>
      </c>
    </row>
    <row r="1257" spans="2:6" x14ac:dyDescent="0.25">
      <c r="B1257" s="3"/>
      <c r="C1257" s="3"/>
      <c r="D1257" s="3"/>
      <c r="E1257" s="3" t="e">
        <f t="shared" si="40"/>
        <v>#N/A</v>
      </c>
      <c r="F1257" s="3" t="e">
        <f t="shared" si="41"/>
        <v>#N/A</v>
      </c>
    </row>
    <row r="1258" spans="2:6" x14ac:dyDescent="0.25">
      <c r="B1258" s="3"/>
      <c r="C1258" s="3"/>
      <c r="D1258" s="3"/>
      <c r="E1258" s="3" t="e">
        <f t="shared" si="40"/>
        <v>#N/A</v>
      </c>
      <c r="F1258" s="3" t="e">
        <f t="shared" si="41"/>
        <v>#N/A</v>
      </c>
    </row>
    <row r="1259" spans="2:6" x14ac:dyDescent="0.25">
      <c r="B1259" s="3"/>
      <c r="C1259" s="3"/>
      <c r="D1259" s="3"/>
      <c r="E1259" s="3" t="e">
        <f t="shared" si="40"/>
        <v>#N/A</v>
      </c>
      <c r="F1259" s="3" t="e">
        <f t="shared" si="41"/>
        <v>#N/A</v>
      </c>
    </row>
    <row r="1260" spans="2:6" x14ac:dyDescent="0.25">
      <c r="B1260" s="3"/>
      <c r="C1260" s="3"/>
      <c r="D1260" s="3"/>
      <c r="E1260" s="3" t="e">
        <f t="shared" si="40"/>
        <v>#N/A</v>
      </c>
      <c r="F1260" s="3" t="e">
        <f t="shared" si="41"/>
        <v>#N/A</v>
      </c>
    </row>
    <row r="1261" spans="2:6" x14ac:dyDescent="0.25">
      <c r="B1261" s="3"/>
      <c r="C1261" s="3"/>
      <c r="D1261" s="3"/>
      <c r="E1261" s="3" t="e">
        <f t="shared" si="40"/>
        <v>#N/A</v>
      </c>
      <c r="F1261" s="3" t="e">
        <f t="shared" si="41"/>
        <v>#N/A</v>
      </c>
    </row>
    <row r="1262" spans="2:6" x14ac:dyDescent="0.25">
      <c r="B1262" s="3"/>
      <c r="C1262" s="3"/>
      <c r="D1262" s="3"/>
      <c r="E1262" s="3" t="e">
        <f t="shared" si="40"/>
        <v>#N/A</v>
      </c>
      <c r="F1262" s="3" t="e">
        <f t="shared" si="41"/>
        <v>#N/A</v>
      </c>
    </row>
    <row r="1263" spans="2:6" x14ac:dyDescent="0.25">
      <c r="B1263" s="3"/>
      <c r="C1263" s="3"/>
      <c r="D1263" s="3"/>
      <c r="E1263" s="3" t="e">
        <f t="shared" si="40"/>
        <v>#N/A</v>
      </c>
      <c r="F1263" s="3" t="e">
        <f t="shared" si="41"/>
        <v>#N/A</v>
      </c>
    </row>
    <row r="1264" spans="2:6" x14ac:dyDescent="0.25">
      <c r="B1264" s="3"/>
      <c r="C1264" s="3"/>
      <c r="D1264" s="3"/>
      <c r="E1264" s="3" t="e">
        <f t="shared" si="40"/>
        <v>#N/A</v>
      </c>
      <c r="F1264" s="3" t="e">
        <f t="shared" si="41"/>
        <v>#N/A</v>
      </c>
    </row>
    <row r="1265" spans="2:6" x14ac:dyDescent="0.25">
      <c r="B1265" s="3"/>
      <c r="C1265" s="3"/>
      <c r="D1265" s="3"/>
      <c r="E1265" s="3" t="e">
        <f t="shared" si="40"/>
        <v>#N/A</v>
      </c>
      <c r="F1265" s="3" t="e">
        <f t="shared" si="41"/>
        <v>#N/A</v>
      </c>
    </row>
    <row r="1266" spans="2:6" x14ac:dyDescent="0.25">
      <c r="B1266" s="3"/>
      <c r="C1266" s="3"/>
      <c r="D1266" s="3"/>
      <c r="E1266" s="3" t="e">
        <f t="shared" si="40"/>
        <v>#N/A</v>
      </c>
      <c r="F1266" s="3" t="e">
        <f t="shared" si="41"/>
        <v>#N/A</v>
      </c>
    </row>
    <row r="1267" spans="2:6" x14ac:dyDescent="0.25">
      <c r="B1267" s="3"/>
      <c r="C1267" s="3"/>
      <c r="D1267" s="3"/>
      <c r="E1267" s="3" t="e">
        <f t="shared" si="40"/>
        <v>#N/A</v>
      </c>
      <c r="F1267" s="3" t="e">
        <f t="shared" si="41"/>
        <v>#N/A</v>
      </c>
    </row>
    <row r="1268" spans="2:6" x14ac:dyDescent="0.25">
      <c r="B1268" s="3"/>
      <c r="C1268" s="3"/>
      <c r="D1268" s="3"/>
      <c r="E1268" s="3" t="e">
        <f t="shared" si="40"/>
        <v>#N/A</v>
      </c>
      <c r="F1268" s="3" t="e">
        <f t="shared" si="41"/>
        <v>#N/A</v>
      </c>
    </row>
    <row r="1269" spans="2:6" x14ac:dyDescent="0.25">
      <c r="B1269" s="3"/>
      <c r="C1269" s="3"/>
      <c r="D1269" s="3"/>
      <c r="E1269" s="3" t="e">
        <f t="shared" si="40"/>
        <v>#N/A</v>
      </c>
      <c r="F1269" s="3" t="e">
        <f t="shared" si="41"/>
        <v>#N/A</v>
      </c>
    </row>
    <row r="1270" spans="2:6" x14ac:dyDescent="0.25">
      <c r="B1270" s="3"/>
      <c r="C1270" s="3"/>
      <c r="D1270" s="3"/>
      <c r="E1270" s="3" t="e">
        <f t="shared" si="40"/>
        <v>#N/A</v>
      </c>
      <c r="F1270" s="3" t="e">
        <f t="shared" si="41"/>
        <v>#N/A</v>
      </c>
    </row>
    <row r="1271" spans="2:6" x14ac:dyDescent="0.25">
      <c r="B1271" s="3"/>
      <c r="C1271" s="3"/>
      <c r="D1271" s="3"/>
      <c r="E1271" s="3" t="e">
        <f t="shared" si="40"/>
        <v>#N/A</v>
      </c>
      <c r="F1271" s="3" t="e">
        <f t="shared" si="41"/>
        <v>#N/A</v>
      </c>
    </row>
    <row r="1272" spans="2:6" x14ac:dyDescent="0.25">
      <c r="B1272" s="3"/>
      <c r="C1272" s="3"/>
      <c r="D1272" s="3"/>
      <c r="E1272" s="3" t="e">
        <f t="shared" si="40"/>
        <v>#N/A</v>
      </c>
      <c r="F1272" s="3" t="e">
        <f t="shared" si="41"/>
        <v>#N/A</v>
      </c>
    </row>
    <row r="1273" spans="2:6" x14ac:dyDescent="0.25">
      <c r="B1273" s="3"/>
      <c r="C1273" s="3"/>
      <c r="D1273" s="3"/>
      <c r="E1273" s="3" t="e">
        <f t="shared" si="40"/>
        <v>#N/A</v>
      </c>
      <c r="F1273" s="3" t="e">
        <f t="shared" si="41"/>
        <v>#N/A</v>
      </c>
    </row>
    <row r="1274" spans="2:6" x14ac:dyDescent="0.25">
      <c r="B1274" s="3"/>
      <c r="C1274" s="3"/>
      <c r="D1274" s="3"/>
      <c r="E1274" s="3" t="e">
        <f t="shared" si="40"/>
        <v>#N/A</v>
      </c>
      <c r="F1274" s="3" t="e">
        <f t="shared" si="41"/>
        <v>#N/A</v>
      </c>
    </row>
    <row r="1275" spans="2:6" x14ac:dyDescent="0.25">
      <c r="B1275" s="3"/>
      <c r="C1275" s="3"/>
      <c r="D1275" s="3"/>
      <c r="E1275" s="3" t="e">
        <f t="shared" si="40"/>
        <v>#N/A</v>
      </c>
      <c r="F1275" s="3" t="e">
        <f t="shared" si="41"/>
        <v>#N/A</v>
      </c>
    </row>
    <row r="1276" spans="2:6" x14ac:dyDescent="0.25">
      <c r="B1276" s="3"/>
      <c r="C1276" s="3"/>
      <c r="D1276" s="3"/>
      <c r="E1276" s="3" t="e">
        <f t="shared" si="40"/>
        <v>#N/A</v>
      </c>
      <c r="F1276" s="3" t="e">
        <f t="shared" si="41"/>
        <v>#N/A</v>
      </c>
    </row>
    <row r="1277" spans="2:6" x14ac:dyDescent="0.25">
      <c r="B1277" s="3"/>
      <c r="C1277" s="3"/>
      <c r="D1277" s="3"/>
      <c r="E1277" s="3" t="e">
        <f t="shared" si="40"/>
        <v>#N/A</v>
      </c>
      <c r="F1277" s="3" t="e">
        <f t="shared" si="41"/>
        <v>#N/A</v>
      </c>
    </row>
    <row r="1278" spans="2:6" x14ac:dyDescent="0.25">
      <c r="B1278" s="3"/>
      <c r="C1278" s="3"/>
      <c r="D1278" s="3"/>
      <c r="E1278" s="3" t="e">
        <f t="shared" si="40"/>
        <v>#N/A</v>
      </c>
      <c r="F1278" s="3" t="e">
        <f t="shared" si="41"/>
        <v>#N/A</v>
      </c>
    </row>
    <row r="1279" spans="2:6" x14ac:dyDescent="0.25">
      <c r="B1279" s="3"/>
      <c r="C1279" s="3"/>
      <c r="D1279" s="3"/>
      <c r="E1279" s="3" t="e">
        <f t="shared" si="40"/>
        <v>#N/A</v>
      </c>
      <c r="F1279" s="3" t="e">
        <f t="shared" si="41"/>
        <v>#N/A</v>
      </c>
    </row>
    <row r="1280" spans="2:6" x14ac:dyDescent="0.25">
      <c r="B1280" s="3"/>
      <c r="C1280" s="3"/>
      <c r="D1280" s="3"/>
      <c r="E1280" s="3" t="e">
        <f t="shared" si="40"/>
        <v>#N/A</v>
      </c>
      <c r="F1280" s="3" t="e">
        <f t="shared" si="41"/>
        <v>#N/A</v>
      </c>
    </row>
    <row r="1281" spans="2:6" x14ac:dyDescent="0.25">
      <c r="B1281" s="3"/>
      <c r="C1281" s="3"/>
      <c r="D1281" s="3"/>
      <c r="E1281" s="3" t="e">
        <f t="shared" si="40"/>
        <v>#N/A</v>
      </c>
      <c r="F1281" s="3" t="e">
        <f t="shared" si="41"/>
        <v>#N/A</v>
      </c>
    </row>
    <row r="1282" spans="2:6" x14ac:dyDescent="0.25">
      <c r="B1282" s="3"/>
      <c r="C1282" s="3"/>
      <c r="D1282" s="3"/>
      <c r="E1282" s="3" t="e">
        <f t="shared" si="40"/>
        <v>#N/A</v>
      </c>
      <c r="F1282" s="3" t="e">
        <f t="shared" si="41"/>
        <v>#N/A</v>
      </c>
    </row>
    <row r="1283" spans="2:6" x14ac:dyDescent="0.25">
      <c r="B1283" s="3"/>
      <c r="C1283" s="3"/>
      <c r="D1283" s="3"/>
      <c r="E1283" s="3" t="e">
        <f t="shared" si="40"/>
        <v>#N/A</v>
      </c>
      <c r="F1283" s="3" t="e">
        <f t="shared" si="41"/>
        <v>#N/A</v>
      </c>
    </row>
    <row r="1284" spans="2:6" x14ac:dyDescent="0.25">
      <c r="B1284" s="3"/>
      <c r="C1284" s="3"/>
      <c r="D1284" s="3"/>
      <c r="E1284" s="3" t="e">
        <f t="shared" ref="E1284:E1347" si="42">VLOOKUP(C1284,I:J,2,0)</f>
        <v>#N/A</v>
      </c>
      <c r="F1284" s="3" t="e">
        <f t="shared" ref="F1284:F1347" si="43">E1284&amp;" "&amp;B1284</f>
        <v>#N/A</v>
      </c>
    </row>
    <row r="1285" spans="2:6" x14ac:dyDescent="0.25">
      <c r="B1285" s="3"/>
      <c r="C1285" s="3"/>
      <c r="D1285" s="3"/>
      <c r="E1285" s="3" t="e">
        <f t="shared" si="42"/>
        <v>#N/A</v>
      </c>
      <c r="F1285" s="3" t="e">
        <f t="shared" si="43"/>
        <v>#N/A</v>
      </c>
    </row>
    <row r="1286" spans="2:6" x14ac:dyDescent="0.25">
      <c r="B1286" s="3"/>
      <c r="C1286" s="3"/>
      <c r="D1286" s="3"/>
      <c r="E1286" s="3" t="e">
        <f t="shared" si="42"/>
        <v>#N/A</v>
      </c>
      <c r="F1286" s="3" t="e">
        <f t="shared" si="43"/>
        <v>#N/A</v>
      </c>
    </row>
    <row r="1287" spans="2:6" x14ac:dyDescent="0.25">
      <c r="B1287" s="3"/>
      <c r="C1287" s="3"/>
      <c r="D1287" s="3"/>
      <c r="E1287" s="3" t="e">
        <f t="shared" si="42"/>
        <v>#N/A</v>
      </c>
      <c r="F1287" s="3" t="e">
        <f t="shared" si="43"/>
        <v>#N/A</v>
      </c>
    </row>
    <row r="1288" spans="2:6" x14ac:dyDescent="0.25">
      <c r="B1288" s="3"/>
      <c r="C1288" s="3"/>
      <c r="D1288" s="3"/>
      <c r="E1288" s="3" t="e">
        <f t="shared" si="42"/>
        <v>#N/A</v>
      </c>
      <c r="F1288" s="3" t="e">
        <f t="shared" si="43"/>
        <v>#N/A</v>
      </c>
    </row>
    <row r="1289" spans="2:6" x14ac:dyDescent="0.25">
      <c r="B1289" s="3"/>
      <c r="C1289" s="3"/>
      <c r="D1289" s="3"/>
      <c r="E1289" s="3" t="e">
        <f t="shared" si="42"/>
        <v>#N/A</v>
      </c>
      <c r="F1289" s="3" t="e">
        <f t="shared" si="43"/>
        <v>#N/A</v>
      </c>
    </row>
    <row r="1290" spans="2:6" x14ac:dyDescent="0.25">
      <c r="B1290" s="3"/>
      <c r="C1290" s="3"/>
      <c r="D1290" s="3"/>
      <c r="E1290" s="3" t="e">
        <f t="shared" si="42"/>
        <v>#N/A</v>
      </c>
      <c r="F1290" s="3" t="e">
        <f t="shared" si="43"/>
        <v>#N/A</v>
      </c>
    </row>
    <row r="1291" spans="2:6" x14ac:dyDescent="0.25">
      <c r="B1291" s="3"/>
      <c r="C1291" s="3"/>
      <c r="D1291" s="3"/>
      <c r="E1291" s="3" t="e">
        <f t="shared" si="42"/>
        <v>#N/A</v>
      </c>
      <c r="F1291" s="3" t="e">
        <f t="shared" si="43"/>
        <v>#N/A</v>
      </c>
    </row>
    <row r="1292" spans="2:6" x14ac:dyDescent="0.25">
      <c r="B1292" s="3"/>
      <c r="C1292" s="3"/>
      <c r="D1292" s="3"/>
      <c r="E1292" s="3" t="e">
        <f t="shared" si="42"/>
        <v>#N/A</v>
      </c>
      <c r="F1292" s="3" t="e">
        <f t="shared" si="43"/>
        <v>#N/A</v>
      </c>
    </row>
    <row r="1293" spans="2:6" x14ac:dyDescent="0.25">
      <c r="B1293" s="3"/>
      <c r="C1293" s="3"/>
      <c r="D1293" s="3"/>
      <c r="E1293" s="3" t="e">
        <f t="shared" si="42"/>
        <v>#N/A</v>
      </c>
      <c r="F1293" s="3" t="e">
        <f t="shared" si="43"/>
        <v>#N/A</v>
      </c>
    </row>
    <row r="1294" spans="2:6" x14ac:dyDescent="0.25">
      <c r="B1294" s="3"/>
      <c r="C1294" s="3"/>
      <c r="D1294" s="3"/>
      <c r="E1294" s="3" t="e">
        <f t="shared" si="42"/>
        <v>#N/A</v>
      </c>
      <c r="F1294" s="3" t="e">
        <f t="shared" si="43"/>
        <v>#N/A</v>
      </c>
    </row>
    <row r="1295" spans="2:6" x14ac:dyDescent="0.25">
      <c r="B1295" s="3"/>
      <c r="C1295" s="3"/>
      <c r="D1295" s="3"/>
      <c r="E1295" s="3" t="e">
        <f t="shared" si="42"/>
        <v>#N/A</v>
      </c>
      <c r="F1295" s="3" t="e">
        <f t="shared" si="43"/>
        <v>#N/A</v>
      </c>
    </row>
    <row r="1296" spans="2:6" x14ac:dyDescent="0.25">
      <c r="B1296" s="3"/>
      <c r="C1296" s="3"/>
      <c r="D1296" s="3"/>
      <c r="E1296" s="3" t="e">
        <f t="shared" si="42"/>
        <v>#N/A</v>
      </c>
      <c r="F1296" s="3" t="e">
        <f t="shared" si="43"/>
        <v>#N/A</v>
      </c>
    </row>
    <row r="1297" spans="2:6" x14ac:dyDescent="0.25">
      <c r="B1297" s="3"/>
      <c r="C1297" s="3"/>
      <c r="D1297" s="3"/>
      <c r="E1297" s="3" t="e">
        <f t="shared" si="42"/>
        <v>#N/A</v>
      </c>
      <c r="F1297" s="3" t="e">
        <f t="shared" si="43"/>
        <v>#N/A</v>
      </c>
    </row>
    <row r="1298" spans="2:6" x14ac:dyDescent="0.25">
      <c r="B1298" s="3"/>
      <c r="C1298" s="3"/>
      <c r="D1298" s="3"/>
      <c r="E1298" s="3" t="e">
        <f t="shared" si="42"/>
        <v>#N/A</v>
      </c>
      <c r="F1298" s="3" t="e">
        <f t="shared" si="43"/>
        <v>#N/A</v>
      </c>
    </row>
    <row r="1299" spans="2:6" x14ac:dyDescent="0.25">
      <c r="B1299" s="3"/>
      <c r="C1299" s="3"/>
      <c r="D1299" s="3"/>
      <c r="E1299" s="3" t="e">
        <f t="shared" si="42"/>
        <v>#N/A</v>
      </c>
      <c r="F1299" s="3" t="e">
        <f t="shared" si="43"/>
        <v>#N/A</v>
      </c>
    </row>
    <row r="1300" spans="2:6" x14ac:dyDescent="0.25">
      <c r="B1300" s="3"/>
      <c r="C1300" s="3"/>
      <c r="D1300" s="3"/>
      <c r="E1300" s="3" t="e">
        <f t="shared" si="42"/>
        <v>#N/A</v>
      </c>
      <c r="F1300" s="3" t="e">
        <f t="shared" si="43"/>
        <v>#N/A</v>
      </c>
    </row>
    <row r="1301" spans="2:6" x14ac:dyDescent="0.25">
      <c r="B1301" s="3"/>
      <c r="C1301" s="3"/>
      <c r="D1301" s="3"/>
      <c r="E1301" s="3" t="e">
        <f t="shared" si="42"/>
        <v>#N/A</v>
      </c>
      <c r="F1301" s="3" t="e">
        <f t="shared" si="43"/>
        <v>#N/A</v>
      </c>
    </row>
    <row r="1302" spans="2:6" x14ac:dyDescent="0.25">
      <c r="B1302" s="3"/>
      <c r="C1302" s="3"/>
      <c r="D1302" s="3"/>
      <c r="E1302" s="3" t="e">
        <f t="shared" si="42"/>
        <v>#N/A</v>
      </c>
      <c r="F1302" s="3" t="e">
        <f t="shared" si="43"/>
        <v>#N/A</v>
      </c>
    </row>
    <row r="1303" spans="2:6" x14ac:dyDescent="0.25">
      <c r="B1303" s="3"/>
      <c r="C1303" s="3"/>
      <c r="D1303" s="3"/>
      <c r="E1303" s="3" t="e">
        <f t="shared" si="42"/>
        <v>#N/A</v>
      </c>
      <c r="F1303" s="3" t="e">
        <f t="shared" si="43"/>
        <v>#N/A</v>
      </c>
    </row>
    <row r="1304" spans="2:6" x14ac:dyDescent="0.25">
      <c r="B1304" s="3"/>
      <c r="C1304" s="3"/>
      <c r="D1304" s="3"/>
      <c r="E1304" s="3" t="e">
        <f t="shared" si="42"/>
        <v>#N/A</v>
      </c>
      <c r="F1304" s="3" t="e">
        <f t="shared" si="43"/>
        <v>#N/A</v>
      </c>
    </row>
    <row r="1305" spans="2:6" x14ac:dyDescent="0.25">
      <c r="B1305" s="3"/>
      <c r="C1305" s="3"/>
      <c r="D1305" s="3"/>
      <c r="E1305" s="3" t="e">
        <f t="shared" si="42"/>
        <v>#N/A</v>
      </c>
      <c r="F1305" s="3" t="e">
        <f t="shared" si="43"/>
        <v>#N/A</v>
      </c>
    </row>
    <row r="1306" spans="2:6" x14ac:dyDescent="0.25">
      <c r="B1306" s="3"/>
      <c r="C1306" s="3"/>
      <c r="D1306" s="3"/>
      <c r="E1306" s="3" t="e">
        <f t="shared" si="42"/>
        <v>#N/A</v>
      </c>
      <c r="F1306" s="3" t="e">
        <f t="shared" si="43"/>
        <v>#N/A</v>
      </c>
    </row>
    <row r="1307" spans="2:6" x14ac:dyDescent="0.25">
      <c r="B1307" s="3"/>
      <c r="C1307" s="3"/>
      <c r="D1307" s="3"/>
      <c r="E1307" s="3" t="e">
        <f t="shared" si="42"/>
        <v>#N/A</v>
      </c>
      <c r="F1307" s="3" t="e">
        <f t="shared" si="43"/>
        <v>#N/A</v>
      </c>
    </row>
    <row r="1308" spans="2:6" x14ac:dyDescent="0.25">
      <c r="B1308" s="3"/>
      <c r="C1308" s="3"/>
      <c r="D1308" s="3"/>
      <c r="E1308" s="3" t="e">
        <f t="shared" si="42"/>
        <v>#N/A</v>
      </c>
      <c r="F1308" s="3" t="e">
        <f t="shared" si="43"/>
        <v>#N/A</v>
      </c>
    </row>
    <row r="1309" spans="2:6" x14ac:dyDescent="0.25">
      <c r="B1309" s="3"/>
      <c r="C1309" s="3"/>
      <c r="D1309" s="3"/>
      <c r="E1309" s="3" t="e">
        <f t="shared" si="42"/>
        <v>#N/A</v>
      </c>
      <c r="F1309" s="3" t="e">
        <f t="shared" si="43"/>
        <v>#N/A</v>
      </c>
    </row>
    <row r="1310" spans="2:6" x14ac:dyDescent="0.25">
      <c r="B1310" s="3"/>
      <c r="C1310" s="3"/>
      <c r="D1310" s="3"/>
      <c r="E1310" s="3" t="e">
        <f t="shared" si="42"/>
        <v>#N/A</v>
      </c>
      <c r="F1310" s="3" t="e">
        <f t="shared" si="43"/>
        <v>#N/A</v>
      </c>
    </row>
    <row r="1311" spans="2:6" x14ac:dyDescent="0.25">
      <c r="B1311" s="3"/>
      <c r="C1311" s="3"/>
      <c r="D1311" s="3"/>
      <c r="E1311" s="3" t="e">
        <f t="shared" si="42"/>
        <v>#N/A</v>
      </c>
      <c r="F1311" s="3" t="e">
        <f t="shared" si="43"/>
        <v>#N/A</v>
      </c>
    </row>
    <row r="1312" spans="2:6" x14ac:dyDescent="0.25">
      <c r="B1312" s="3"/>
      <c r="C1312" s="3"/>
      <c r="D1312" s="3"/>
      <c r="E1312" s="3" t="e">
        <f t="shared" si="42"/>
        <v>#N/A</v>
      </c>
      <c r="F1312" s="3" t="e">
        <f t="shared" si="43"/>
        <v>#N/A</v>
      </c>
    </row>
    <row r="1313" spans="2:6" x14ac:dyDescent="0.25">
      <c r="B1313" s="3"/>
      <c r="C1313" s="3"/>
      <c r="D1313" s="3"/>
      <c r="E1313" s="3" t="e">
        <f t="shared" si="42"/>
        <v>#N/A</v>
      </c>
      <c r="F1313" s="3" t="e">
        <f t="shared" si="43"/>
        <v>#N/A</v>
      </c>
    </row>
    <row r="1314" spans="2:6" x14ac:dyDescent="0.25">
      <c r="B1314" s="3"/>
      <c r="C1314" s="3"/>
      <c r="D1314" s="3"/>
      <c r="E1314" s="3" t="e">
        <f t="shared" si="42"/>
        <v>#N/A</v>
      </c>
      <c r="F1314" s="3" t="e">
        <f t="shared" si="43"/>
        <v>#N/A</v>
      </c>
    </row>
    <row r="1315" spans="2:6" x14ac:dyDescent="0.25">
      <c r="B1315" s="3"/>
      <c r="C1315" s="3"/>
      <c r="D1315" s="3"/>
      <c r="E1315" s="3" t="e">
        <f t="shared" si="42"/>
        <v>#N/A</v>
      </c>
      <c r="F1315" s="3" t="e">
        <f t="shared" si="43"/>
        <v>#N/A</v>
      </c>
    </row>
    <row r="1316" spans="2:6" x14ac:dyDescent="0.25">
      <c r="B1316" s="3"/>
      <c r="C1316" s="3"/>
      <c r="D1316" s="3"/>
      <c r="E1316" s="3" t="e">
        <f t="shared" si="42"/>
        <v>#N/A</v>
      </c>
      <c r="F1316" s="3" t="e">
        <f t="shared" si="43"/>
        <v>#N/A</v>
      </c>
    </row>
    <row r="1317" spans="2:6" x14ac:dyDescent="0.25">
      <c r="B1317" s="3"/>
      <c r="C1317" s="3"/>
      <c r="D1317" s="3"/>
      <c r="E1317" s="3" t="e">
        <f t="shared" si="42"/>
        <v>#N/A</v>
      </c>
      <c r="F1317" s="3" t="e">
        <f t="shared" si="43"/>
        <v>#N/A</v>
      </c>
    </row>
    <row r="1318" spans="2:6" x14ac:dyDescent="0.25">
      <c r="B1318" s="3"/>
      <c r="C1318" s="3"/>
      <c r="D1318" s="3"/>
      <c r="E1318" s="3" t="e">
        <f t="shared" si="42"/>
        <v>#N/A</v>
      </c>
      <c r="F1318" s="3" t="e">
        <f t="shared" si="43"/>
        <v>#N/A</v>
      </c>
    </row>
    <row r="1319" spans="2:6" x14ac:dyDescent="0.25">
      <c r="B1319" s="3"/>
      <c r="C1319" s="3"/>
      <c r="D1319" s="3"/>
      <c r="E1319" s="3" t="e">
        <f t="shared" si="42"/>
        <v>#N/A</v>
      </c>
      <c r="F1319" s="3" t="e">
        <f t="shared" si="43"/>
        <v>#N/A</v>
      </c>
    </row>
    <row r="1320" spans="2:6" x14ac:dyDescent="0.25">
      <c r="B1320" s="3"/>
      <c r="C1320" s="3"/>
      <c r="D1320" s="3"/>
      <c r="E1320" s="3" t="e">
        <f t="shared" si="42"/>
        <v>#N/A</v>
      </c>
      <c r="F1320" s="3" t="e">
        <f t="shared" si="43"/>
        <v>#N/A</v>
      </c>
    </row>
    <row r="1321" spans="2:6" x14ac:dyDescent="0.25">
      <c r="B1321" s="3"/>
      <c r="C1321" s="3"/>
      <c r="D1321" s="3"/>
      <c r="E1321" s="3" t="e">
        <f t="shared" si="42"/>
        <v>#N/A</v>
      </c>
      <c r="F1321" s="3" t="e">
        <f t="shared" si="43"/>
        <v>#N/A</v>
      </c>
    </row>
    <row r="1322" spans="2:6" x14ac:dyDescent="0.25">
      <c r="B1322" s="3"/>
      <c r="C1322" s="3"/>
      <c r="D1322" s="3"/>
      <c r="E1322" s="3" t="e">
        <f t="shared" si="42"/>
        <v>#N/A</v>
      </c>
      <c r="F1322" s="3" t="e">
        <f t="shared" si="43"/>
        <v>#N/A</v>
      </c>
    </row>
    <row r="1323" spans="2:6" x14ac:dyDescent="0.25">
      <c r="B1323" s="3"/>
      <c r="C1323" s="3"/>
      <c r="D1323" s="3"/>
      <c r="E1323" s="3" t="e">
        <f t="shared" si="42"/>
        <v>#N/A</v>
      </c>
      <c r="F1323" s="3" t="e">
        <f t="shared" si="43"/>
        <v>#N/A</v>
      </c>
    </row>
    <row r="1324" spans="2:6" x14ac:dyDescent="0.25">
      <c r="B1324" s="3"/>
      <c r="C1324" s="3"/>
      <c r="D1324" s="3"/>
      <c r="E1324" s="3" t="e">
        <f t="shared" si="42"/>
        <v>#N/A</v>
      </c>
      <c r="F1324" s="3" t="e">
        <f t="shared" si="43"/>
        <v>#N/A</v>
      </c>
    </row>
    <row r="1325" spans="2:6" x14ac:dyDescent="0.25">
      <c r="B1325" s="3"/>
      <c r="C1325" s="3"/>
      <c r="D1325" s="3"/>
      <c r="E1325" s="3" t="e">
        <f t="shared" si="42"/>
        <v>#N/A</v>
      </c>
      <c r="F1325" s="3" t="e">
        <f t="shared" si="43"/>
        <v>#N/A</v>
      </c>
    </row>
    <row r="1326" spans="2:6" x14ac:dyDescent="0.25">
      <c r="B1326" s="3"/>
      <c r="C1326" s="3"/>
      <c r="D1326" s="3"/>
      <c r="E1326" s="3" t="e">
        <f t="shared" si="42"/>
        <v>#N/A</v>
      </c>
      <c r="F1326" s="3" t="e">
        <f t="shared" si="43"/>
        <v>#N/A</v>
      </c>
    </row>
    <row r="1327" spans="2:6" x14ac:dyDescent="0.25">
      <c r="B1327" s="3"/>
      <c r="C1327" s="3"/>
      <c r="D1327" s="3"/>
      <c r="E1327" s="3" t="e">
        <f t="shared" si="42"/>
        <v>#N/A</v>
      </c>
      <c r="F1327" s="3" t="e">
        <f t="shared" si="43"/>
        <v>#N/A</v>
      </c>
    </row>
    <row r="1328" spans="2:6" x14ac:dyDescent="0.25">
      <c r="B1328" s="3"/>
      <c r="C1328" s="3"/>
      <c r="D1328" s="3"/>
      <c r="E1328" s="3" t="e">
        <f t="shared" si="42"/>
        <v>#N/A</v>
      </c>
      <c r="F1328" s="3" t="e">
        <f t="shared" si="43"/>
        <v>#N/A</v>
      </c>
    </row>
    <row r="1329" spans="2:6" x14ac:dyDescent="0.25">
      <c r="B1329" s="3"/>
      <c r="C1329" s="3"/>
      <c r="D1329" s="3"/>
      <c r="E1329" s="3" t="e">
        <f t="shared" si="42"/>
        <v>#N/A</v>
      </c>
      <c r="F1329" s="3" t="e">
        <f t="shared" si="43"/>
        <v>#N/A</v>
      </c>
    </row>
    <row r="1330" spans="2:6" x14ac:dyDescent="0.25">
      <c r="B1330" s="3"/>
      <c r="C1330" s="3"/>
      <c r="D1330" s="3"/>
      <c r="E1330" s="3" t="e">
        <f t="shared" si="42"/>
        <v>#N/A</v>
      </c>
      <c r="F1330" s="3" t="e">
        <f t="shared" si="43"/>
        <v>#N/A</v>
      </c>
    </row>
    <row r="1331" spans="2:6" x14ac:dyDescent="0.25">
      <c r="B1331" s="3"/>
      <c r="C1331" s="3"/>
      <c r="D1331" s="3"/>
      <c r="E1331" s="3" t="e">
        <f t="shared" si="42"/>
        <v>#N/A</v>
      </c>
      <c r="F1331" s="3" t="e">
        <f t="shared" si="43"/>
        <v>#N/A</v>
      </c>
    </row>
    <row r="1332" spans="2:6" x14ac:dyDescent="0.25">
      <c r="B1332" s="3"/>
      <c r="C1332" s="3"/>
      <c r="D1332" s="3"/>
      <c r="E1332" s="3" t="e">
        <f t="shared" si="42"/>
        <v>#N/A</v>
      </c>
      <c r="F1332" s="3" t="e">
        <f t="shared" si="43"/>
        <v>#N/A</v>
      </c>
    </row>
    <row r="1333" spans="2:6" x14ac:dyDescent="0.25">
      <c r="B1333" s="3"/>
      <c r="C1333" s="3"/>
      <c r="D1333" s="3"/>
      <c r="E1333" s="3" t="e">
        <f t="shared" si="42"/>
        <v>#N/A</v>
      </c>
      <c r="F1333" s="3" t="e">
        <f t="shared" si="43"/>
        <v>#N/A</v>
      </c>
    </row>
    <row r="1334" spans="2:6" x14ac:dyDescent="0.25">
      <c r="B1334" s="3"/>
      <c r="C1334" s="3"/>
      <c r="D1334" s="3"/>
      <c r="E1334" s="3" t="e">
        <f t="shared" si="42"/>
        <v>#N/A</v>
      </c>
      <c r="F1334" s="3" t="e">
        <f t="shared" si="43"/>
        <v>#N/A</v>
      </c>
    </row>
    <row r="1335" spans="2:6" x14ac:dyDescent="0.25">
      <c r="B1335" s="3"/>
      <c r="C1335" s="3"/>
      <c r="D1335" s="3"/>
      <c r="E1335" s="3" t="e">
        <f t="shared" si="42"/>
        <v>#N/A</v>
      </c>
      <c r="F1335" s="3" t="e">
        <f t="shared" si="43"/>
        <v>#N/A</v>
      </c>
    </row>
    <row r="1336" spans="2:6" x14ac:dyDescent="0.25">
      <c r="B1336" s="3"/>
      <c r="C1336" s="3"/>
      <c r="D1336" s="3"/>
      <c r="E1336" s="3" t="e">
        <f t="shared" si="42"/>
        <v>#N/A</v>
      </c>
      <c r="F1336" s="3" t="e">
        <f t="shared" si="43"/>
        <v>#N/A</v>
      </c>
    </row>
    <row r="1337" spans="2:6" x14ac:dyDescent="0.25">
      <c r="B1337" s="3"/>
      <c r="C1337" s="3"/>
      <c r="D1337" s="3"/>
      <c r="E1337" s="3" t="e">
        <f t="shared" si="42"/>
        <v>#N/A</v>
      </c>
      <c r="F1337" s="3" t="e">
        <f t="shared" si="43"/>
        <v>#N/A</v>
      </c>
    </row>
    <row r="1338" spans="2:6" x14ac:dyDescent="0.25">
      <c r="B1338" s="3"/>
      <c r="C1338" s="3"/>
      <c r="D1338" s="3"/>
      <c r="E1338" s="3" t="e">
        <f t="shared" si="42"/>
        <v>#N/A</v>
      </c>
      <c r="F1338" s="3" t="e">
        <f t="shared" si="43"/>
        <v>#N/A</v>
      </c>
    </row>
    <row r="1339" spans="2:6" x14ac:dyDescent="0.25">
      <c r="B1339" s="3"/>
      <c r="C1339" s="3"/>
      <c r="D1339" s="3"/>
      <c r="E1339" s="3" t="e">
        <f t="shared" si="42"/>
        <v>#N/A</v>
      </c>
      <c r="F1339" s="3" t="e">
        <f t="shared" si="43"/>
        <v>#N/A</v>
      </c>
    </row>
    <row r="1340" spans="2:6" x14ac:dyDescent="0.25">
      <c r="B1340" s="3"/>
      <c r="C1340" s="3"/>
      <c r="D1340" s="3"/>
      <c r="E1340" s="3" t="e">
        <f t="shared" si="42"/>
        <v>#N/A</v>
      </c>
      <c r="F1340" s="3" t="e">
        <f t="shared" si="43"/>
        <v>#N/A</v>
      </c>
    </row>
    <row r="1341" spans="2:6" x14ac:dyDescent="0.25">
      <c r="B1341" s="3"/>
      <c r="C1341" s="3"/>
      <c r="D1341" s="3"/>
      <c r="E1341" s="3" t="e">
        <f t="shared" si="42"/>
        <v>#N/A</v>
      </c>
      <c r="F1341" s="3" t="e">
        <f t="shared" si="43"/>
        <v>#N/A</v>
      </c>
    </row>
    <row r="1342" spans="2:6" x14ac:dyDescent="0.25">
      <c r="B1342" s="3"/>
      <c r="C1342" s="3"/>
      <c r="D1342" s="3"/>
      <c r="E1342" s="3" t="e">
        <f t="shared" si="42"/>
        <v>#N/A</v>
      </c>
      <c r="F1342" s="3" t="e">
        <f t="shared" si="43"/>
        <v>#N/A</v>
      </c>
    </row>
    <row r="1343" spans="2:6" x14ac:dyDescent="0.25">
      <c r="B1343" s="3"/>
      <c r="C1343" s="3"/>
      <c r="D1343" s="3"/>
      <c r="E1343" s="3" t="e">
        <f t="shared" si="42"/>
        <v>#N/A</v>
      </c>
      <c r="F1343" s="3" t="e">
        <f t="shared" si="43"/>
        <v>#N/A</v>
      </c>
    </row>
    <row r="1344" spans="2:6" x14ac:dyDescent="0.25">
      <c r="B1344" s="3"/>
      <c r="C1344" s="3"/>
      <c r="D1344" s="3"/>
      <c r="E1344" s="3" t="e">
        <f t="shared" si="42"/>
        <v>#N/A</v>
      </c>
      <c r="F1344" s="3" t="e">
        <f t="shared" si="43"/>
        <v>#N/A</v>
      </c>
    </row>
    <row r="1345" spans="2:6" x14ac:dyDescent="0.25">
      <c r="B1345" s="3"/>
      <c r="C1345" s="3"/>
      <c r="D1345" s="3"/>
      <c r="E1345" s="3" t="e">
        <f t="shared" si="42"/>
        <v>#N/A</v>
      </c>
      <c r="F1345" s="3" t="e">
        <f t="shared" si="43"/>
        <v>#N/A</v>
      </c>
    </row>
    <row r="1346" spans="2:6" x14ac:dyDescent="0.25">
      <c r="B1346" s="3"/>
      <c r="C1346" s="3"/>
      <c r="D1346" s="3"/>
      <c r="E1346" s="3" t="e">
        <f t="shared" si="42"/>
        <v>#N/A</v>
      </c>
      <c r="F1346" s="3" t="e">
        <f t="shared" si="43"/>
        <v>#N/A</v>
      </c>
    </row>
    <row r="1347" spans="2:6" x14ac:dyDescent="0.25">
      <c r="B1347" s="3"/>
      <c r="C1347" s="3"/>
      <c r="D1347" s="3"/>
      <c r="E1347" s="3" t="e">
        <f t="shared" si="42"/>
        <v>#N/A</v>
      </c>
      <c r="F1347" s="3" t="e">
        <f t="shared" si="43"/>
        <v>#N/A</v>
      </c>
    </row>
    <row r="1348" spans="2:6" x14ac:dyDescent="0.25">
      <c r="B1348" s="3"/>
      <c r="C1348" s="3"/>
      <c r="D1348" s="3"/>
      <c r="E1348" s="3" t="e">
        <f t="shared" ref="E1348:E1411" si="44">VLOOKUP(C1348,I:J,2,0)</f>
        <v>#N/A</v>
      </c>
      <c r="F1348" s="3" t="e">
        <f t="shared" ref="F1348:F1411" si="45">E1348&amp;" "&amp;B1348</f>
        <v>#N/A</v>
      </c>
    </row>
    <row r="1349" spans="2:6" x14ac:dyDescent="0.25">
      <c r="B1349" s="3"/>
      <c r="C1349" s="3"/>
      <c r="D1349" s="3"/>
      <c r="E1349" s="3" t="e">
        <f t="shared" si="44"/>
        <v>#N/A</v>
      </c>
      <c r="F1349" s="3" t="e">
        <f t="shared" si="45"/>
        <v>#N/A</v>
      </c>
    </row>
    <row r="1350" spans="2:6" x14ac:dyDescent="0.25">
      <c r="B1350" s="3"/>
      <c r="C1350" s="3"/>
      <c r="D1350" s="3"/>
      <c r="E1350" s="3" t="e">
        <f t="shared" si="44"/>
        <v>#N/A</v>
      </c>
      <c r="F1350" s="3" t="e">
        <f t="shared" si="45"/>
        <v>#N/A</v>
      </c>
    </row>
    <row r="1351" spans="2:6" x14ac:dyDescent="0.25">
      <c r="B1351" s="3"/>
      <c r="C1351" s="3"/>
      <c r="D1351" s="3"/>
      <c r="E1351" s="3" t="e">
        <f t="shared" si="44"/>
        <v>#N/A</v>
      </c>
      <c r="F1351" s="3" t="e">
        <f t="shared" si="45"/>
        <v>#N/A</v>
      </c>
    </row>
    <row r="1352" spans="2:6" x14ac:dyDescent="0.25">
      <c r="B1352" s="3"/>
      <c r="C1352" s="3"/>
      <c r="D1352" s="3"/>
      <c r="E1352" s="3" t="e">
        <f t="shared" si="44"/>
        <v>#N/A</v>
      </c>
      <c r="F1352" s="3" t="e">
        <f t="shared" si="45"/>
        <v>#N/A</v>
      </c>
    </row>
    <row r="1353" spans="2:6" x14ac:dyDescent="0.25">
      <c r="B1353" s="3"/>
      <c r="C1353" s="3"/>
      <c r="D1353" s="3"/>
      <c r="E1353" s="3" t="e">
        <f t="shared" si="44"/>
        <v>#N/A</v>
      </c>
      <c r="F1353" s="3" t="e">
        <f t="shared" si="45"/>
        <v>#N/A</v>
      </c>
    </row>
    <row r="1354" spans="2:6" x14ac:dyDescent="0.25">
      <c r="B1354" s="3"/>
      <c r="C1354" s="3"/>
      <c r="D1354" s="3"/>
      <c r="E1354" s="3" t="e">
        <f t="shared" si="44"/>
        <v>#N/A</v>
      </c>
      <c r="F1354" s="3" t="e">
        <f t="shared" si="45"/>
        <v>#N/A</v>
      </c>
    </row>
    <row r="1355" spans="2:6" x14ac:dyDescent="0.25">
      <c r="B1355" s="3"/>
      <c r="C1355" s="3"/>
      <c r="D1355" s="3"/>
      <c r="E1355" s="3" t="e">
        <f t="shared" si="44"/>
        <v>#N/A</v>
      </c>
      <c r="F1355" s="3" t="e">
        <f t="shared" si="45"/>
        <v>#N/A</v>
      </c>
    </row>
    <row r="1356" spans="2:6" x14ac:dyDescent="0.25">
      <c r="B1356" s="3"/>
      <c r="C1356" s="3"/>
      <c r="D1356" s="3"/>
      <c r="E1356" s="3" t="e">
        <f t="shared" si="44"/>
        <v>#N/A</v>
      </c>
      <c r="F1356" s="3" t="e">
        <f t="shared" si="45"/>
        <v>#N/A</v>
      </c>
    </row>
    <row r="1357" spans="2:6" x14ac:dyDescent="0.25">
      <c r="B1357" s="3"/>
      <c r="C1357" s="3"/>
      <c r="D1357" s="3"/>
      <c r="E1357" s="3" t="e">
        <f t="shared" si="44"/>
        <v>#N/A</v>
      </c>
      <c r="F1357" s="3" t="e">
        <f t="shared" si="45"/>
        <v>#N/A</v>
      </c>
    </row>
    <row r="1358" spans="2:6" x14ac:dyDescent="0.25">
      <c r="B1358" s="3"/>
      <c r="C1358" s="3"/>
      <c r="D1358" s="3"/>
      <c r="E1358" s="3" t="e">
        <f t="shared" si="44"/>
        <v>#N/A</v>
      </c>
      <c r="F1358" s="3" t="e">
        <f t="shared" si="45"/>
        <v>#N/A</v>
      </c>
    </row>
    <row r="1359" spans="2:6" x14ac:dyDescent="0.25">
      <c r="B1359" s="3"/>
      <c r="C1359" s="3"/>
      <c r="D1359" s="3"/>
      <c r="E1359" s="3" t="e">
        <f t="shared" si="44"/>
        <v>#N/A</v>
      </c>
      <c r="F1359" s="3" t="e">
        <f t="shared" si="45"/>
        <v>#N/A</v>
      </c>
    </row>
    <row r="1360" spans="2:6" x14ac:dyDescent="0.25">
      <c r="B1360" s="3"/>
      <c r="C1360" s="3"/>
      <c r="D1360" s="3"/>
      <c r="E1360" s="3" t="e">
        <f t="shared" si="44"/>
        <v>#N/A</v>
      </c>
      <c r="F1360" s="3" t="e">
        <f t="shared" si="45"/>
        <v>#N/A</v>
      </c>
    </row>
    <row r="1361" spans="2:6" x14ac:dyDescent="0.25">
      <c r="B1361" s="3"/>
      <c r="C1361" s="3"/>
      <c r="D1361" s="3"/>
      <c r="E1361" s="3" t="e">
        <f t="shared" si="44"/>
        <v>#N/A</v>
      </c>
      <c r="F1361" s="3" t="e">
        <f t="shared" si="45"/>
        <v>#N/A</v>
      </c>
    </row>
    <row r="1362" spans="2:6" x14ac:dyDescent="0.25">
      <c r="B1362" s="3"/>
      <c r="C1362" s="3"/>
      <c r="D1362" s="3"/>
      <c r="E1362" s="3" t="e">
        <f t="shared" si="44"/>
        <v>#N/A</v>
      </c>
      <c r="F1362" s="3" t="e">
        <f t="shared" si="45"/>
        <v>#N/A</v>
      </c>
    </row>
    <row r="1363" spans="2:6" x14ac:dyDescent="0.25">
      <c r="B1363" s="3"/>
      <c r="C1363" s="3"/>
      <c r="D1363" s="3"/>
      <c r="E1363" s="3" t="e">
        <f t="shared" si="44"/>
        <v>#N/A</v>
      </c>
      <c r="F1363" s="3" t="e">
        <f t="shared" si="45"/>
        <v>#N/A</v>
      </c>
    </row>
    <row r="1364" spans="2:6" x14ac:dyDescent="0.25">
      <c r="B1364" s="3"/>
      <c r="C1364" s="3"/>
      <c r="D1364" s="3"/>
      <c r="E1364" s="3" t="e">
        <f t="shared" si="44"/>
        <v>#N/A</v>
      </c>
      <c r="F1364" s="3" t="e">
        <f t="shared" si="45"/>
        <v>#N/A</v>
      </c>
    </row>
    <row r="1365" spans="2:6" x14ac:dyDescent="0.25">
      <c r="B1365" s="3"/>
      <c r="C1365" s="3"/>
      <c r="D1365" s="3"/>
      <c r="E1365" s="3" t="e">
        <f t="shared" si="44"/>
        <v>#N/A</v>
      </c>
      <c r="F1365" s="3" t="e">
        <f t="shared" si="45"/>
        <v>#N/A</v>
      </c>
    </row>
    <row r="1366" spans="2:6" x14ac:dyDescent="0.25">
      <c r="B1366" s="3"/>
      <c r="C1366" s="3"/>
      <c r="D1366" s="3"/>
      <c r="E1366" s="3" t="e">
        <f t="shared" si="44"/>
        <v>#N/A</v>
      </c>
      <c r="F1366" s="3" t="e">
        <f t="shared" si="45"/>
        <v>#N/A</v>
      </c>
    </row>
    <row r="1367" spans="2:6" x14ac:dyDescent="0.25">
      <c r="B1367" s="3"/>
      <c r="C1367" s="3"/>
      <c r="D1367" s="3"/>
      <c r="E1367" s="3" t="e">
        <f t="shared" si="44"/>
        <v>#N/A</v>
      </c>
      <c r="F1367" s="3" t="e">
        <f t="shared" si="45"/>
        <v>#N/A</v>
      </c>
    </row>
    <row r="1368" spans="2:6" x14ac:dyDescent="0.25">
      <c r="B1368" s="3"/>
      <c r="C1368" s="3"/>
      <c r="D1368" s="3"/>
      <c r="E1368" s="3" t="e">
        <f t="shared" si="44"/>
        <v>#N/A</v>
      </c>
      <c r="F1368" s="3" t="e">
        <f t="shared" si="45"/>
        <v>#N/A</v>
      </c>
    </row>
    <row r="1369" spans="2:6" x14ac:dyDescent="0.25">
      <c r="B1369" s="3"/>
      <c r="C1369" s="3"/>
      <c r="D1369" s="3"/>
      <c r="E1369" s="3" t="e">
        <f t="shared" si="44"/>
        <v>#N/A</v>
      </c>
      <c r="F1369" s="3" t="e">
        <f t="shared" si="45"/>
        <v>#N/A</v>
      </c>
    </row>
    <row r="1370" spans="2:6" x14ac:dyDescent="0.25">
      <c r="B1370" s="3"/>
      <c r="C1370" s="3"/>
      <c r="D1370" s="3"/>
      <c r="E1370" s="3" t="e">
        <f t="shared" si="44"/>
        <v>#N/A</v>
      </c>
      <c r="F1370" s="3" t="e">
        <f t="shared" si="45"/>
        <v>#N/A</v>
      </c>
    </row>
    <row r="1371" spans="2:6" x14ac:dyDescent="0.25">
      <c r="B1371" s="3"/>
      <c r="C1371" s="3"/>
      <c r="D1371" s="3"/>
      <c r="E1371" s="3" t="e">
        <f t="shared" si="44"/>
        <v>#N/A</v>
      </c>
      <c r="F1371" s="3" t="e">
        <f t="shared" si="45"/>
        <v>#N/A</v>
      </c>
    </row>
    <row r="1372" spans="2:6" x14ac:dyDescent="0.25">
      <c r="B1372" s="3"/>
      <c r="C1372" s="3"/>
      <c r="D1372" s="3"/>
      <c r="E1372" s="3" t="e">
        <f t="shared" si="44"/>
        <v>#N/A</v>
      </c>
      <c r="F1372" s="3" t="e">
        <f t="shared" si="45"/>
        <v>#N/A</v>
      </c>
    </row>
    <row r="1373" spans="2:6" x14ac:dyDescent="0.25">
      <c r="B1373" s="3"/>
      <c r="C1373" s="3"/>
      <c r="D1373" s="3"/>
      <c r="E1373" s="3" t="e">
        <f t="shared" si="44"/>
        <v>#N/A</v>
      </c>
      <c r="F1373" s="3" t="e">
        <f t="shared" si="45"/>
        <v>#N/A</v>
      </c>
    </row>
    <row r="1374" spans="2:6" x14ac:dyDescent="0.25">
      <c r="B1374" s="3"/>
      <c r="C1374" s="3"/>
      <c r="D1374" s="3"/>
      <c r="E1374" s="3" t="e">
        <f t="shared" si="44"/>
        <v>#N/A</v>
      </c>
      <c r="F1374" s="3" t="e">
        <f t="shared" si="45"/>
        <v>#N/A</v>
      </c>
    </row>
    <row r="1375" spans="2:6" x14ac:dyDescent="0.25">
      <c r="B1375" s="3"/>
      <c r="C1375" s="3"/>
      <c r="D1375" s="3"/>
      <c r="E1375" s="3" t="e">
        <f t="shared" si="44"/>
        <v>#N/A</v>
      </c>
      <c r="F1375" s="3" t="e">
        <f t="shared" si="45"/>
        <v>#N/A</v>
      </c>
    </row>
    <row r="1376" spans="2:6" x14ac:dyDescent="0.25">
      <c r="B1376" s="3"/>
      <c r="C1376" s="3"/>
      <c r="D1376" s="3"/>
      <c r="E1376" s="3" t="e">
        <f t="shared" si="44"/>
        <v>#N/A</v>
      </c>
      <c r="F1376" s="3" t="e">
        <f t="shared" si="45"/>
        <v>#N/A</v>
      </c>
    </row>
    <row r="1377" spans="2:6" x14ac:dyDescent="0.25">
      <c r="B1377" s="3"/>
      <c r="C1377" s="3"/>
      <c r="D1377" s="3"/>
      <c r="E1377" s="3" t="e">
        <f t="shared" si="44"/>
        <v>#N/A</v>
      </c>
      <c r="F1377" s="3" t="e">
        <f t="shared" si="45"/>
        <v>#N/A</v>
      </c>
    </row>
    <row r="1378" spans="2:6" x14ac:dyDescent="0.25">
      <c r="B1378" s="3"/>
      <c r="C1378" s="3"/>
      <c r="D1378" s="3"/>
      <c r="E1378" s="3" t="e">
        <f t="shared" si="44"/>
        <v>#N/A</v>
      </c>
      <c r="F1378" s="3" t="e">
        <f t="shared" si="45"/>
        <v>#N/A</v>
      </c>
    </row>
    <row r="1379" spans="2:6" x14ac:dyDescent="0.25">
      <c r="B1379" s="3"/>
      <c r="C1379" s="3"/>
      <c r="D1379" s="3"/>
      <c r="E1379" s="3" t="e">
        <f t="shared" si="44"/>
        <v>#N/A</v>
      </c>
      <c r="F1379" s="3" t="e">
        <f t="shared" si="45"/>
        <v>#N/A</v>
      </c>
    </row>
    <row r="1380" spans="2:6" x14ac:dyDescent="0.25">
      <c r="B1380" s="3"/>
      <c r="C1380" s="3"/>
      <c r="D1380" s="3"/>
      <c r="E1380" s="3" t="e">
        <f t="shared" si="44"/>
        <v>#N/A</v>
      </c>
      <c r="F1380" s="3" t="e">
        <f t="shared" si="45"/>
        <v>#N/A</v>
      </c>
    </row>
    <row r="1381" spans="2:6" x14ac:dyDescent="0.25">
      <c r="B1381" s="3"/>
      <c r="C1381" s="3"/>
      <c r="D1381" s="3"/>
      <c r="E1381" s="3" t="e">
        <f t="shared" si="44"/>
        <v>#N/A</v>
      </c>
      <c r="F1381" s="3" t="e">
        <f t="shared" si="45"/>
        <v>#N/A</v>
      </c>
    </row>
    <row r="1382" spans="2:6" x14ac:dyDescent="0.25">
      <c r="B1382" s="3"/>
      <c r="C1382" s="3"/>
      <c r="D1382" s="3"/>
      <c r="E1382" s="3" t="e">
        <f t="shared" si="44"/>
        <v>#N/A</v>
      </c>
      <c r="F1382" s="3" t="e">
        <f t="shared" si="45"/>
        <v>#N/A</v>
      </c>
    </row>
    <row r="1383" spans="2:6" x14ac:dyDescent="0.25">
      <c r="B1383" s="3"/>
      <c r="C1383" s="3"/>
      <c r="D1383" s="3"/>
      <c r="E1383" s="3" t="e">
        <f t="shared" si="44"/>
        <v>#N/A</v>
      </c>
      <c r="F1383" s="3" t="e">
        <f t="shared" si="45"/>
        <v>#N/A</v>
      </c>
    </row>
    <row r="1384" spans="2:6" x14ac:dyDescent="0.25">
      <c r="B1384" s="3"/>
      <c r="C1384" s="3"/>
      <c r="D1384" s="3"/>
      <c r="E1384" s="3" t="e">
        <f t="shared" si="44"/>
        <v>#N/A</v>
      </c>
      <c r="F1384" s="3" t="e">
        <f t="shared" si="45"/>
        <v>#N/A</v>
      </c>
    </row>
    <row r="1385" spans="2:6" x14ac:dyDescent="0.25">
      <c r="B1385" s="3"/>
      <c r="C1385" s="3"/>
      <c r="D1385" s="3"/>
      <c r="E1385" s="3" t="e">
        <f t="shared" si="44"/>
        <v>#N/A</v>
      </c>
      <c r="F1385" s="3" t="e">
        <f t="shared" si="45"/>
        <v>#N/A</v>
      </c>
    </row>
    <row r="1386" spans="2:6" x14ac:dyDescent="0.25">
      <c r="B1386" s="3"/>
      <c r="C1386" s="3"/>
      <c r="D1386" s="3"/>
      <c r="E1386" s="3" t="e">
        <f t="shared" si="44"/>
        <v>#N/A</v>
      </c>
      <c r="F1386" s="3" t="e">
        <f t="shared" si="45"/>
        <v>#N/A</v>
      </c>
    </row>
    <row r="1387" spans="2:6" x14ac:dyDescent="0.25">
      <c r="B1387" s="3"/>
      <c r="C1387" s="3"/>
      <c r="D1387" s="3"/>
      <c r="E1387" s="3" t="e">
        <f t="shared" si="44"/>
        <v>#N/A</v>
      </c>
      <c r="F1387" s="3" t="e">
        <f t="shared" si="45"/>
        <v>#N/A</v>
      </c>
    </row>
    <row r="1388" spans="2:6" x14ac:dyDescent="0.25">
      <c r="B1388" s="3"/>
      <c r="C1388" s="3"/>
      <c r="D1388" s="3"/>
      <c r="E1388" s="3" t="e">
        <f t="shared" si="44"/>
        <v>#N/A</v>
      </c>
      <c r="F1388" s="3" t="e">
        <f t="shared" si="45"/>
        <v>#N/A</v>
      </c>
    </row>
    <row r="1389" spans="2:6" x14ac:dyDescent="0.25">
      <c r="B1389" s="3"/>
      <c r="C1389" s="3"/>
      <c r="D1389" s="3"/>
      <c r="E1389" s="3" t="e">
        <f t="shared" si="44"/>
        <v>#N/A</v>
      </c>
      <c r="F1389" s="3" t="e">
        <f t="shared" si="45"/>
        <v>#N/A</v>
      </c>
    </row>
    <row r="1390" spans="2:6" x14ac:dyDescent="0.25">
      <c r="B1390" s="3"/>
      <c r="C1390" s="3"/>
      <c r="D1390" s="3"/>
      <c r="E1390" s="3" t="e">
        <f t="shared" si="44"/>
        <v>#N/A</v>
      </c>
      <c r="F1390" s="3" t="e">
        <f t="shared" si="45"/>
        <v>#N/A</v>
      </c>
    </row>
    <row r="1391" spans="2:6" x14ac:dyDescent="0.25">
      <c r="B1391" s="3"/>
      <c r="C1391" s="3"/>
      <c r="D1391" s="3"/>
      <c r="E1391" s="3" t="e">
        <f t="shared" si="44"/>
        <v>#N/A</v>
      </c>
      <c r="F1391" s="3" t="e">
        <f t="shared" si="45"/>
        <v>#N/A</v>
      </c>
    </row>
    <row r="1392" spans="2:6" x14ac:dyDescent="0.25">
      <c r="B1392" s="3"/>
      <c r="C1392" s="3"/>
      <c r="D1392" s="3"/>
      <c r="E1392" s="3" t="e">
        <f t="shared" si="44"/>
        <v>#N/A</v>
      </c>
      <c r="F1392" s="3" t="e">
        <f t="shared" si="45"/>
        <v>#N/A</v>
      </c>
    </row>
    <row r="1393" spans="2:6" x14ac:dyDescent="0.25">
      <c r="B1393" s="3"/>
      <c r="C1393" s="3"/>
      <c r="D1393" s="3"/>
      <c r="E1393" s="3" t="e">
        <f t="shared" si="44"/>
        <v>#N/A</v>
      </c>
      <c r="F1393" s="3" t="e">
        <f t="shared" si="45"/>
        <v>#N/A</v>
      </c>
    </row>
    <row r="1394" spans="2:6" x14ac:dyDescent="0.25">
      <c r="B1394" s="3"/>
      <c r="C1394" s="3"/>
      <c r="D1394" s="3"/>
      <c r="E1394" s="3" t="e">
        <f t="shared" si="44"/>
        <v>#N/A</v>
      </c>
      <c r="F1394" s="3" t="e">
        <f t="shared" si="45"/>
        <v>#N/A</v>
      </c>
    </row>
    <row r="1395" spans="2:6" x14ac:dyDescent="0.25">
      <c r="B1395" s="3"/>
      <c r="C1395" s="3"/>
      <c r="D1395" s="3"/>
      <c r="E1395" s="3" t="e">
        <f t="shared" si="44"/>
        <v>#N/A</v>
      </c>
      <c r="F1395" s="3" t="e">
        <f t="shared" si="45"/>
        <v>#N/A</v>
      </c>
    </row>
    <row r="1396" spans="2:6" x14ac:dyDescent="0.25">
      <c r="B1396" s="3"/>
      <c r="C1396" s="3"/>
      <c r="D1396" s="3"/>
      <c r="E1396" s="3" t="e">
        <f t="shared" si="44"/>
        <v>#N/A</v>
      </c>
      <c r="F1396" s="3" t="e">
        <f t="shared" si="45"/>
        <v>#N/A</v>
      </c>
    </row>
    <row r="1397" spans="2:6" x14ac:dyDescent="0.25">
      <c r="B1397" s="3"/>
      <c r="C1397" s="3"/>
      <c r="D1397" s="3"/>
      <c r="E1397" s="3" t="e">
        <f t="shared" si="44"/>
        <v>#N/A</v>
      </c>
      <c r="F1397" s="3" t="e">
        <f t="shared" si="45"/>
        <v>#N/A</v>
      </c>
    </row>
    <row r="1398" spans="2:6" x14ac:dyDescent="0.25">
      <c r="B1398" s="3"/>
      <c r="C1398" s="3"/>
      <c r="D1398" s="3"/>
      <c r="E1398" s="3" t="e">
        <f t="shared" si="44"/>
        <v>#N/A</v>
      </c>
      <c r="F1398" s="3" t="e">
        <f t="shared" si="45"/>
        <v>#N/A</v>
      </c>
    </row>
    <row r="1399" spans="2:6" x14ac:dyDescent="0.25">
      <c r="B1399" s="3"/>
      <c r="C1399" s="3"/>
      <c r="D1399" s="3"/>
      <c r="E1399" s="3" t="e">
        <f t="shared" si="44"/>
        <v>#N/A</v>
      </c>
      <c r="F1399" s="3" t="e">
        <f t="shared" si="45"/>
        <v>#N/A</v>
      </c>
    </row>
    <row r="1400" spans="2:6" x14ac:dyDescent="0.25">
      <c r="B1400" s="3"/>
      <c r="C1400" s="3"/>
      <c r="D1400" s="3"/>
      <c r="E1400" s="3" t="e">
        <f t="shared" si="44"/>
        <v>#N/A</v>
      </c>
      <c r="F1400" s="3" t="e">
        <f t="shared" si="45"/>
        <v>#N/A</v>
      </c>
    </row>
    <row r="1401" spans="2:6" x14ac:dyDescent="0.25">
      <c r="B1401" s="3"/>
      <c r="C1401" s="3"/>
      <c r="D1401" s="3"/>
      <c r="E1401" s="3" t="e">
        <f t="shared" si="44"/>
        <v>#N/A</v>
      </c>
      <c r="F1401" s="3" t="e">
        <f t="shared" si="45"/>
        <v>#N/A</v>
      </c>
    </row>
    <row r="1402" spans="2:6" x14ac:dyDescent="0.25">
      <c r="B1402" s="3"/>
      <c r="C1402" s="3"/>
      <c r="D1402" s="3"/>
      <c r="E1402" s="3" t="e">
        <f t="shared" si="44"/>
        <v>#N/A</v>
      </c>
      <c r="F1402" s="3" t="e">
        <f t="shared" si="45"/>
        <v>#N/A</v>
      </c>
    </row>
    <row r="1403" spans="2:6" x14ac:dyDescent="0.25">
      <c r="B1403" s="3"/>
      <c r="C1403" s="3"/>
      <c r="D1403" s="3"/>
      <c r="E1403" s="3" t="e">
        <f t="shared" si="44"/>
        <v>#N/A</v>
      </c>
      <c r="F1403" s="3" t="e">
        <f t="shared" si="45"/>
        <v>#N/A</v>
      </c>
    </row>
    <row r="1404" spans="2:6" x14ac:dyDescent="0.25">
      <c r="B1404" s="3"/>
      <c r="C1404" s="3"/>
      <c r="D1404" s="3"/>
      <c r="E1404" s="3" t="e">
        <f t="shared" si="44"/>
        <v>#N/A</v>
      </c>
      <c r="F1404" s="3" t="e">
        <f t="shared" si="45"/>
        <v>#N/A</v>
      </c>
    </row>
    <row r="1405" spans="2:6" x14ac:dyDescent="0.25">
      <c r="B1405" s="3"/>
      <c r="C1405" s="3"/>
      <c r="D1405" s="3"/>
      <c r="E1405" s="3" t="e">
        <f t="shared" si="44"/>
        <v>#N/A</v>
      </c>
      <c r="F1405" s="3" t="e">
        <f t="shared" si="45"/>
        <v>#N/A</v>
      </c>
    </row>
    <row r="1406" spans="2:6" x14ac:dyDescent="0.25">
      <c r="B1406" s="3"/>
      <c r="C1406" s="3"/>
      <c r="D1406" s="3"/>
      <c r="E1406" s="3" t="e">
        <f t="shared" si="44"/>
        <v>#N/A</v>
      </c>
      <c r="F1406" s="3" t="e">
        <f t="shared" si="45"/>
        <v>#N/A</v>
      </c>
    </row>
    <row r="1407" spans="2:6" x14ac:dyDescent="0.25">
      <c r="B1407" s="3"/>
      <c r="C1407" s="3"/>
      <c r="D1407" s="3"/>
      <c r="E1407" s="3" t="e">
        <f t="shared" si="44"/>
        <v>#N/A</v>
      </c>
      <c r="F1407" s="3" t="e">
        <f t="shared" si="45"/>
        <v>#N/A</v>
      </c>
    </row>
    <row r="1408" spans="2:6" x14ac:dyDescent="0.25">
      <c r="B1408" s="3"/>
      <c r="C1408" s="3"/>
      <c r="D1408" s="3"/>
      <c r="E1408" s="3" t="e">
        <f t="shared" si="44"/>
        <v>#N/A</v>
      </c>
      <c r="F1408" s="3" t="e">
        <f t="shared" si="45"/>
        <v>#N/A</v>
      </c>
    </row>
    <row r="1409" spans="2:6" x14ac:dyDescent="0.25">
      <c r="B1409" s="3"/>
      <c r="C1409" s="3"/>
      <c r="D1409" s="3"/>
      <c r="E1409" s="3" t="e">
        <f t="shared" si="44"/>
        <v>#N/A</v>
      </c>
      <c r="F1409" s="3" t="e">
        <f t="shared" si="45"/>
        <v>#N/A</v>
      </c>
    </row>
    <row r="1410" spans="2:6" x14ac:dyDescent="0.25">
      <c r="B1410" s="3"/>
      <c r="C1410" s="3"/>
      <c r="D1410" s="3"/>
      <c r="E1410" s="3" t="e">
        <f t="shared" si="44"/>
        <v>#N/A</v>
      </c>
      <c r="F1410" s="3" t="e">
        <f t="shared" si="45"/>
        <v>#N/A</v>
      </c>
    </row>
    <row r="1411" spans="2:6" x14ac:dyDescent="0.25">
      <c r="B1411" s="3"/>
      <c r="C1411" s="3"/>
      <c r="D1411" s="3"/>
      <c r="E1411" s="3" t="e">
        <f t="shared" si="44"/>
        <v>#N/A</v>
      </c>
      <c r="F1411" s="3" t="e">
        <f t="shared" si="45"/>
        <v>#N/A</v>
      </c>
    </row>
    <row r="1412" spans="2:6" x14ac:dyDescent="0.25">
      <c r="B1412" s="3"/>
      <c r="C1412" s="3"/>
      <c r="D1412" s="3"/>
      <c r="E1412" s="3" t="e">
        <f t="shared" ref="E1412:E1475" si="46">VLOOKUP(C1412,I:J,2,0)</f>
        <v>#N/A</v>
      </c>
      <c r="F1412" s="3" t="e">
        <f t="shared" ref="F1412:F1475" si="47">E1412&amp;" "&amp;B1412</f>
        <v>#N/A</v>
      </c>
    </row>
    <row r="1413" spans="2:6" x14ac:dyDescent="0.25">
      <c r="B1413" s="3"/>
      <c r="C1413" s="3"/>
      <c r="D1413" s="3"/>
      <c r="E1413" s="3" t="e">
        <f t="shared" si="46"/>
        <v>#N/A</v>
      </c>
      <c r="F1413" s="3" t="e">
        <f t="shared" si="47"/>
        <v>#N/A</v>
      </c>
    </row>
    <row r="1414" spans="2:6" x14ac:dyDescent="0.25">
      <c r="B1414" s="3"/>
      <c r="C1414" s="3"/>
      <c r="D1414" s="3"/>
      <c r="E1414" s="3" t="e">
        <f t="shared" si="46"/>
        <v>#N/A</v>
      </c>
      <c r="F1414" s="3" t="e">
        <f t="shared" si="47"/>
        <v>#N/A</v>
      </c>
    </row>
    <row r="1415" spans="2:6" x14ac:dyDescent="0.25">
      <c r="B1415" s="3"/>
      <c r="C1415" s="3"/>
      <c r="D1415" s="3"/>
      <c r="E1415" s="3" t="e">
        <f t="shared" si="46"/>
        <v>#N/A</v>
      </c>
      <c r="F1415" s="3" t="e">
        <f t="shared" si="47"/>
        <v>#N/A</v>
      </c>
    </row>
    <row r="1416" spans="2:6" x14ac:dyDescent="0.25">
      <c r="B1416" s="3"/>
      <c r="C1416" s="3"/>
      <c r="D1416" s="3"/>
      <c r="E1416" s="3" t="e">
        <f t="shared" si="46"/>
        <v>#N/A</v>
      </c>
      <c r="F1416" s="3" t="e">
        <f t="shared" si="47"/>
        <v>#N/A</v>
      </c>
    </row>
    <row r="1417" spans="2:6" x14ac:dyDescent="0.25">
      <c r="B1417" s="3"/>
      <c r="C1417" s="3"/>
      <c r="D1417" s="3"/>
      <c r="E1417" s="3" t="e">
        <f t="shared" si="46"/>
        <v>#N/A</v>
      </c>
      <c r="F1417" s="3" t="e">
        <f t="shared" si="47"/>
        <v>#N/A</v>
      </c>
    </row>
    <row r="1418" spans="2:6" x14ac:dyDescent="0.25">
      <c r="B1418" s="3"/>
      <c r="C1418" s="3"/>
      <c r="D1418" s="3"/>
      <c r="E1418" s="3" t="e">
        <f t="shared" si="46"/>
        <v>#N/A</v>
      </c>
      <c r="F1418" s="3" t="e">
        <f t="shared" si="47"/>
        <v>#N/A</v>
      </c>
    </row>
    <row r="1419" spans="2:6" x14ac:dyDescent="0.25">
      <c r="B1419" s="3"/>
      <c r="C1419" s="3"/>
      <c r="D1419" s="3"/>
      <c r="E1419" s="3" t="e">
        <f t="shared" si="46"/>
        <v>#N/A</v>
      </c>
      <c r="F1419" s="3" t="e">
        <f t="shared" si="47"/>
        <v>#N/A</v>
      </c>
    </row>
    <row r="1420" spans="2:6" x14ac:dyDescent="0.25">
      <c r="B1420" s="3"/>
      <c r="C1420" s="3"/>
      <c r="D1420" s="3"/>
      <c r="E1420" s="3" t="e">
        <f t="shared" si="46"/>
        <v>#N/A</v>
      </c>
      <c r="F1420" s="3" t="e">
        <f t="shared" si="47"/>
        <v>#N/A</v>
      </c>
    </row>
    <row r="1421" spans="2:6" x14ac:dyDescent="0.25">
      <c r="B1421" s="3"/>
      <c r="C1421" s="3"/>
      <c r="D1421" s="3"/>
      <c r="E1421" s="3" t="e">
        <f t="shared" si="46"/>
        <v>#N/A</v>
      </c>
      <c r="F1421" s="3" t="e">
        <f t="shared" si="47"/>
        <v>#N/A</v>
      </c>
    </row>
    <row r="1422" spans="2:6" x14ac:dyDescent="0.25">
      <c r="B1422" s="3"/>
      <c r="C1422" s="3"/>
      <c r="D1422" s="3"/>
      <c r="E1422" s="3" t="e">
        <f t="shared" si="46"/>
        <v>#N/A</v>
      </c>
      <c r="F1422" s="3" t="e">
        <f t="shared" si="47"/>
        <v>#N/A</v>
      </c>
    </row>
    <row r="1423" spans="2:6" x14ac:dyDescent="0.25">
      <c r="B1423" s="3"/>
      <c r="C1423" s="3"/>
      <c r="D1423" s="3"/>
      <c r="E1423" s="3" t="e">
        <f t="shared" si="46"/>
        <v>#N/A</v>
      </c>
      <c r="F1423" s="3" t="e">
        <f t="shared" si="47"/>
        <v>#N/A</v>
      </c>
    </row>
    <row r="1424" spans="2:6" x14ac:dyDescent="0.25">
      <c r="B1424" s="3"/>
      <c r="C1424" s="3"/>
      <c r="D1424" s="3"/>
      <c r="E1424" s="3" t="e">
        <f t="shared" si="46"/>
        <v>#N/A</v>
      </c>
      <c r="F1424" s="3" t="e">
        <f t="shared" si="47"/>
        <v>#N/A</v>
      </c>
    </row>
    <row r="1425" spans="2:6" x14ac:dyDescent="0.25">
      <c r="B1425" s="3"/>
      <c r="C1425" s="3"/>
      <c r="D1425" s="3"/>
      <c r="E1425" s="3" t="e">
        <f t="shared" si="46"/>
        <v>#N/A</v>
      </c>
      <c r="F1425" s="3" t="e">
        <f t="shared" si="47"/>
        <v>#N/A</v>
      </c>
    </row>
    <row r="1426" spans="2:6" x14ac:dyDescent="0.25">
      <c r="B1426" s="3"/>
      <c r="C1426" s="3"/>
      <c r="D1426" s="3"/>
      <c r="E1426" s="3" t="e">
        <f t="shared" si="46"/>
        <v>#N/A</v>
      </c>
      <c r="F1426" s="3" t="e">
        <f t="shared" si="47"/>
        <v>#N/A</v>
      </c>
    </row>
    <row r="1427" spans="2:6" x14ac:dyDescent="0.25">
      <c r="B1427" s="3"/>
      <c r="C1427" s="3"/>
      <c r="D1427" s="3"/>
      <c r="E1427" s="3" t="e">
        <f t="shared" si="46"/>
        <v>#N/A</v>
      </c>
      <c r="F1427" s="3" t="e">
        <f t="shared" si="47"/>
        <v>#N/A</v>
      </c>
    </row>
    <row r="1428" spans="2:6" x14ac:dyDescent="0.25">
      <c r="B1428" s="3"/>
      <c r="C1428" s="3"/>
      <c r="D1428" s="3"/>
      <c r="E1428" s="3" t="e">
        <f t="shared" si="46"/>
        <v>#N/A</v>
      </c>
      <c r="F1428" s="3" t="e">
        <f t="shared" si="47"/>
        <v>#N/A</v>
      </c>
    </row>
    <row r="1429" spans="2:6" x14ac:dyDescent="0.25">
      <c r="B1429" s="3"/>
      <c r="C1429" s="3"/>
      <c r="D1429" s="3"/>
      <c r="E1429" s="3" t="e">
        <f t="shared" si="46"/>
        <v>#N/A</v>
      </c>
      <c r="F1429" s="3" t="e">
        <f t="shared" si="47"/>
        <v>#N/A</v>
      </c>
    </row>
    <row r="1430" spans="2:6" x14ac:dyDescent="0.25">
      <c r="B1430" s="3"/>
      <c r="C1430" s="3"/>
      <c r="D1430" s="3"/>
      <c r="E1430" s="3" t="e">
        <f t="shared" si="46"/>
        <v>#N/A</v>
      </c>
      <c r="F1430" s="3" t="e">
        <f t="shared" si="47"/>
        <v>#N/A</v>
      </c>
    </row>
    <row r="1431" spans="2:6" x14ac:dyDescent="0.25">
      <c r="B1431" s="3"/>
      <c r="C1431" s="3"/>
      <c r="D1431" s="3"/>
      <c r="E1431" s="3" t="e">
        <f t="shared" si="46"/>
        <v>#N/A</v>
      </c>
      <c r="F1431" s="3" t="e">
        <f t="shared" si="47"/>
        <v>#N/A</v>
      </c>
    </row>
    <row r="1432" spans="2:6" x14ac:dyDescent="0.25">
      <c r="B1432" s="3"/>
      <c r="C1432" s="3"/>
      <c r="D1432" s="3"/>
      <c r="E1432" s="3" t="e">
        <f t="shared" si="46"/>
        <v>#N/A</v>
      </c>
      <c r="F1432" s="3" t="e">
        <f t="shared" si="47"/>
        <v>#N/A</v>
      </c>
    </row>
    <row r="1433" spans="2:6" x14ac:dyDescent="0.25">
      <c r="B1433" s="3"/>
      <c r="C1433" s="3"/>
      <c r="D1433" s="3"/>
      <c r="E1433" s="3" t="e">
        <f t="shared" si="46"/>
        <v>#N/A</v>
      </c>
      <c r="F1433" s="3" t="e">
        <f t="shared" si="47"/>
        <v>#N/A</v>
      </c>
    </row>
    <row r="1434" spans="2:6" x14ac:dyDescent="0.25">
      <c r="B1434" s="3"/>
      <c r="C1434" s="3"/>
      <c r="D1434" s="3"/>
      <c r="E1434" s="3" t="e">
        <f t="shared" si="46"/>
        <v>#N/A</v>
      </c>
      <c r="F1434" s="3" t="e">
        <f t="shared" si="47"/>
        <v>#N/A</v>
      </c>
    </row>
    <row r="1435" spans="2:6" x14ac:dyDescent="0.25">
      <c r="B1435" s="3"/>
      <c r="C1435" s="3"/>
      <c r="D1435" s="3"/>
      <c r="E1435" s="3" t="e">
        <f t="shared" si="46"/>
        <v>#N/A</v>
      </c>
      <c r="F1435" s="3" t="e">
        <f t="shared" si="47"/>
        <v>#N/A</v>
      </c>
    </row>
    <row r="1436" spans="2:6" x14ac:dyDescent="0.25">
      <c r="B1436" s="3"/>
      <c r="C1436" s="3"/>
      <c r="D1436" s="3"/>
      <c r="E1436" s="3" t="e">
        <f t="shared" si="46"/>
        <v>#N/A</v>
      </c>
      <c r="F1436" s="3" t="e">
        <f t="shared" si="47"/>
        <v>#N/A</v>
      </c>
    </row>
    <row r="1437" spans="2:6" x14ac:dyDescent="0.25">
      <c r="B1437" s="3"/>
      <c r="C1437" s="3"/>
      <c r="D1437" s="3"/>
      <c r="E1437" s="3" t="e">
        <f t="shared" si="46"/>
        <v>#N/A</v>
      </c>
      <c r="F1437" s="3" t="e">
        <f t="shared" si="47"/>
        <v>#N/A</v>
      </c>
    </row>
    <row r="1438" spans="2:6" x14ac:dyDescent="0.25">
      <c r="B1438" s="3"/>
      <c r="C1438" s="3"/>
      <c r="D1438" s="3"/>
      <c r="E1438" s="3" t="e">
        <f t="shared" si="46"/>
        <v>#N/A</v>
      </c>
      <c r="F1438" s="3" t="e">
        <f t="shared" si="47"/>
        <v>#N/A</v>
      </c>
    </row>
    <row r="1439" spans="2:6" x14ac:dyDescent="0.25">
      <c r="B1439" s="3"/>
      <c r="C1439" s="3"/>
      <c r="D1439" s="3"/>
      <c r="E1439" s="3" t="e">
        <f t="shared" si="46"/>
        <v>#N/A</v>
      </c>
      <c r="F1439" s="3" t="e">
        <f t="shared" si="47"/>
        <v>#N/A</v>
      </c>
    </row>
    <row r="1440" spans="2:6" x14ac:dyDescent="0.25">
      <c r="B1440" s="3"/>
      <c r="C1440" s="3"/>
      <c r="D1440" s="3"/>
      <c r="E1440" s="3" t="e">
        <f t="shared" si="46"/>
        <v>#N/A</v>
      </c>
      <c r="F1440" s="3" t="e">
        <f t="shared" si="47"/>
        <v>#N/A</v>
      </c>
    </row>
    <row r="1441" spans="2:6" x14ac:dyDescent="0.25">
      <c r="B1441" s="3"/>
      <c r="C1441" s="3"/>
      <c r="D1441" s="3"/>
      <c r="E1441" s="3" t="e">
        <f t="shared" si="46"/>
        <v>#N/A</v>
      </c>
      <c r="F1441" s="3" t="e">
        <f t="shared" si="47"/>
        <v>#N/A</v>
      </c>
    </row>
    <row r="1442" spans="2:6" x14ac:dyDescent="0.25">
      <c r="B1442" s="3"/>
      <c r="C1442" s="3"/>
      <c r="D1442" s="3"/>
      <c r="E1442" s="3" t="e">
        <f t="shared" si="46"/>
        <v>#N/A</v>
      </c>
      <c r="F1442" s="3" t="e">
        <f t="shared" si="47"/>
        <v>#N/A</v>
      </c>
    </row>
    <row r="1443" spans="2:6" x14ac:dyDescent="0.25">
      <c r="B1443" s="3"/>
      <c r="C1443" s="3"/>
      <c r="D1443" s="3"/>
      <c r="E1443" s="3" t="e">
        <f t="shared" si="46"/>
        <v>#N/A</v>
      </c>
      <c r="F1443" s="3" t="e">
        <f t="shared" si="47"/>
        <v>#N/A</v>
      </c>
    </row>
    <row r="1444" spans="2:6" x14ac:dyDescent="0.25">
      <c r="B1444" s="3"/>
      <c r="C1444" s="3"/>
      <c r="D1444" s="3"/>
      <c r="E1444" s="3" t="e">
        <f t="shared" si="46"/>
        <v>#N/A</v>
      </c>
      <c r="F1444" s="3" t="e">
        <f t="shared" si="47"/>
        <v>#N/A</v>
      </c>
    </row>
    <row r="1445" spans="2:6" x14ac:dyDescent="0.25">
      <c r="B1445" s="3"/>
      <c r="C1445" s="3"/>
      <c r="D1445" s="3"/>
      <c r="E1445" s="3" t="e">
        <f t="shared" si="46"/>
        <v>#N/A</v>
      </c>
      <c r="F1445" s="3" t="e">
        <f t="shared" si="47"/>
        <v>#N/A</v>
      </c>
    </row>
    <row r="1446" spans="2:6" x14ac:dyDescent="0.25">
      <c r="B1446" s="3"/>
      <c r="C1446" s="3"/>
      <c r="D1446" s="3"/>
      <c r="E1446" s="3" t="e">
        <f t="shared" si="46"/>
        <v>#N/A</v>
      </c>
      <c r="F1446" s="3" t="e">
        <f t="shared" si="47"/>
        <v>#N/A</v>
      </c>
    </row>
    <row r="1447" spans="2:6" x14ac:dyDescent="0.25">
      <c r="B1447" s="3"/>
      <c r="C1447" s="3"/>
      <c r="D1447" s="3"/>
      <c r="E1447" s="3" t="e">
        <f t="shared" si="46"/>
        <v>#N/A</v>
      </c>
      <c r="F1447" s="3" t="e">
        <f t="shared" si="47"/>
        <v>#N/A</v>
      </c>
    </row>
    <row r="1448" spans="2:6" x14ac:dyDescent="0.25">
      <c r="B1448" s="3"/>
      <c r="C1448" s="3"/>
      <c r="D1448" s="3"/>
      <c r="E1448" s="3" t="e">
        <f t="shared" si="46"/>
        <v>#N/A</v>
      </c>
      <c r="F1448" s="3" t="e">
        <f t="shared" si="47"/>
        <v>#N/A</v>
      </c>
    </row>
    <row r="1449" spans="2:6" x14ac:dyDescent="0.25">
      <c r="B1449" s="3"/>
      <c r="C1449" s="3"/>
      <c r="D1449" s="3"/>
      <c r="E1449" s="3" t="e">
        <f t="shared" si="46"/>
        <v>#N/A</v>
      </c>
      <c r="F1449" s="3" t="e">
        <f t="shared" si="47"/>
        <v>#N/A</v>
      </c>
    </row>
    <row r="1450" spans="2:6" x14ac:dyDescent="0.25">
      <c r="B1450" s="3"/>
      <c r="C1450" s="3"/>
      <c r="D1450" s="3"/>
      <c r="E1450" s="3" t="e">
        <f t="shared" si="46"/>
        <v>#N/A</v>
      </c>
      <c r="F1450" s="3" t="e">
        <f t="shared" si="47"/>
        <v>#N/A</v>
      </c>
    </row>
    <row r="1451" spans="2:6" x14ac:dyDescent="0.25">
      <c r="B1451" s="3"/>
      <c r="C1451" s="3"/>
      <c r="D1451" s="3"/>
      <c r="E1451" s="3" t="e">
        <f t="shared" si="46"/>
        <v>#N/A</v>
      </c>
      <c r="F1451" s="3" t="e">
        <f t="shared" si="47"/>
        <v>#N/A</v>
      </c>
    </row>
    <row r="1452" spans="2:6" x14ac:dyDescent="0.25">
      <c r="B1452" s="3"/>
      <c r="C1452" s="3"/>
      <c r="D1452" s="3"/>
      <c r="E1452" s="3" t="e">
        <f t="shared" si="46"/>
        <v>#N/A</v>
      </c>
      <c r="F1452" s="3" t="e">
        <f t="shared" si="47"/>
        <v>#N/A</v>
      </c>
    </row>
    <row r="1453" spans="2:6" x14ac:dyDescent="0.25">
      <c r="B1453" s="3"/>
      <c r="C1453" s="3"/>
      <c r="D1453" s="3"/>
      <c r="E1453" s="3" t="e">
        <f t="shared" si="46"/>
        <v>#N/A</v>
      </c>
      <c r="F1453" s="3" t="e">
        <f t="shared" si="47"/>
        <v>#N/A</v>
      </c>
    </row>
    <row r="1454" spans="2:6" x14ac:dyDescent="0.25">
      <c r="B1454" s="3"/>
      <c r="C1454" s="3"/>
      <c r="D1454" s="3"/>
      <c r="E1454" s="3" t="e">
        <f t="shared" si="46"/>
        <v>#N/A</v>
      </c>
      <c r="F1454" s="3" t="e">
        <f t="shared" si="47"/>
        <v>#N/A</v>
      </c>
    </row>
    <row r="1455" spans="2:6" x14ac:dyDescent="0.25">
      <c r="B1455" s="3"/>
      <c r="C1455" s="3"/>
      <c r="D1455" s="3"/>
      <c r="E1455" s="3" t="e">
        <f t="shared" si="46"/>
        <v>#N/A</v>
      </c>
      <c r="F1455" s="3" t="e">
        <f t="shared" si="47"/>
        <v>#N/A</v>
      </c>
    </row>
    <row r="1456" spans="2:6" x14ac:dyDescent="0.25">
      <c r="B1456" s="3"/>
      <c r="C1456" s="3"/>
      <c r="D1456" s="3"/>
      <c r="E1456" s="3" t="e">
        <f t="shared" si="46"/>
        <v>#N/A</v>
      </c>
      <c r="F1456" s="3" t="e">
        <f t="shared" si="47"/>
        <v>#N/A</v>
      </c>
    </row>
    <row r="1457" spans="2:6" x14ac:dyDescent="0.25">
      <c r="B1457" s="3"/>
      <c r="C1457" s="3"/>
      <c r="D1457" s="3"/>
      <c r="E1457" s="3" t="e">
        <f t="shared" si="46"/>
        <v>#N/A</v>
      </c>
      <c r="F1457" s="3" t="e">
        <f t="shared" si="47"/>
        <v>#N/A</v>
      </c>
    </row>
    <row r="1458" spans="2:6" x14ac:dyDescent="0.25">
      <c r="B1458" s="3"/>
      <c r="C1458" s="3"/>
      <c r="D1458" s="3"/>
      <c r="E1458" s="3" t="e">
        <f t="shared" si="46"/>
        <v>#N/A</v>
      </c>
      <c r="F1458" s="3" t="e">
        <f t="shared" si="47"/>
        <v>#N/A</v>
      </c>
    </row>
    <row r="1459" spans="2:6" x14ac:dyDescent="0.25">
      <c r="B1459" s="3"/>
      <c r="C1459" s="3"/>
      <c r="D1459" s="3"/>
      <c r="E1459" s="3" t="e">
        <f t="shared" si="46"/>
        <v>#N/A</v>
      </c>
      <c r="F1459" s="3" t="e">
        <f t="shared" si="47"/>
        <v>#N/A</v>
      </c>
    </row>
    <row r="1460" spans="2:6" x14ac:dyDescent="0.25">
      <c r="B1460" s="3"/>
      <c r="C1460" s="3"/>
      <c r="D1460" s="3"/>
      <c r="E1460" s="3" t="e">
        <f t="shared" si="46"/>
        <v>#N/A</v>
      </c>
      <c r="F1460" s="3" t="e">
        <f t="shared" si="47"/>
        <v>#N/A</v>
      </c>
    </row>
    <row r="1461" spans="2:6" x14ac:dyDescent="0.25">
      <c r="B1461" s="3"/>
      <c r="C1461" s="3"/>
      <c r="D1461" s="3"/>
      <c r="E1461" s="3" t="e">
        <f t="shared" si="46"/>
        <v>#N/A</v>
      </c>
      <c r="F1461" s="3" t="e">
        <f t="shared" si="47"/>
        <v>#N/A</v>
      </c>
    </row>
    <row r="1462" spans="2:6" x14ac:dyDescent="0.25">
      <c r="B1462" s="3"/>
      <c r="C1462" s="3"/>
      <c r="D1462" s="3"/>
      <c r="E1462" s="3" t="e">
        <f t="shared" si="46"/>
        <v>#N/A</v>
      </c>
      <c r="F1462" s="3" t="e">
        <f t="shared" si="47"/>
        <v>#N/A</v>
      </c>
    </row>
    <row r="1463" spans="2:6" x14ac:dyDescent="0.25">
      <c r="B1463" s="3"/>
      <c r="C1463" s="3"/>
      <c r="D1463" s="3"/>
      <c r="E1463" s="3" t="e">
        <f t="shared" si="46"/>
        <v>#N/A</v>
      </c>
      <c r="F1463" s="3" t="e">
        <f t="shared" si="47"/>
        <v>#N/A</v>
      </c>
    </row>
    <row r="1464" spans="2:6" x14ac:dyDescent="0.25">
      <c r="B1464" s="3"/>
      <c r="C1464" s="3"/>
      <c r="D1464" s="3"/>
      <c r="E1464" s="3" t="e">
        <f t="shared" si="46"/>
        <v>#N/A</v>
      </c>
      <c r="F1464" s="3" t="e">
        <f t="shared" si="47"/>
        <v>#N/A</v>
      </c>
    </row>
    <row r="1465" spans="2:6" x14ac:dyDescent="0.25">
      <c r="B1465" s="3"/>
      <c r="C1465" s="3"/>
      <c r="D1465" s="3"/>
      <c r="E1465" s="3" t="e">
        <f t="shared" si="46"/>
        <v>#N/A</v>
      </c>
      <c r="F1465" s="3" t="e">
        <f t="shared" si="47"/>
        <v>#N/A</v>
      </c>
    </row>
    <row r="1466" spans="2:6" x14ac:dyDescent="0.25">
      <c r="B1466" s="3"/>
      <c r="C1466" s="3"/>
      <c r="D1466" s="3"/>
      <c r="E1466" s="3" t="e">
        <f t="shared" si="46"/>
        <v>#N/A</v>
      </c>
      <c r="F1466" s="3" t="e">
        <f t="shared" si="47"/>
        <v>#N/A</v>
      </c>
    </row>
    <row r="1467" spans="2:6" x14ac:dyDescent="0.25">
      <c r="B1467" s="3"/>
      <c r="C1467" s="3"/>
      <c r="D1467" s="3"/>
      <c r="E1467" s="3" t="e">
        <f t="shared" si="46"/>
        <v>#N/A</v>
      </c>
      <c r="F1467" s="3" t="e">
        <f t="shared" si="47"/>
        <v>#N/A</v>
      </c>
    </row>
    <row r="1468" spans="2:6" x14ac:dyDescent="0.25">
      <c r="B1468" s="3"/>
      <c r="C1468" s="3"/>
      <c r="D1468" s="3"/>
      <c r="E1468" s="3" t="e">
        <f t="shared" si="46"/>
        <v>#N/A</v>
      </c>
      <c r="F1468" s="3" t="e">
        <f t="shared" si="47"/>
        <v>#N/A</v>
      </c>
    </row>
    <row r="1469" spans="2:6" x14ac:dyDescent="0.25">
      <c r="B1469" s="3"/>
      <c r="C1469" s="3"/>
      <c r="D1469" s="3"/>
      <c r="E1469" s="3" t="e">
        <f t="shared" si="46"/>
        <v>#N/A</v>
      </c>
      <c r="F1469" s="3" t="e">
        <f t="shared" si="47"/>
        <v>#N/A</v>
      </c>
    </row>
    <row r="1470" spans="2:6" x14ac:dyDescent="0.25">
      <c r="B1470" s="3"/>
      <c r="C1470" s="3"/>
      <c r="D1470" s="3"/>
      <c r="E1470" s="3" t="e">
        <f t="shared" si="46"/>
        <v>#N/A</v>
      </c>
      <c r="F1470" s="3" t="e">
        <f t="shared" si="47"/>
        <v>#N/A</v>
      </c>
    </row>
    <row r="1471" spans="2:6" x14ac:dyDescent="0.25">
      <c r="B1471" s="3"/>
      <c r="C1471" s="3"/>
      <c r="D1471" s="3"/>
      <c r="E1471" s="3" t="e">
        <f t="shared" si="46"/>
        <v>#N/A</v>
      </c>
      <c r="F1471" s="3" t="e">
        <f t="shared" si="47"/>
        <v>#N/A</v>
      </c>
    </row>
    <row r="1472" spans="2:6" x14ac:dyDescent="0.25">
      <c r="B1472" s="3"/>
      <c r="C1472" s="3"/>
      <c r="D1472" s="3"/>
      <c r="E1472" s="3" t="e">
        <f t="shared" si="46"/>
        <v>#N/A</v>
      </c>
      <c r="F1472" s="3" t="e">
        <f t="shared" si="47"/>
        <v>#N/A</v>
      </c>
    </row>
    <row r="1473" spans="2:6" x14ac:dyDescent="0.25">
      <c r="B1473" s="3"/>
      <c r="C1473" s="3"/>
      <c r="D1473" s="3"/>
      <c r="E1473" s="3" t="e">
        <f t="shared" si="46"/>
        <v>#N/A</v>
      </c>
      <c r="F1473" s="3" t="e">
        <f t="shared" si="47"/>
        <v>#N/A</v>
      </c>
    </row>
    <row r="1474" spans="2:6" x14ac:dyDescent="0.25">
      <c r="B1474" s="3"/>
      <c r="C1474" s="3"/>
      <c r="D1474" s="3"/>
      <c r="E1474" s="3" t="e">
        <f t="shared" si="46"/>
        <v>#N/A</v>
      </c>
      <c r="F1474" s="3" t="e">
        <f t="shared" si="47"/>
        <v>#N/A</v>
      </c>
    </row>
    <row r="1475" spans="2:6" x14ac:dyDescent="0.25">
      <c r="B1475" s="3"/>
      <c r="C1475" s="3"/>
      <c r="D1475" s="3"/>
      <c r="E1475" s="3" t="e">
        <f t="shared" si="46"/>
        <v>#N/A</v>
      </c>
      <c r="F1475" s="3" t="e">
        <f t="shared" si="47"/>
        <v>#N/A</v>
      </c>
    </row>
    <row r="1476" spans="2:6" x14ac:dyDescent="0.25">
      <c r="B1476" s="3"/>
      <c r="C1476" s="3"/>
      <c r="D1476" s="3"/>
      <c r="E1476" s="3" t="e">
        <f t="shared" ref="E1476:E1539" si="48">VLOOKUP(C1476,I:J,2,0)</f>
        <v>#N/A</v>
      </c>
      <c r="F1476" s="3" t="e">
        <f t="shared" ref="F1476:F1539" si="49">E1476&amp;" "&amp;B1476</f>
        <v>#N/A</v>
      </c>
    </row>
    <row r="1477" spans="2:6" x14ac:dyDescent="0.25">
      <c r="B1477" s="3"/>
      <c r="C1477" s="3"/>
      <c r="D1477" s="3"/>
      <c r="E1477" s="3" t="e">
        <f t="shared" si="48"/>
        <v>#N/A</v>
      </c>
      <c r="F1477" s="3" t="e">
        <f t="shared" si="49"/>
        <v>#N/A</v>
      </c>
    </row>
    <row r="1478" spans="2:6" x14ac:dyDescent="0.25">
      <c r="B1478" s="3"/>
      <c r="C1478" s="3"/>
      <c r="D1478" s="3"/>
      <c r="E1478" s="3" t="e">
        <f t="shared" si="48"/>
        <v>#N/A</v>
      </c>
      <c r="F1478" s="3" t="e">
        <f t="shared" si="49"/>
        <v>#N/A</v>
      </c>
    </row>
    <row r="1479" spans="2:6" x14ac:dyDescent="0.25">
      <c r="B1479" s="3"/>
      <c r="C1479" s="3"/>
      <c r="D1479" s="3"/>
      <c r="E1479" s="3" t="e">
        <f t="shared" si="48"/>
        <v>#N/A</v>
      </c>
      <c r="F1479" s="3" t="e">
        <f t="shared" si="49"/>
        <v>#N/A</v>
      </c>
    </row>
    <row r="1480" spans="2:6" x14ac:dyDescent="0.25">
      <c r="B1480" s="3"/>
      <c r="C1480" s="3"/>
      <c r="D1480" s="3"/>
      <c r="E1480" s="3" t="e">
        <f t="shared" si="48"/>
        <v>#N/A</v>
      </c>
      <c r="F1480" s="3" t="e">
        <f t="shared" si="49"/>
        <v>#N/A</v>
      </c>
    </row>
    <row r="1481" spans="2:6" x14ac:dyDescent="0.25">
      <c r="B1481" s="3"/>
      <c r="C1481" s="3"/>
      <c r="D1481" s="3"/>
      <c r="E1481" s="3" t="e">
        <f t="shared" si="48"/>
        <v>#N/A</v>
      </c>
      <c r="F1481" s="3" t="e">
        <f t="shared" si="49"/>
        <v>#N/A</v>
      </c>
    </row>
    <row r="1482" spans="2:6" x14ac:dyDescent="0.25">
      <c r="B1482" s="3"/>
      <c r="C1482" s="3"/>
      <c r="D1482" s="3"/>
      <c r="E1482" s="3" t="e">
        <f t="shared" si="48"/>
        <v>#N/A</v>
      </c>
      <c r="F1482" s="3" t="e">
        <f t="shared" si="49"/>
        <v>#N/A</v>
      </c>
    </row>
    <row r="1483" spans="2:6" x14ac:dyDescent="0.25">
      <c r="B1483" s="3"/>
      <c r="C1483" s="3"/>
      <c r="D1483" s="3"/>
      <c r="E1483" s="3" t="e">
        <f t="shared" si="48"/>
        <v>#N/A</v>
      </c>
      <c r="F1483" s="3" t="e">
        <f t="shared" si="49"/>
        <v>#N/A</v>
      </c>
    </row>
    <row r="1484" spans="2:6" x14ac:dyDescent="0.25">
      <c r="B1484" s="3"/>
      <c r="C1484" s="3"/>
      <c r="D1484" s="3"/>
      <c r="E1484" s="3" t="e">
        <f t="shared" si="48"/>
        <v>#N/A</v>
      </c>
      <c r="F1484" s="3" t="e">
        <f t="shared" si="49"/>
        <v>#N/A</v>
      </c>
    </row>
    <row r="1485" spans="2:6" x14ac:dyDescent="0.25">
      <c r="B1485" s="3"/>
      <c r="C1485" s="3"/>
      <c r="D1485" s="3"/>
      <c r="E1485" s="3" t="e">
        <f t="shared" si="48"/>
        <v>#N/A</v>
      </c>
      <c r="F1485" s="3" t="e">
        <f t="shared" si="49"/>
        <v>#N/A</v>
      </c>
    </row>
    <row r="1486" spans="2:6" x14ac:dyDescent="0.25">
      <c r="B1486" s="3"/>
      <c r="C1486" s="3"/>
      <c r="D1486" s="3"/>
      <c r="E1486" s="3" t="e">
        <f t="shared" si="48"/>
        <v>#N/A</v>
      </c>
      <c r="F1486" s="3" t="e">
        <f t="shared" si="49"/>
        <v>#N/A</v>
      </c>
    </row>
    <row r="1487" spans="2:6" x14ac:dyDescent="0.25">
      <c r="B1487" s="3"/>
      <c r="C1487" s="3"/>
      <c r="D1487" s="3"/>
      <c r="E1487" s="3" t="e">
        <f t="shared" si="48"/>
        <v>#N/A</v>
      </c>
      <c r="F1487" s="3" t="e">
        <f t="shared" si="49"/>
        <v>#N/A</v>
      </c>
    </row>
    <row r="1488" spans="2:6" x14ac:dyDescent="0.25">
      <c r="B1488" s="3"/>
      <c r="C1488" s="3"/>
      <c r="D1488" s="3"/>
      <c r="E1488" s="3" t="e">
        <f t="shared" si="48"/>
        <v>#N/A</v>
      </c>
      <c r="F1488" s="3" t="e">
        <f t="shared" si="49"/>
        <v>#N/A</v>
      </c>
    </row>
    <row r="1489" spans="2:6" x14ac:dyDescent="0.25">
      <c r="B1489" s="3"/>
      <c r="C1489" s="3"/>
      <c r="D1489" s="3"/>
      <c r="E1489" s="3" t="e">
        <f t="shared" si="48"/>
        <v>#N/A</v>
      </c>
      <c r="F1489" s="3" t="e">
        <f t="shared" si="49"/>
        <v>#N/A</v>
      </c>
    </row>
    <row r="1490" spans="2:6" x14ac:dyDescent="0.25">
      <c r="B1490" s="3"/>
      <c r="C1490" s="3"/>
      <c r="D1490" s="3"/>
      <c r="E1490" s="3" t="e">
        <f t="shared" si="48"/>
        <v>#N/A</v>
      </c>
      <c r="F1490" s="3" t="e">
        <f t="shared" si="49"/>
        <v>#N/A</v>
      </c>
    </row>
    <row r="1491" spans="2:6" x14ac:dyDescent="0.25">
      <c r="B1491" s="3"/>
      <c r="C1491" s="3"/>
      <c r="D1491" s="3"/>
      <c r="E1491" s="3" t="e">
        <f t="shared" si="48"/>
        <v>#N/A</v>
      </c>
      <c r="F1491" s="3" t="e">
        <f t="shared" si="49"/>
        <v>#N/A</v>
      </c>
    </row>
    <row r="1492" spans="2:6" x14ac:dyDescent="0.25">
      <c r="B1492" s="3"/>
      <c r="C1492" s="3"/>
      <c r="D1492" s="3"/>
      <c r="E1492" s="3" t="e">
        <f t="shared" si="48"/>
        <v>#N/A</v>
      </c>
      <c r="F1492" s="3" t="e">
        <f t="shared" si="49"/>
        <v>#N/A</v>
      </c>
    </row>
    <row r="1493" spans="2:6" x14ac:dyDescent="0.25">
      <c r="B1493" s="3"/>
      <c r="C1493" s="3"/>
      <c r="D1493" s="3"/>
      <c r="E1493" s="3" t="e">
        <f t="shared" si="48"/>
        <v>#N/A</v>
      </c>
      <c r="F1493" s="3" t="e">
        <f t="shared" si="49"/>
        <v>#N/A</v>
      </c>
    </row>
    <row r="1494" spans="2:6" x14ac:dyDescent="0.25">
      <c r="B1494" s="3"/>
      <c r="C1494" s="3"/>
      <c r="D1494" s="3"/>
      <c r="E1494" s="3" t="e">
        <f t="shared" si="48"/>
        <v>#N/A</v>
      </c>
      <c r="F1494" s="3" t="e">
        <f t="shared" si="49"/>
        <v>#N/A</v>
      </c>
    </row>
    <row r="1495" spans="2:6" x14ac:dyDescent="0.25">
      <c r="B1495" s="3"/>
      <c r="C1495" s="3"/>
      <c r="D1495" s="3"/>
      <c r="E1495" s="3" t="e">
        <f t="shared" si="48"/>
        <v>#N/A</v>
      </c>
      <c r="F1495" s="3" t="e">
        <f t="shared" si="49"/>
        <v>#N/A</v>
      </c>
    </row>
    <row r="1496" spans="2:6" x14ac:dyDescent="0.25">
      <c r="B1496" s="3"/>
      <c r="C1496" s="3"/>
      <c r="D1496" s="3"/>
      <c r="E1496" s="3" t="e">
        <f t="shared" si="48"/>
        <v>#N/A</v>
      </c>
      <c r="F1496" s="3" t="e">
        <f t="shared" si="49"/>
        <v>#N/A</v>
      </c>
    </row>
    <row r="1497" spans="2:6" x14ac:dyDescent="0.25">
      <c r="B1497" s="3"/>
      <c r="C1497" s="3"/>
      <c r="D1497" s="3"/>
      <c r="E1497" s="3" t="e">
        <f t="shared" si="48"/>
        <v>#N/A</v>
      </c>
      <c r="F1497" s="3" t="e">
        <f t="shared" si="49"/>
        <v>#N/A</v>
      </c>
    </row>
    <row r="1498" spans="2:6" x14ac:dyDescent="0.25">
      <c r="B1498" s="3"/>
      <c r="C1498" s="3"/>
      <c r="D1498" s="3"/>
      <c r="E1498" s="3" t="e">
        <f t="shared" si="48"/>
        <v>#N/A</v>
      </c>
      <c r="F1498" s="3" t="e">
        <f t="shared" si="49"/>
        <v>#N/A</v>
      </c>
    </row>
    <row r="1499" spans="2:6" x14ac:dyDescent="0.25">
      <c r="B1499" s="3"/>
      <c r="C1499" s="3"/>
      <c r="D1499" s="3"/>
      <c r="E1499" s="3" t="e">
        <f t="shared" si="48"/>
        <v>#N/A</v>
      </c>
      <c r="F1499" s="3" t="e">
        <f t="shared" si="49"/>
        <v>#N/A</v>
      </c>
    </row>
    <row r="1500" spans="2:6" x14ac:dyDescent="0.25">
      <c r="B1500" s="3"/>
      <c r="C1500" s="3"/>
      <c r="D1500" s="3"/>
      <c r="E1500" s="3" t="e">
        <f t="shared" si="48"/>
        <v>#N/A</v>
      </c>
      <c r="F1500" s="3" t="e">
        <f t="shared" si="49"/>
        <v>#N/A</v>
      </c>
    </row>
    <row r="1501" spans="2:6" x14ac:dyDescent="0.25">
      <c r="B1501" s="3"/>
      <c r="C1501" s="3"/>
      <c r="D1501" s="3"/>
      <c r="E1501" s="3" t="e">
        <f t="shared" si="48"/>
        <v>#N/A</v>
      </c>
      <c r="F1501" s="3" t="e">
        <f t="shared" si="49"/>
        <v>#N/A</v>
      </c>
    </row>
    <row r="1502" spans="2:6" x14ac:dyDescent="0.25">
      <c r="B1502" s="3"/>
      <c r="C1502" s="3"/>
      <c r="D1502" s="3"/>
      <c r="E1502" s="3" t="e">
        <f t="shared" si="48"/>
        <v>#N/A</v>
      </c>
      <c r="F1502" s="3" t="e">
        <f t="shared" si="49"/>
        <v>#N/A</v>
      </c>
    </row>
    <row r="1503" spans="2:6" x14ac:dyDescent="0.25">
      <c r="B1503" s="3"/>
      <c r="C1503" s="3"/>
      <c r="D1503" s="3"/>
      <c r="E1503" s="3" t="e">
        <f t="shared" si="48"/>
        <v>#N/A</v>
      </c>
      <c r="F1503" s="3" t="e">
        <f t="shared" si="49"/>
        <v>#N/A</v>
      </c>
    </row>
    <row r="1504" spans="2:6" x14ac:dyDescent="0.25">
      <c r="B1504" s="3"/>
      <c r="C1504" s="3"/>
      <c r="D1504" s="3"/>
      <c r="E1504" s="3" t="e">
        <f t="shared" si="48"/>
        <v>#N/A</v>
      </c>
      <c r="F1504" s="3" t="e">
        <f t="shared" si="49"/>
        <v>#N/A</v>
      </c>
    </row>
    <row r="1505" spans="2:6" x14ac:dyDescent="0.25">
      <c r="B1505" s="3"/>
      <c r="C1505" s="3"/>
      <c r="D1505" s="3"/>
      <c r="E1505" s="3" t="e">
        <f t="shared" si="48"/>
        <v>#N/A</v>
      </c>
      <c r="F1505" s="3" t="e">
        <f t="shared" si="49"/>
        <v>#N/A</v>
      </c>
    </row>
    <row r="1506" spans="2:6" x14ac:dyDescent="0.25">
      <c r="B1506" s="3"/>
      <c r="C1506" s="3"/>
      <c r="D1506" s="3"/>
      <c r="E1506" s="3" t="e">
        <f t="shared" si="48"/>
        <v>#N/A</v>
      </c>
      <c r="F1506" s="3" t="e">
        <f t="shared" si="49"/>
        <v>#N/A</v>
      </c>
    </row>
    <row r="1507" spans="2:6" x14ac:dyDescent="0.25">
      <c r="B1507" s="3"/>
      <c r="C1507" s="3"/>
      <c r="D1507" s="3"/>
      <c r="E1507" s="3" t="e">
        <f t="shared" si="48"/>
        <v>#N/A</v>
      </c>
      <c r="F1507" s="3" t="e">
        <f t="shared" si="49"/>
        <v>#N/A</v>
      </c>
    </row>
    <row r="1508" spans="2:6" x14ac:dyDescent="0.25">
      <c r="B1508" s="3"/>
      <c r="C1508" s="3"/>
      <c r="D1508" s="3"/>
      <c r="E1508" s="3" t="e">
        <f t="shared" si="48"/>
        <v>#N/A</v>
      </c>
      <c r="F1508" s="3" t="e">
        <f t="shared" si="49"/>
        <v>#N/A</v>
      </c>
    </row>
    <row r="1509" spans="2:6" x14ac:dyDescent="0.25">
      <c r="B1509" s="3"/>
      <c r="C1509" s="3"/>
      <c r="D1509" s="3"/>
      <c r="E1509" s="3" t="e">
        <f t="shared" si="48"/>
        <v>#N/A</v>
      </c>
      <c r="F1509" s="3" t="e">
        <f t="shared" si="49"/>
        <v>#N/A</v>
      </c>
    </row>
    <row r="1510" spans="2:6" x14ac:dyDescent="0.25">
      <c r="B1510" s="3"/>
      <c r="C1510" s="3"/>
      <c r="D1510" s="3"/>
      <c r="E1510" s="3" t="e">
        <f t="shared" si="48"/>
        <v>#N/A</v>
      </c>
      <c r="F1510" s="3" t="e">
        <f t="shared" si="49"/>
        <v>#N/A</v>
      </c>
    </row>
    <row r="1511" spans="2:6" x14ac:dyDescent="0.25">
      <c r="B1511" s="3"/>
      <c r="C1511" s="3"/>
      <c r="D1511" s="3"/>
      <c r="E1511" s="3" t="e">
        <f t="shared" si="48"/>
        <v>#N/A</v>
      </c>
      <c r="F1511" s="3" t="e">
        <f t="shared" si="49"/>
        <v>#N/A</v>
      </c>
    </row>
    <row r="1512" spans="2:6" x14ac:dyDescent="0.25">
      <c r="B1512" s="3"/>
      <c r="C1512" s="3"/>
      <c r="D1512" s="3"/>
      <c r="E1512" s="3" t="e">
        <f t="shared" si="48"/>
        <v>#N/A</v>
      </c>
      <c r="F1512" s="3" t="e">
        <f t="shared" si="49"/>
        <v>#N/A</v>
      </c>
    </row>
    <row r="1513" spans="2:6" x14ac:dyDescent="0.25">
      <c r="B1513" s="3"/>
      <c r="C1513" s="3"/>
      <c r="D1513" s="3"/>
      <c r="E1513" s="3" t="e">
        <f t="shared" si="48"/>
        <v>#N/A</v>
      </c>
      <c r="F1513" s="3" t="e">
        <f t="shared" si="49"/>
        <v>#N/A</v>
      </c>
    </row>
    <row r="1514" spans="2:6" x14ac:dyDescent="0.25">
      <c r="B1514" s="3"/>
      <c r="C1514" s="3"/>
      <c r="D1514" s="3"/>
      <c r="E1514" s="3" t="e">
        <f t="shared" si="48"/>
        <v>#N/A</v>
      </c>
      <c r="F1514" s="3" t="e">
        <f t="shared" si="49"/>
        <v>#N/A</v>
      </c>
    </row>
    <row r="1515" spans="2:6" x14ac:dyDescent="0.25">
      <c r="B1515" s="3"/>
      <c r="C1515" s="3"/>
      <c r="D1515" s="3"/>
      <c r="E1515" s="3" t="e">
        <f t="shared" si="48"/>
        <v>#N/A</v>
      </c>
      <c r="F1515" s="3" t="e">
        <f t="shared" si="49"/>
        <v>#N/A</v>
      </c>
    </row>
    <row r="1516" spans="2:6" x14ac:dyDescent="0.25">
      <c r="B1516" s="3"/>
      <c r="C1516" s="3"/>
      <c r="D1516" s="3"/>
      <c r="E1516" s="3" t="e">
        <f t="shared" si="48"/>
        <v>#N/A</v>
      </c>
      <c r="F1516" s="3" t="e">
        <f t="shared" si="49"/>
        <v>#N/A</v>
      </c>
    </row>
    <row r="1517" spans="2:6" x14ac:dyDescent="0.25">
      <c r="B1517" s="3"/>
      <c r="C1517" s="3"/>
      <c r="D1517" s="3"/>
      <c r="E1517" s="3" t="e">
        <f t="shared" si="48"/>
        <v>#N/A</v>
      </c>
      <c r="F1517" s="3" t="e">
        <f t="shared" si="49"/>
        <v>#N/A</v>
      </c>
    </row>
    <row r="1518" spans="2:6" x14ac:dyDescent="0.25">
      <c r="B1518" s="3"/>
      <c r="C1518" s="3"/>
      <c r="D1518" s="3"/>
      <c r="E1518" s="3" t="e">
        <f t="shared" si="48"/>
        <v>#N/A</v>
      </c>
      <c r="F1518" s="3" t="e">
        <f t="shared" si="49"/>
        <v>#N/A</v>
      </c>
    </row>
    <row r="1519" spans="2:6" x14ac:dyDescent="0.25">
      <c r="B1519" s="3"/>
      <c r="C1519" s="3"/>
      <c r="D1519" s="3"/>
      <c r="E1519" s="3" t="e">
        <f t="shared" si="48"/>
        <v>#N/A</v>
      </c>
      <c r="F1519" s="3" t="e">
        <f t="shared" si="49"/>
        <v>#N/A</v>
      </c>
    </row>
    <row r="1520" spans="2:6" x14ac:dyDescent="0.25">
      <c r="B1520" s="3"/>
      <c r="C1520" s="3"/>
      <c r="D1520" s="3"/>
      <c r="E1520" s="3" t="e">
        <f t="shared" si="48"/>
        <v>#N/A</v>
      </c>
      <c r="F1520" s="3" t="e">
        <f t="shared" si="49"/>
        <v>#N/A</v>
      </c>
    </row>
    <row r="1521" spans="2:6" x14ac:dyDescent="0.25">
      <c r="B1521" s="3"/>
      <c r="C1521" s="3"/>
      <c r="D1521" s="3"/>
      <c r="E1521" s="3" t="e">
        <f t="shared" si="48"/>
        <v>#N/A</v>
      </c>
      <c r="F1521" s="3" t="e">
        <f t="shared" si="49"/>
        <v>#N/A</v>
      </c>
    </row>
    <row r="1522" spans="2:6" x14ac:dyDescent="0.25">
      <c r="B1522" s="3"/>
      <c r="C1522" s="3"/>
      <c r="D1522" s="3"/>
      <c r="E1522" s="3" t="e">
        <f t="shared" si="48"/>
        <v>#N/A</v>
      </c>
      <c r="F1522" s="3" t="e">
        <f t="shared" si="49"/>
        <v>#N/A</v>
      </c>
    </row>
    <row r="1523" spans="2:6" x14ac:dyDescent="0.25">
      <c r="B1523" s="3"/>
      <c r="C1523" s="3"/>
      <c r="D1523" s="3"/>
      <c r="E1523" s="3" t="e">
        <f t="shared" si="48"/>
        <v>#N/A</v>
      </c>
      <c r="F1523" s="3" t="e">
        <f t="shared" si="49"/>
        <v>#N/A</v>
      </c>
    </row>
    <row r="1524" spans="2:6" x14ac:dyDescent="0.25">
      <c r="B1524" s="3"/>
      <c r="C1524" s="3"/>
      <c r="D1524" s="3"/>
      <c r="E1524" s="3" t="e">
        <f t="shared" si="48"/>
        <v>#N/A</v>
      </c>
      <c r="F1524" s="3" t="e">
        <f t="shared" si="49"/>
        <v>#N/A</v>
      </c>
    </row>
    <row r="1525" spans="2:6" x14ac:dyDescent="0.25">
      <c r="B1525" s="3"/>
      <c r="C1525" s="3"/>
      <c r="D1525" s="3"/>
      <c r="E1525" s="3" t="e">
        <f t="shared" si="48"/>
        <v>#N/A</v>
      </c>
      <c r="F1525" s="3" t="e">
        <f t="shared" si="49"/>
        <v>#N/A</v>
      </c>
    </row>
    <row r="1526" spans="2:6" x14ac:dyDescent="0.25">
      <c r="B1526" s="3"/>
      <c r="C1526" s="3"/>
      <c r="D1526" s="3"/>
      <c r="E1526" s="3" t="e">
        <f t="shared" si="48"/>
        <v>#N/A</v>
      </c>
      <c r="F1526" s="3" t="e">
        <f t="shared" si="49"/>
        <v>#N/A</v>
      </c>
    </row>
    <row r="1527" spans="2:6" x14ac:dyDescent="0.25">
      <c r="B1527" s="3"/>
      <c r="C1527" s="3"/>
      <c r="D1527" s="3"/>
      <c r="E1527" s="3" t="e">
        <f t="shared" si="48"/>
        <v>#N/A</v>
      </c>
      <c r="F1527" s="3" t="e">
        <f t="shared" si="49"/>
        <v>#N/A</v>
      </c>
    </row>
    <row r="1528" spans="2:6" x14ac:dyDescent="0.25">
      <c r="B1528" s="3"/>
      <c r="C1528" s="3"/>
      <c r="D1528" s="3"/>
      <c r="E1528" s="3" t="e">
        <f t="shared" si="48"/>
        <v>#N/A</v>
      </c>
      <c r="F1528" s="3" t="e">
        <f t="shared" si="49"/>
        <v>#N/A</v>
      </c>
    </row>
    <row r="1529" spans="2:6" x14ac:dyDescent="0.25">
      <c r="B1529" s="3"/>
      <c r="C1529" s="3"/>
      <c r="D1529" s="3"/>
      <c r="E1529" s="3" t="e">
        <f t="shared" si="48"/>
        <v>#N/A</v>
      </c>
      <c r="F1529" s="3" t="e">
        <f t="shared" si="49"/>
        <v>#N/A</v>
      </c>
    </row>
    <row r="1530" spans="2:6" x14ac:dyDescent="0.25">
      <c r="B1530" s="3"/>
      <c r="C1530" s="3"/>
      <c r="D1530" s="3"/>
      <c r="E1530" s="3" t="e">
        <f t="shared" si="48"/>
        <v>#N/A</v>
      </c>
      <c r="F1530" s="3" t="e">
        <f t="shared" si="49"/>
        <v>#N/A</v>
      </c>
    </row>
    <row r="1531" spans="2:6" x14ac:dyDescent="0.25">
      <c r="B1531" s="3"/>
      <c r="C1531" s="3"/>
      <c r="D1531" s="3"/>
      <c r="E1531" s="3" t="e">
        <f t="shared" si="48"/>
        <v>#N/A</v>
      </c>
      <c r="F1531" s="3" t="e">
        <f t="shared" si="49"/>
        <v>#N/A</v>
      </c>
    </row>
    <row r="1532" spans="2:6" x14ac:dyDescent="0.25">
      <c r="B1532" s="3"/>
      <c r="C1532" s="3"/>
      <c r="D1532" s="3"/>
      <c r="E1532" s="3" t="e">
        <f t="shared" si="48"/>
        <v>#N/A</v>
      </c>
      <c r="F1532" s="3" t="e">
        <f t="shared" si="49"/>
        <v>#N/A</v>
      </c>
    </row>
    <row r="1533" spans="2:6" x14ac:dyDescent="0.25">
      <c r="B1533" s="3"/>
      <c r="C1533" s="3"/>
      <c r="D1533" s="3"/>
      <c r="E1533" s="3" t="e">
        <f t="shared" si="48"/>
        <v>#N/A</v>
      </c>
      <c r="F1533" s="3" t="e">
        <f t="shared" si="49"/>
        <v>#N/A</v>
      </c>
    </row>
    <row r="1534" spans="2:6" x14ac:dyDescent="0.25">
      <c r="B1534" s="3"/>
      <c r="C1534" s="3"/>
      <c r="D1534" s="3"/>
      <c r="E1534" s="3" t="e">
        <f t="shared" si="48"/>
        <v>#N/A</v>
      </c>
      <c r="F1534" s="3" t="e">
        <f t="shared" si="49"/>
        <v>#N/A</v>
      </c>
    </row>
    <row r="1535" spans="2:6" x14ac:dyDescent="0.25">
      <c r="B1535" s="3"/>
      <c r="C1535" s="3"/>
      <c r="D1535" s="3"/>
      <c r="E1535" s="3" t="e">
        <f t="shared" si="48"/>
        <v>#N/A</v>
      </c>
      <c r="F1535" s="3" t="e">
        <f t="shared" si="49"/>
        <v>#N/A</v>
      </c>
    </row>
    <row r="1536" spans="2:6" x14ac:dyDescent="0.25">
      <c r="B1536" s="3"/>
      <c r="C1536" s="3"/>
      <c r="D1536" s="3"/>
      <c r="E1536" s="3" t="e">
        <f t="shared" si="48"/>
        <v>#N/A</v>
      </c>
      <c r="F1536" s="3" t="e">
        <f t="shared" si="49"/>
        <v>#N/A</v>
      </c>
    </row>
    <row r="1537" spans="2:6" x14ac:dyDescent="0.25">
      <c r="B1537" s="3"/>
      <c r="C1537" s="3"/>
      <c r="D1537" s="3"/>
      <c r="E1537" s="3" t="e">
        <f t="shared" si="48"/>
        <v>#N/A</v>
      </c>
      <c r="F1537" s="3" t="e">
        <f t="shared" si="49"/>
        <v>#N/A</v>
      </c>
    </row>
    <row r="1538" spans="2:6" x14ac:dyDescent="0.25">
      <c r="B1538" s="3"/>
      <c r="C1538" s="3"/>
      <c r="D1538" s="3"/>
      <c r="E1538" s="3" t="e">
        <f t="shared" si="48"/>
        <v>#N/A</v>
      </c>
      <c r="F1538" s="3" t="e">
        <f t="shared" si="49"/>
        <v>#N/A</v>
      </c>
    </row>
    <row r="1539" spans="2:6" x14ac:dyDescent="0.25">
      <c r="B1539" s="3"/>
      <c r="C1539" s="3"/>
      <c r="D1539" s="3"/>
      <c r="E1539" s="3" t="e">
        <f t="shared" si="48"/>
        <v>#N/A</v>
      </c>
      <c r="F1539" s="3" t="e">
        <f t="shared" si="49"/>
        <v>#N/A</v>
      </c>
    </row>
    <row r="1540" spans="2:6" x14ac:dyDescent="0.25">
      <c r="B1540" s="3"/>
      <c r="C1540" s="3"/>
      <c r="D1540" s="3"/>
      <c r="E1540" s="3" t="e">
        <f t="shared" ref="E1540:E1603" si="50">VLOOKUP(C1540,I:J,2,0)</f>
        <v>#N/A</v>
      </c>
      <c r="F1540" s="3" t="e">
        <f t="shared" ref="F1540:F1603" si="51">E1540&amp;" "&amp;B1540</f>
        <v>#N/A</v>
      </c>
    </row>
    <row r="1541" spans="2:6" x14ac:dyDescent="0.25">
      <c r="B1541" s="3"/>
      <c r="C1541" s="3"/>
      <c r="D1541" s="3"/>
      <c r="E1541" s="3" t="e">
        <f t="shared" si="50"/>
        <v>#N/A</v>
      </c>
      <c r="F1541" s="3" t="e">
        <f t="shared" si="51"/>
        <v>#N/A</v>
      </c>
    </row>
    <row r="1542" spans="2:6" x14ac:dyDescent="0.25">
      <c r="B1542" s="3"/>
      <c r="C1542" s="3"/>
      <c r="D1542" s="3"/>
      <c r="E1542" s="3" t="e">
        <f t="shared" si="50"/>
        <v>#N/A</v>
      </c>
      <c r="F1542" s="3" t="e">
        <f t="shared" si="51"/>
        <v>#N/A</v>
      </c>
    </row>
    <row r="1543" spans="2:6" x14ac:dyDescent="0.25">
      <c r="B1543" s="3"/>
      <c r="C1543" s="3"/>
      <c r="D1543" s="3"/>
      <c r="E1543" s="3" t="e">
        <f t="shared" si="50"/>
        <v>#N/A</v>
      </c>
      <c r="F1543" s="3" t="e">
        <f t="shared" si="51"/>
        <v>#N/A</v>
      </c>
    </row>
    <row r="1544" spans="2:6" x14ac:dyDescent="0.25">
      <c r="B1544" s="3"/>
      <c r="C1544" s="3"/>
      <c r="D1544" s="3"/>
      <c r="E1544" s="3" t="e">
        <f t="shared" si="50"/>
        <v>#N/A</v>
      </c>
      <c r="F1544" s="3" t="e">
        <f t="shared" si="51"/>
        <v>#N/A</v>
      </c>
    </row>
    <row r="1545" spans="2:6" x14ac:dyDescent="0.25">
      <c r="B1545" s="3"/>
      <c r="C1545" s="3"/>
      <c r="D1545" s="3"/>
      <c r="E1545" s="3" t="e">
        <f t="shared" si="50"/>
        <v>#N/A</v>
      </c>
      <c r="F1545" s="3" t="e">
        <f t="shared" si="51"/>
        <v>#N/A</v>
      </c>
    </row>
    <row r="1546" spans="2:6" x14ac:dyDescent="0.25">
      <c r="B1546" s="3"/>
      <c r="C1546" s="3"/>
      <c r="D1546" s="3"/>
      <c r="E1546" s="3" t="e">
        <f t="shared" si="50"/>
        <v>#N/A</v>
      </c>
      <c r="F1546" s="3" t="e">
        <f t="shared" si="51"/>
        <v>#N/A</v>
      </c>
    </row>
    <row r="1547" spans="2:6" x14ac:dyDescent="0.25">
      <c r="B1547" s="3"/>
      <c r="C1547" s="3"/>
      <c r="D1547" s="3"/>
      <c r="E1547" s="3" t="e">
        <f t="shared" si="50"/>
        <v>#N/A</v>
      </c>
      <c r="F1547" s="3" t="e">
        <f t="shared" si="51"/>
        <v>#N/A</v>
      </c>
    </row>
    <row r="1548" spans="2:6" x14ac:dyDescent="0.25">
      <c r="B1548" s="3"/>
      <c r="C1548" s="3"/>
      <c r="D1548" s="3"/>
      <c r="E1548" s="3" t="e">
        <f t="shared" si="50"/>
        <v>#N/A</v>
      </c>
      <c r="F1548" s="3" t="e">
        <f t="shared" si="51"/>
        <v>#N/A</v>
      </c>
    </row>
    <row r="1549" spans="2:6" x14ac:dyDescent="0.25">
      <c r="B1549" s="3"/>
      <c r="C1549" s="3"/>
      <c r="D1549" s="3"/>
      <c r="E1549" s="3" t="e">
        <f t="shared" si="50"/>
        <v>#N/A</v>
      </c>
      <c r="F1549" s="3" t="e">
        <f t="shared" si="51"/>
        <v>#N/A</v>
      </c>
    </row>
    <row r="1550" spans="2:6" x14ac:dyDescent="0.25">
      <c r="B1550" s="3"/>
      <c r="C1550" s="3"/>
      <c r="D1550" s="3"/>
      <c r="E1550" s="3" t="e">
        <f t="shared" si="50"/>
        <v>#N/A</v>
      </c>
      <c r="F1550" s="3" t="e">
        <f t="shared" si="51"/>
        <v>#N/A</v>
      </c>
    </row>
    <row r="1551" spans="2:6" x14ac:dyDescent="0.25">
      <c r="B1551" s="3"/>
      <c r="C1551" s="3"/>
      <c r="D1551" s="3"/>
      <c r="E1551" s="3" t="e">
        <f t="shared" si="50"/>
        <v>#N/A</v>
      </c>
      <c r="F1551" s="3" t="e">
        <f t="shared" si="51"/>
        <v>#N/A</v>
      </c>
    </row>
    <row r="1552" spans="2:6" x14ac:dyDescent="0.25">
      <c r="B1552" s="3"/>
      <c r="C1552" s="3"/>
      <c r="D1552" s="3"/>
      <c r="E1552" s="3" t="e">
        <f t="shared" si="50"/>
        <v>#N/A</v>
      </c>
      <c r="F1552" s="3" t="e">
        <f t="shared" si="51"/>
        <v>#N/A</v>
      </c>
    </row>
    <row r="1553" spans="2:6" x14ac:dyDescent="0.25">
      <c r="B1553" s="3"/>
      <c r="C1553" s="3"/>
      <c r="D1553" s="3"/>
      <c r="E1553" s="3" t="e">
        <f t="shared" si="50"/>
        <v>#N/A</v>
      </c>
      <c r="F1553" s="3" t="e">
        <f t="shared" si="51"/>
        <v>#N/A</v>
      </c>
    </row>
    <row r="1554" spans="2:6" x14ac:dyDescent="0.25">
      <c r="B1554" s="3"/>
      <c r="C1554" s="3"/>
      <c r="D1554" s="3"/>
      <c r="E1554" s="3" t="e">
        <f t="shared" si="50"/>
        <v>#N/A</v>
      </c>
      <c r="F1554" s="3" t="e">
        <f t="shared" si="51"/>
        <v>#N/A</v>
      </c>
    </row>
    <row r="1555" spans="2:6" x14ac:dyDescent="0.25">
      <c r="B1555" s="3"/>
      <c r="C1555" s="3"/>
      <c r="D1555" s="3"/>
      <c r="E1555" s="3" t="e">
        <f t="shared" si="50"/>
        <v>#N/A</v>
      </c>
      <c r="F1555" s="3" t="e">
        <f t="shared" si="51"/>
        <v>#N/A</v>
      </c>
    </row>
    <row r="1556" spans="2:6" x14ac:dyDescent="0.25">
      <c r="B1556" s="3"/>
      <c r="C1556" s="3"/>
      <c r="D1556" s="3"/>
      <c r="E1556" s="3" t="e">
        <f t="shared" si="50"/>
        <v>#N/A</v>
      </c>
      <c r="F1556" s="3" t="e">
        <f t="shared" si="51"/>
        <v>#N/A</v>
      </c>
    </row>
    <row r="1557" spans="2:6" x14ac:dyDescent="0.25">
      <c r="B1557" s="3"/>
      <c r="C1557" s="3"/>
      <c r="D1557" s="3"/>
      <c r="E1557" s="3" t="e">
        <f t="shared" si="50"/>
        <v>#N/A</v>
      </c>
      <c r="F1557" s="3" t="e">
        <f t="shared" si="51"/>
        <v>#N/A</v>
      </c>
    </row>
    <row r="1558" spans="2:6" x14ac:dyDescent="0.25">
      <c r="B1558" s="3"/>
      <c r="C1558" s="3"/>
      <c r="D1558" s="3"/>
      <c r="E1558" s="3" t="e">
        <f t="shared" si="50"/>
        <v>#N/A</v>
      </c>
      <c r="F1558" s="3" t="e">
        <f t="shared" si="51"/>
        <v>#N/A</v>
      </c>
    </row>
    <row r="1559" spans="2:6" x14ac:dyDescent="0.25">
      <c r="B1559" s="3"/>
      <c r="C1559" s="3"/>
      <c r="D1559" s="3"/>
      <c r="E1559" s="3" t="e">
        <f t="shared" si="50"/>
        <v>#N/A</v>
      </c>
      <c r="F1559" s="3" t="e">
        <f t="shared" si="51"/>
        <v>#N/A</v>
      </c>
    </row>
    <row r="1560" spans="2:6" x14ac:dyDescent="0.25">
      <c r="B1560" s="3"/>
      <c r="C1560" s="3"/>
      <c r="D1560" s="3"/>
      <c r="E1560" s="3" t="e">
        <f t="shared" si="50"/>
        <v>#N/A</v>
      </c>
      <c r="F1560" s="3" t="e">
        <f t="shared" si="51"/>
        <v>#N/A</v>
      </c>
    </row>
    <row r="1561" spans="2:6" x14ac:dyDescent="0.25">
      <c r="B1561" s="3"/>
      <c r="C1561" s="3"/>
      <c r="D1561" s="3"/>
      <c r="E1561" s="3" t="e">
        <f t="shared" si="50"/>
        <v>#N/A</v>
      </c>
      <c r="F1561" s="3" t="e">
        <f t="shared" si="51"/>
        <v>#N/A</v>
      </c>
    </row>
    <row r="1562" spans="2:6" x14ac:dyDescent="0.25">
      <c r="B1562" s="3"/>
      <c r="C1562" s="3"/>
      <c r="D1562" s="3"/>
      <c r="E1562" s="3" t="e">
        <f t="shared" si="50"/>
        <v>#N/A</v>
      </c>
      <c r="F1562" s="3" t="e">
        <f t="shared" si="51"/>
        <v>#N/A</v>
      </c>
    </row>
    <row r="1563" spans="2:6" x14ac:dyDescent="0.25">
      <c r="B1563" s="3"/>
      <c r="C1563" s="3"/>
      <c r="D1563" s="3"/>
      <c r="E1563" s="3" t="e">
        <f t="shared" si="50"/>
        <v>#N/A</v>
      </c>
      <c r="F1563" s="3" t="e">
        <f t="shared" si="51"/>
        <v>#N/A</v>
      </c>
    </row>
    <row r="1564" spans="2:6" x14ac:dyDescent="0.25">
      <c r="B1564" s="3"/>
      <c r="C1564" s="3"/>
      <c r="D1564" s="3"/>
      <c r="E1564" s="3" t="e">
        <f t="shared" si="50"/>
        <v>#N/A</v>
      </c>
      <c r="F1564" s="3" t="e">
        <f t="shared" si="51"/>
        <v>#N/A</v>
      </c>
    </row>
    <row r="1565" spans="2:6" x14ac:dyDescent="0.25">
      <c r="B1565" s="3"/>
      <c r="C1565" s="3"/>
      <c r="D1565" s="3"/>
      <c r="E1565" s="3" t="e">
        <f t="shared" si="50"/>
        <v>#N/A</v>
      </c>
      <c r="F1565" s="3" t="e">
        <f t="shared" si="51"/>
        <v>#N/A</v>
      </c>
    </row>
    <row r="1566" spans="2:6" x14ac:dyDescent="0.25">
      <c r="B1566" s="3"/>
      <c r="C1566" s="3"/>
      <c r="D1566" s="3"/>
      <c r="E1566" s="3" t="e">
        <f t="shared" si="50"/>
        <v>#N/A</v>
      </c>
      <c r="F1566" s="3" t="e">
        <f t="shared" si="51"/>
        <v>#N/A</v>
      </c>
    </row>
    <row r="1567" spans="2:6" x14ac:dyDescent="0.25">
      <c r="B1567" s="3"/>
      <c r="C1567" s="3"/>
      <c r="D1567" s="3"/>
      <c r="E1567" s="3" t="e">
        <f t="shared" si="50"/>
        <v>#N/A</v>
      </c>
      <c r="F1567" s="3" t="e">
        <f t="shared" si="51"/>
        <v>#N/A</v>
      </c>
    </row>
    <row r="1568" spans="2:6" x14ac:dyDescent="0.25">
      <c r="B1568" s="3"/>
      <c r="C1568" s="3"/>
      <c r="D1568" s="3"/>
      <c r="E1568" s="3" t="e">
        <f t="shared" si="50"/>
        <v>#N/A</v>
      </c>
      <c r="F1568" s="3" t="e">
        <f t="shared" si="51"/>
        <v>#N/A</v>
      </c>
    </row>
    <row r="1569" spans="2:6" x14ac:dyDescent="0.25">
      <c r="B1569" s="3"/>
      <c r="C1569" s="3"/>
      <c r="D1569" s="3"/>
      <c r="E1569" s="3" t="e">
        <f t="shared" si="50"/>
        <v>#N/A</v>
      </c>
      <c r="F1569" s="3" t="e">
        <f t="shared" si="51"/>
        <v>#N/A</v>
      </c>
    </row>
    <row r="1570" spans="2:6" x14ac:dyDescent="0.25">
      <c r="B1570" s="3"/>
      <c r="C1570" s="3"/>
      <c r="D1570" s="3"/>
      <c r="E1570" s="3" t="e">
        <f t="shared" si="50"/>
        <v>#N/A</v>
      </c>
      <c r="F1570" s="3" t="e">
        <f t="shared" si="51"/>
        <v>#N/A</v>
      </c>
    </row>
    <row r="1571" spans="2:6" x14ac:dyDescent="0.25">
      <c r="B1571" s="3"/>
      <c r="C1571" s="3"/>
      <c r="D1571" s="3"/>
      <c r="E1571" s="3" t="e">
        <f t="shared" si="50"/>
        <v>#N/A</v>
      </c>
      <c r="F1571" s="3" t="e">
        <f t="shared" si="51"/>
        <v>#N/A</v>
      </c>
    </row>
    <row r="1572" spans="2:6" x14ac:dyDescent="0.25">
      <c r="B1572" s="3"/>
      <c r="C1572" s="3"/>
      <c r="D1572" s="3"/>
      <c r="E1572" s="3" t="e">
        <f t="shared" si="50"/>
        <v>#N/A</v>
      </c>
      <c r="F1572" s="3" t="e">
        <f t="shared" si="51"/>
        <v>#N/A</v>
      </c>
    </row>
    <row r="1573" spans="2:6" x14ac:dyDescent="0.25">
      <c r="B1573" s="3"/>
      <c r="C1573" s="3"/>
      <c r="D1573" s="3"/>
      <c r="E1573" s="3" t="e">
        <f t="shared" si="50"/>
        <v>#N/A</v>
      </c>
      <c r="F1573" s="3" t="e">
        <f t="shared" si="51"/>
        <v>#N/A</v>
      </c>
    </row>
    <row r="1574" spans="2:6" x14ac:dyDescent="0.25">
      <c r="B1574" s="3"/>
      <c r="C1574" s="3"/>
      <c r="D1574" s="3"/>
      <c r="E1574" s="3" t="e">
        <f t="shared" si="50"/>
        <v>#N/A</v>
      </c>
      <c r="F1574" s="3" t="e">
        <f t="shared" si="51"/>
        <v>#N/A</v>
      </c>
    </row>
    <row r="1575" spans="2:6" x14ac:dyDescent="0.25">
      <c r="B1575" s="3"/>
      <c r="C1575" s="3"/>
      <c r="D1575" s="3"/>
      <c r="E1575" s="3" t="e">
        <f t="shared" si="50"/>
        <v>#N/A</v>
      </c>
      <c r="F1575" s="3" t="e">
        <f t="shared" si="51"/>
        <v>#N/A</v>
      </c>
    </row>
    <row r="1576" spans="2:6" x14ac:dyDescent="0.25">
      <c r="B1576" s="3"/>
      <c r="C1576" s="3"/>
      <c r="D1576" s="3"/>
      <c r="E1576" s="3" t="e">
        <f t="shared" si="50"/>
        <v>#N/A</v>
      </c>
      <c r="F1576" s="3" t="e">
        <f t="shared" si="51"/>
        <v>#N/A</v>
      </c>
    </row>
    <row r="1577" spans="2:6" x14ac:dyDescent="0.25">
      <c r="B1577" s="3"/>
      <c r="C1577" s="3"/>
      <c r="D1577" s="3"/>
      <c r="E1577" s="3" t="e">
        <f t="shared" si="50"/>
        <v>#N/A</v>
      </c>
      <c r="F1577" s="3" t="e">
        <f t="shared" si="51"/>
        <v>#N/A</v>
      </c>
    </row>
    <row r="1578" spans="2:6" x14ac:dyDescent="0.25">
      <c r="B1578" s="3"/>
      <c r="C1578" s="3"/>
      <c r="D1578" s="3"/>
      <c r="E1578" s="3" t="e">
        <f t="shared" si="50"/>
        <v>#N/A</v>
      </c>
      <c r="F1578" s="3" t="e">
        <f t="shared" si="51"/>
        <v>#N/A</v>
      </c>
    </row>
    <row r="1579" spans="2:6" x14ac:dyDescent="0.25">
      <c r="B1579" s="3"/>
      <c r="C1579" s="3"/>
      <c r="D1579" s="3"/>
      <c r="E1579" s="3" t="e">
        <f t="shared" si="50"/>
        <v>#N/A</v>
      </c>
      <c r="F1579" s="3" t="e">
        <f t="shared" si="51"/>
        <v>#N/A</v>
      </c>
    </row>
    <row r="1580" spans="2:6" x14ac:dyDescent="0.25">
      <c r="B1580" s="3"/>
      <c r="C1580" s="3"/>
      <c r="D1580" s="3"/>
      <c r="E1580" s="3" t="e">
        <f t="shared" si="50"/>
        <v>#N/A</v>
      </c>
      <c r="F1580" s="3" t="e">
        <f t="shared" si="51"/>
        <v>#N/A</v>
      </c>
    </row>
    <row r="1581" spans="2:6" x14ac:dyDescent="0.25">
      <c r="B1581" s="3"/>
      <c r="C1581" s="3"/>
      <c r="D1581" s="3"/>
      <c r="E1581" s="3" t="e">
        <f t="shared" si="50"/>
        <v>#N/A</v>
      </c>
      <c r="F1581" s="3" t="e">
        <f t="shared" si="51"/>
        <v>#N/A</v>
      </c>
    </row>
    <row r="1582" spans="2:6" x14ac:dyDescent="0.25">
      <c r="B1582" s="3"/>
      <c r="C1582" s="3"/>
      <c r="D1582" s="3"/>
      <c r="E1582" s="3" t="e">
        <f t="shared" si="50"/>
        <v>#N/A</v>
      </c>
      <c r="F1582" s="3" t="e">
        <f t="shared" si="51"/>
        <v>#N/A</v>
      </c>
    </row>
    <row r="1583" spans="2:6" x14ac:dyDescent="0.25">
      <c r="B1583" s="3"/>
      <c r="C1583" s="3"/>
      <c r="D1583" s="3"/>
      <c r="E1583" s="3" t="e">
        <f t="shared" si="50"/>
        <v>#N/A</v>
      </c>
      <c r="F1583" s="3" t="e">
        <f t="shared" si="51"/>
        <v>#N/A</v>
      </c>
    </row>
    <row r="1584" spans="2:6" x14ac:dyDescent="0.25">
      <c r="B1584" s="3"/>
      <c r="C1584" s="3"/>
      <c r="D1584" s="3"/>
      <c r="E1584" s="3" t="e">
        <f t="shared" si="50"/>
        <v>#N/A</v>
      </c>
      <c r="F1584" s="3" t="e">
        <f t="shared" si="51"/>
        <v>#N/A</v>
      </c>
    </row>
    <row r="1585" spans="2:6" x14ac:dyDescent="0.25">
      <c r="B1585" s="3"/>
      <c r="C1585" s="3"/>
      <c r="D1585" s="3"/>
      <c r="E1585" s="3" t="e">
        <f t="shared" si="50"/>
        <v>#N/A</v>
      </c>
      <c r="F1585" s="3" t="e">
        <f t="shared" si="51"/>
        <v>#N/A</v>
      </c>
    </row>
    <row r="1586" spans="2:6" x14ac:dyDescent="0.25">
      <c r="B1586" s="3"/>
      <c r="C1586" s="3"/>
      <c r="D1586" s="3"/>
      <c r="E1586" s="3" t="e">
        <f t="shared" si="50"/>
        <v>#N/A</v>
      </c>
      <c r="F1586" s="3" t="e">
        <f t="shared" si="51"/>
        <v>#N/A</v>
      </c>
    </row>
    <row r="1587" spans="2:6" x14ac:dyDescent="0.25">
      <c r="B1587" s="3"/>
      <c r="C1587" s="3"/>
      <c r="D1587" s="3"/>
      <c r="E1587" s="3" t="e">
        <f t="shared" si="50"/>
        <v>#N/A</v>
      </c>
      <c r="F1587" s="3" t="e">
        <f t="shared" si="51"/>
        <v>#N/A</v>
      </c>
    </row>
    <row r="1588" spans="2:6" x14ac:dyDescent="0.25">
      <c r="B1588" s="3"/>
      <c r="C1588" s="3"/>
      <c r="D1588" s="3"/>
      <c r="E1588" s="3" t="e">
        <f t="shared" si="50"/>
        <v>#N/A</v>
      </c>
      <c r="F1588" s="3" t="e">
        <f t="shared" si="51"/>
        <v>#N/A</v>
      </c>
    </row>
    <row r="1589" spans="2:6" x14ac:dyDescent="0.25">
      <c r="B1589" s="3"/>
      <c r="C1589" s="3"/>
      <c r="D1589" s="3"/>
      <c r="E1589" s="3" t="e">
        <f t="shared" si="50"/>
        <v>#N/A</v>
      </c>
      <c r="F1589" s="3" t="e">
        <f t="shared" si="51"/>
        <v>#N/A</v>
      </c>
    </row>
    <row r="1590" spans="2:6" x14ac:dyDescent="0.25">
      <c r="B1590" s="3"/>
      <c r="C1590" s="3"/>
      <c r="D1590" s="3"/>
      <c r="E1590" s="3" t="e">
        <f t="shared" si="50"/>
        <v>#N/A</v>
      </c>
      <c r="F1590" s="3" t="e">
        <f t="shared" si="51"/>
        <v>#N/A</v>
      </c>
    </row>
    <row r="1591" spans="2:6" x14ac:dyDescent="0.25">
      <c r="B1591" s="3"/>
      <c r="C1591" s="3"/>
      <c r="D1591" s="3"/>
      <c r="E1591" s="3" t="e">
        <f t="shared" si="50"/>
        <v>#N/A</v>
      </c>
      <c r="F1591" s="3" t="e">
        <f t="shared" si="51"/>
        <v>#N/A</v>
      </c>
    </row>
    <row r="1592" spans="2:6" x14ac:dyDescent="0.25">
      <c r="B1592" s="3"/>
      <c r="C1592" s="3"/>
      <c r="D1592" s="3"/>
      <c r="E1592" s="3" t="e">
        <f t="shared" si="50"/>
        <v>#N/A</v>
      </c>
      <c r="F1592" s="3" t="e">
        <f t="shared" si="51"/>
        <v>#N/A</v>
      </c>
    </row>
    <row r="1593" spans="2:6" x14ac:dyDescent="0.25">
      <c r="B1593" s="3"/>
      <c r="C1593" s="3"/>
      <c r="D1593" s="3"/>
      <c r="E1593" s="3" t="e">
        <f t="shared" si="50"/>
        <v>#N/A</v>
      </c>
      <c r="F1593" s="3" t="e">
        <f t="shared" si="51"/>
        <v>#N/A</v>
      </c>
    </row>
    <row r="1594" spans="2:6" x14ac:dyDescent="0.25">
      <c r="B1594" s="3"/>
      <c r="C1594" s="3"/>
      <c r="D1594" s="3"/>
      <c r="E1594" s="3" t="e">
        <f t="shared" si="50"/>
        <v>#N/A</v>
      </c>
      <c r="F1594" s="3" t="e">
        <f t="shared" si="51"/>
        <v>#N/A</v>
      </c>
    </row>
    <row r="1595" spans="2:6" x14ac:dyDescent="0.25">
      <c r="B1595" s="3"/>
      <c r="C1595" s="3"/>
      <c r="D1595" s="3"/>
      <c r="E1595" s="3" t="e">
        <f t="shared" si="50"/>
        <v>#N/A</v>
      </c>
      <c r="F1595" s="3" t="e">
        <f t="shared" si="51"/>
        <v>#N/A</v>
      </c>
    </row>
    <row r="1596" spans="2:6" x14ac:dyDescent="0.25">
      <c r="B1596" s="3"/>
      <c r="C1596" s="3"/>
      <c r="D1596" s="3"/>
      <c r="E1596" s="3" t="e">
        <f t="shared" si="50"/>
        <v>#N/A</v>
      </c>
      <c r="F1596" s="3" t="e">
        <f t="shared" si="51"/>
        <v>#N/A</v>
      </c>
    </row>
    <row r="1597" spans="2:6" x14ac:dyDescent="0.25">
      <c r="B1597" s="3"/>
      <c r="C1597" s="3"/>
      <c r="D1597" s="3"/>
      <c r="E1597" s="3" t="e">
        <f t="shared" si="50"/>
        <v>#N/A</v>
      </c>
      <c r="F1597" s="3" t="e">
        <f t="shared" si="51"/>
        <v>#N/A</v>
      </c>
    </row>
    <row r="1598" spans="2:6" x14ac:dyDescent="0.25">
      <c r="B1598" s="3"/>
      <c r="C1598" s="3"/>
      <c r="D1598" s="3"/>
      <c r="E1598" s="3" t="e">
        <f t="shared" si="50"/>
        <v>#N/A</v>
      </c>
      <c r="F1598" s="3" t="e">
        <f t="shared" si="51"/>
        <v>#N/A</v>
      </c>
    </row>
    <row r="1599" spans="2:6" x14ac:dyDescent="0.25">
      <c r="B1599" s="3"/>
      <c r="C1599" s="3"/>
      <c r="D1599" s="3"/>
      <c r="E1599" s="3" t="e">
        <f t="shared" si="50"/>
        <v>#N/A</v>
      </c>
      <c r="F1599" s="3" t="e">
        <f t="shared" si="51"/>
        <v>#N/A</v>
      </c>
    </row>
    <row r="1600" spans="2:6" x14ac:dyDescent="0.25">
      <c r="B1600" s="3"/>
      <c r="C1600" s="3"/>
      <c r="D1600" s="3"/>
      <c r="E1600" s="3" t="e">
        <f t="shared" si="50"/>
        <v>#N/A</v>
      </c>
      <c r="F1600" s="3" t="e">
        <f t="shared" si="51"/>
        <v>#N/A</v>
      </c>
    </row>
    <row r="1601" spans="2:6" x14ac:dyDescent="0.25">
      <c r="B1601" s="3"/>
      <c r="C1601" s="3"/>
      <c r="D1601" s="3"/>
      <c r="E1601" s="3" t="e">
        <f t="shared" si="50"/>
        <v>#N/A</v>
      </c>
      <c r="F1601" s="3" t="e">
        <f t="shared" si="51"/>
        <v>#N/A</v>
      </c>
    </row>
    <row r="1602" spans="2:6" x14ac:dyDescent="0.25">
      <c r="B1602" s="3"/>
      <c r="C1602" s="3"/>
      <c r="D1602" s="3"/>
      <c r="E1602" s="3" t="e">
        <f t="shared" si="50"/>
        <v>#N/A</v>
      </c>
      <c r="F1602" s="3" t="e">
        <f t="shared" si="51"/>
        <v>#N/A</v>
      </c>
    </row>
    <row r="1603" spans="2:6" x14ac:dyDescent="0.25">
      <c r="B1603" s="3"/>
      <c r="C1603" s="3"/>
      <c r="D1603" s="3"/>
      <c r="E1603" s="3" t="e">
        <f t="shared" si="50"/>
        <v>#N/A</v>
      </c>
      <c r="F1603" s="3" t="e">
        <f t="shared" si="51"/>
        <v>#N/A</v>
      </c>
    </row>
    <row r="1604" spans="2:6" x14ac:dyDescent="0.25">
      <c r="B1604" s="3"/>
      <c r="C1604" s="3"/>
      <c r="D1604" s="3"/>
      <c r="E1604" s="3" t="e">
        <f t="shared" ref="E1604:E1667" si="52">VLOOKUP(C1604,I:J,2,0)</f>
        <v>#N/A</v>
      </c>
      <c r="F1604" s="3" t="e">
        <f t="shared" ref="F1604:F1667" si="53">E1604&amp;" "&amp;B1604</f>
        <v>#N/A</v>
      </c>
    </row>
    <row r="1605" spans="2:6" x14ac:dyDescent="0.25">
      <c r="B1605" s="3"/>
      <c r="C1605" s="3"/>
      <c r="D1605" s="3"/>
      <c r="E1605" s="3" t="e">
        <f t="shared" si="52"/>
        <v>#N/A</v>
      </c>
      <c r="F1605" s="3" t="e">
        <f t="shared" si="53"/>
        <v>#N/A</v>
      </c>
    </row>
    <row r="1606" spans="2:6" x14ac:dyDescent="0.25">
      <c r="B1606" s="3"/>
      <c r="C1606" s="3"/>
      <c r="D1606" s="3"/>
      <c r="E1606" s="3" t="e">
        <f t="shared" si="52"/>
        <v>#N/A</v>
      </c>
      <c r="F1606" s="3" t="e">
        <f t="shared" si="53"/>
        <v>#N/A</v>
      </c>
    </row>
    <row r="1607" spans="2:6" x14ac:dyDescent="0.25">
      <c r="B1607" s="3"/>
      <c r="C1607" s="3"/>
      <c r="D1607" s="3"/>
      <c r="E1607" s="3" t="e">
        <f t="shared" si="52"/>
        <v>#N/A</v>
      </c>
      <c r="F1607" s="3" t="e">
        <f t="shared" si="53"/>
        <v>#N/A</v>
      </c>
    </row>
    <row r="1608" spans="2:6" x14ac:dyDescent="0.25">
      <c r="B1608" s="3"/>
      <c r="C1608" s="3"/>
      <c r="D1608" s="3"/>
      <c r="E1608" s="3" t="e">
        <f t="shared" si="52"/>
        <v>#N/A</v>
      </c>
      <c r="F1608" s="3" t="e">
        <f t="shared" si="53"/>
        <v>#N/A</v>
      </c>
    </row>
    <row r="1609" spans="2:6" x14ac:dyDescent="0.25">
      <c r="B1609" s="3"/>
      <c r="C1609" s="3"/>
      <c r="D1609" s="3"/>
      <c r="E1609" s="3" t="e">
        <f t="shared" si="52"/>
        <v>#N/A</v>
      </c>
      <c r="F1609" s="3" t="e">
        <f t="shared" si="53"/>
        <v>#N/A</v>
      </c>
    </row>
    <row r="1610" spans="2:6" x14ac:dyDescent="0.25">
      <c r="B1610" s="3"/>
      <c r="C1610" s="3"/>
      <c r="D1610" s="3"/>
      <c r="E1610" s="3" t="e">
        <f t="shared" si="52"/>
        <v>#N/A</v>
      </c>
      <c r="F1610" s="3" t="e">
        <f t="shared" si="53"/>
        <v>#N/A</v>
      </c>
    </row>
    <row r="1611" spans="2:6" x14ac:dyDescent="0.25">
      <c r="B1611" s="3"/>
      <c r="C1611" s="3"/>
      <c r="D1611" s="3"/>
      <c r="E1611" s="3" t="e">
        <f t="shared" si="52"/>
        <v>#N/A</v>
      </c>
      <c r="F1611" s="3" t="e">
        <f t="shared" si="53"/>
        <v>#N/A</v>
      </c>
    </row>
    <row r="1612" spans="2:6" x14ac:dyDescent="0.25">
      <c r="B1612" s="3"/>
      <c r="C1612" s="3"/>
      <c r="D1612" s="3"/>
      <c r="E1612" s="3" t="e">
        <f t="shared" si="52"/>
        <v>#N/A</v>
      </c>
      <c r="F1612" s="3" t="e">
        <f t="shared" si="53"/>
        <v>#N/A</v>
      </c>
    </row>
    <row r="1613" spans="2:6" x14ac:dyDescent="0.25">
      <c r="B1613" s="3"/>
      <c r="C1613" s="3"/>
      <c r="D1613" s="3"/>
      <c r="E1613" s="3" t="e">
        <f t="shared" si="52"/>
        <v>#N/A</v>
      </c>
      <c r="F1613" s="3" t="e">
        <f t="shared" si="53"/>
        <v>#N/A</v>
      </c>
    </row>
    <row r="1614" spans="2:6" x14ac:dyDescent="0.25">
      <c r="B1614" s="3"/>
      <c r="C1614" s="3"/>
      <c r="D1614" s="3"/>
      <c r="E1614" s="3" t="e">
        <f t="shared" si="52"/>
        <v>#N/A</v>
      </c>
      <c r="F1614" s="3" t="e">
        <f t="shared" si="53"/>
        <v>#N/A</v>
      </c>
    </row>
    <row r="1615" spans="2:6" x14ac:dyDescent="0.25">
      <c r="B1615" s="3"/>
      <c r="C1615" s="3"/>
      <c r="D1615" s="3"/>
      <c r="E1615" s="3" t="e">
        <f t="shared" si="52"/>
        <v>#N/A</v>
      </c>
      <c r="F1615" s="3" t="e">
        <f t="shared" si="53"/>
        <v>#N/A</v>
      </c>
    </row>
    <row r="1616" spans="2:6" x14ac:dyDescent="0.25">
      <c r="B1616" s="3"/>
      <c r="C1616" s="3"/>
      <c r="D1616" s="3"/>
      <c r="E1616" s="3" t="e">
        <f t="shared" si="52"/>
        <v>#N/A</v>
      </c>
      <c r="F1616" s="3" t="e">
        <f t="shared" si="53"/>
        <v>#N/A</v>
      </c>
    </row>
    <row r="1617" spans="2:6" x14ac:dyDescent="0.25">
      <c r="B1617" s="3"/>
      <c r="C1617" s="3"/>
      <c r="D1617" s="3"/>
      <c r="E1617" s="3" t="e">
        <f t="shared" si="52"/>
        <v>#N/A</v>
      </c>
      <c r="F1617" s="3" t="e">
        <f t="shared" si="53"/>
        <v>#N/A</v>
      </c>
    </row>
    <row r="1618" spans="2:6" x14ac:dyDescent="0.25">
      <c r="B1618" s="3"/>
      <c r="C1618" s="3"/>
      <c r="D1618" s="3"/>
      <c r="E1618" s="3" t="e">
        <f t="shared" si="52"/>
        <v>#N/A</v>
      </c>
      <c r="F1618" s="3" t="e">
        <f t="shared" si="53"/>
        <v>#N/A</v>
      </c>
    </row>
    <row r="1619" spans="2:6" x14ac:dyDescent="0.25">
      <c r="B1619" s="3"/>
      <c r="C1619" s="3"/>
      <c r="D1619" s="3"/>
      <c r="E1619" s="3" t="e">
        <f t="shared" si="52"/>
        <v>#N/A</v>
      </c>
      <c r="F1619" s="3" t="e">
        <f t="shared" si="53"/>
        <v>#N/A</v>
      </c>
    </row>
    <row r="1620" spans="2:6" x14ac:dyDescent="0.25">
      <c r="B1620" s="3"/>
      <c r="C1620" s="3"/>
      <c r="D1620" s="3"/>
      <c r="E1620" s="3" t="e">
        <f t="shared" si="52"/>
        <v>#N/A</v>
      </c>
      <c r="F1620" s="3" t="e">
        <f t="shared" si="53"/>
        <v>#N/A</v>
      </c>
    </row>
    <row r="1621" spans="2:6" x14ac:dyDescent="0.25">
      <c r="B1621" s="3"/>
      <c r="C1621" s="3"/>
      <c r="D1621" s="3"/>
      <c r="E1621" s="3" t="e">
        <f t="shared" si="52"/>
        <v>#N/A</v>
      </c>
      <c r="F1621" s="3" t="e">
        <f t="shared" si="53"/>
        <v>#N/A</v>
      </c>
    </row>
    <row r="1622" spans="2:6" x14ac:dyDescent="0.25">
      <c r="B1622" s="3"/>
      <c r="C1622" s="3"/>
      <c r="D1622" s="3"/>
      <c r="E1622" s="3" t="e">
        <f t="shared" si="52"/>
        <v>#N/A</v>
      </c>
      <c r="F1622" s="3" t="e">
        <f t="shared" si="53"/>
        <v>#N/A</v>
      </c>
    </row>
    <row r="1623" spans="2:6" x14ac:dyDescent="0.25">
      <c r="B1623" s="3"/>
      <c r="C1623" s="3"/>
      <c r="D1623" s="3"/>
      <c r="E1623" s="3" t="e">
        <f t="shared" si="52"/>
        <v>#N/A</v>
      </c>
      <c r="F1623" s="3" t="e">
        <f t="shared" si="53"/>
        <v>#N/A</v>
      </c>
    </row>
    <row r="1624" spans="2:6" x14ac:dyDescent="0.25">
      <c r="B1624" s="3"/>
      <c r="C1624" s="3"/>
      <c r="D1624" s="3"/>
      <c r="E1624" s="3" t="e">
        <f t="shared" si="52"/>
        <v>#N/A</v>
      </c>
      <c r="F1624" s="3" t="e">
        <f t="shared" si="53"/>
        <v>#N/A</v>
      </c>
    </row>
    <row r="1625" spans="2:6" x14ac:dyDescent="0.25">
      <c r="B1625" s="3"/>
      <c r="C1625" s="3"/>
      <c r="D1625" s="3"/>
      <c r="E1625" s="3" t="e">
        <f t="shared" si="52"/>
        <v>#N/A</v>
      </c>
      <c r="F1625" s="3" t="e">
        <f t="shared" si="53"/>
        <v>#N/A</v>
      </c>
    </row>
    <row r="1626" spans="2:6" x14ac:dyDescent="0.25">
      <c r="B1626" s="3"/>
      <c r="C1626" s="3"/>
      <c r="D1626" s="3"/>
      <c r="E1626" s="3" t="e">
        <f t="shared" si="52"/>
        <v>#N/A</v>
      </c>
      <c r="F1626" s="3" t="e">
        <f t="shared" si="53"/>
        <v>#N/A</v>
      </c>
    </row>
    <row r="1627" spans="2:6" x14ac:dyDescent="0.25">
      <c r="B1627" s="3"/>
      <c r="C1627" s="3"/>
      <c r="D1627" s="3"/>
      <c r="E1627" s="3" t="e">
        <f t="shared" si="52"/>
        <v>#N/A</v>
      </c>
      <c r="F1627" s="3" t="e">
        <f t="shared" si="53"/>
        <v>#N/A</v>
      </c>
    </row>
    <row r="1628" spans="2:6" x14ac:dyDescent="0.25">
      <c r="B1628" s="3"/>
      <c r="C1628" s="3"/>
      <c r="D1628" s="3"/>
      <c r="E1628" s="3" t="e">
        <f t="shared" si="52"/>
        <v>#N/A</v>
      </c>
      <c r="F1628" s="3" t="e">
        <f t="shared" si="53"/>
        <v>#N/A</v>
      </c>
    </row>
    <row r="1629" spans="2:6" x14ac:dyDescent="0.25">
      <c r="B1629" s="3"/>
      <c r="C1629" s="3"/>
      <c r="D1629" s="3"/>
      <c r="E1629" s="3" t="e">
        <f t="shared" si="52"/>
        <v>#N/A</v>
      </c>
      <c r="F1629" s="3" t="e">
        <f t="shared" si="53"/>
        <v>#N/A</v>
      </c>
    </row>
    <row r="1630" spans="2:6" x14ac:dyDescent="0.25">
      <c r="B1630" s="3"/>
      <c r="C1630" s="3"/>
      <c r="D1630" s="3"/>
      <c r="E1630" s="3" t="e">
        <f t="shared" si="52"/>
        <v>#N/A</v>
      </c>
      <c r="F1630" s="3" t="e">
        <f t="shared" si="53"/>
        <v>#N/A</v>
      </c>
    </row>
    <row r="1631" spans="2:6" x14ac:dyDescent="0.25">
      <c r="B1631" s="3"/>
      <c r="C1631" s="3"/>
      <c r="D1631" s="3"/>
      <c r="E1631" s="3" t="e">
        <f t="shared" si="52"/>
        <v>#N/A</v>
      </c>
      <c r="F1631" s="3" t="e">
        <f t="shared" si="53"/>
        <v>#N/A</v>
      </c>
    </row>
    <row r="1632" spans="2:6" x14ac:dyDescent="0.25">
      <c r="B1632" s="3"/>
      <c r="C1632" s="3"/>
      <c r="D1632" s="3"/>
      <c r="E1632" s="3" t="e">
        <f t="shared" si="52"/>
        <v>#N/A</v>
      </c>
      <c r="F1632" s="3" t="e">
        <f t="shared" si="53"/>
        <v>#N/A</v>
      </c>
    </row>
    <row r="1633" spans="2:6" x14ac:dyDescent="0.25">
      <c r="B1633" s="3"/>
      <c r="C1633" s="3"/>
      <c r="D1633" s="3"/>
      <c r="E1633" s="3" t="e">
        <f t="shared" si="52"/>
        <v>#N/A</v>
      </c>
      <c r="F1633" s="3" t="e">
        <f t="shared" si="53"/>
        <v>#N/A</v>
      </c>
    </row>
    <row r="1634" spans="2:6" x14ac:dyDescent="0.25">
      <c r="B1634" s="3"/>
      <c r="C1634" s="3"/>
      <c r="D1634" s="3"/>
      <c r="E1634" s="3" t="e">
        <f t="shared" si="52"/>
        <v>#N/A</v>
      </c>
      <c r="F1634" s="3" t="e">
        <f t="shared" si="53"/>
        <v>#N/A</v>
      </c>
    </row>
    <row r="1635" spans="2:6" x14ac:dyDescent="0.25">
      <c r="B1635" s="3"/>
      <c r="C1635" s="3"/>
      <c r="D1635" s="3"/>
      <c r="E1635" s="3" t="e">
        <f t="shared" si="52"/>
        <v>#N/A</v>
      </c>
      <c r="F1635" s="3" t="e">
        <f t="shared" si="53"/>
        <v>#N/A</v>
      </c>
    </row>
    <row r="1636" spans="2:6" x14ac:dyDescent="0.25">
      <c r="B1636" s="3"/>
      <c r="C1636" s="3"/>
      <c r="D1636" s="3"/>
      <c r="E1636" s="3" t="e">
        <f t="shared" si="52"/>
        <v>#N/A</v>
      </c>
      <c r="F1636" s="3" t="e">
        <f t="shared" si="53"/>
        <v>#N/A</v>
      </c>
    </row>
    <row r="1637" spans="2:6" x14ac:dyDescent="0.25">
      <c r="B1637" s="3"/>
      <c r="C1637" s="3"/>
      <c r="D1637" s="3"/>
      <c r="E1637" s="3" t="e">
        <f t="shared" si="52"/>
        <v>#N/A</v>
      </c>
      <c r="F1637" s="3" t="e">
        <f t="shared" si="53"/>
        <v>#N/A</v>
      </c>
    </row>
    <row r="1638" spans="2:6" x14ac:dyDescent="0.25">
      <c r="B1638" s="3"/>
      <c r="C1638" s="3"/>
      <c r="D1638" s="3"/>
      <c r="E1638" s="3" t="e">
        <f t="shared" si="52"/>
        <v>#N/A</v>
      </c>
      <c r="F1638" s="3" t="e">
        <f t="shared" si="53"/>
        <v>#N/A</v>
      </c>
    </row>
    <row r="1639" spans="2:6" x14ac:dyDescent="0.25">
      <c r="B1639" s="3"/>
      <c r="C1639" s="3"/>
      <c r="D1639" s="3"/>
      <c r="E1639" s="3" t="e">
        <f t="shared" si="52"/>
        <v>#N/A</v>
      </c>
      <c r="F1639" s="3" t="e">
        <f t="shared" si="53"/>
        <v>#N/A</v>
      </c>
    </row>
    <row r="1640" spans="2:6" x14ac:dyDescent="0.25">
      <c r="B1640" s="3"/>
      <c r="C1640" s="3"/>
      <c r="D1640" s="3"/>
      <c r="E1640" s="3" t="e">
        <f t="shared" si="52"/>
        <v>#N/A</v>
      </c>
      <c r="F1640" s="3" t="e">
        <f t="shared" si="53"/>
        <v>#N/A</v>
      </c>
    </row>
    <row r="1641" spans="2:6" x14ac:dyDescent="0.25">
      <c r="B1641" s="3"/>
      <c r="C1641" s="3"/>
      <c r="D1641" s="3"/>
      <c r="E1641" s="3" t="e">
        <f t="shared" si="52"/>
        <v>#N/A</v>
      </c>
      <c r="F1641" s="3" t="e">
        <f t="shared" si="53"/>
        <v>#N/A</v>
      </c>
    </row>
    <row r="1642" spans="2:6" x14ac:dyDescent="0.25">
      <c r="B1642" s="3"/>
      <c r="C1642" s="3"/>
      <c r="D1642" s="3"/>
      <c r="E1642" s="3" t="e">
        <f t="shared" si="52"/>
        <v>#N/A</v>
      </c>
      <c r="F1642" s="3" t="e">
        <f t="shared" si="53"/>
        <v>#N/A</v>
      </c>
    </row>
    <row r="1643" spans="2:6" x14ac:dyDescent="0.25">
      <c r="B1643" s="3"/>
      <c r="C1643" s="3"/>
      <c r="D1643" s="3"/>
      <c r="E1643" s="3" t="e">
        <f t="shared" si="52"/>
        <v>#N/A</v>
      </c>
      <c r="F1643" s="3" t="e">
        <f t="shared" si="53"/>
        <v>#N/A</v>
      </c>
    </row>
    <row r="1644" spans="2:6" x14ac:dyDescent="0.25">
      <c r="B1644" s="3"/>
      <c r="C1644" s="3"/>
      <c r="D1644" s="3"/>
      <c r="E1644" s="3" t="e">
        <f t="shared" si="52"/>
        <v>#N/A</v>
      </c>
      <c r="F1644" s="3" t="e">
        <f t="shared" si="53"/>
        <v>#N/A</v>
      </c>
    </row>
    <row r="1645" spans="2:6" x14ac:dyDescent="0.25">
      <c r="B1645" s="3"/>
      <c r="C1645" s="3"/>
      <c r="D1645" s="3"/>
      <c r="E1645" s="3" t="e">
        <f t="shared" si="52"/>
        <v>#N/A</v>
      </c>
      <c r="F1645" s="3" t="e">
        <f t="shared" si="53"/>
        <v>#N/A</v>
      </c>
    </row>
    <row r="1646" spans="2:6" x14ac:dyDescent="0.25">
      <c r="B1646" s="3"/>
      <c r="C1646" s="3"/>
      <c r="D1646" s="3"/>
      <c r="E1646" s="3" t="e">
        <f t="shared" si="52"/>
        <v>#N/A</v>
      </c>
      <c r="F1646" s="3" t="e">
        <f t="shared" si="53"/>
        <v>#N/A</v>
      </c>
    </row>
    <row r="1647" spans="2:6" x14ac:dyDescent="0.25">
      <c r="B1647" s="3"/>
      <c r="C1647" s="3"/>
      <c r="D1647" s="3"/>
      <c r="E1647" s="3" t="e">
        <f t="shared" si="52"/>
        <v>#N/A</v>
      </c>
      <c r="F1647" s="3" t="e">
        <f t="shared" si="53"/>
        <v>#N/A</v>
      </c>
    </row>
    <row r="1648" spans="2:6" x14ac:dyDescent="0.25">
      <c r="B1648" s="3"/>
      <c r="C1648" s="3"/>
      <c r="D1648" s="3"/>
      <c r="E1648" s="3" t="e">
        <f t="shared" si="52"/>
        <v>#N/A</v>
      </c>
      <c r="F1648" s="3" t="e">
        <f t="shared" si="53"/>
        <v>#N/A</v>
      </c>
    </row>
    <row r="1649" spans="2:6" x14ac:dyDescent="0.25">
      <c r="B1649" s="3"/>
      <c r="C1649" s="3"/>
      <c r="D1649" s="3"/>
      <c r="E1649" s="3" t="e">
        <f t="shared" si="52"/>
        <v>#N/A</v>
      </c>
      <c r="F1649" s="3" t="e">
        <f t="shared" si="53"/>
        <v>#N/A</v>
      </c>
    </row>
    <row r="1650" spans="2:6" x14ac:dyDescent="0.25">
      <c r="B1650" s="3"/>
      <c r="C1650" s="3"/>
      <c r="D1650" s="3"/>
      <c r="E1650" s="3" t="e">
        <f t="shared" si="52"/>
        <v>#N/A</v>
      </c>
      <c r="F1650" s="3" t="e">
        <f t="shared" si="53"/>
        <v>#N/A</v>
      </c>
    </row>
    <row r="1651" spans="2:6" x14ac:dyDescent="0.25">
      <c r="B1651" s="3"/>
      <c r="C1651" s="3"/>
      <c r="D1651" s="3"/>
      <c r="E1651" s="3" t="e">
        <f t="shared" si="52"/>
        <v>#N/A</v>
      </c>
      <c r="F1651" s="3" t="e">
        <f t="shared" si="53"/>
        <v>#N/A</v>
      </c>
    </row>
    <row r="1652" spans="2:6" x14ac:dyDescent="0.25">
      <c r="B1652" s="3"/>
      <c r="C1652" s="3"/>
      <c r="D1652" s="3"/>
      <c r="E1652" s="3" t="e">
        <f t="shared" si="52"/>
        <v>#N/A</v>
      </c>
      <c r="F1652" s="3" t="e">
        <f t="shared" si="53"/>
        <v>#N/A</v>
      </c>
    </row>
    <row r="1653" spans="2:6" x14ac:dyDescent="0.25">
      <c r="B1653" s="3"/>
      <c r="C1653" s="3"/>
      <c r="D1653" s="3"/>
      <c r="E1653" s="3" t="e">
        <f t="shared" si="52"/>
        <v>#N/A</v>
      </c>
      <c r="F1653" s="3" t="e">
        <f t="shared" si="53"/>
        <v>#N/A</v>
      </c>
    </row>
    <row r="1654" spans="2:6" x14ac:dyDescent="0.25">
      <c r="B1654" s="3"/>
      <c r="C1654" s="3"/>
      <c r="D1654" s="3"/>
      <c r="E1654" s="3" t="e">
        <f t="shared" si="52"/>
        <v>#N/A</v>
      </c>
      <c r="F1654" s="3" t="e">
        <f t="shared" si="53"/>
        <v>#N/A</v>
      </c>
    </row>
    <row r="1655" spans="2:6" x14ac:dyDescent="0.25">
      <c r="B1655" s="3"/>
      <c r="C1655" s="3"/>
      <c r="D1655" s="3"/>
      <c r="E1655" s="3" t="e">
        <f t="shared" si="52"/>
        <v>#N/A</v>
      </c>
      <c r="F1655" s="3" t="e">
        <f t="shared" si="53"/>
        <v>#N/A</v>
      </c>
    </row>
    <row r="1656" spans="2:6" x14ac:dyDescent="0.25">
      <c r="B1656" s="3"/>
      <c r="C1656" s="3"/>
      <c r="D1656" s="3"/>
      <c r="E1656" s="3" t="e">
        <f t="shared" si="52"/>
        <v>#N/A</v>
      </c>
      <c r="F1656" s="3" t="e">
        <f t="shared" si="53"/>
        <v>#N/A</v>
      </c>
    </row>
    <row r="1657" spans="2:6" x14ac:dyDescent="0.25">
      <c r="B1657" s="3"/>
      <c r="C1657" s="3"/>
      <c r="D1657" s="3"/>
      <c r="E1657" s="3" t="e">
        <f t="shared" si="52"/>
        <v>#N/A</v>
      </c>
      <c r="F1657" s="3" t="e">
        <f t="shared" si="53"/>
        <v>#N/A</v>
      </c>
    </row>
    <row r="1658" spans="2:6" x14ac:dyDescent="0.25">
      <c r="B1658" s="3"/>
      <c r="C1658" s="3"/>
      <c r="D1658" s="3"/>
      <c r="E1658" s="3" t="e">
        <f t="shared" si="52"/>
        <v>#N/A</v>
      </c>
      <c r="F1658" s="3" t="e">
        <f t="shared" si="53"/>
        <v>#N/A</v>
      </c>
    </row>
    <row r="1659" spans="2:6" x14ac:dyDescent="0.25">
      <c r="B1659" s="3"/>
      <c r="C1659" s="3"/>
      <c r="D1659" s="3"/>
      <c r="E1659" s="3" t="e">
        <f t="shared" si="52"/>
        <v>#N/A</v>
      </c>
      <c r="F1659" s="3" t="e">
        <f t="shared" si="53"/>
        <v>#N/A</v>
      </c>
    </row>
    <row r="1660" spans="2:6" x14ac:dyDescent="0.25">
      <c r="B1660" s="3"/>
      <c r="C1660" s="3"/>
      <c r="D1660" s="3"/>
      <c r="E1660" s="3" t="e">
        <f t="shared" si="52"/>
        <v>#N/A</v>
      </c>
      <c r="F1660" s="3" t="e">
        <f t="shared" si="53"/>
        <v>#N/A</v>
      </c>
    </row>
    <row r="1661" spans="2:6" x14ac:dyDescent="0.25">
      <c r="B1661" s="3"/>
      <c r="C1661" s="3"/>
      <c r="D1661" s="3"/>
      <c r="E1661" s="3" t="e">
        <f t="shared" si="52"/>
        <v>#N/A</v>
      </c>
      <c r="F1661" s="3" t="e">
        <f t="shared" si="53"/>
        <v>#N/A</v>
      </c>
    </row>
    <row r="1662" spans="2:6" x14ac:dyDescent="0.25">
      <c r="B1662" s="3"/>
      <c r="C1662" s="3"/>
      <c r="D1662" s="3"/>
      <c r="E1662" s="3" t="e">
        <f t="shared" si="52"/>
        <v>#N/A</v>
      </c>
      <c r="F1662" s="3" t="e">
        <f t="shared" si="53"/>
        <v>#N/A</v>
      </c>
    </row>
    <row r="1663" spans="2:6" x14ac:dyDescent="0.25">
      <c r="B1663" s="3"/>
      <c r="C1663" s="3"/>
      <c r="D1663" s="3"/>
      <c r="E1663" s="3" t="e">
        <f t="shared" si="52"/>
        <v>#N/A</v>
      </c>
      <c r="F1663" s="3" t="e">
        <f t="shared" si="53"/>
        <v>#N/A</v>
      </c>
    </row>
    <row r="1664" spans="2:6" x14ac:dyDescent="0.25">
      <c r="B1664" s="3"/>
      <c r="C1664" s="3"/>
      <c r="D1664" s="3"/>
      <c r="E1664" s="3" t="e">
        <f t="shared" si="52"/>
        <v>#N/A</v>
      </c>
      <c r="F1664" s="3" t="e">
        <f t="shared" si="53"/>
        <v>#N/A</v>
      </c>
    </row>
    <row r="1665" spans="2:6" x14ac:dyDescent="0.25">
      <c r="B1665" s="3"/>
      <c r="C1665" s="3"/>
      <c r="D1665" s="3"/>
      <c r="E1665" s="3" t="e">
        <f t="shared" si="52"/>
        <v>#N/A</v>
      </c>
      <c r="F1665" s="3" t="e">
        <f t="shared" si="53"/>
        <v>#N/A</v>
      </c>
    </row>
    <row r="1666" spans="2:6" x14ac:dyDescent="0.25">
      <c r="B1666" s="3"/>
      <c r="C1666" s="3"/>
      <c r="D1666" s="3"/>
      <c r="E1666" s="3" t="e">
        <f t="shared" si="52"/>
        <v>#N/A</v>
      </c>
      <c r="F1666" s="3" t="e">
        <f t="shared" si="53"/>
        <v>#N/A</v>
      </c>
    </row>
    <row r="1667" spans="2:6" x14ac:dyDescent="0.25">
      <c r="B1667" s="3"/>
      <c r="C1667" s="3"/>
      <c r="D1667" s="3"/>
      <c r="E1667" s="3" t="e">
        <f t="shared" si="52"/>
        <v>#N/A</v>
      </c>
      <c r="F1667" s="3" t="e">
        <f t="shared" si="53"/>
        <v>#N/A</v>
      </c>
    </row>
    <row r="1668" spans="2:6" x14ac:dyDescent="0.25">
      <c r="B1668" s="3"/>
      <c r="C1668" s="3"/>
      <c r="D1668" s="3"/>
      <c r="E1668" s="3" t="e">
        <f t="shared" ref="E1668:E1731" si="54">VLOOKUP(C1668,I:J,2,0)</f>
        <v>#N/A</v>
      </c>
      <c r="F1668" s="3" t="e">
        <f t="shared" ref="F1668:F1731" si="55">E1668&amp;" "&amp;B1668</f>
        <v>#N/A</v>
      </c>
    </row>
    <row r="1669" spans="2:6" x14ac:dyDescent="0.25">
      <c r="B1669" s="3"/>
      <c r="C1669" s="3"/>
      <c r="D1669" s="3"/>
      <c r="E1669" s="3" t="e">
        <f t="shared" si="54"/>
        <v>#N/A</v>
      </c>
      <c r="F1669" s="3" t="e">
        <f t="shared" si="55"/>
        <v>#N/A</v>
      </c>
    </row>
    <row r="1670" spans="2:6" x14ac:dyDescent="0.25">
      <c r="B1670" s="3"/>
      <c r="C1670" s="3"/>
      <c r="D1670" s="3"/>
      <c r="E1670" s="3" t="e">
        <f t="shared" si="54"/>
        <v>#N/A</v>
      </c>
      <c r="F1670" s="3" t="e">
        <f t="shared" si="55"/>
        <v>#N/A</v>
      </c>
    </row>
    <row r="1671" spans="2:6" x14ac:dyDescent="0.25">
      <c r="B1671" s="3"/>
      <c r="C1671" s="3"/>
      <c r="D1671" s="3"/>
      <c r="E1671" s="3" t="e">
        <f t="shared" si="54"/>
        <v>#N/A</v>
      </c>
      <c r="F1671" s="3" t="e">
        <f t="shared" si="55"/>
        <v>#N/A</v>
      </c>
    </row>
    <row r="1672" spans="2:6" x14ac:dyDescent="0.25">
      <c r="B1672" s="3"/>
      <c r="C1672" s="3"/>
      <c r="D1672" s="3"/>
      <c r="E1672" s="3" t="e">
        <f t="shared" si="54"/>
        <v>#N/A</v>
      </c>
      <c r="F1672" s="3" t="e">
        <f t="shared" si="55"/>
        <v>#N/A</v>
      </c>
    </row>
    <row r="1673" spans="2:6" x14ac:dyDescent="0.25">
      <c r="B1673" s="3"/>
      <c r="C1673" s="3"/>
      <c r="D1673" s="3"/>
      <c r="E1673" s="3" t="e">
        <f t="shared" si="54"/>
        <v>#N/A</v>
      </c>
      <c r="F1673" s="3" t="e">
        <f t="shared" si="55"/>
        <v>#N/A</v>
      </c>
    </row>
    <row r="1674" spans="2:6" x14ac:dyDescent="0.25">
      <c r="B1674" s="3"/>
      <c r="C1674" s="3"/>
      <c r="D1674" s="3"/>
      <c r="E1674" s="3" t="e">
        <f t="shared" si="54"/>
        <v>#N/A</v>
      </c>
      <c r="F1674" s="3" t="e">
        <f t="shared" si="55"/>
        <v>#N/A</v>
      </c>
    </row>
    <row r="1675" spans="2:6" x14ac:dyDescent="0.25">
      <c r="B1675" s="3"/>
      <c r="C1675" s="3"/>
      <c r="D1675" s="3"/>
      <c r="E1675" s="3" t="e">
        <f t="shared" si="54"/>
        <v>#N/A</v>
      </c>
      <c r="F1675" s="3" t="e">
        <f t="shared" si="55"/>
        <v>#N/A</v>
      </c>
    </row>
    <row r="1676" spans="2:6" x14ac:dyDescent="0.25">
      <c r="B1676" s="3"/>
      <c r="C1676" s="3"/>
      <c r="D1676" s="3"/>
      <c r="E1676" s="3" t="e">
        <f t="shared" si="54"/>
        <v>#N/A</v>
      </c>
      <c r="F1676" s="3" t="e">
        <f t="shared" si="55"/>
        <v>#N/A</v>
      </c>
    </row>
    <row r="1677" spans="2:6" x14ac:dyDescent="0.25">
      <c r="B1677" s="3"/>
      <c r="C1677" s="3"/>
      <c r="D1677" s="3"/>
      <c r="E1677" s="3" t="e">
        <f t="shared" si="54"/>
        <v>#N/A</v>
      </c>
      <c r="F1677" s="3" t="e">
        <f t="shared" si="55"/>
        <v>#N/A</v>
      </c>
    </row>
    <row r="1678" spans="2:6" x14ac:dyDescent="0.25">
      <c r="B1678" s="3"/>
      <c r="C1678" s="3"/>
      <c r="D1678" s="3"/>
      <c r="E1678" s="3" t="e">
        <f t="shared" si="54"/>
        <v>#N/A</v>
      </c>
      <c r="F1678" s="3" t="e">
        <f t="shared" si="55"/>
        <v>#N/A</v>
      </c>
    </row>
    <row r="1679" spans="2:6" x14ac:dyDescent="0.25">
      <c r="B1679" s="3"/>
      <c r="C1679" s="3"/>
      <c r="D1679" s="3"/>
      <c r="E1679" s="3" t="e">
        <f t="shared" si="54"/>
        <v>#N/A</v>
      </c>
      <c r="F1679" s="3" t="e">
        <f t="shared" si="55"/>
        <v>#N/A</v>
      </c>
    </row>
    <row r="1680" spans="2:6" x14ac:dyDescent="0.25">
      <c r="B1680" s="3"/>
      <c r="C1680" s="3"/>
      <c r="D1680" s="3"/>
      <c r="E1680" s="3" t="e">
        <f t="shared" si="54"/>
        <v>#N/A</v>
      </c>
      <c r="F1680" s="3" t="e">
        <f t="shared" si="55"/>
        <v>#N/A</v>
      </c>
    </row>
    <row r="1681" spans="2:6" x14ac:dyDescent="0.25">
      <c r="B1681" s="3"/>
      <c r="C1681" s="3"/>
      <c r="D1681" s="3"/>
      <c r="E1681" s="3" t="e">
        <f t="shared" si="54"/>
        <v>#N/A</v>
      </c>
      <c r="F1681" s="3" t="e">
        <f t="shared" si="55"/>
        <v>#N/A</v>
      </c>
    </row>
    <row r="1682" spans="2:6" x14ac:dyDescent="0.25">
      <c r="B1682" s="3"/>
      <c r="C1682" s="3"/>
      <c r="D1682" s="3"/>
      <c r="E1682" s="3" t="e">
        <f t="shared" si="54"/>
        <v>#N/A</v>
      </c>
      <c r="F1682" s="3" t="e">
        <f t="shared" si="55"/>
        <v>#N/A</v>
      </c>
    </row>
    <row r="1683" spans="2:6" x14ac:dyDescent="0.25">
      <c r="B1683" s="3"/>
      <c r="C1683" s="3"/>
      <c r="D1683" s="3"/>
      <c r="E1683" s="3" t="e">
        <f t="shared" si="54"/>
        <v>#N/A</v>
      </c>
      <c r="F1683" s="3" t="e">
        <f t="shared" si="55"/>
        <v>#N/A</v>
      </c>
    </row>
    <row r="1684" spans="2:6" x14ac:dyDescent="0.25">
      <c r="B1684" s="3"/>
      <c r="C1684" s="3"/>
      <c r="D1684" s="3"/>
      <c r="E1684" s="3" t="e">
        <f t="shared" si="54"/>
        <v>#N/A</v>
      </c>
      <c r="F1684" s="3" t="e">
        <f t="shared" si="55"/>
        <v>#N/A</v>
      </c>
    </row>
    <row r="1685" spans="2:6" x14ac:dyDescent="0.25">
      <c r="B1685" s="3"/>
      <c r="C1685" s="3"/>
      <c r="D1685" s="3"/>
      <c r="E1685" s="3" t="e">
        <f t="shared" si="54"/>
        <v>#N/A</v>
      </c>
      <c r="F1685" s="3" t="e">
        <f t="shared" si="55"/>
        <v>#N/A</v>
      </c>
    </row>
    <row r="1686" spans="2:6" x14ac:dyDescent="0.25">
      <c r="B1686" s="3"/>
      <c r="C1686" s="3"/>
      <c r="D1686" s="3"/>
      <c r="E1686" s="3" t="e">
        <f t="shared" si="54"/>
        <v>#N/A</v>
      </c>
      <c r="F1686" s="3" t="e">
        <f t="shared" si="55"/>
        <v>#N/A</v>
      </c>
    </row>
    <row r="1687" spans="2:6" x14ac:dyDescent="0.25">
      <c r="B1687" s="3"/>
      <c r="C1687" s="3"/>
      <c r="D1687" s="3"/>
      <c r="E1687" s="3" t="e">
        <f t="shared" si="54"/>
        <v>#N/A</v>
      </c>
      <c r="F1687" s="3" t="e">
        <f t="shared" si="55"/>
        <v>#N/A</v>
      </c>
    </row>
    <row r="1688" spans="2:6" x14ac:dyDescent="0.25">
      <c r="B1688" s="3"/>
      <c r="C1688" s="3"/>
      <c r="D1688" s="3"/>
      <c r="E1688" s="3" t="e">
        <f t="shared" si="54"/>
        <v>#N/A</v>
      </c>
      <c r="F1688" s="3" t="e">
        <f t="shared" si="55"/>
        <v>#N/A</v>
      </c>
    </row>
    <row r="1689" spans="2:6" x14ac:dyDescent="0.25">
      <c r="B1689" s="3"/>
      <c r="C1689" s="3"/>
      <c r="D1689" s="3"/>
      <c r="E1689" s="3" t="e">
        <f t="shared" si="54"/>
        <v>#N/A</v>
      </c>
      <c r="F1689" s="3" t="e">
        <f t="shared" si="55"/>
        <v>#N/A</v>
      </c>
    </row>
    <row r="1690" spans="2:6" x14ac:dyDescent="0.25">
      <c r="B1690" s="3"/>
      <c r="C1690" s="3"/>
      <c r="D1690" s="3"/>
      <c r="E1690" s="3" t="e">
        <f t="shared" si="54"/>
        <v>#N/A</v>
      </c>
      <c r="F1690" s="3" t="e">
        <f t="shared" si="55"/>
        <v>#N/A</v>
      </c>
    </row>
    <row r="1691" spans="2:6" x14ac:dyDescent="0.25">
      <c r="B1691" s="3"/>
      <c r="C1691" s="3"/>
      <c r="D1691" s="3"/>
      <c r="E1691" s="3" t="e">
        <f t="shared" si="54"/>
        <v>#N/A</v>
      </c>
      <c r="F1691" s="3" t="e">
        <f t="shared" si="55"/>
        <v>#N/A</v>
      </c>
    </row>
    <row r="1692" spans="2:6" x14ac:dyDescent="0.25">
      <c r="B1692" s="3"/>
      <c r="C1692" s="3"/>
      <c r="D1692" s="3"/>
      <c r="E1692" s="3" t="e">
        <f t="shared" si="54"/>
        <v>#N/A</v>
      </c>
      <c r="F1692" s="3" t="e">
        <f t="shared" si="55"/>
        <v>#N/A</v>
      </c>
    </row>
    <row r="1693" spans="2:6" x14ac:dyDescent="0.25">
      <c r="B1693" s="3"/>
      <c r="C1693" s="3"/>
      <c r="D1693" s="3"/>
      <c r="E1693" s="3" t="e">
        <f t="shared" si="54"/>
        <v>#N/A</v>
      </c>
      <c r="F1693" s="3" t="e">
        <f t="shared" si="55"/>
        <v>#N/A</v>
      </c>
    </row>
    <row r="1694" spans="2:6" x14ac:dyDescent="0.25">
      <c r="B1694" s="3"/>
      <c r="C1694" s="3"/>
      <c r="D1694" s="3"/>
      <c r="E1694" s="3" t="e">
        <f t="shared" si="54"/>
        <v>#N/A</v>
      </c>
      <c r="F1694" s="3" t="e">
        <f t="shared" si="55"/>
        <v>#N/A</v>
      </c>
    </row>
    <row r="1695" spans="2:6" x14ac:dyDescent="0.25">
      <c r="B1695" s="3"/>
      <c r="C1695" s="3"/>
      <c r="D1695" s="3"/>
      <c r="E1695" s="3" t="e">
        <f t="shared" si="54"/>
        <v>#N/A</v>
      </c>
      <c r="F1695" s="3" t="e">
        <f t="shared" si="55"/>
        <v>#N/A</v>
      </c>
    </row>
    <row r="1696" spans="2:6" x14ac:dyDescent="0.25">
      <c r="B1696" s="3"/>
      <c r="C1696" s="3"/>
      <c r="D1696" s="3"/>
      <c r="E1696" s="3" t="e">
        <f t="shared" si="54"/>
        <v>#N/A</v>
      </c>
      <c r="F1696" s="3" t="e">
        <f t="shared" si="55"/>
        <v>#N/A</v>
      </c>
    </row>
    <row r="1697" spans="2:6" x14ac:dyDescent="0.25">
      <c r="B1697" s="3"/>
      <c r="C1697" s="3"/>
      <c r="D1697" s="3"/>
      <c r="E1697" s="3" t="e">
        <f t="shared" si="54"/>
        <v>#N/A</v>
      </c>
      <c r="F1697" s="3" t="e">
        <f t="shared" si="55"/>
        <v>#N/A</v>
      </c>
    </row>
    <row r="1698" spans="2:6" x14ac:dyDescent="0.25">
      <c r="B1698" s="3"/>
      <c r="C1698" s="3"/>
      <c r="D1698" s="3"/>
      <c r="E1698" s="3" t="e">
        <f t="shared" si="54"/>
        <v>#N/A</v>
      </c>
      <c r="F1698" s="3" t="e">
        <f t="shared" si="55"/>
        <v>#N/A</v>
      </c>
    </row>
    <row r="1699" spans="2:6" x14ac:dyDescent="0.25">
      <c r="B1699" s="3"/>
      <c r="C1699" s="3"/>
      <c r="D1699" s="3"/>
      <c r="E1699" s="3" t="e">
        <f t="shared" si="54"/>
        <v>#N/A</v>
      </c>
      <c r="F1699" s="3" t="e">
        <f t="shared" si="55"/>
        <v>#N/A</v>
      </c>
    </row>
    <row r="1700" spans="2:6" x14ac:dyDescent="0.25">
      <c r="B1700" s="3"/>
      <c r="C1700" s="3"/>
      <c r="D1700" s="3"/>
      <c r="E1700" s="3" t="e">
        <f t="shared" si="54"/>
        <v>#N/A</v>
      </c>
      <c r="F1700" s="3" t="e">
        <f t="shared" si="55"/>
        <v>#N/A</v>
      </c>
    </row>
    <row r="1701" spans="2:6" x14ac:dyDescent="0.25">
      <c r="B1701" s="3"/>
      <c r="C1701" s="3"/>
      <c r="D1701" s="3"/>
      <c r="E1701" s="3" t="e">
        <f t="shared" si="54"/>
        <v>#N/A</v>
      </c>
      <c r="F1701" s="3" t="e">
        <f t="shared" si="55"/>
        <v>#N/A</v>
      </c>
    </row>
    <row r="1702" spans="2:6" x14ac:dyDescent="0.25">
      <c r="B1702" s="3"/>
      <c r="C1702" s="3"/>
      <c r="D1702" s="3"/>
      <c r="E1702" s="3" t="e">
        <f t="shared" si="54"/>
        <v>#N/A</v>
      </c>
      <c r="F1702" s="3" t="e">
        <f t="shared" si="55"/>
        <v>#N/A</v>
      </c>
    </row>
    <row r="1703" spans="2:6" x14ac:dyDescent="0.25">
      <c r="B1703" s="3"/>
      <c r="C1703" s="3"/>
      <c r="D1703" s="3"/>
      <c r="E1703" s="3" t="e">
        <f t="shared" si="54"/>
        <v>#N/A</v>
      </c>
      <c r="F1703" s="3" t="e">
        <f t="shared" si="55"/>
        <v>#N/A</v>
      </c>
    </row>
    <row r="1704" spans="2:6" x14ac:dyDescent="0.25">
      <c r="B1704" s="3"/>
      <c r="C1704" s="3"/>
      <c r="D1704" s="3"/>
      <c r="E1704" s="3" t="e">
        <f t="shared" si="54"/>
        <v>#N/A</v>
      </c>
      <c r="F1704" s="3" t="e">
        <f t="shared" si="55"/>
        <v>#N/A</v>
      </c>
    </row>
    <row r="1705" spans="2:6" x14ac:dyDescent="0.25">
      <c r="B1705" s="3"/>
      <c r="C1705" s="3"/>
      <c r="D1705" s="3"/>
      <c r="E1705" s="3" t="e">
        <f t="shared" si="54"/>
        <v>#N/A</v>
      </c>
      <c r="F1705" s="3" t="e">
        <f t="shared" si="55"/>
        <v>#N/A</v>
      </c>
    </row>
    <row r="1706" spans="2:6" x14ac:dyDescent="0.25">
      <c r="B1706" s="3"/>
      <c r="C1706" s="3"/>
      <c r="D1706" s="3"/>
      <c r="E1706" s="3" t="e">
        <f t="shared" si="54"/>
        <v>#N/A</v>
      </c>
      <c r="F1706" s="3" t="e">
        <f t="shared" si="55"/>
        <v>#N/A</v>
      </c>
    </row>
    <row r="1707" spans="2:6" x14ac:dyDescent="0.25">
      <c r="B1707" s="3"/>
      <c r="C1707" s="3"/>
      <c r="D1707" s="3"/>
      <c r="E1707" s="3" t="e">
        <f t="shared" si="54"/>
        <v>#N/A</v>
      </c>
      <c r="F1707" s="3" t="e">
        <f t="shared" si="55"/>
        <v>#N/A</v>
      </c>
    </row>
    <row r="1708" spans="2:6" x14ac:dyDescent="0.25">
      <c r="B1708" s="3"/>
      <c r="C1708" s="3"/>
      <c r="D1708" s="3"/>
      <c r="E1708" s="3" t="e">
        <f t="shared" si="54"/>
        <v>#N/A</v>
      </c>
      <c r="F1708" s="3" t="e">
        <f t="shared" si="55"/>
        <v>#N/A</v>
      </c>
    </row>
    <row r="1709" spans="2:6" x14ac:dyDescent="0.25">
      <c r="B1709" s="3"/>
      <c r="C1709" s="3"/>
      <c r="D1709" s="3"/>
      <c r="E1709" s="3" t="e">
        <f t="shared" si="54"/>
        <v>#N/A</v>
      </c>
      <c r="F1709" s="3" t="e">
        <f t="shared" si="55"/>
        <v>#N/A</v>
      </c>
    </row>
    <row r="1710" spans="2:6" x14ac:dyDescent="0.25">
      <c r="B1710" s="3"/>
      <c r="C1710" s="3"/>
      <c r="D1710" s="3"/>
      <c r="E1710" s="3" t="e">
        <f t="shared" si="54"/>
        <v>#N/A</v>
      </c>
      <c r="F1710" s="3" t="e">
        <f t="shared" si="55"/>
        <v>#N/A</v>
      </c>
    </row>
    <row r="1711" spans="2:6" x14ac:dyDescent="0.25">
      <c r="B1711" s="3"/>
      <c r="C1711" s="3"/>
      <c r="D1711" s="3"/>
      <c r="E1711" s="3" t="e">
        <f t="shared" si="54"/>
        <v>#N/A</v>
      </c>
      <c r="F1711" s="3" t="e">
        <f t="shared" si="55"/>
        <v>#N/A</v>
      </c>
    </row>
    <row r="1712" spans="2:6" x14ac:dyDescent="0.25">
      <c r="B1712" s="3"/>
      <c r="C1712" s="3"/>
      <c r="D1712" s="3"/>
      <c r="E1712" s="3" t="e">
        <f t="shared" si="54"/>
        <v>#N/A</v>
      </c>
      <c r="F1712" s="3" t="e">
        <f t="shared" si="55"/>
        <v>#N/A</v>
      </c>
    </row>
    <row r="1713" spans="2:6" x14ac:dyDescent="0.25">
      <c r="B1713" s="3"/>
      <c r="C1713" s="3"/>
      <c r="D1713" s="3"/>
      <c r="E1713" s="3" t="e">
        <f t="shared" si="54"/>
        <v>#N/A</v>
      </c>
      <c r="F1713" s="3" t="e">
        <f t="shared" si="55"/>
        <v>#N/A</v>
      </c>
    </row>
    <row r="1714" spans="2:6" x14ac:dyDescent="0.25">
      <c r="B1714" s="3"/>
      <c r="C1714" s="3"/>
      <c r="D1714" s="3"/>
      <c r="E1714" s="3" t="e">
        <f t="shared" si="54"/>
        <v>#N/A</v>
      </c>
      <c r="F1714" s="3" t="e">
        <f t="shared" si="55"/>
        <v>#N/A</v>
      </c>
    </row>
    <row r="1715" spans="2:6" x14ac:dyDescent="0.25">
      <c r="B1715" s="3"/>
      <c r="C1715" s="3"/>
      <c r="D1715" s="3"/>
      <c r="E1715" s="3" t="e">
        <f t="shared" si="54"/>
        <v>#N/A</v>
      </c>
      <c r="F1715" s="3" t="e">
        <f t="shared" si="55"/>
        <v>#N/A</v>
      </c>
    </row>
    <row r="1716" spans="2:6" x14ac:dyDescent="0.25">
      <c r="B1716" s="3"/>
      <c r="C1716" s="3"/>
      <c r="D1716" s="3"/>
      <c r="E1716" s="3" t="e">
        <f t="shared" si="54"/>
        <v>#N/A</v>
      </c>
      <c r="F1716" s="3" t="e">
        <f t="shared" si="55"/>
        <v>#N/A</v>
      </c>
    </row>
    <row r="1717" spans="2:6" x14ac:dyDescent="0.25">
      <c r="B1717" s="3"/>
      <c r="C1717" s="3"/>
      <c r="D1717" s="3"/>
      <c r="E1717" s="3" t="e">
        <f t="shared" si="54"/>
        <v>#N/A</v>
      </c>
      <c r="F1717" s="3" t="e">
        <f t="shared" si="55"/>
        <v>#N/A</v>
      </c>
    </row>
    <row r="1718" spans="2:6" x14ac:dyDescent="0.25">
      <c r="B1718" s="3"/>
      <c r="C1718" s="3"/>
      <c r="D1718" s="3"/>
      <c r="E1718" s="3" t="e">
        <f t="shared" si="54"/>
        <v>#N/A</v>
      </c>
      <c r="F1718" s="3" t="e">
        <f t="shared" si="55"/>
        <v>#N/A</v>
      </c>
    </row>
    <row r="1719" spans="2:6" x14ac:dyDescent="0.25">
      <c r="B1719" s="3"/>
      <c r="C1719" s="3"/>
      <c r="D1719" s="3"/>
      <c r="E1719" s="3" t="e">
        <f t="shared" si="54"/>
        <v>#N/A</v>
      </c>
      <c r="F1719" s="3" t="e">
        <f t="shared" si="55"/>
        <v>#N/A</v>
      </c>
    </row>
    <row r="1720" spans="2:6" x14ac:dyDescent="0.25">
      <c r="B1720" s="3"/>
      <c r="C1720" s="3"/>
      <c r="D1720" s="3"/>
      <c r="E1720" s="3" t="e">
        <f t="shared" si="54"/>
        <v>#N/A</v>
      </c>
      <c r="F1720" s="3" t="e">
        <f t="shared" si="55"/>
        <v>#N/A</v>
      </c>
    </row>
    <row r="1721" spans="2:6" x14ac:dyDescent="0.25">
      <c r="B1721" s="3"/>
      <c r="C1721" s="3"/>
      <c r="D1721" s="3"/>
      <c r="E1721" s="3" t="e">
        <f t="shared" si="54"/>
        <v>#N/A</v>
      </c>
      <c r="F1721" s="3" t="e">
        <f t="shared" si="55"/>
        <v>#N/A</v>
      </c>
    </row>
    <row r="1722" spans="2:6" x14ac:dyDescent="0.25">
      <c r="B1722" s="3"/>
      <c r="C1722" s="3"/>
      <c r="D1722" s="3"/>
      <c r="E1722" s="3" t="e">
        <f t="shared" si="54"/>
        <v>#N/A</v>
      </c>
      <c r="F1722" s="3" t="e">
        <f t="shared" si="55"/>
        <v>#N/A</v>
      </c>
    </row>
    <row r="1723" spans="2:6" x14ac:dyDescent="0.25">
      <c r="B1723" s="3"/>
      <c r="C1723" s="3"/>
      <c r="D1723" s="3"/>
      <c r="E1723" s="3" t="e">
        <f t="shared" si="54"/>
        <v>#N/A</v>
      </c>
      <c r="F1723" s="3" t="e">
        <f t="shared" si="55"/>
        <v>#N/A</v>
      </c>
    </row>
    <row r="1724" spans="2:6" x14ac:dyDescent="0.25">
      <c r="B1724" s="3"/>
      <c r="C1724" s="3"/>
      <c r="D1724" s="3"/>
      <c r="E1724" s="3" t="e">
        <f t="shared" si="54"/>
        <v>#N/A</v>
      </c>
      <c r="F1724" s="3" t="e">
        <f t="shared" si="55"/>
        <v>#N/A</v>
      </c>
    </row>
    <row r="1725" spans="2:6" x14ac:dyDescent="0.25">
      <c r="B1725" s="3"/>
      <c r="C1725" s="3"/>
      <c r="D1725" s="3"/>
      <c r="E1725" s="3" t="e">
        <f t="shared" si="54"/>
        <v>#N/A</v>
      </c>
      <c r="F1725" s="3" t="e">
        <f t="shared" si="55"/>
        <v>#N/A</v>
      </c>
    </row>
    <row r="1726" spans="2:6" x14ac:dyDescent="0.25">
      <c r="B1726" s="3"/>
      <c r="C1726" s="3"/>
      <c r="D1726" s="3"/>
      <c r="E1726" s="3" t="e">
        <f t="shared" si="54"/>
        <v>#N/A</v>
      </c>
      <c r="F1726" s="3" t="e">
        <f t="shared" si="55"/>
        <v>#N/A</v>
      </c>
    </row>
    <row r="1727" spans="2:6" x14ac:dyDescent="0.25">
      <c r="B1727" s="3"/>
      <c r="C1727" s="3"/>
      <c r="D1727" s="3"/>
      <c r="E1727" s="3" t="e">
        <f t="shared" si="54"/>
        <v>#N/A</v>
      </c>
      <c r="F1727" s="3" t="e">
        <f t="shared" si="55"/>
        <v>#N/A</v>
      </c>
    </row>
    <row r="1728" spans="2:6" x14ac:dyDescent="0.25">
      <c r="B1728" s="3"/>
      <c r="C1728" s="3"/>
      <c r="D1728" s="3"/>
      <c r="E1728" s="3" t="e">
        <f t="shared" si="54"/>
        <v>#N/A</v>
      </c>
      <c r="F1728" s="3" t="e">
        <f t="shared" si="55"/>
        <v>#N/A</v>
      </c>
    </row>
    <row r="1729" spans="2:6" x14ac:dyDescent="0.25">
      <c r="B1729" s="3"/>
      <c r="C1729" s="3"/>
      <c r="D1729" s="3"/>
      <c r="E1729" s="3" t="e">
        <f t="shared" si="54"/>
        <v>#N/A</v>
      </c>
      <c r="F1729" s="3" t="e">
        <f t="shared" si="55"/>
        <v>#N/A</v>
      </c>
    </row>
    <row r="1730" spans="2:6" x14ac:dyDescent="0.25">
      <c r="B1730" s="3"/>
      <c r="C1730" s="3"/>
      <c r="D1730" s="3"/>
      <c r="E1730" s="3" t="e">
        <f t="shared" si="54"/>
        <v>#N/A</v>
      </c>
      <c r="F1730" s="3" t="e">
        <f t="shared" si="55"/>
        <v>#N/A</v>
      </c>
    </row>
    <row r="1731" spans="2:6" x14ac:dyDescent="0.25">
      <c r="B1731" s="3"/>
      <c r="C1731" s="3"/>
      <c r="D1731" s="3"/>
      <c r="E1731" s="3" t="e">
        <f t="shared" si="54"/>
        <v>#N/A</v>
      </c>
      <c r="F1731" s="3" t="e">
        <f t="shared" si="55"/>
        <v>#N/A</v>
      </c>
    </row>
    <row r="1732" spans="2:6" x14ac:dyDescent="0.25">
      <c r="B1732" s="3"/>
      <c r="C1732" s="3"/>
      <c r="D1732" s="3"/>
      <c r="E1732" s="3" t="e">
        <f t="shared" ref="E1732:E1795" si="56">VLOOKUP(C1732,I:J,2,0)</f>
        <v>#N/A</v>
      </c>
      <c r="F1732" s="3" t="e">
        <f t="shared" ref="F1732:F1795" si="57">E1732&amp;" "&amp;B1732</f>
        <v>#N/A</v>
      </c>
    </row>
    <row r="1733" spans="2:6" x14ac:dyDescent="0.25">
      <c r="B1733" s="3"/>
      <c r="C1733" s="3"/>
      <c r="D1733" s="3"/>
      <c r="E1733" s="3" t="e">
        <f t="shared" si="56"/>
        <v>#N/A</v>
      </c>
      <c r="F1733" s="3" t="e">
        <f t="shared" si="57"/>
        <v>#N/A</v>
      </c>
    </row>
    <row r="1734" spans="2:6" x14ac:dyDescent="0.25">
      <c r="B1734" s="3"/>
      <c r="C1734" s="3"/>
      <c r="D1734" s="3"/>
      <c r="E1734" s="3" t="e">
        <f t="shared" si="56"/>
        <v>#N/A</v>
      </c>
      <c r="F1734" s="3" t="e">
        <f t="shared" si="57"/>
        <v>#N/A</v>
      </c>
    </row>
    <row r="1735" spans="2:6" x14ac:dyDescent="0.25">
      <c r="B1735" s="3"/>
      <c r="C1735" s="3"/>
      <c r="D1735" s="3"/>
      <c r="E1735" s="3" t="e">
        <f t="shared" si="56"/>
        <v>#N/A</v>
      </c>
      <c r="F1735" s="3" t="e">
        <f t="shared" si="57"/>
        <v>#N/A</v>
      </c>
    </row>
    <row r="1736" spans="2:6" x14ac:dyDescent="0.25">
      <c r="B1736" s="3"/>
      <c r="C1736" s="3"/>
      <c r="D1736" s="3"/>
      <c r="E1736" s="3" t="e">
        <f t="shared" si="56"/>
        <v>#N/A</v>
      </c>
      <c r="F1736" s="3" t="e">
        <f t="shared" si="57"/>
        <v>#N/A</v>
      </c>
    </row>
    <row r="1737" spans="2:6" x14ac:dyDescent="0.25">
      <c r="B1737" s="3"/>
      <c r="C1737" s="3"/>
      <c r="D1737" s="3"/>
      <c r="E1737" s="3" t="e">
        <f t="shared" si="56"/>
        <v>#N/A</v>
      </c>
      <c r="F1737" s="3" t="e">
        <f t="shared" si="57"/>
        <v>#N/A</v>
      </c>
    </row>
    <row r="1738" spans="2:6" x14ac:dyDescent="0.25">
      <c r="B1738" s="3"/>
      <c r="C1738" s="3"/>
      <c r="D1738" s="3"/>
      <c r="E1738" s="3" t="e">
        <f t="shared" si="56"/>
        <v>#N/A</v>
      </c>
      <c r="F1738" s="3" t="e">
        <f t="shared" si="57"/>
        <v>#N/A</v>
      </c>
    </row>
    <row r="1739" spans="2:6" x14ac:dyDescent="0.25">
      <c r="B1739" s="3"/>
      <c r="C1739" s="3"/>
      <c r="D1739" s="3"/>
      <c r="E1739" s="3" t="e">
        <f t="shared" si="56"/>
        <v>#N/A</v>
      </c>
      <c r="F1739" s="3" t="e">
        <f t="shared" si="57"/>
        <v>#N/A</v>
      </c>
    </row>
    <row r="1740" spans="2:6" x14ac:dyDescent="0.25">
      <c r="B1740" s="3"/>
      <c r="C1740" s="3"/>
      <c r="D1740" s="3"/>
      <c r="E1740" s="3" t="e">
        <f t="shared" si="56"/>
        <v>#N/A</v>
      </c>
      <c r="F1740" s="3" t="e">
        <f t="shared" si="57"/>
        <v>#N/A</v>
      </c>
    </row>
    <row r="1741" spans="2:6" x14ac:dyDescent="0.25">
      <c r="B1741" s="3"/>
      <c r="C1741" s="3"/>
      <c r="D1741" s="3"/>
      <c r="E1741" s="3" t="e">
        <f t="shared" si="56"/>
        <v>#N/A</v>
      </c>
      <c r="F1741" s="3" t="e">
        <f t="shared" si="57"/>
        <v>#N/A</v>
      </c>
    </row>
    <row r="1742" spans="2:6" x14ac:dyDescent="0.25">
      <c r="B1742" s="3"/>
      <c r="C1742" s="3"/>
      <c r="D1742" s="3"/>
      <c r="E1742" s="3" t="e">
        <f t="shared" si="56"/>
        <v>#N/A</v>
      </c>
      <c r="F1742" s="3" t="e">
        <f t="shared" si="57"/>
        <v>#N/A</v>
      </c>
    </row>
    <row r="1743" spans="2:6" x14ac:dyDescent="0.25">
      <c r="B1743" s="3"/>
      <c r="C1743" s="3"/>
      <c r="D1743" s="3"/>
      <c r="E1743" s="3" t="e">
        <f t="shared" si="56"/>
        <v>#N/A</v>
      </c>
      <c r="F1743" s="3" t="e">
        <f t="shared" si="57"/>
        <v>#N/A</v>
      </c>
    </row>
    <row r="1744" spans="2:6" x14ac:dyDescent="0.25">
      <c r="B1744" s="3"/>
      <c r="C1744" s="3"/>
      <c r="D1744" s="3"/>
      <c r="E1744" s="3" t="e">
        <f t="shared" si="56"/>
        <v>#N/A</v>
      </c>
      <c r="F1744" s="3" t="e">
        <f t="shared" si="57"/>
        <v>#N/A</v>
      </c>
    </row>
    <row r="1745" spans="2:6" x14ac:dyDescent="0.25">
      <c r="B1745" s="3"/>
      <c r="C1745" s="3"/>
      <c r="D1745" s="3"/>
      <c r="E1745" s="3" t="e">
        <f t="shared" si="56"/>
        <v>#N/A</v>
      </c>
      <c r="F1745" s="3" t="e">
        <f t="shared" si="57"/>
        <v>#N/A</v>
      </c>
    </row>
    <row r="1746" spans="2:6" x14ac:dyDescent="0.25">
      <c r="B1746" s="3"/>
      <c r="C1746" s="3"/>
      <c r="D1746" s="3"/>
      <c r="E1746" s="3" t="e">
        <f t="shared" si="56"/>
        <v>#N/A</v>
      </c>
      <c r="F1746" s="3" t="e">
        <f t="shared" si="57"/>
        <v>#N/A</v>
      </c>
    </row>
    <row r="1747" spans="2:6" x14ac:dyDescent="0.25">
      <c r="B1747" s="3"/>
      <c r="C1747" s="3"/>
      <c r="D1747" s="3"/>
      <c r="E1747" s="3" t="e">
        <f t="shared" si="56"/>
        <v>#N/A</v>
      </c>
      <c r="F1747" s="3" t="e">
        <f t="shared" si="57"/>
        <v>#N/A</v>
      </c>
    </row>
    <row r="1748" spans="2:6" x14ac:dyDescent="0.25">
      <c r="B1748" s="3"/>
      <c r="C1748" s="3"/>
      <c r="D1748" s="3"/>
      <c r="E1748" s="3" t="e">
        <f t="shared" si="56"/>
        <v>#N/A</v>
      </c>
      <c r="F1748" s="3" t="e">
        <f t="shared" si="57"/>
        <v>#N/A</v>
      </c>
    </row>
    <row r="1749" spans="2:6" x14ac:dyDescent="0.25">
      <c r="B1749" s="3"/>
      <c r="C1749" s="3"/>
      <c r="D1749" s="3"/>
      <c r="E1749" s="3" t="e">
        <f t="shared" si="56"/>
        <v>#N/A</v>
      </c>
      <c r="F1749" s="3" t="e">
        <f t="shared" si="57"/>
        <v>#N/A</v>
      </c>
    </row>
    <row r="1750" spans="2:6" x14ac:dyDescent="0.25">
      <c r="B1750" s="3"/>
      <c r="C1750" s="3"/>
      <c r="D1750" s="3"/>
      <c r="E1750" s="3" t="e">
        <f t="shared" si="56"/>
        <v>#N/A</v>
      </c>
      <c r="F1750" s="3" t="e">
        <f t="shared" si="57"/>
        <v>#N/A</v>
      </c>
    </row>
    <row r="1751" spans="2:6" x14ac:dyDescent="0.25">
      <c r="B1751" s="3"/>
      <c r="C1751" s="3"/>
      <c r="D1751" s="3"/>
      <c r="E1751" s="3" t="e">
        <f t="shared" si="56"/>
        <v>#N/A</v>
      </c>
      <c r="F1751" s="3" t="e">
        <f t="shared" si="57"/>
        <v>#N/A</v>
      </c>
    </row>
    <row r="1752" spans="2:6" x14ac:dyDescent="0.25">
      <c r="B1752" s="3"/>
      <c r="C1752" s="3"/>
      <c r="D1752" s="3"/>
      <c r="E1752" s="3" t="e">
        <f t="shared" si="56"/>
        <v>#N/A</v>
      </c>
      <c r="F1752" s="3" t="e">
        <f t="shared" si="57"/>
        <v>#N/A</v>
      </c>
    </row>
    <row r="1753" spans="2:6" x14ac:dyDescent="0.25">
      <c r="B1753" s="3"/>
      <c r="C1753" s="3"/>
      <c r="D1753" s="3"/>
      <c r="E1753" s="3" t="e">
        <f t="shared" si="56"/>
        <v>#N/A</v>
      </c>
      <c r="F1753" s="3" t="e">
        <f t="shared" si="57"/>
        <v>#N/A</v>
      </c>
    </row>
    <row r="1754" spans="2:6" x14ac:dyDescent="0.25">
      <c r="B1754" s="3"/>
      <c r="C1754" s="3"/>
      <c r="D1754" s="3"/>
      <c r="E1754" s="3" t="e">
        <f t="shared" si="56"/>
        <v>#N/A</v>
      </c>
      <c r="F1754" s="3" t="e">
        <f t="shared" si="57"/>
        <v>#N/A</v>
      </c>
    </row>
    <row r="1755" spans="2:6" x14ac:dyDescent="0.25">
      <c r="B1755" s="3"/>
      <c r="C1755" s="3"/>
      <c r="D1755" s="3"/>
      <c r="E1755" s="3" t="e">
        <f t="shared" si="56"/>
        <v>#N/A</v>
      </c>
      <c r="F1755" s="3" t="e">
        <f t="shared" si="57"/>
        <v>#N/A</v>
      </c>
    </row>
    <row r="1756" spans="2:6" x14ac:dyDescent="0.25">
      <c r="B1756" s="3"/>
      <c r="C1756" s="3"/>
      <c r="D1756" s="3"/>
      <c r="E1756" s="3" t="e">
        <f t="shared" si="56"/>
        <v>#N/A</v>
      </c>
      <c r="F1756" s="3" t="e">
        <f t="shared" si="57"/>
        <v>#N/A</v>
      </c>
    </row>
    <row r="1757" spans="2:6" x14ac:dyDescent="0.25">
      <c r="B1757" s="3"/>
      <c r="C1757" s="3"/>
      <c r="D1757" s="3"/>
      <c r="E1757" s="3" t="e">
        <f t="shared" si="56"/>
        <v>#N/A</v>
      </c>
      <c r="F1757" s="3" t="e">
        <f t="shared" si="57"/>
        <v>#N/A</v>
      </c>
    </row>
    <row r="1758" spans="2:6" x14ac:dyDescent="0.25">
      <c r="B1758" s="3"/>
      <c r="C1758" s="3"/>
      <c r="D1758" s="3"/>
      <c r="E1758" s="3" t="e">
        <f t="shared" si="56"/>
        <v>#N/A</v>
      </c>
      <c r="F1758" s="3" t="e">
        <f t="shared" si="57"/>
        <v>#N/A</v>
      </c>
    </row>
    <row r="1759" spans="2:6" x14ac:dyDescent="0.25">
      <c r="B1759" s="3"/>
      <c r="C1759" s="3"/>
      <c r="D1759" s="3"/>
      <c r="E1759" s="3" t="e">
        <f t="shared" si="56"/>
        <v>#N/A</v>
      </c>
      <c r="F1759" s="3" t="e">
        <f t="shared" si="57"/>
        <v>#N/A</v>
      </c>
    </row>
    <row r="1760" spans="2:6" x14ac:dyDescent="0.25">
      <c r="B1760" s="3"/>
      <c r="C1760" s="3"/>
      <c r="D1760" s="3"/>
      <c r="E1760" s="3" t="e">
        <f t="shared" si="56"/>
        <v>#N/A</v>
      </c>
      <c r="F1760" s="3" t="e">
        <f t="shared" si="57"/>
        <v>#N/A</v>
      </c>
    </row>
    <row r="1761" spans="2:6" x14ac:dyDescent="0.25">
      <c r="B1761" s="3"/>
      <c r="C1761" s="3"/>
      <c r="D1761" s="3"/>
      <c r="E1761" s="3" t="e">
        <f t="shared" si="56"/>
        <v>#N/A</v>
      </c>
      <c r="F1761" s="3" t="e">
        <f t="shared" si="57"/>
        <v>#N/A</v>
      </c>
    </row>
    <row r="1762" spans="2:6" x14ac:dyDescent="0.25">
      <c r="B1762" s="3"/>
      <c r="C1762" s="3"/>
      <c r="D1762" s="3"/>
      <c r="E1762" s="3" t="e">
        <f t="shared" si="56"/>
        <v>#N/A</v>
      </c>
      <c r="F1762" s="3" t="e">
        <f t="shared" si="57"/>
        <v>#N/A</v>
      </c>
    </row>
    <row r="1763" spans="2:6" x14ac:dyDescent="0.25">
      <c r="B1763" s="3"/>
      <c r="C1763" s="3"/>
      <c r="D1763" s="3"/>
      <c r="E1763" s="3" t="e">
        <f t="shared" si="56"/>
        <v>#N/A</v>
      </c>
      <c r="F1763" s="3" t="e">
        <f t="shared" si="57"/>
        <v>#N/A</v>
      </c>
    </row>
    <row r="1764" spans="2:6" x14ac:dyDescent="0.25">
      <c r="B1764" s="3"/>
      <c r="C1764" s="3"/>
      <c r="D1764" s="3"/>
      <c r="E1764" s="3" t="e">
        <f t="shared" si="56"/>
        <v>#N/A</v>
      </c>
      <c r="F1764" s="3" t="e">
        <f t="shared" si="57"/>
        <v>#N/A</v>
      </c>
    </row>
    <row r="1765" spans="2:6" x14ac:dyDescent="0.25">
      <c r="B1765" s="3"/>
      <c r="C1765" s="3"/>
      <c r="D1765" s="3"/>
      <c r="E1765" s="3" t="e">
        <f t="shared" si="56"/>
        <v>#N/A</v>
      </c>
      <c r="F1765" s="3" t="e">
        <f t="shared" si="57"/>
        <v>#N/A</v>
      </c>
    </row>
    <row r="1766" spans="2:6" x14ac:dyDescent="0.25">
      <c r="B1766" s="3"/>
      <c r="C1766" s="3"/>
      <c r="D1766" s="3"/>
      <c r="E1766" s="3" t="e">
        <f t="shared" si="56"/>
        <v>#N/A</v>
      </c>
      <c r="F1766" s="3" t="e">
        <f t="shared" si="57"/>
        <v>#N/A</v>
      </c>
    </row>
    <row r="1767" spans="2:6" x14ac:dyDescent="0.25">
      <c r="B1767" s="3"/>
      <c r="C1767" s="3"/>
      <c r="D1767" s="3"/>
      <c r="E1767" s="3" t="e">
        <f t="shared" si="56"/>
        <v>#N/A</v>
      </c>
      <c r="F1767" s="3" t="e">
        <f t="shared" si="57"/>
        <v>#N/A</v>
      </c>
    </row>
    <row r="1768" spans="2:6" x14ac:dyDescent="0.25">
      <c r="B1768" s="3"/>
      <c r="C1768" s="3"/>
      <c r="D1768" s="3"/>
      <c r="E1768" s="3" t="e">
        <f t="shared" si="56"/>
        <v>#N/A</v>
      </c>
      <c r="F1768" s="3" t="e">
        <f t="shared" si="57"/>
        <v>#N/A</v>
      </c>
    </row>
    <row r="1769" spans="2:6" x14ac:dyDescent="0.25">
      <c r="B1769" s="3"/>
      <c r="C1769" s="3"/>
      <c r="D1769" s="3"/>
      <c r="E1769" s="3" t="e">
        <f t="shared" si="56"/>
        <v>#N/A</v>
      </c>
      <c r="F1769" s="3" t="e">
        <f t="shared" si="57"/>
        <v>#N/A</v>
      </c>
    </row>
    <row r="1770" spans="2:6" x14ac:dyDescent="0.25">
      <c r="B1770" s="3"/>
      <c r="C1770" s="3"/>
      <c r="D1770" s="3"/>
      <c r="E1770" s="3" t="e">
        <f t="shared" si="56"/>
        <v>#N/A</v>
      </c>
      <c r="F1770" s="3" t="e">
        <f t="shared" si="57"/>
        <v>#N/A</v>
      </c>
    </row>
    <row r="1771" spans="2:6" x14ac:dyDescent="0.25">
      <c r="B1771" s="3"/>
      <c r="C1771" s="3"/>
      <c r="D1771" s="3"/>
      <c r="E1771" s="3" t="e">
        <f t="shared" si="56"/>
        <v>#N/A</v>
      </c>
      <c r="F1771" s="3" t="e">
        <f t="shared" si="57"/>
        <v>#N/A</v>
      </c>
    </row>
    <row r="1772" spans="2:6" x14ac:dyDescent="0.25">
      <c r="B1772" s="3"/>
      <c r="C1772" s="3"/>
      <c r="D1772" s="3"/>
      <c r="E1772" s="3" t="e">
        <f t="shared" si="56"/>
        <v>#N/A</v>
      </c>
      <c r="F1772" s="3" t="e">
        <f t="shared" si="57"/>
        <v>#N/A</v>
      </c>
    </row>
    <row r="1773" spans="2:6" x14ac:dyDescent="0.25">
      <c r="B1773" s="3"/>
      <c r="C1773" s="3"/>
      <c r="D1773" s="3"/>
      <c r="E1773" s="3" t="e">
        <f t="shared" si="56"/>
        <v>#N/A</v>
      </c>
      <c r="F1773" s="3" t="e">
        <f t="shared" si="57"/>
        <v>#N/A</v>
      </c>
    </row>
    <row r="1774" spans="2:6" x14ac:dyDescent="0.25">
      <c r="B1774" s="3"/>
      <c r="C1774" s="3"/>
      <c r="D1774" s="3"/>
      <c r="E1774" s="3" t="e">
        <f t="shared" si="56"/>
        <v>#N/A</v>
      </c>
      <c r="F1774" s="3" t="e">
        <f t="shared" si="57"/>
        <v>#N/A</v>
      </c>
    </row>
    <row r="1775" spans="2:6" x14ac:dyDescent="0.25">
      <c r="B1775" s="3"/>
      <c r="C1775" s="3"/>
      <c r="D1775" s="3"/>
      <c r="E1775" s="3" t="e">
        <f t="shared" si="56"/>
        <v>#N/A</v>
      </c>
      <c r="F1775" s="3" t="e">
        <f t="shared" si="57"/>
        <v>#N/A</v>
      </c>
    </row>
    <row r="1776" spans="2:6" x14ac:dyDescent="0.25">
      <c r="B1776" s="3"/>
      <c r="C1776" s="3"/>
      <c r="D1776" s="3"/>
      <c r="E1776" s="3" t="e">
        <f t="shared" si="56"/>
        <v>#N/A</v>
      </c>
      <c r="F1776" s="3" t="e">
        <f t="shared" si="57"/>
        <v>#N/A</v>
      </c>
    </row>
    <row r="1777" spans="2:6" x14ac:dyDescent="0.25">
      <c r="B1777" s="3"/>
      <c r="C1777" s="3"/>
      <c r="D1777" s="3"/>
      <c r="E1777" s="3" t="e">
        <f t="shared" si="56"/>
        <v>#N/A</v>
      </c>
      <c r="F1777" s="3" t="e">
        <f t="shared" si="57"/>
        <v>#N/A</v>
      </c>
    </row>
    <row r="1778" spans="2:6" x14ac:dyDescent="0.25">
      <c r="B1778" s="3"/>
      <c r="C1778" s="3"/>
      <c r="D1778" s="3"/>
      <c r="E1778" s="3" t="e">
        <f t="shared" si="56"/>
        <v>#N/A</v>
      </c>
      <c r="F1778" s="3" t="e">
        <f t="shared" si="57"/>
        <v>#N/A</v>
      </c>
    </row>
    <row r="1779" spans="2:6" x14ac:dyDescent="0.25">
      <c r="B1779" s="3"/>
      <c r="C1779" s="3"/>
      <c r="D1779" s="3"/>
      <c r="E1779" s="3" t="e">
        <f t="shared" si="56"/>
        <v>#N/A</v>
      </c>
      <c r="F1779" s="3" t="e">
        <f t="shared" si="57"/>
        <v>#N/A</v>
      </c>
    </row>
    <row r="1780" spans="2:6" x14ac:dyDescent="0.25">
      <c r="B1780" s="3"/>
      <c r="C1780" s="3"/>
      <c r="D1780" s="3"/>
      <c r="E1780" s="3" t="e">
        <f t="shared" si="56"/>
        <v>#N/A</v>
      </c>
      <c r="F1780" s="3" t="e">
        <f t="shared" si="57"/>
        <v>#N/A</v>
      </c>
    </row>
    <row r="1781" spans="2:6" x14ac:dyDescent="0.25">
      <c r="B1781" s="3"/>
      <c r="C1781" s="3"/>
      <c r="D1781" s="3"/>
      <c r="E1781" s="3" t="e">
        <f t="shared" si="56"/>
        <v>#N/A</v>
      </c>
      <c r="F1781" s="3" t="e">
        <f t="shared" si="57"/>
        <v>#N/A</v>
      </c>
    </row>
    <row r="1782" spans="2:6" x14ac:dyDescent="0.25">
      <c r="B1782" s="3"/>
      <c r="C1782" s="3"/>
      <c r="D1782" s="3"/>
      <c r="E1782" s="3" t="e">
        <f t="shared" si="56"/>
        <v>#N/A</v>
      </c>
      <c r="F1782" s="3" t="e">
        <f t="shared" si="57"/>
        <v>#N/A</v>
      </c>
    </row>
    <row r="1783" spans="2:6" x14ac:dyDescent="0.25">
      <c r="B1783" s="3"/>
      <c r="C1783" s="3"/>
      <c r="D1783" s="3"/>
      <c r="E1783" s="3" t="e">
        <f t="shared" si="56"/>
        <v>#N/A</v>
      </c>
      <c r="F1783" s="3" t="e">
        <f t="shared" si="57"/>
        <v>#N/A</v>
      </c>
    </row>
    <row r="1784" spans="2:6" x14ac:dyDescent="0.25">
      <c r="B1784" s="3"/>
      <c r="C1784" s="3"/>
      <c r="D1784" s="3"/>
      <c r="E1784" s="3" t="e">
        <f t="shared" si="56"/>
        <v>#N/A</v>
      </c>
      <c r="F1784" s="3" t="e">
        <f t="shared" si="57"/>
        <v>#N/A</v>
      </c>
    </row>
    <row r="1785" spans="2:6" x14ac:dyDescent="0.25">
      <c r="B1785" s="3"/>
      <c r="C1785" s="3"/>
      <c r="D1785" s="3"/>
      <c r="E1785" s="3" t="e">
        <f t="shared" si="56"/>
        <v>#N/A</v>
      </c>
      <c r="F1785" s="3" t="e">
        <f t="shared" si="57"/>
        <v>#N/A</v>
      </c>
    </row>
    <row r="1786" spans="2:6" x14ac:dyDescent="0.25">
      <c r="B1786" s="3"/>
      <c r="C1786" s="3"/>
      <c r="D1786" s="3"/>
      <c r="E1786" s="3" t="e">
        <f t="shared" si="56"/>
        <v>#N/A</v>
      </c>
      <c r="F1786" s="3" t="e">
        <f t="shared" si="57"/>
        <v>#N/A</v>
      </c>
    </row>
    <row r="1787" spans="2:6" x14ac:dyDescent="0.25">
      <c r="B1787" s="3"/>
      <c r="C1787" s="3"/>
      <c r="D1787" s="3"/>
      <c r="E1787" s="3" t="e">
        <f t="shared" si="56"/>
        <v>#N/A</v>
      </c>
      <c r="F1787" s="3" t="e">
        <f t="shared" si="57"/>
        <v>#N/A</v>
      </c>
    </row>
    <row r="1788" spans="2:6" x14ac:dyDescent="0.25">
      <c r="B1788" s="3"/>
      <c r="C1788" s="3"/>
      <c r="D1788" s="3"/>
      <c r="E1788" s="3" t="e">
        <f t="shared" si="56"/>
        <v>#N/A</v>
      </c>
      <c r="F1788" s="3" t="e">
        <f t="shared" si="57"/>
        <v>#N/A</v>
      </c>
    </row>
    <row r="1789" spans="2:6" x14ac:dyDescent="0.25">
      <c r="B1789" s="3"/>
      <c r="C1789" s="3"/>
      <c r="D1789" s="3"/>
      <c r="E1789" s="3" t="e">
        <f t="shared" si="56"/>
        <v>#N/A</v>
      </c>
      <c r="F1789" s="3" t="e">
        <f t="shared" si="57"/>
        <v>#N/A</v>
      </c>
    </row>
    <row r="1790" spans="2:6" x14ac:dyDescent="0.25">
      <c r="B1790" s="3"/>
      <c r="C1790" s="3"/>
      <c r="D1790" s="3"/>
      <c r="E1790" s="3" t="e">
        <f t="shared" si="56"/>
        <v>#N/A</v>
      </c>
      <c r="F1790" s="3" t="e">
        <f t="shared" si="57"/>
        <v>#N/A</v>
      </c>
    </row>
    <row r="1791" spans="2:6" x14ac:dyDescent="0.25">
      <c r="B1791" s="3"/>
      <c r="C1791" s="3"/>
      <c r="D1791" s="3"/>
      <c r="E1791" s="3" t="e">
        <f t="shared" si="56"/>
        <v>#N/A</v>
      </c>
      <c r="F1791" s="3" t="e">
        <f t="shared" si="57"/>
        <v>#N/A</v>
      </c>
    </row>
    <row r="1792" spans="2:6" x14ac:dyDescent="0.25">
      <c r="B1792" s="3"/>
      <c r="C1792" s="3"/>
      <c r="D1792" s="3"/>
      <c r="E1792" s="3" t="e">
        <f t="shared" si="56"/>
        <v>#N/A</v>
      </c>
      <c r="F1792" s="3" t="e">
        <f t="shared" si="57"/>
        <v>#N/A</v>
      </c>
    </row>
    <row r="1793" spans="2:6" x14ac:dyDescent="0.25">
      <c r="B1793" s="3"/>
      <c r="C1793" s="3"/>
      <c r="D1793" s="3"/>
      <c r="E1793" s="3" t="e">
        <f t="shared" si="56"/>
        <v>#N/A</v>
      </c>
      <c r="F1793" s="3" t="e">
        <f t="shared" si="57"/>
        <v>#N/A</v>
      </c>
    </row>
    <row r="1794" spans="2:6" x14ac:dyDescent="0.25">
      <c r="B1794" s="3"/>
      <c r="C1794" s="3"/>
      <c r="D1794" s="3"/>
      <c r="E1794" s="3" t="e">
        <f t="shared" si="56"/>
        <v>#N/A</v>
      </c>
      <c r="F1794" s="3" t="e">
        <f t="shared" si="57"/>
        <v>#N/A</v>
      </c>
    </row>
    <row r="1795" spans="2:6" x14ac:dyDescent="0.25">
      <c r="B1795" s="3"/>
      <c r="C1795" s="3"/>
      <c r="D1795" s="3"/>
      <c r="E1795" s="3" t="e">
        <f t="shared" si="56"/>
        <v>#N/A</v>
      </c>
      <c r="F1795" s="3" t="e">
        <f t="shared" si="57"/>
        <v>#N/A</v>
      </c>
    </row>
    <row r="1796" spans="2:6" x14ac:dyDescent="0.25">
      <c r="B1796" s="3"/>
      <c r="C1796" s="3"/>
      <c r="D1796" s="3"/>
      <c r="E1796" s="3" t="e">
        <f t="shared" ref="E1796:E1859" si="58">VLOOKUP(C1796,I:J,2,0)</f>
        <v>#N/A</v>
      </c>
      <c r="F1796" s="3" t="e">
        <f t="shared" ref="F1796:F1859" si="59">E1796&amp;" "&amp;B1796</f>
        <v>#N/A</v>
      </c>
    </row>
    <row r="1797" spans="2:6" x14ac:dyDescent="0.25">
      <c r="B1797" s="3"/>
      <c r="C1797" s="3"/>
      <c r="D1797" s="3"/>
      <c r="E1797" s="3" t="e">
        <f t="shared" si="58"/>
        <v>#N/A</v>
      </c>
      <c r="F1797" s="3" t="e">
        <f t="shared" si="59"/>
        <v>#N/A</v>
      </c>
    </row>
    <row r="1798" spans="2:6" x14ac:dyDescent="0.25">
      <c r="B1798" s="3"/>
      <c r="C1798" s="3"/>
      <c r="D1798" s="3"/>
      <c r="E1798" s="3" t="e">
        <f t="shared" si="58"/>
        <v>#N/A</v>
      </c>
      <c r="F1798" s="3" t="e">
        <f t="shared" si="59"/>
        <v>#N/A</v>
      </c>
    </row>
    <row r="1799" spans="2:6" x14ac:dyDescent="0.25">
      <c r="B1799" s="3"/>
      <c r="C1799" s="3"/>
      <c r="D1799" s="3"/>
      <c r="E1799" s="3" t="e">
        <f t="shared" si="58"/>
        <v>#N/A</v>
      </c>
      <c r="F1799" s="3" t="e">
        <f t="shared" si="59"/>
        <v>#N/A</v>
      </c>
    </row>
    <row r="1800" spans="2:6" x14ac:dyDescent="0.25">
      <c r="B1800" s="3"/>
      <c r="C1800" s="3"/>
      <c r="D1800" s="3"/>
      <c r="E1800" s="3" t="e">
        <f t="shared" si="58"/>
        <v>#N/A</v>
      </c>
      <c r="F1800" s="3" t="e">
        <f t="shared" si="59"/>
        <v>#N/A</v>
      </c>
    </row>
    <row r="1801" spans="2:6" x14ac:dyDescent="0.25">
      <c r="B1801" s="3"/>
      <c r="C1801" s="3"/>
      <c r="D1801" s="3"/>
      <c r="E1801" s="3" t="e">
        <f t="shared" si="58"/>
        <v>#N/A</v>
      </c>
      <c r="F1801" s="3" t="e">
        <f t="shared" si="59"/>
        <v>#N/A</v>
      </c>
    </row>
    <row r="1802" spans="2:6" x14ac:dyDescent="0.25">
      <c r="B1802" s="3"/>
      <c r="C1802" s="3"/>
      <c r="D1802" s="3"/>
      <c r="E1802" s="3" t="e">
        <f t="shared" si="58"/>
        <v>#N/A</v>
      </c>
      <c r="F1802" s="3" t="e">
        <f t="shared" si="59"/>
        <v>#N/A</v>
      </c>
    </row>
    <row r="1803" spans="2:6" x14ac:dyDescent="0.25">
      <c r="B1803" s="3"/>
      <c r="C1803" s="3"/>
      <c r="D1803" s="3"/>
      <c r="E1803" s="3" t="e">
        <f t="shared" si="58"/>
        <v>#N/A</v>
      </c>
      <c r="F1803" s="3" t="e">
        <f t="shared" si="59"/>
        <v>#N/A</v>
      </c>
    </row>
    <row r="1804" spans="2:6" x14ac:dyDescent="0.25">
      <c r="B1804" s="3"/>
      <c r="C1804" s="3"/>
      <c r="D1804" s="3"/>
      <c r="E1804" s="3" t="e">
        <f t="shared" si="58"/>
        <v>#N/A</v>
      </c>
      <c r="F1804" s="3" t="e">
        <f t="shared" si="59"/>
        <v>#N/A</v>
      </c>
    </row>
    <row r="1805" spans="2:6" x14ac:dyDescent="0.25">
      <c r="B1805" s="3"/>
      <c r="C1805" s="3"/>
      <c r="D1805" s="3"/>
      <c r="E1805" s="3" t="e">
        <f t="shared" si="58"/>
        <v>#N/A</v>
      </c>
      <c r="F1805" s="3" t="e">
        <f t="shared" si="59"/>
        <v>#N/A</v>
      </c>
    </row>
    <row r="1806" spans="2:6" x14ac:dyDescent="0.25">
      <c r="B1806" s="3"/>
      <c r="C1806" s="3"/>
      <c r="D1806" s="3"/>
      <c r="E1806" s="3" t="e">
        <f t="shared" si="58"/>
        <v>#N/A</v>
      </c>
      <c r="F1806" s="3" t="e">
        <f t="shared" si="59"/>
        <v>#N/A</v>
      </c>
    </row>
    <row r="1807" spans="2:6" x14ac:dyDescent="0.25">
      <c r="B1807" s="3"/>
      <c r="C1807" s="3"/>
      <c r="D1807" s="3"/>
      <c r="E1807" s="3" t="e">
        <f t="shared" si="58"/>
        <v>#N/A</v>
      </c>
      <c r="F1807" s="3" t="e">
        <f t="shared" si="59"/>
        <v>#N/A</v>
      </c>
    </row>
    <row r="1808" spans="2:6" x14ac:dyDescent="0.25">
      <c r="B1808" s="3"/>
      <c r="C1808" s="3"/>
      <c r="D1808" s="3"/>
      <c r="E1808" s="3" t="e">
        <f t="shared" si="58"/>
        <v>#N/A</v>
      </c>
      <c r="F1808" s="3" t="e">
        <f t="shared" si="59"/>
        <v>#N/A</v>
      </c>
    </row>
    <row r="1809" spans="2:6" x14ac:dyDescent="0.25">
      <c r="B1809" s="3"/>
      <c r="C1809" s="3"/>
      <c r="D1809" s="3"/>
      <c r="E1809" s="3" t="e">
        <f t="shared" si="58"/>
        <v>#N/A</v>
      </c>
      <c r="F1809" s="3" t="e">
        <f t="shared" si="59"/>
        <v>#N/A</v>
      </c>
    </row>
    <row r="1810" spans="2:6" x14ac:dyDescent="0.25">
      <c r="B1810" s="3"/>
      <c r="C1810" s="3"/>
      <c r="D1810" s="3"/>
      <c r="E1810" s="3" t="e">
        <f t="shared" si="58"/>
        <v>#N/A</v>
      </c>
      <c r="F1810" s="3" t="e">
        <f t="shared" si="59"/>
        <v>#N/A</v>
      </c>
    </row>
    <row r="1811" spans="2:6" x14ac:dyDescent="0.25">
      <c r="B1811" s="3"/>
      <c r="C1811" s="3"/>
      <c r="D1811" s="3"/>
      <c r="E1811" s="3" t="e">
        <f t="shared" si="58"/>
        <v>#N/A</v>
      </c>
      <c r="F1811" s="3" t="e">
        <f t="shared" si="59"/>
        <v>#N/A</v>
      </c>
    </row>
    <row r="1812" spans="2:6" x14ac:dyDescent="0.25">
      <c r="B1812" s="3"/>
      <c r="C1812" s="3"/>
      <c r="D1812" s="3"/>
      <c r="E1812" s="3" t="e">
        <f t="shared" si="58"/>
        <v>#N/A</v>
      </c>
      <c r="F1812" s="3" t="e">
        <f t="shared" si="59"/>
        <v>#N/A</v>
      </c>
    </row>
    <row r="1813" spans="2:6" x14ac:dyDescent="0.25">
      <c r="B1813" s="3"/>
      <c r="C1813" s="3"/>
      <c r="D1813" s="3"/>
      <c r="E1813" s="3" t="e">
        <f t="shared" si="58"/>
        <v>#N/A</v>
      </c>
      <c r="F1813" s="3" t="e">
        <f t="shared" si="59"/>
        <v>#N/A</v>
      </c>
    </row>
    <row r="1814" spans="2:6" x14ac:dyDescent="0.25">
      <c r="B1814" s="3"/>
      <c r="C1814" s="3"/>
      <c r="D1814" s="3"/>
      <c r="E1814" s="3" t="e">
        <f t="shared" si="58"/>
        <v>#N/A</v>
      </c>
      <c r="F1814" s="3" t="e">
        <f t="shared" si="59"/>
        <v>#N/A</v>
      </c>
    </row>
    <row r="1815" spans="2:6" x14ac:dyDescent="0.25">
      <c r="B1815" s="3"/>
      <c r="C1815" s="3"/>
      <c r="D1815" s="3"/>
      <c r="E1815" s="3" t="e">
        <f t="shared" si="58"/>
        <v>#N/A</v>
      </c>
      <c r="F1815" s="3" t="e">
        <f t="shared" si="59"/>
        <v>#N/A</v>
      </c>
    </row>
    <row r="1816" spans="2:6" x14ac:dyDescent="0.25">
      <c r="B1816" s="3"/>
      <c r="C1816" s="3"/>
      <c r="D1816" s="3"/>
      <c r="E1816" s="3" t="e">
        <f t="shared" si="58"/>
        <v>#N/A</v>
      </c>
      <c r="F1816" s="3" t="e">
        <f t="shared" si="59"/>
        <v>#N/A</v>
      </c>
    </row>
    <row r="1817" spans="2:6" x14ac:dyDescent="0.25">
      <c r="B1817" s="3"/>
      <c r="C1817" s="3"/>
      <c r="D1817" s="3"/>
      <c r="E1817" s="3" t="e">
        <f t="shared" si="58"/>
        <v>#N/A</v>
      </c>
      <c r="F1817" s="3" t="e">
        <f t="shared" si="59"/>
        <v>#N/A</v>
      </c>
    </row>
    <row r="1818" spans="2:6" x14ac:dyDescent="0.25">
      <c r="B1818" s="3"/>
      <c r="C1818" s="3"/>
      <c r="D1818" s="3"/>
      <c r="E1818" s="3" t="e">
        <f t="shared" si="58"/>
        <v>#N/A</v>
      </c>
      <c r="F1818" s="3" t="e">
        <f t="shared" si="59"/>
        <v>#N/A</v>
      </c>
    </row>
    <row r="1819" spans="2:6" x14ac:dyDescent="0.25">
      <c r="B1819" s="3"/>
      <c r="C1819" s="3"/>
      <c r="D1819" s="3"/>
      <c r="E1819" s="3" t="e">
        <f t="shared" si="58"/>
        <v>#N/A</v>
      </c>
      <c r="F1819" s="3" t="e">
        <f t="shared" si="59"/>
        <v>#N/A</v>
      </c>
    </row>
    <row r="1820" spans="2:6" x14ac:dyDescent="0.25">
      <c r="B1820" s="3"/>
      <c r="C1820" s="3"/>
      <c r="D1820" s="3"/>
      <c r="E1820" s="3" t="e">
        <f t="shared" si="58"/>
        <v>#N/A</v>
      </c>
      <c r="F1820" s="3" t="e">
        <f t="shared" si="59"/>
        <v>#N/A</v>
      </c>
    </row>
    <row r="1821" spans="2:6" x14ac:dyDescent="0.25">
      <c r="B1821" s="3"/>
      <c r="C1821" s="3"/>
      <c r="D1821" s="3"/>
      <c r="E1821" s="3" t="e">
        <f t="shared" si="58"/>
        <v>#N/A</v>
      </c>
      <c r="F1821" s="3" t="e">
        <f t="shared" si="59"/>
        <v>#N/A</v>
      </c>
    </row>
    <row r="1822" spans="2:6" x14ac:dyDescent="0.25">
      <c r="B1822" s="3"/>
      <c r="C1822" s="3"/>
      <c r="D1822" s="3"/>
      <c r="E1822" s="3" t="e">
        <f t="shared" si="58"/>
        <v>#N/A</v>
      </c>
      <c r="F1822" s="3" t="e">
        <f t="shared" si="59"/>
        <v>#N/A</v>
      </c>
    </row>
    <row r="1823" spans="2:6" x14ac:dyDescent="0.25">
      <c r="B1823" s="3"/>
      <c r="C1823" s="3"/>
      <c r="D1823" s="3"/>
      <c r="E1823" s="3" t="e">
        <f t="shared" si="58"/>
        <v>#N/A</v>
      </c>
      <c r="F1823" s="3" t="e">
        <f t="shared" si="59"/>
        <v>#N/A</v>
      </c>
    </row>
    <row r="1824" spans="2:6" x14ac:dyDescent="0.25">
      <c r="B1824" s="3"/>
      <c r="C1824" s="3"/>
      <c r="D1824" s="3"/>
      <c r="E1824" s="3" t="e">
        <f t="shared" si="58"/>
        <v>#N/A</v>
      </c>
      <c r="F1824" s="3" t="e">
        <f t="shared" si="59"/>
        <v>#N/A</v>
      </c>
    </row>
    <row r="1825" spans="2:6" x14ac:dyDescent="0.25">
      <c r="B1825" s="3"/>
      <c r="C1825" s="3"/>
      <c r="D1825" s="3"/>
      <c r="E1825" s="3" t="e">
        <f t="shared" si="58"/>
        <v>#N/A</v>
      </c>
      <c r="F1825" s="3" t="e">
        <f t="shared" si="59"/>
        <v>#N/A</v>
      </c>
    </row>
    <row r="1826" spans="2:6" x14ac:dyDescent="0.25">
      <c r="B1826" s="3"/>
      <c r="C1826" s="3"/>
      <c r="D1826" s="3"/>
      <c r="E1826" s="3" t="e">
        <f t="shared" si="58"/>
        <v>#N/A</v>
      </c>
      <c r="F1826" s="3" t="e">
        <f t="shared" si="59"/>
        <v>#N/A</v>
      </c>
    </row>
    <row r="1827" spans="2:6" x14ac:dyDescent="0.25">
      <c r="B1827" s="3"/>
      <c r="C1827" s="3"/>
      <c r="D1827" s="3"/>
      <c r="E1827" s="3" t="e">
        <f t="shared" si="58"/>
        <v>#N/A</v>
      </c>
      <c r="F1827" s="3" t="e">
        <f t="shared" si="59"/>
        <v>#N/A</v>
      </c>
    </row>
    <row r="1828" spans="2:6" x14ac:dyDescent="0.25">
      <c r="B1828" s="3"/>
      <c r="C1828" s="3"/>
      <c r="D1828" s="3"/>
      <c r="E1828" s="3" t="e">
        <f t="shared" si="58"/>
        <v>#N/A</v>
      </c>
      <c r="F1828" s="3" t="e">
        <f t="shared" si="59"/>
        <v>#N/A</v>
      </c>
    </row>
    <row r="1829" spans="2:6" x14ac:dyDescent="0.25">
      <c r="B1829" s="3"/>
      <c r="C1829" s="3"/>
      <c r="D1829" s="3"/>
      <c r="E1829" s="3" t="e">
        <f t="shared" si="58"/>
        <v>#N/A</v>
      </c>
      <c r="F1829" s="3" t="e">
        <f t="shared" si="59"/>
        <v>#N/A</v>
      </c>
    </row>
    <row r="1830" spans="2:6" x14ac:dyDescent="0.25">
      <c r="B1830" s="3"/>
      <c r="C1830" s="3"/>
      <c r="D1830" s="3"/>
      <c r="E1830" s="3" t="e">
        <f t="shared" si="58"/>
        <v>#N/A</v>
      </c>
      <c r="F1830" s="3" t="e">
        <f t="shared" si="59"/>
        <v>#N/A</v>
      </c>
    </row>
    <row r="1831" spans="2:6" x14ac:dyDescent="0.25">
      <c r="B1831" s="3"/>
      <c r="C1831" s="3"/>
      <c r="D1831" s="3"/>
      <c r="E1831" s="3" t="e">
        <f t="shared" si="58"/>
        <v>#N/A</v>
      </c>
      <c r="F1831" s="3" t="e">
        <f t="shared" si="59"/>
        <v>#N/A</v>
      </c>
    </row>
    <row r="1832" spans="2:6" x14ac:dyDescent="0.25">
      <c r="B1832" s="3"/>
      <c r="C1832" s="3"/>
      <c r="D1832" s="3"/>
      <c r="E1832" s="3" t="e">
        <f t="shared" si="58"/>
        <v>#N/A</v>
      </c>
      <c r="F1832" s="3" t="e">
        <f t="shared" si="59"/>
        <v>#N/A</v>
      </c>
    </row>
    <row r="1833" spans="2:6" x14ac:dyDescent="0.25">
      <c r="B1833" s="3"/>
      <c r="C1833" s="3"/>
      <c r="D1833" s="3"/>
      <c r="E1833" s="3" t="e">
        <f t="shared" si="58"/>
        <v>#N/A</v>
      </c>
      <c r="F1833" s="3" t="e">
        <f t="shared" si="59"/>
        <v>#N/A</v>
      </c>
    </row>
    <row r="1834" spans="2:6" x14ac:dyDescent="0.25">
      <c r="B1834" s="3"/>
      <c r="C1834" s="3"/>
      <c r="D1834" s="3"/>
      <c r="E1834" s="3" t="e">
        <f t="shared" si="58"/>
        <v>#N/A</v>
      </c>
      <c r="F1834" s="3" t="e">
        <f t="shared" si="59"/>
        <v>#N/A</v>
      </c>
    </row>
    <row r="1835" spans="2:6" x14ac:dyDescent="0.25">
      <c r="B1835" s="3"/>
      <c r="C1835" s="3"/>
      <c r="D1835" s="3"/>
      <c r="E1835" s="3" t="e">
        <f t="shared" si="58"/>
        <v>#N/A</v>
      </c>
      <c r="F1835" s="3" t="e">
        <f t="shared" si="59"/>
        <v>#N/A</v>
      </c>
    </row>
    <row r="1836" spans="2:6" x14ac:dyDescent="0.25">
      <c r="B1836" s="3"/>
      <c r="C1836" s="3"/>
      <c r="D1836" s="3"/>
      <c r="E1836" s="3" t="e">
        <f t="shared" si="58"/>
        <v>#N/A</v>
      </c>
      <c r="F1836" s="3" t="e">
        <f t="shared" si="59"/>
        <v>#N/A</v>
      </c>
    </row>
    <row r="1837" spans="2:6" x14ac:dyDescent="0.25">
      <c r="B1837" s="3"/>
      <c r="C1837" s="3"/>
      <c r="D1837" s="3"/>
      <c r="E1837" s="3" t="e">
        <f t="shared" si="58"/>
        <v>#N/A</v>
      </c>
      <c r="F1837" s="3" t="e">
        <f t="shared" si="59"/>
        <v>#N/A</v>
      </c>
    </row>
    <row r="1838" spans="2:6" x14ac:dyDescent="0.25">
      <c r="B1838" s="3"/>
      <c r="C1838" s="3"/>
      <c r="D1838" s="3"/>
      <c r="E1838" s="3" t="e">
        <f t="shared" si="58"/>
        <v>#N/A</v>
      </c>
      <c r="F1838" s="3" t="e">
        <f t="shared" si="59"/>
        <v>#N/A</v>
      </c>
    </row>
    <row r="1839" spans="2:6" x14ac:dyDescent="0.25">
      <c r="B1839" s="3"/>
      <c r="C1839" s="3"/>
      <c r="D1839" s="3"/>
      <c r="E1839" s="3" t="e">
        <f t="shared" si="58"/>
        <v>#N/A</v>
      </c>
      <c r="F1839" s="3" t="e">
        <f t="shared" si="59"/>
        <v>#N/A</v>
      </c>
    </row>
    <row r="1840" spans="2:6" x14ac:dyDescent="0.25">
      <c r="B1840" s="3"/>
      <c r="C1840" s="3"/>
      <c r="D1840" s="3"/>
      <c r="E1840" s="3" t="e">
        <f t="shared" si="58"/>
        <v>#N/A</v>
      </c>
      <c r="F1840" s="3" t="e">
        <f t="shared" si="59"/>
        <v>#N/A</v>
      </c>
    </row>
    <row r="1841" spans="2:6" x14ac:dyDescent="0.25">
      <c r="B1841" s="3"/>
      <c r="C1841" s="3"/>
      <c r="D1841" s="3"/>
      <c r="E1841" s="3" t="e">
        <f t="shared" si="58"/>
        <v>#N/A</v>
      </c>
      <c r="F1841" s="3" t="e">
        <f t="shared" si="59"/>
        <v>#N/A</v>
      </c>
    </row>
    <row r="1842" spans="2:6" x14ac:dyDescent="0.25">
      <c r="B1842" s="3"/>
      <c r="C1842" s="3"/>
      <c r="D1842" s="3"/>
      <c r="E1842" s="3" t="e">
        <f t="shared" si="58"/>
        <v>#N/A</v>
      </c>
      <c r="F1842" s="3" t="e">
        <f t="shared" si="59"/>
        <v>#N/A</v>
      </c>
    </row>
    <row r="1843" spans="2:6" x14ac:dyDescent="0.25">
      <c r="B1843" s="3"/>
      <c r="C1843" s="3"/>
      <c r="D1843" s="3"/>
      <c r="E1843" s="3" t="e">
        <f t="shared" si="58"/>
        <v>#N/A</v>
      </c>
      <c r="F1843" s="3" t="e">
        <f t="shared" si="59"/>
        <v>#N/A</v>
      </c>
    </row>
    <row r="1844" spans="2:6" x14ac:dyDescent="0.25">
      <c r="B1844" s="3"/>
      <c r="C1844" s="3"/>
      <c r="D1844" s="3"/>
      <c r="E1844" s="3" t="e">
        <f t="shared" si="58"/>
        <v>#N/A</v>
      </c>
      <c r="F1844" s="3" t="e">
        <f t="shared" si="59"/>
        <v>#N/A</v>
      </c>
    </row>
    <row r="1845" spans="2:6" x14ac:dyDescent="0.25">
      <c r="B1845" s="3"/>
      <c r="C1845" s="3"/>
      <c r="D1845" s="3"/>
      <c r="E1845" s="3" t="e">
        <f t="shared" si="58"/>
        <v>#N/A</v>
      </c>
      <c r="F1845" s="3" t="e">
        <f t="shared" si="59"/>
        <v>#N/A</v>
      </c>
    </row>
    <row r="1846" spans="2:6" x14ac:dyDescent="0.25">
      <c r="B1846" s="3"/>
      <c r="C1846" s="3"/>
      <c r="D1846" s="3"/>
      <c r="E1846" s="3" t="e">
        <f t="shared" si="58"/>
        <v>#N/A</v>
      </c>
      <c r="F1846" s="3" t="e">
        <f t="shared" si="59"/>
        <v>#N/A</v>
      </c>
    </row>
    <row r="1847" spans="2:6" x14ac:dyDescent="0.25">
      <c r="B1847" s="3"/>
      <c r="C1847" s="3"/>
      <c r="D1847" s="3"/>
      <c r="E1847" s="3" t="e">
        <f t="shared" si="58"/>
        <v>#N/A</v>
      </c>
      <c r="F1847" s="3" t="e">
        <f t="shared" si="59"/>
        <v>#N/A</v>
      </c>
    </row>
    <row r="1848" spans="2:6" x14ac:dyDescent="0.25">
      <c r="B1848" s="3"/>
      <c r="C1848" s="3"/>
      <c r="D1848" s="3"/>
      <c r="E1848" s="3" t="e">
        <f t="shared" si="58"/>
        <v>#N/A</v>
      </c>
      <c r="F1848" s="3" t="e">
        <f t="shared" si="59"/>
        <v>#N/A</v>
      </c>
    </row>
    <row r="1849" spans="2:6" x14ac:dyDescent="0.25">
      <c r="B1849" s="3"/>
      <c r="C1849" s="3"/>
      <c r="D1849" s="3"/>
      <c r="E1849" s="3" t="e">
        <f t="shared" si="58"/>
        <v>#N/A</v>
      </c>
      <c r="F1849" s="3" t="e">
        <f t="shared" si="59"/>
        <v>#N/A</v>
      </c>
    </row>
    <row r="1850" spans="2:6" x14ac:dyDescent="0.25">
      <c r="B1850" s="3"/>
      <c r="C1850" s="3"/>
      <c r="D1850" s="3"/>
      <c r="E1850" s="3" t="e">
        <f t="shared" si="58"/>
        <v>#N/A</v>
      </c>
      <c r="F1850" s="3" t="e">
        <f t="shared" si="59"/>
        <v>#N/A</v>
      </c>
    </row>
    <row r="1851" spans="2:6" x14ac:dyDescent="0.25">
      <c r="B1851" s="3"/>
      <c r="C1851" s="3"/>
      <c r="D1851" s="3"/>
      <c r="E1851" s="3" t="e">
        <f t="shared" si="58"/>
        <v>#N/A</v>
      </c>
      <c r="F1851" s="3" t="e">
        <f t="shared" si="59"/>
        <v>#N/A</v>
      </c>
    </row>
    <row r="1852" spans="2:6" x14ac:dyDescent="0.25">
      <c r="B1852" s="3"/>
      <c r="C1852" s="3"/>
      <c r="D1852" s="3"/>
      <c r="E1852" s="3" t="e">
        <f t="shared" si="58"/>
        <v>#N/A</v>
      </c>
      <c r="F1852" s="3" t="e">
        <f t="shared" si="59"/>
        <v>#N/A</v>
      </c>
    </row>
    <row r="1853" spans="2:6" x14ac:dyDescent="0.25">
      <c r="B1853" s="3"/>
      <c r="C1853" s="3"/>
      <c r="D1853" s="3"/>
      <c r="E1853" s="3" t="e">
        <f t="shared" si="58"/>
        <v>#N/A</v>
      </c>
      <c r="F1853" s="3" t="e">
        <f t="shared" si="59"/>
        <v>#N/A</v>
      </c>
    </row>
    <row r="1854" spans="2:6" x14ac:dyDescent="0.25">
      <c r="B1854" s="3"/>
      <c r="C1854" s="3"/>
      <c r="D1854" s="3"/>
      <c r="E1854" s="3" t="e">
        <f t="shared" si="58"/>
        <v>#N/A</v>
      </c>
      <c r="F1854" s="3" t="e">
        <f t="shared" si="59"/>
        <v>#N/A</v>
      </c>
    </row>
    <row r="1855" spans="2:6" x14ac:dyDescent="0.25">
      <c r="B1855" s="3"/>
      <c r="C1855" s="3"/>
      <c r="D1855" s="3"/>
      <c r="E1855" s="3" t="e">
        <f t="shared" si="58"/>
        <v>#N/A</v>
      </c>
      <c r="F1855" s="3" t="e">
        <f t="shared" si="59"/>
        <v>#N/A</v>
      </c>
    </row>
    <row r="1856" spans="2:6" x14ac:dyDescent="0.25">
      <c r="B1856" s="3"/>
      <c r="C1856" s="3"/>
      <c r="D1856" s="3"/>
      <c r="E1856" s="3" t="e">
        <f t="shared" si="58"/>
        <v>#N/A</v>
      </c>
      <c r="F1856" s="3" t="e">
        <f t="shared" si="59"/>
        <v>#N/A</v>
      </c>
    </row>
    <row r="1857" spans="2:6" x14ac:dyDescent="0.25">
      <c r="B1857" s="3"/>
      <c r="C1857" s="3"/>
      <c r="D1857" s="3"/>
      <c r="E1857" s="3" t="e">
        <f t="shared" si="58"/>
        <v>#N/A</v>
      </c>
      <c r="F1857" s="3" t="e">
        <f t="shared" si="59"/>
        <v>#N/A</v>
      </c>
    </row>
    <row r="1858" spans="2:6" x14ac:dyDescent="0.25">
      <c r="B1858" s="3"/>
      <c r="C1858" s="3"/>
      <c r="D1858" s="3"/>
      <c r="E1858" s="3" t="e">
        <f t="shared" si="58"/>
        <v>#N/A</v>
      </c>
      <c r="F1858" s="3" t="e">
        <f t="shared" si="59"/>
        <v>#N/A</v>
      </c>
    </row>
    <row r="1859" spans="2:6" x14ac:dyDescent="0.25">
      <c r="B1859" s="3"/>
      <c r="C1859" s="3"/>
      <c r="D1859" s="3"/>
      <c r="E1859" s="3" t="e">
        <f t="shared" si="58"/>
        <v>#N/A</v>
      </c>
      <c r="F1859" s="3" t="e">
        <f t="shared" si="59"/>
        <v>#N/A</v>
      </c>
    </row>
    <row r="1860" spans="2:6" x14ac:dyDescent="0.25">
      <c r="B1860" s="3"/>
      <c r="C1860" s="3"/>
      <c r="D1860" s="3"/>
      <c r="E1860" s="3" t="e">
        <f t="shared" ref="E1860:E1923" si="60">VLOOKUP(C1860,I:J,2,0)</f>
        <v>#N/A</v>
      </c>
      <c r="F1860" s="3" t="e">
        <f t="shared" ref="F1860:F1923" si="61">E1860&amp;" "&amp;B1860</f>
        <v>#N/A</v>
      </c>
    </row>
    <row r="1861" spans="2:6" x14ac:dyDescent="0.25">
      <c r="B1861" s="3"/>
      <c r="C1861" s="3"/>
      <c r="D1861" s="3"/>
      <c r="E1861" s="3" t="e">
        <f t="shared" si="60"/>
        <v>#N/A</v>
      </c>
      <c r="F1861" s="3" t="e">
        <f t="shared" si="61"/>
        <v>#N/A</v>
      </c>
    </row>
    <row r="1862" spans="2:6" x14ac:dyDescent="0.25">
      <c r="B1862" s="3"/>
      <c r="C1862" s="3"/>
      <c r="D1862" s="3"/>
      <c r="E1862" s="3" t="e">
        <f t="shared" si="60"/>
        <v>#N/A</v>
      </c>
      <c r="F1862" s="3" t="e">
        <f t="shared" si="61"/>
        <v>#N/A</v>
      </c>
    </row>
    <row r="1863" spans="2:6" x14ac:dyDescent="0.25">
      <c r="B1863" s="3"/>
      <c r="C1863" s="3"/>
      <c r="D1863" s="3"/>
      <c r="E1863" s="3" t="e">
        <f t="shared" si="60"/>
        <v>#N/A</v>
      </c>
      <c r="F1863" s="3" t="e">
        <f t="shared" si="61"/>
        <v>#N/A</v>
      </c>
    </row>
    <row r="1864" spans="2:6" x14ac:dyDescent="0.25">
      <c r="B1864" s="3"/>
      <c r="C1864" s="3"/>
      <c r="D1864" s="3"/>
      <c r="E1864" s="3" t="e">
        <f t="shared" si="60"/>
        <v>#N/A</v>
      </c>
      <c r="F1864" s="3" t="e">
        <f t="shared" si="61"/>
        <v>#N/A</v>
      </c>
    </row>
    <row r="1865" spans="2:6" x14ac:dyDescent="0.25">
      <c r="B1865" s="3"/>
      <c r="C1865" s="3"/>
      <c r="D1865" s="3"/>
      <c r="E1865" s="3" t="e">
        <f t="shared" si="60"/>
        <v>#N/A</v>
      </c>
      <c r="F1865" s="3" t="e">
        <f t="shared" si="61"/>
        <v>#N/A</v>
      </c>
    </row>
    <row r="1866" spans="2:6" x14ac:dyDescent="0.25">
      <c r="B1866" s="3"/>
      <c r="C1866" s="3"/>
      <c r="D1866" s="3"/>
      <c r="E1866" s="3" t="e">
        <f t="shared" si="60"/>
        <v>#N/A</v>
      </c>
      <c r="F1866" s="3" t="e">
        <f t="shared" si="61"/>
        <v>#N/A</v>
      </c>
    </row>
    <row r="1867" spans="2:6" x14ac:dyDescent="0.25">
      <c r="B1867" s="3"/>
      <c r="C1867" s="3"/>
      <c r="D1867" s="3"/>
      <c r="E1867" s="3" t="e">
        <f t="shared" si="60"/>
        <v>#N/A</v>
      </c>
      <c r="F1867" s="3" t="e">
        <f t="shared" si="61"/>
        <v>#N/A</v>
      </c>
    </row>
    <row r="1868" spans="2:6" x14ac:dyDescent="0.25">
      <c r="B1868" s="3"/>
      <c r="C1868" s="3"/>
      <c r="D1868" s="3"/>
      <c r="E1868" s="3" t="e">
        <f t="shared" si="60"/>
        <v>#N/A</v>
      </c>
      <c r="F1868" s="3" t="e">
        <f t="shared" si="61"/>
        <v>#N/A</v>
      </c>
    </row>
    <row r="1869" spans="2:6" x14ac:dyDescent="0.25">
      <c r="B1869" s="3"/>
      <c r="C1869" s="3"/>
      <c r="D1869" s="3"/>
      <c r="E1869" s="3" t="e">
        <f t="shared" si="60"/>
        <v>#N/A</v>
      </c>
      <c r="F1869" s="3" t="e">
        <f t="shared" si="61"/>
        <v>#N/A</v>
      </c>
    </row>
    <row r="1870" spans="2:6" x14ac:dyDescent="0.25">
      <c r="B1870" s="3"/>
      <c r="C1870" s="3"/>
      <c r="D1870" s="3"/>
      <c r="E1870" s="3" t="e">
        <f t="shared" si="60"/>
        <v>#N/A</v>
      </c>
      <c r="F1870" s="3" t="e">
        <f t="shared" si="61"/>
        <v>#N/A</v>
      </c>
    </row>
    <row r="1871" spans="2:6" x14ac:dyDescent="0.25">
      <c r="B1871" s="3"/>
      <c r="C1871" s="3"/>
      <c r="D1871" s="3"/>
      <c r="E1871" s="3" t="e">
        <f t="shared" si="60"/>
        <v>#N/A</v>
      </c>
      <c r="F1871" s="3" t="e">
        <f t="shared" si="61"/>
        <v>#N/A</v>
      </c>
    </row>
    <row r="1872" spans="2:6" x14ac:dyDescent="0.25">
      <c r="B1872" s="3"/>
      <c r="C1872" s="3"/>
      <c r="D1872" s="3"/>
      <c r="E1872" s="3" t="e">
        <f t="shared" si="60"/>
        <v>#N/A</v>
      </c>
      <c r="F1872" s="3" t="e">
        <f t="shared" si="61"/>
        <v>#N/A</v>
      </c>
    </row>
    <row r="1873" spans="2:6" x14ac:dyDescent="0.25">
      <c r="B1873" s="3"/>
      <c r="C1873" s="3"/>
      <c r="D1873" s="3"/>
      <c r="E1873" s="3" t="e">
        <f t="shared" si="60"/>
        <v>#N/A</v>
      </c>
      <c r="F1873" s="3" t="e">
        <f t="shared" si="61"/>
        <v>#N/A</v>
      </c>
    </row>
    <row r="1874" spans="2:6" x14ac:dyDescent="0.25">
      <c r="B1874" s="3"/>
      <c r="C1874" s="3"/>
      <c r="D1874" s="3"/>
      <c r="E1874" s="3" t="e">
        <f t="shared" si="60"/>
        <v>#N/A</v>
      </c>
      <c r="F1874" s="3" t="e">
        <f t="shared" si="61"/>
        <v>#N/A</v>
      </c>
    </row>
    <row r="1875" spans="2:6" x14ac:dyDescent="0.25">
      <c r="B1875" s="3"/>
      <c r="C1875" s="3"/>
      <c r="D1875" s="3"/>
      <c r="E1875" s="3" t="e">
        <f t="shared" si="60"/>
        <v>#N/A</v>
      </c>
      <c r="F1875" s="3" t="e">
        <f t="shared" si="61"/>
        <v>#N/A</v>
      </c>
    </row>
    <row r="1876" spans="2:6" x14ac:dyDescent="0.25">
      <c r="B1876" s="3"/>
      <c r="C1876" s="3"/>
      <c r="D1876" s="3"/>
      <c r="E1876" s="3" t="e">
        <f t="shared" si="60"/>
        <v>#N/A</v>
      </c>
      <c r="F1876" s="3" t="e">
        <f t="shared" si="61"/>
        <v>#N/A</v>
      </c>
    </row>
    <row r="1877" spans="2:6" x14ac:dyDescent="0.25">
      <c r="B1877" s="3"/>
      <c r="C1877" s="3"/>
      <c r="D1877" s="3"/>
      <c r="E1877" s="3" t="e">
        <f t="shared" si="60"/>
        <v>#N/A</v>
      </c>
      <c r="F1877" s="3" t="e">
        <f t="shared" si="61"/>
        <v>#N/A</v>
      </c>
    </row>
    <row r="1878" spans="2:6" x14ac:dyDescent="0.25">
      <c r="B1878" s="3"/>
      <c r="C1878" s="3"/>
      <c r="D1878" s="3"/>
      <c r="E1878" s="3" t="e">
        <f t="shared" si="60"/>
        <v>#N/A</v>
      </c>
      <c r="F1878" s="3" t="e">
        <f t="shared" si="61"/>
        <v>#N/A</v>
      </c>
    </row>
    <row r="1879" spans="2:6" x14ac:dyDescent="0.25">
      <c r="B1879" s="3"/>
      <c r="C1879" s="3"/>
      <c r="D1879" s="3"/>
      <c r="E1879" s="3" t="e">
        <f t="shared" si="60"/>
        <v>#N/A</v>
      </c>
      <c r="F1879" s="3" t="e">
        <f t="shared" si="61"/>
        <v>#N/A</v>
      </c>
    </row>
    <row r="1880" spans="2:6" x14ac:dyDescent="0.25">
      <c r="B1880" s="3"/>
      <c r="C1880" s="3"/>
      <c r="D1880" s="3"/>
      <c r="E1880" s="3" t="e">
        <f t="shared" si="60"/>
        <v>#N/A</v>
      </c>
      <c r="F1880" s="3" t="e">
        <f t="shared" si="61"/>
        <v>#N/A</v>
      </c>
    </row>
    <row r="1881" spans="2:6" x14ac:dyDescent="0.25">
      <c r="B1881" s="3"/>
      <c r="C1881" s="3"/>
      <c r="D1881" s="3"/>
      <c r="E1881" s="3" t="e">
        <f t="shared" si="60"/>
        <v>#N/A</v>
      </c>
      <c r="F1881" s="3" t="e">
        <f t="shared" si="61"/>
        <v>#N/A</v>
      </c>
    </row>
    <row r="1882" spans="2:6" x14ac:dyDescent="0.25">
      <c r="B1882" s="3"/>
      <c r="C1882" s="3"/>
      <c r="D1882" s="3"/>
      <c r="E1882" s="3" t="e">
        <f t="shared" si="60"/>
        <v>#N/A</v>
      </c>
      <c r="F1882" s="3" t="e">
        <f t="shared" si="61"/>
        <v>#N/A</v>
      </c>
    </row>
    <row r="1883" spans="2:6" x14ac:dyDescent="0.25">
      <c r="B1883" s="3"/>
      <c r="C1883" s="3"/>
      <c r="D1883" s="3"/>
      <c r="E1883" s="3" t="e">
        <f t="shared" si="60"/>
        <v>#N/A</v>
      </c>
      <c r="F1883" s="3" t="e">
        <f t="shared" si="61"/>
        <v>#N/A</v>
      </c>
    </row>
    <row r="1884" spans="2:6" x14ac:dyDescent="0.25">
      <c r="B1884" s="3"/>
      <c r="C1884" s="3"/>
      <c r="D1884" s="3"/>
      <c r="E1884" s="3" t="e">
        <f t="shared" si="60"/>
        <v>#N/A</v>
      </c>
      <c r="F1884" s="3" t="e">
        <f t="shared" si="61"/>
        <v>#N/A</v>
      </c>
    </row>
    <row r="1885" spans="2:6" x14ac:dyDescent="0.25">
      <c r="B1885" s="3"/>
      <c r="C1885" s="3"/>
      <c r="D1885" s="3"/>
      <c r="E1885" s="3" t="e">
        <f t="shared" si="60"/>
        <v>#N/A</v>
      </c>
      <c r="F1885" s="3" t="e">
        <f t="shared" si="61"/>
        <v>#N/A</v>
      </c>
    </row>
    <row r="1886" spans="2:6" x14ac:dyDescent="0.25">
      <c r="B1886" s="3"/>
      <c r="C1886" s="3"/>
      <c r="D1886" s="3"/>
      <c r="E1886" s="3" t="e">
        <f t="shared" si="60"/>
        <v>#N/A</v>
      </c>
      <c r="F1886" s="3" t="e">
        <f t="shared" si="61"/>
        <v>#N/A</v>
      </c>
    </row>
    <row r="1887" spans="2:6" x14ac:dyDescent="0.25">
      <c r="B1887" s="3"/>
      <c r="C1887" s="3"/>
      <c r="D1887" s="3"/>
      <c r="E1887" s="3" t="e">
        <f t="shared" si="60"/>
        <v>#N/A</v>
      </c>
      <c r="F1887" s="3" t="e">
        <f t="shared" si="61"/>
        <v>#N/A</v>
      </c>
    </row>
    <row r="1888" spans="2:6" x14ac:dyDescent="0.25">
      <c r="B1888" s="3"/>
      <c r="C1888" s="3"/>
      <c r="D1888" s="3"/>
      <c r="E1888" s="3" t="e">
        <f t="shared" si="60"/>
        <v>#N/A</v>
      </c>
      <c r="F1888" s="3" t="e">
        <f t="shared" si="61"/>
        <v>#N/A</v>
      </c>
    </row>
    <row r="1889" spans="2:6" x14ac:dyDescent="0.25">
      <c r="B1889" s="3"/>
      <c r="C1889" s="3"/>
      <c r="D1889" s="3"/>
      <c r="E1889" s="3" t="e">
        <f t="shared" si="60"/>
        <v>#N/A</v>
      </c>
      <c r="F1889" s="3" t="e">
        <f t="shared" si="61"/>
        <v>#N/A</v>
      </c>
    </row>
    <row r="1890" spans="2:6" x14ac:dyDescent="0.25">
      <c r="B1890" s="3"/>
      <c r="C1890" s="3"/>
      <c r="D1890" s="3"/>
      <c r="E1890" s="3" t="e">
        <f t="shared" si="60"/>
        <v>#N/A</v>
      </c>
      <c r="F1890" s="3" t="e">
        <f t="shared" si="61"/>
        <v>#N/A</v>
      </c>
    </row>
    <row r="1891" spans="2:6" x14ac:dyDescent="0.25">
      <c r="B1891" s="3"/>
      <c r="C1891" s="3"/>
      <c r="D1891" s="3"/>
      <c r="E1891" s="3" t="e">
        <f t="shared" si="60"/>
        <v>#N/A</v>
      </c>
      <c r="F1891" s="3" t="e">
        <f t="shared" si="61"/>
        <v>#N/A</v>
      </c>
    </row>
    <row r="1892" spans="2:6" x14ac:dyDescent="0.25">
      <c r="B1892" s="3"/>
      <c r="C1892" s="3"/>
      <c r="D1892" s="3"/>
      <c r="E1892" s="3" t="e">
        <f t="shared" si="60"/>
        <v>#N/A</v>
      </c>
      <c r="F1892" s="3" t="e">
        <f t="shared" si="61"/>
        <v>#N/A</v>
      </c>
    </row>
    <row r="1893" spans="2:6" x14ac:dyDescent="0.25">
      <c r="B1893" s="3"/>
      <c r="C1893" s="3"/>
      <c r="D1893" s="3"/>
      <c r="E1893" s="3" t="e">
        <f t="shared" si="60"/>
        <v>#N/A</v>
      </c>
      <c r="F1893" s="3" t="e">
        <f t="shared" si="61"/>
        <v>#N/A</v>
      </c>
    </row>
    <row r="1894" spans="2:6" x14ac:dyDescent="0.25">
      <c r="B1894" s="3"/>
      <c r="C1894" s="3"/>
      <c r="D1894" s="3"/>
      <c r="E1894" s="3" t="e">
        <f t="shared" si="60"/>
        <v>#N/A</v>
      </c>
      <c r="F1894" s="3" t="e">
        <f t="shared" si="61"/>
        <v>#N/A</v>
      </c>
    </row>
    <row r="1895" spans="2:6" x14ac:dyDescent="0.25">
      <c r="B1895" s="3"/>
      <c r="C1895" s="3"/>
      <c r="D1895" s="3"/>
      <c r="E1895" s="3" t="e">
        <f t="shared" si="60"/>
        <v>#N/A</v>
      </c>
      <c r="F1895" s="3" t="e">
        <f t="shared" si="61"/>
        <v>#N/A</v>
      </c>
    </row>
    <row r="1896" spans="2:6" x14ac:dyDescent="0.25">
      <c r="B1896" s="3"/>
      <c r="C1896" s="3"/>
      <c r="D1896" s="3"/>
      <c r="E1896" s="3" t="e">
        <f t="shared" si="60"/>
        <v>#N/A</v>
      </c>
      <c r="F1896" s="3" t="e">
        <f t="shared" si="61"/>
        <v>#N/A</v>
      </c>
    </row>
    <row r="1897" spans="2:6" x14ac:dyDescent="0.25">
      <c r="B1897" s="3"/>
      <c r="C1897" s="3"/>
      <c r="D1897" s="3"/>
      <c r="E1897" s="3" t="e">
        <f t="shared" si="60"/>
        <v>#N/A</v>
      </c>
      <c r="F1897" s="3" t="e">
        <f t="shared" si="61"/>
        <v>#N/A</v>
      </c>
    </row>
    <row r="1898" spans="2:6" x14ac:dyDescent="0.25">
      <c r="B1898" s="3"/>
      <c r="C1898" s="3"/>
      <c r="D1898" s="3"/>
      <c r="E1898" s="3" t="e">
        <f t="shared" si="60"/>
        <v>#N/A</v>
      </c>
      <c r="F1898" s="3" t="e">
        <f t="shared" si="61"/>
        <v>#N/A</v>
      </c>
    </row>
    <row r="1899" spans="2:6" x14ac:dyDescent="0.25">
      <c r="B1899" s="3"/>
      <c r="C1899" s="3"/>
      <c r="D1899" s="3"/>
      <c r="E1899" s="3" t="e">
        <f t="shared" si="60"/>
        <v>#N/A</v>
      </c>
      <c r="F1899" s="3" t="e">
        <f t="shared" si="61"/>
        <v>#N/A</v>
      </c>
    </row>
    <row r="1900" spans="2:6" x14ac:dyDescent="0.25">
      <c r="B1900" s="3"/>
      <c r="C1900" s="3"/>
      <c r="D1900" s="3"/>
      <c r="E1900" s="3" t="e">
        <f t="shared" si="60"/>
        <v>#N/A</v>
      </c>
      <c r="F1900" s="3" t="e">
        <f t="shared" si="61"/>
        <v>#N/A</v>
      </c>
    </row>
    <row r="1901" spans="2:6" x14ac:dyDescent="0.25">
      <c r="B1901" s="3"/>
      <c r="C1901" s="3"/>
      <c r="D1901" s="3"/>
      <c r="E1901" s="3" t="e">
        <f t="shared" si="60"/>
        <v>#N/A</v>
      </c>
      <c r="F1901" s="3" t="e">
        <f t="shared" si="61"/>
        <v>#N/A</v>
      </c>
    </row>
    <row r="1902" spans="2:6" x14ac:dyDescent="0.25">
      <c r="B1902" s="3"/>
      <c r="C1902" s="3"/>
      <c r="D1902" s="3"/>
      <c r="E1902" s="3" t="e">
        <f t="shared" si="60"/>
        <v>#N/A</v>
      </c>
      <c r="F1902" s="3" t="e">
        <f t="shared" si="61"/>
        <v>#N/A</v>
      </c>
    </row>
    <row r="1903" spans="2:6" x14ac:dyDescent="0.25">
      <c r="B1903" s="3"/>
      <c r="C1903" s="3"/>
      <c r="D1903" s="3"/>
      <c r="E1903" s="3" t="e">
        <f t="shared" si="60"/>
        <v>#N/A</v>
      </c>
      <c r="F1903" s="3" t="e">
        <f t="shared" si="61"/>
        <v>#N/A</v>
      </c>
    </row>
    <row r="1904" spans="2:6" x14ac:dyDescent="0.25">
      <c r="B1904" s="3"/>
      <c r="C1904" s="3"/>
      <c r="D1904" s="3"/>
      <c r="E1904" s="3" t="e">
        <f t="shared" si="60"/>
        <v>#N/A</v>
      </c>
      <c r="F1904" s="3" t="e">
        <f t="shared" si="61"/>
        <v>#N/A</v>
      </c>
    </row>
    <row r="1905" spans="2:6" x14ac:dyDescent="0.25">
      <c r="B1905" s="3"/>
      <c r="C1905" s="3"/>
      <c r="D1905" s="3"/>
      <c r="E1905" s="3" t="e">
        <f t="shared" si="60"/>
        <v>#N/A</v>
      </c>
      <c r="F1905" s="3" t="e">
        <f t="shared" si="61"/>
        <v>#N/A</v>
      </c>
    </row>
    <row r="1906" spans="2:6" x14ac:dyDescent="0.25">
      <c r="B1906" s="3"/>
      <c r="C1906" s="3"/>
      <c r="D1906" s="3"/>
      <c r="E1906" s="3" t="e">
        <f t="shared" si="60"/>
        <v>#N/A</v>
      </c>
      <c r="F1906" s="3" t="e">
        <f t="shared" si="61"/>
        <v>#N/A</v>
      </c>
    </row>
    <row r="1907" spans="2:6" x14ac:dyDescent="0.25">
      <c r="B1907" s="3"/>
      <c r="C1907" s="3"/>
      <c r="D1907" s="3"/>
      <c r="E1907" s="3" t="e">
        <f t="shared" si="60"/>
        <v>#N/A</v>
      </c>
      <c r="F1907" s="3" t="e">
        <f t="shared" si="61"/>
        <v>#N/A</v>
      </c>
    </row>
    <row r="1908" spans="2:6" x14ac:dyDescent="0.25">
      <c r="B1908" s="3"/>
      <c r="C1908" s="3"/>
      <c r="D1908" s="3"/>
      <c r="E1908" s="3" t="e">
        <f t="shared" si="60"/>
        <v>#N/A</v>
      </c>
      <c r="F1908" s="3" t="e">
        <f t="shared" si="61"/>
        <v>#N/A</v>
      </c>
    </row>
    <row r="1909" spans="2:6" x14ac:dyDescent="0.25">
      <c r="B1909" s="3"/>
      <c r="C1909" s="3"/>
      <c r="D1909" s="3"/>
      <c r="E1909" s="3" t="e">
        <f t="shared" si="60"/>
        <v>#N/A</v>
      </c>
      <c r="F1909" s="3" t="e">
        <f t="shared" si="61"/>
        <v>#N/A</v>
      </c>
    </row>
    <row r="1910" spans="2:6" x14ac:dyDescent="0.25">
      <c r="B1910" s="3"/>
      <c r="C1910" s="3"/>
      <c r="D1910" s="3"/>
      <c r="E1910" s="3" t="e">
        <f t="shared" si="60"/>
        <v>#N/A</v>
      </c>
      <c r="F1910" s="3" t="e">
        <f t="shared" si="61"/>
        <v>#N/A</v>
      </c>
    </row>
    <row r="1911" spans="2:6" x14ac:dyDescent="0.25">
      <c r="B1911" s="3"/>
      <c r="C1911" s="3"/>
      <c r="D1911" s="3"/>
      <c r="E1911" s="3" t="e">
        <f t="shared" si="60"/>
        <v>#N/A</v>
      </c>
      <c r="F1911" s="3" t="e">
        <f t="shared" si="61"/>
        <v>#N/A</v>
      </c>
    </row>
    <row r="1912" spans="2:6" x14ac:dyDescent="0.25">
      <c r="B1912" s="3"/>
      <c r="C1912" s="3"/>
      <c r="D1912" s="3"/>
      <c r="E1912" s="3" t="e">
        <f t="shared" si="60"/>
        <v>#N/A</v>
      </c>
      <c r="F1912" s="3" t="e">
        <f t="shared" si="61"/>
        <v>#N/A</v>
      </c>
    </row>
    <row r="1913" spans="2:6" x14ac:dyDescent="0.25">
      <c r="B1913" s="3"/>
      <c r="C1913" s="3"/>
      <c r="D1913" s="3"/>
      <c r="E1913" s="3" t="e">
        <f t="shared" si="60"/>
        <v>#N/A</v>
      </c>
      <c r="F1913" s="3" t="e">
        <f t="shared" si="61"/>
        <v>#N/A</v>
      </c>
    </row>
    <row r="1914" spans="2:6" x14ac:dyDescent="0.25">
      <c r="B1914" s="3"/>
      <c r="C1914" s="3"/>
      <c r="D1914" s="3"/>
      <c r="E1914" s="3" t="e">
        <f t="shared" si="60"/>
        <v>#N/A</v>
      </c>
      <c r="F1914" s="3" t="e">
        <f t="shared" si="61"/>
        <v>#N/A</v>
      </c>
    </row>
    <row r="1915" spans="2:6" x14ac:dyDescent="0.25">
      <c r="B1915" s="3"/>
      <c r="C1915" s="3"/>
      <c r="D1915" s="3"/>
      <c r="E1915" s="3" t="e">
        <f t="shared" si="60"/>
        <v>#N/A</v>
      </c>
      <c r="F1915" s="3" t="e">
        <f t="shared" si="61"/>
        <v>#N/A</v>
      </c>
    </row>
    <row r="1916" spans="2:6" x14ac:dyDescent="0.25">
      <c r="B1916" s="3"/>
      <c r="C1916" s="3"/>
      <c r="D1916" s="3"/>
      <c r="E1916" s="3" t="e">
        <f t="shared" si="60"/>
        <v>#N/A</v>
      </c>
      <c r="F1916" s="3" t="e">
        <f t="shared" si="61"/>
        <v>#N/A</v>
      </c>
    </row>
    <row r="1917" spans="2:6" x14ac:dyDescent="0.25">
      <c r="B1917" s="3"/>
      <c r="C1917" s="3"/>
      <c r="D1917" s="3"/>
      <c r="E1917" s="3" t="e">
        <f t="shared" si="60"/>
        <v>#N/A</v>
      </c>
      <c r="F1917" s="3" t="e">
        <f t="shared" si="61"/>
        <v>#N/A</v>
      </c>
    </row>
    <row r="1918" spans="2:6" x14ac:dyDescent="0.25">
      <c r="B1918" s="3"/>
      <c r="C1918" s="3"/>
      <c r="D1918" s="3"/>
      <c r="E1918" s="3" t="e">
        <f t="shared" si="60"/>
        <v>#N/A</v>
      </c>
      <c r="F1918" s="3" t="e">
        <f t="shared" si="61"/>
        <v>#N/A</v>
      </c>
    </row>
    <row r="1919" spans="2:6" x14ac:dyDescent="0.25">
      <c r="B1919" s="3"/>
      <c r="C1919" s="3"/>
      <c r="D1919" s="3"/>
      <c r="E1919" s="3" t="e">
        <f t="shared" si="60"/>
        <v>#N/A</v>
      </c>
      <c r="F1919" s="3" t="e">
        <f t="shared" si="61"/>
        <v>#N/A</v>
      </c>
    </row>
    <row r="1920" spans="2:6" x14ac:dyDescent="0.25">
      <c r="B1920" s="3"/>
      <c r="C1920" s="3"/>
      <c r="D1920" s="3"/>
      <c r="E1920" s="3" t="e">
        <f t="shared" si="60"/>
        <v>#N/A</v>
      </c>
      <c r="F1920" s="3" t="e">
        <f t="shared" si="61"/>
        <v>#N/A</v>
      </c>
    </row>
    <row r="1921" spans="2:6" x14ac:dyDescent="0.25">
      <c r="B1921" s="3"/>
      <c r="C1921" s="3"/>
      <c r="D1921" s="3"/>
      <c r="E1921" s="3" t="e">
        <f t="shared" si="60"/>
        <v>#N/A</v>
      </c>
      <c r="F1921" s="3" t="e">
        <f t="shared" si="61"/>
        <v>#N/A</v>
      </c>
    </row>
    <row r="1922" spans="2:6" x14ac:dyDescent="0.25">
      <c r="B1922" s="3"/>
      <c r="C1922" s="3"/>
      <c r="D1922" s="3"/>
      <c r="E1922" s="3" t="e">
        <f t="shared" si="60"/>
        <v>#N/A</v>
      </c>
      <c r="F1922" s="3" t="e">
        <f t="shared" si="61"/>
        <v>#N/A</v>
      </c>
    </row>
    <row r="1923" spans="2:6" x14ac:dyDescent="0.25">
      <c r="B1923" s="3"/>
      <c r="C1923" s="3"/>
      <c r="D1923" s="3"/>
      <c r="E1923" s="3" t="e">
        <f t="shared" si="60"/>
        <v>#N/A</v>
      </c>
      <c r="F1923" s="3" t="e">
        <f t="shared" si="61"/>
        <v>#N/A</v>
      </c>
    </row>
    <row r="1924" spans="2:6" x14ac:dyDescent="0.25">
      <c r="B1924" s="3"/>
      <c r="C1924" s="3"/>
      <c r="D1924" s="3"/>
      <c r="E1924" s="3" t="e">
        <f t="shared" ref="E1924:E1987" si="62">VLOOKUP(C1924,I:J,2,0)</f>
        <v>#N/A</v>
      </c>
      <c r="F1924" s="3" t="e">
        <f t="shared" ref="F1924:F1987" si="63">E1924&amp;" "&amp;B1924</f>
        <v>#N/A</v>
      </c>
    </row>
    <row r="1925" spans="2:6" x14ac:dyDescent="0.25">
      <c r="B1925" s="3"/>
      <c r="C1925" s="3"/>
      <c r="D1925" s="3"/>
      <c r="E1925" s="3" t="e">
        <f t="shared" si="62"/>
        <v>#N/A</v>
      </c>
      <c r="F1925" s="3" t="e">
        <f t="shared" si="63"/>
        <v>#N/A</v>
      </c>
    </row>
    <row r="1926" spans="2:6" x14ac:dyDescent="0.25">
      <c r="B1926" s="3"/>
      <c r="C1926" s="3"/>
      <c r="D1926" s="3"/>
      <c r="E1926" s="3" t="e">
        <f t="shared" si="62"/>
        <v>#N/A</v>
      </c>
      <c r="F1926" s="3" t="e">
        <f t="shared" si="63"/>
        <v>#N/A</v>
      </c>
    </row>
    <row r="1927" spans="2:6" x14ac:dyDescent="0.25">
      <c r="B1927" s="3"/>
      <c r="C1927" s="3"/>
      <c r="D1927" s="3"/>
      <c r="E1927" s="3" t="e">
        <f t="shared" si="62"/>
        <v>#N/A</v>
      </c>
      <c r="F1927" s="3" t="e">
        <f t="shared" si="63"/>
        <v>#N/A</v>
      </c>
    </row>
    <row r="1928" spans="2:6" x14ac:dyDescent="0.25">
      <c r="B1928" s="3"/>
      <c r="C1928" s="3"/>
      <c r="D1928" s="3"/>
      <c r="E1928" s="3" t="e">
        <f t="shared" si="62"/>
        <v>#N/A</v>
      </c>
      <c r="F1928" s="3" t="e">
        <f t="shared" si="63"/>
        <v>#N/A</v>
      </c>
    </row>
    <row r="1929" spans="2:6" x14ac:dyDescent="0.25">
      <c r="B1929" s="3"/>
      <c r="C1929" s="3"/>
      <c r="D1929" s="3"/>
      <c r="E1929" s="3" t="e">
        <f t="shared" si="62"/>
        <v>#N/A</v>
      </c>
      <c r="F1929" s="3" t="e">
        <f t="shared" si="63"/>
        <v>#N/A</v>
      </c>
    </row>
    <row r="1930" spans="2:6" x14ac:dyDescent="0.25">
      <c r="B1930" s="3"/>
      <c r="C1930" s="3"/>
      <c r="D1930" s="3"/>
      <c r="E1930" s="3" t="e">
        <f t="shared" si="62"/>
        <v>#N/A</v>
      </c>
      <c r="F1930" s="3" t="e">
        <f t="shared" si="63"/>
        <v>#N/A</v>
      </c>
    </row>
    <row r="1931" spans="2:6" x14ac:dyDescent="0.25">
      <c r="B1931" s="3"/>
      <c r="C1931" s="3"/>
      <c r="D1931" s="3"/>
      <c r="E1931" s="3" t="e">
        <f t="shared" si="62"/>
        <v>#N/A</v>
      </c>
      <c r="F1931" s="3" t="e">
        <f t="shared" si="63"/>
        <v>#N/A</v>
      </c>
    </row>
    <row r="1932" spans="2:6" x14ac:dyDescent="0.25">
      <c r="B1932" s="3"/>
      <c r="C1932" s="3"/>
      <c r="D1932" s="3"/>
      <c r="E1932" s="3" t="e">
        <f t="shared" si="62"/>
        <v>#N/A</v>
      </c>
      <c r="F1932" s="3" t="e">
        <f t="shared" si="63"/>
        <v>#N/A</v>
      </c>
    </row>
    <row r="1933" spans="2:6" x14ac:dyDescent="0.25">
      <c r="B1933" s="3"/>
      <c r="C1933" s="3"/>
      <c r="D1933" s="3"/>
      <c r="E1933" s="3" t="e">
        <f t="shared" si="62"/>
        <v>#N/A</v>
      </c>
      <c r="F1933" s="3" t="e">
        <f t="shared" si="63"/>
        <v>#N/A</v>
      </c>
    </row>
    <row r="1934" spans="2:6" x14ac:dyDescent="0.25">
      <c r="B1934" s="3"/>
      <c r="C1934" s="3"/>
      <c r="D1934" s="3"/>
      <c r="E1934" s="3" t="e">
        <f t="shared" si="62"/>
        <v>#N/A</v>
      </c>
      <c r="F1934" s="3" t="e">
        <f t="shared" si="63"/>
        <v>#N/A</v>
      </c>
    </row>
    <row r="1935" spans="2:6" x14ac:dyDescent="0.25">
      <c r="B1935" s="3"/>
      <c r="C1935" s="3"/>
      <c r="D1935" s="3"/>
      <c r="E1935" s="3" t="e">
        <f t="shared" si="62"/>
        <v>#N/A</v>
      </c>
      <c r="F1935" s="3" t="e">
        <f t="shared" si="63"/>
        <v>#N/A</v>
      </c>
    </row>
    <row r="1936" spans="2:6" x14ac:dyDescent="0.25">
      <c r="B1936" s="3"/>
      <c r="C1936" s="3"/>
      <c r="D1936" s="3"/>
      <c r="E1936" s="3" t="e">
        <f t="shared" si="62"/>
        <v>#N/A</v>
      </c>
      <c r="F1936" s="3" t="e">
        <f t="shared" si="63"/>
        <v>#N/A</v>
      </c>
    </row>
    <row r="1937" spans="2:6" x14ac:dyDescent="0.25">
      <c r="B1937" s="3"/>
      <c r="C1937" s="3"/>
      <c r="D1937" s="3"/>
      <c r="E1937" s="3" t="e">
        <f t="shared" si="62"/>
        <v>#N/A</v>
      </c>
      <c r="F1937" s="3" t="e">
        <f t="shared" si="63"/>
        <v>#N/A</v>
      </c>
    </row>
    <row r="1938" spans="2:6" x14ac:dyDescent="0.25">
      <c r="B1938" s="3"/>
      <c r="C1938" s="3"/>
      <c r="D1938" s="3"/>
      <c r="E1938" s="3" t="e">
        <f t="shared" si="62"/>
        <v>#N/A</v>
      </c>
      <c r="F1938" s="3" t="e">
        <f t="shared" si="63"/>
        <v>#N/A</v>
      </c>
    </row>
    <row r="1939" spans="2:6" x14ac:dyDescent="0.25">
      <c r="B1939" s="3"/>
      <c r="C1939" s="3"/>
      <c r="D1939" s="3"/>
      <c r="E1939" s="3" t="e">
        <f t="shared" si="62"/>
        <v>#N/A</v>
      </c>
      <c r="F1939" s="3" t="e">
        <f t="shared" si="63"/>
        <v>#N/A</v>
      </c>
    </row>
    <row r="1940" spans="2:6" x14ac:dyDescent="0.25">
      <c r="B1940" s="3"/>
      <c r="C1940" s="3"/>
      <c r="D1940" s="3"/>
      <c r="E1940" s="3" t="e">
        <f t="shared" si="62"/>
        <v>#N/A</v>
      </c>
      <c r="F1940" s="3" t="e">
        <f t="shared" si="63"/>
        <v>#N/A</v>
      </c>
    </row>
    <row r="1941" spans="2:6" x14ac:dyDescent="0.25">
      <c r="B1941" s="3"/>
      <c r="C1941" s="3"/>
      <c r="D1941" s="3"/>
      <c r="E1941" s="3" t="e">
        <f t="shared" si="62"/>
        <v>#N/A</v>
      </c>
      <c r="F1941" s="3" t="e">
        <f t="shared" si="63"/>
        <v>#N/A</v>
      </c>
    </row>
    <row r="1942" spans="2:6" x14ac:dyDescent="0.25">
      <c r="B1942" s="3"/>
      <c r="C1942" s="3"/>
      <c r="D1942" s="3"/>
      <c r="E1942" s="3" t="e">
        <f t="shared" si="62"/>
        <v>#N/A</v>
      </c>
      <c r="F1942" s="3" t="e">
        <f t="shared" si="63"/>
        <v>#N/A</v>
      </c>
    </row>
    <row r="1943" spans="2:6" x14ac:dyDescent="0.25">
      <c r="B1943" s="3"/>
      <c r="C1943" s="3"/>
      <c r="D1943" s="3"/>
      <c r="E1943" s="3" t="e">
        <f t="shared" si="62"/>
        <v>#N/A</v>
      </c>
      <c r="F1943" s="3" t="e">
        <f t="shared" si="63"/>
        <v>#N/A</v>
      </c>
    </row>
    <row r="1944" spans="2:6" x14ac:dyDescent="0.25">
      <c r="B1944" s="3"/>
      <c r="C1944" s="3"/>
      <c r="D1944" s="3"/>
      <c r="E1944" s="3" t="e">
        <f t="shared" si="62"/>
        <v>#N/A</v>
      </c>
      <c r="F1944" s="3" t="e">
        <f t="shared" si="63"/>
        <v>#N/A</v>
      </c>
    </row>
    <row r="1945" spans="2:6" x14ac:dyDescent="0.25">
      <c r="B1945" s="3"/>
      <c r="C1945" s="3"/>
      <c r="D1945" s="3"/>
      <c r="E1945" s="3" t="e">
        <f t="shared" si="62"/>
        <v>#N/A</v>
      </c>
      <c r="F1945" s="3" t="e">
        <f t="shared" si="63"/>
        <v>#N/A</v>
      </c>
    </row>
    <row r="1946" spans="2:6" x14ac:dyDescent="0.25">
      <c r="B1946" s="3"/>
      <c r="C1946" s="3"/>
      <c r="D1946" s="3"/>
      <c r="E1946" s="3" t="e">
        <f t="shared" si="62"/>
        <v>#N/A</v>
      </c>
      <c r="F1946" s="3" t="e">
        <f t="shared" si="63"/>
        <v>#N/A</v>
      </c>
    </row>
    <row r="1947" spans="2:6" x14ac:dyDescent="0.25">
      <c r="B1947" s="3"/>
      <c r="C1947" s="3"/>
      <c r="D1947" s="3"/>
      <c r="E1947" s="3" t="e">
        <f t="shared" si="62"/>
        <v>#N/A</v>
      </c>
      <c r="F1947" s="3" t="e">
        <f t="shared" si="63"/>
        <v>#N/A</v>
      </c>
    </row>
    <row r="1948" spans="2:6" x14ac:dyDescent="0.25">
      <c r="B1948" s="3"/>
      <c r="C1948" s="3"/>
      <c r="D1948" s="3"/>
      <c r="E1948" s="3" t="e">
        <f t="shared" si="62"/>
        <v>#N/A</v>
      </c>
      <c r="F1948" s="3" t="e">
        <f t="shared" si="63"/>
        <v>#N/A</v>
      </c>
    </row>
    <row r="1949" spans="2:6" x14ac:dyDescent="0.25">
      <c r="B1949" s="3"/>
      <c r="C1949" s="3"/>
      <c r="D1949" s="3"/>
      <c r="E1949" s="3" t="e">
        <f t="shared" si="62"/>
        <v>#N/A</v>
      </c>
      <c r="F1949" s="3" t="e">
        <f t="shared" si="63"/>
        <v>#N/A</v>
      </c>
    </row>
    <row r="1950" spans="2:6" x14ac:dyDescent="0.25">
      <c r="B1950" s="3"/>
      <c r="C1950" s="3"/>
      <c r="D1950" s="3"/>
      <c r="E1950" s="3" t="e">
        <f t="shared" si="62"/>
        <v>#N/A</v>
      </c>
      <c r="F1950" s="3" t="e">
        <f t="shared" si="63"/>
        <v>#N/A</v>
      </c>
    </row>
    <row r="1951" spans="2:6" x14ac:dyDescent="0.25">
      <c r="B1951" s="3"/>
      <c r="C1951" s="3"/>
      <c r="D1951" s="3"/>
      <c r="E1951" s="3" t="e">
        <f t="shared" si="62"/>
        <v>#N/A</v>
      </c>
      <c r="F1951" s="3" t="e">
        <f t="shared" si="63"/>
        <v>#N/A</v>
      </c>
    </row>
    <row r="1952" spans="2:6" x14ac:dyDescent="0.25">
      <c r="B1952" s="3"/>
      <c r="C1952" s="3"/>
      <c r="D1952" s="3"/>
      <c r="E1952" s="3" t="e">
        <f t="shared" si="62"/>
        <v>#N/A</v>
      </c>
      <c r="F1952" s="3" t="e">
        <f t="shared" si="63"/>
        <v>#N/A</v>
      </c>
    </row>
    <row r="1953" spans="2:6" x14ac:dyDescent="0.25">
      <c r="B1953" s="3"/>
      <c r="C1953" s="3"/>
      <c r="D1953" s="3"/>
      <c r="E1953" s="3" t="e">
        <f t="shared" si="62"/>
        <v>#N/A</v>
      </c>
      <c r="F1953" s="3" t="e">
        <f t="shared" si="63"/>
        <v>#N/A</v>
      </c>
    </row>
    <row r="1954" spans="2:6" x14ac:dyDescent="0.25">
      <c r="B1954" s="3"/>
      <c r="C1954" s="3"/>
      <c r="D1954" s="3"/>
      <c r="E1954" s="3" t="e">
        <f t="shared" si="62"/>
        <v>#N/A</v>
      </c>
      <c r="F1954" s="3" t="e">
        <f t="shared" si="63"/>
        <v>#N/A</v>
      </c>
    </row>
    <row r="1955" spans="2:6" x14ac:dyDescent="0.25">
      <c r="B1955" s="3"/>
      <c r="C1955" s="3"/>
      <c r="D1955" s="3"/>
      <c r="E1955" s="3" t="e">
        <f t="shared" si="62"/>
        <v>#N/A</v>
      </c>
      <c r="F1955" s="3" t="e">
        <f t="shared" si="63"/>
        <v>#N/A</v>
      </c>
    </row>
    <row r="1956" spans="2:6" x14ac:dyDescent="0.25">
      <c r="B1956" s="3"/>
      <c r="C1956" s="3"/>
      <c r="D1956" s="3"/>
      <c r="E1956" s="3" t="e">
        <f t="shared" si="62"/>
        <v>#N/A</v>
      </c>
      <c r="F1956" s="3" t="e">
        <f t="shared" si="63"/>
        <v>#N/A</v>
      </c>
    </row>
    <row r="1957" spans="2:6" x14ac:dyDescent="0.25">
      <c r="B1957" s="3"/>
      <c r="C1957" s="3"/>
      <c r="D1957" s="3"/>
      <c r="E1957" s="3" t="e">
        <f t="shared" si="62"/>
        <v>#N/A</v>
      </c>
      <c r="F1957" s="3" t="e">
        <f t="shared" si="63"/>
        <v>#N/A</v>
      </c>
    </row>
    <row r="1958" spans="2:6" x14ac:dyDescent="0.25">
      <c r="B1958" s="3"/>
      <c r="C1958" s="3"/>
      <c r="D1958" s="3"/>
      <c r="E1958" s="3" t="e">
        <f t="shared" si="62"/>
        <v>#N/A</v>
      </c>
      <c r="F1958" s="3" t="e">
        <f t="shared" si="63"/>
        <v>#N/A</v>
      </c>
    </row>
    <row r="1959" spans="2:6" x14ac:dyDescent="0.25">
      <c r="B1959" s="3"/>
      <c r="C1959" s="3"/>
      <c r="D1959" s="3"/>
      <c r="E1959" s="3" t="e">
        <f t="shared" si="62"/>
        <v>#N/A</v>
      </c>
      <c r="F1959" s="3" t="e">
        <f t="shared" si="63"/>
        <v>#N/A</v>
      </c>
    </row>
    <row r="1960" spans="2:6" x14ac:dyDescent="0.25">
      <c r="B1960" s="3"/>
      <c r="C1960" s="3"/>
      <c r="D1960" s="3"/>
      <c r="E1960" s="3" t="e">
        <f t="shared" si="62"/>
        <v>#N/A</v>
      </c>
      <c r="F1960" s="3" t="e">
        <f t="shared" si="63"/>
        <v>#N/A</v>
      </c>
    </row>
    <row r="1961" spans="2:6" x14ac:dyDescent="0.25">
      <c r="B1961" s="3"/>
      <c r="C1961" s="3"/>
      <c r="D1961" s="3"/>
      <c r="E1961" s="3" t="e">
        <f t="shared" si="62"/>
        <v>#N/A</v>
      </c>
      <c r="F1961" s="3" t="e">
        <f t="shared" si="63"/>
        <v>#N/A</v>
      </c>
    </row>
    <row r="1962" spans="2:6" x14ac:dyDescent="0.25">
      <c r="B1962" s="3"/>
      <c r="C1962" s="3"/>
      <c r="D1962" s="3"/>
      <c r="E1962" s="3" t="e">
        <f t="shared" si="62"/>
        <v>#N/A</v>
      </c>
      <c r="F1962" s="3" t="e">
        <f t="shared" si="63"/>
        <v>#N/A</v>
      </c>
    </row>
    <row r="1963" spans="2:6" x14ac:dyDescent="0.25">
      <c r="B1963" s="3"/>
      <c r="C1963" s="3"/>
      <c r="D1963" s="3"/>
      <c r="E1963" s="3" t="e">
        <f t="shared" si="62"/>
        <v>#N/A</v>
      </c>
      <c r="F1963" s="3" t="e">
        <f t="shared" si="63"/>
        <v>#N/A</v>
      </c>
    </row>
    <row r="1964" spans="2:6" x14ac:dyDescent="0.25">
      <c r="B1964" s="3"/>
      <c r="C1964" s="3"/>
      <c r="D1964" s="3"/>
      <c r="E1964" s="3" t="e">
        <f t="shared" si="62"/>
        <v>#N/A</v>
      </c>
      <c r="F1964" s="3" t="e">
        <f t="shared" si="63"/>
        <v>#N/A</v>
      </c>
    </row>
    <row r="1965" spans="2:6" x14ac:dyDescent="0.25">
      <c r="B1965" s="3"/>
      <c r="C1965" s="3"/>
      <c r="D1965" s="3"/>
      <c r="E1965" s="3" t="e">
        <f t="shared" si="62"/>
        <v>#N/A</v>
      </c>
      <c r="F1965" s="3" t="e">
        <f t="shared" si="63"/>
        <v>#N/A</v>
      </c>
    </row>
    <row r="1966" spans="2:6" x14ac:dyDescent="0.25">
      <c r="B1966" s="3"/>
      <c r="C1966" s="3"/>
      <c r="D1966" s="3"/>
      <c r="E1966" s="3" t="e">
        <f t="shared" si="62"/>
        <v>#N/A</v>
      </c>
      <c r="F1966" s="3" t="e">
        <f t="shared" si="63"/>
        <v>#N/A</v>
      </c>
    </row>
    <row r="1967" spans="2:6" x14ac:dyDescent="0.25">
      <c r="B1967" s="3"/>
      <c r="C1967" s="3"/>
      <c r="D1967" s="3"/>
      <c r="E1967" s="3" t="e">
        <f t="shared" si="62"/>
        <v>#N/A</v>
      </c>
      <c r="F1967" s="3" t="e">
        <f t="shared" si="63"/>
        <v>#N/A</v>
      </c>
    </row>
    <row r="1968" spans="2:6" x14ac:dyDescent="0.25">
      <c r="B1968" s="3"/>
      <c r="C1968" s="3"/>
      <c r="D1968" s="3"/>
      <c r="E1968" s="3" t="e">
        <f t="shared" si="62"/>
        <v>#N/A</v>
      </c>
      <c r="F1968" s="3" t="e">
        <f t="shared" si="63"/>
        <v>#N/A</v>
      </c>
    </row>
    <row r="1969" spans="2:6" x14ac:dyDescent="0.25">
      <c r="B1969" s="3"/>
      <c r="C1969" s="3"/>
      <c r="D1969" s="3"/>
      <c r="E1969" s="3" t="e">
        <f t="shared" si="62"/>
        <v>#N/A</v>
      </c>
      <c r="F1969" s="3" t="e">
        <f t="shared" si="63"/>
        <v>#N/A</v>
      </c>
    </row>
    <row r="1970" spans="2:6" x14ac:dyDescent="0.25">
      <c r="B1970" s="3"/>
      <c r="C1970" s="3"/>
      <c r="D1970" s="3"/>
      <c r="E1970" s="3" t="e">
        <f t="shared" si="62"/>
        <v>#N/A</v>
      </c>
      <c r="F1970" s="3" t="e">
        <f t="shared" si="63"/>
        <v>#N/A</v>
      </c>
    </row>
    <row r="1971" spans="2:6" x14ac:dyDescent="0.25">
      <c r="B1971" s="3"/>
      <c r="C1971" s="3"/>
      <c r="D1971" s="3"/>
      <c r="E1971" s="3" t="e">
        <f t="shared" si="62"/>
        <v>#N/A</v>
      </c>
      <c r="F1971" s="3" t="e">
        <f t="shared" si="63"/>
        <v>#N/A</v>
      </c>
    </row>
    <row r="1972" spans="2:6" x14ac:dyDescent="0.25">
      <c r="B1972" s="3"/>
      <c r="C1972" s="3"/>
      <c r="D1972" s="3"/>
      <c r="E1972" s="3" t="e">
        <f t="shared" si="62"/>
        <v>#N/A</v>
      </c>
      <c r="F1972" s="3" t="e">
        <f t="shared" si="63"/>
        <v>#N/A</v>
      </c>
    </row>
    <row r="1973" spans="2:6" x14ac:dyDescent="0.25">
      <c r="B1973" s="3"/>
      <c r="C1973" s="3"/>
      <c r="D1973" s="3"/>
      <c r="E1973" s="3" t="e">
        <f t="shared" si="62"/>
        <v>#N/A</v>
      </c>
      <c r="F1973" s="3" t="e">
        <f t="shared" si="63"/>
        <v>#N/A</v>
      </c>
    </row>
    <row r="1974" spans="2:6" x14ac:dyDescent="0.25">
      <c r="B1974" s="3"/>
      <c r="C1974" s="3"/>
      <c r="D1974" s="3"/>
      <c r="E1974" s="3" t="e">
        <f t="shared" si="62"/>
        <v>#N/A</v>
      </c>
      <c r="F1974" s="3" t="e">
        <f t="shared" si="63"/>
        <v>#N/A</v>
      </c>
    </row>
    <row r="1975" spans="2:6" x14ac:dyDescent="0.25">
      <c r="B1975" s="3"/>
      <c r="C1975" s="3"/>
      <c r="D1975" s="3"/>
      <c r="E1975" s="3" t="e">
        <f t="shared" si="62"/>
        <v>#N/A</v>
      </c>
      <c r="F1975" s="3" t="e">
        <f t="shared" si="63"/>
        <v>#N/A</v>
      </c>
    </row>
    <row r="1976" spans="2:6" x14ac:dyDescent="0.25">
      <c r="B1976" s="3"/>
      <c r="C1976" s="3"/>
      <c r="D1976" s="3"/>
      <c r="E1976" s="3" t="e">
        <f t="shared" si="62"/>
        <v>#N/A</v>
      </c>
      <c r="F1976" s="3" t="e">
        <f t="shared" si="63"/>
        <v>#N/A</v>
      </c>
    </row>
    <row r="1977" spans="2:6" x14ac:dyDescent="0.25">
      <c r="B1977" s="3"/>
      <c r="C1977" s="3"/>
      <c r="D1977" s="3"/>
      <c r="E1977" s="3" t="e">
        <f t="shared" si="62"/>
        <v>#N/A</v>
      </c>
      <c r="F1977" s="3" t="e">
        <f t="shared" si="63"/>
        <v>#N/A</v>
      </c>
    </row>
    <row r="1978" spans="2:6" x14ac:dyDescent="0.25">
      <c r="B1978" s="3"/>
      <c r="C1978" s="3"/>
      <c r="D1978" s="3"/>
      <c r="E1978" s="3" t="e">
        <f t="shared" si="62"/>
        <v>#N/A</v>
      </c>
      <c r="F1978" s="3" t="e">
        <f t="shared" si="63"/>
        <v>#N/A</v>
      </c>
    </row>
    <row r="1979" spans="2:6" x14ac:dyDescent="0.25">
      <c r="B1979" s="3"/>
      <c r="C1979" s="3"/>
      <c r="D1979" s="3"/>
      <c r="E1979" s="3" t="e">
        <f t="shared" si="62"/>
        <v>#N/A</v>
      </c>
      <c r="F1979" s="3" t="e">
        <f t="shared" si="63"/>
        <v>#N/A</v>
      </c>
    </row>
    <row r="1980" spans="2:6" x14ac:dyDescent="0.25">
      <c r="B1980" s="3"/>
      <c r="C1980" s="3"/>
      <c r="D1980" s="3"/>
      <c r="E1980" s="3" t="e">
        <f t="shared" si="62"/>
        <v>#N/A</v>
      </c>
      <c r="F1980" s="3" t="e">
        <f t="shared" si="63"/>
        <v>#N/A</v>
      </c>
    </row>
    <row r="1981" spans="2:6" x14ac:dyDescent="0.25">
      <c r="B1981" s="3"/>
      <c r="C1981" s="3"/>
      <c r="D1981" s="3"/>
      <c r="E1981" s="3" t="e">
        <f t="shared" si="62"/>
        <v>#N/A</v>
      </c>
      <c r="F1981" s="3" t="e">
        <f t="shared" si="63"/>
        <v>#N/A</v>
      </c>
    </row>
    <row r="1982" spans="2:6" x14ac:dyDescent="0.25">
      <c r="B1982" s="3"/>
      <c r="C1982" s="3"/>
      <c r="D1982" s="3"/>
      <c r="E1982" s="3" t="e">
        <f t="shared" si="62"/>
        <v>#N/A</v>
      </c>
      <c r="F1982" s="3" t="e">
        <f t="shared" si="63"/>
        <v>#N/A</v>
      </c>
    </row>
    <row r="1983" spans="2:6" x14ac:dyDescent="0.25">
      <c r="B1983" s="3"/>
      <c r="C1983" s="3"/>
      <c r="D1983" s="3"/>
      <c r="E1983" s="3" t="e">
        <f t="shared" si="62"/>
        <v>#N/A</v>
      </c>
      <c r="F1983" s="3" t="e">
        <f t="shared" si="63"/>
        <v>#N/A</v>
      </c>
    </row>
    <row r="1984" spans="2:6" x14ac:dyDescent="0.25">
      <c r="B1984" s="3"/>
      <c r="C1984" s="3"/>
      <c r="D1984" s="3"/>
      <c r="E1984" s="3" t="e">
        <f t="shared" si="62"/>
        <v>#N/A</v>
      </c>
      <c r="F1984" s="3" t="e">
        <f t="shared" si="63"/>
        <v>#N/A</v>
      </c>
    </row>
    <row r="1985" spans="2:6" x14ac:dyDescent="0.25">
      <c r="B1985" s="3"/>
      <c r="C1985" s="3"/>
      <c r="D1985" s="3"/>
      <c r="E1985" s="3" t="e">
        <f t="shared" si="62"/>
        <v>#N/A</v>
      </c>
      <c r="F1985" s="3" t="e">
        <f t="shared" si="63"/>
        <v>#N/A</v>
      </c>
    </row>
    <row r="1986" spans="2:6" x14ac:dyDescent="0.25">
      <c r="B1986" s="3"/>
      <c r="C1986" s="3"/>
      <c r="D1986" s="3"/>
      <c r="E1986" s="3" t="e">
        <f t="shared" si="62"/>
        <v>#N/A</v>
      </c>
      <c r="F1986" s="3" t="e">
        <f t="shared" si="63"/>
        <v>#N/A</v>
      </c>
    </row>
    <row r="1987" spans="2:6" x14ac:dyDescent="0.25">
      <c r="B1987" s="3"/>
      <c r="C1987" s="3"/>
      <c r="D1987" s="3"/>
      <c r="E1987" s="3" t="e">
        <f t="shared" si="62"/>
        <v>#N/A</v>
      </c>
      <c r="F1987" s="3" t="e">
        <f t="shared" si="63"/>
        <v>#N/A</v>
      </c>
    </row>
    <row r="1988" spans="2:6" x14ac:dyDescent="0.25">
      <c r="B1988" s="3"/>
      <c r="C1988" s="3"/>
      <c r="D1988" s="3"/>
      <c r="E1988" s="3" t="e">
        <f t="shared" ref="E1988:E2051" si="64">VLOOKUP(C1988,I:J,2,0)</f>
        <v>#N/A</v>
      </c>
      <c r="F1988" s="3" t="e">
        <f t="shared" ref="F1988:F2051" si="65">E1988&amp;" "&amp;B1988</f>
        <v>#N/A</v>
      </c>
    </row>
    <row r="1989" spans="2:6" x14ac:dyDescent="0.25">
      <c r="B1989" s="3"/>
      <c r="C1989" s="3"/>
      <c r="D1989" s="3"/>
      <c r="E1989" s="3" t="e">
        <f t="shared" si="64"/>
        <v>#N/A</v>
      </c>
      <c r="F1989" s="3" t="e">
        <f t="shared" si="65"/>
        <v>#N/A</v>
      </c>
    </row>
    <row r="1990" spans="2:6" x14ac:dyDescent="0.25">
      <c r="B1990" s="3"/>
      <c r="C1990" s="3"/>
      <c r="D1990" s="3"/>
      <c r="E1990" s="3" t="e">
        <f t="shared" si="64"/>
        <v>#N/A</v>
      </c>
      <c r="F1990" s="3" t="e">
        <f t="shared" si="65"/>
        <v>#N/A</v>
      </c>
    </row>
    <row r="1991" spans="2:6" x14ac:dyDescent="0.25">
      <c r="B1991" s="3"/>
      <c r="C1991" s="3"/>
      <c r="D1991" s="3"/>
      <c r="E1991" s="3" t="e">
        <f t="shared" si="64"/>
        <v>#N/A</v>
      </c>
      <c r="F1991" s="3" t="e">
        <f t="shared" si="65"/>
        <v>#N/A</v>
      </c>
    </row>
    <row r="1992" spans="2:6" x14ac:dyDescent="0.25">
      <c r="B1992" s="3"/>
      <c r="C1992" s="3"/>
      <c r="D1992" s="3"/>
      <c r="E1992" s="3" t="e">
        <f t="shared" si="64"/>
        <v>#N/A</v>
      </c>
      <c r="F1992" s="3" t="e">
        <f t="shared" si="65"/>
        <v>#N/A</v>
      </c>
    </row>
    <row r="1993" spans="2:6" x14ac:dyDescent="0.25">
      <c r="B1993" s="3"/>
      <c r="C1993" s="3"/>
      <c r="D1993" s="3"/>
      <c r="E1993" s="3" t="e">
        <f t="shared" si="64"/>
        <v>#N/A</v>
      </c>
      <c r="F1993" s="3" t="e">
        <f t="shared" si="65"/>
        <v>#N/A</v>
      </c>
    </row>
    <row r="1994" spans="2:6" x14ac:dyDescent="0.25">
      <c r="B1994" s="3"/>
      <c r="C1994" s="3"/>
      <c r="D1994" s="3"/>
      <c r="E1994" s="3" t="e">
        <f t="shared" si="64"/>
        <v>#N/A</v>
      </c>
      <c r="F1994" s="3" t="e">
        <f t="shared" si="65"/>
        <v>#N/A</v>
      </c>
    </row>
    <row r="1995" spans="2:6" x14ac:dyDescent="0.25">
      <c r="B1995" s="3"/>
      <c r="C1995" s="3"/>
      <c r="D1995" s="3"/>
      <c r="E1995" s="3" t="e">
        <f t="shared" si="64"/>
        <v>#N/A</v>
      </c>
      <c r="F1995" s="3" t="e">
        <f t="shared" si="65"/>
        <v>#N/A</v>
      </c>
    </row>
    <row r="1996" spans="2:6" x14ac:dyDescent="0.25">
      <c r="B1996" s="3"/>
      <c r="C1996" s="3"/>
      <c r="D1996" s="3"/>
      <c r="E1996" s="3" t="e">
        <f t="shared" si="64"/>
        <v>#N/A</v>
      </c>
      <c r="F1996" s="3" t="e">
        <f t="shared" si="65"/>
        <v>#N/A</v>
      </c>
    </row>
    <row r="1997" spans="2:6" x14ac:dyDescent="0.25">
      <c r="B1997" s="3"/>
      <c r="C1997" s="3"/>
      <c r="D1997" s="3"/>
      <c r="E1997" s="3" t="e">
        <f t="shared" si="64"/>
        <v>#N/A</v>
      </c>
      <c r="F1997" s="3" t="e">
        <f t="shared" si="65"/>
        <v>#N/A</v>
      </c>
    </row>
    <row r="1998" spans="2:6" x14ac:dyDescent="0.25">
      <c r="B1998" s="3"/>
      <c r="C1998" s="3"/>
      <c r="D1998" s="3"/>
      <c r="E1998" s="3" t="e">
        <f t="shared" si="64"/>
        <v>#N/A</v>
      </c>
      <c r="F1998" s="3" t="e">
        <f t="shared" si="65"/>
        <v>#N/A</v>
      </c>
    </row>
    <row r="1999" spans="2:6" x14ac:dyDescent="0.25">
      <c r="B1999" s="3"/>
      <c r="C1999" s="3"/>
      <c r="D1999" s="3"/>
      <c r="E1999" s="3" t="e">
        <f t="shared" si="64"/>
        <v>#N/A</v>
      </c>
      <c r="F1999" s="3" t="e">
        <f t="shared" si="65"/>
        <v>#N/A</v>
      </c>
    </row>
    <row r="2000" spans="2:6" x14ac:dyDescent="0.25">
      <c r="B2000" s="3"/>
      <c r="C2000" s="3"/>
      <c r="D2000" s="3"/>
      <c r="E2000" s="3" t="e">
        <f t="shared" si="64"/>
        <v>#N/A</v>
      </c>
      <c r="F2000" s="3" t="e">
        <f t="shared" si="65"/>
        <v>#N/A</v>
      </c>
    </row>
    <row r="2001" spans="2:6" x14ac:dyDescent="0.25">
      <c r="B2001" s="3"/>
      <c r="C2001" s="3"/>
      <c r="D2001" s="3"/>
      <c r="E2001" s="3" t="e">
        <f t="shared" si="64"/>
        <v>#N/A</v>
      </c>
      <c r="F2001" s="3" t="e">
        <f t="shared" si="65"/>
        <v>#N/A</v>
      </c>
    </row>
    <row r="2002" spans="2:6" x14ac:dyDescent="0.25">
      <c r="B2002" s="3"/>
      <c r="C2002" s="3"/>
      <c r="D2002" s="3"/>
      <c r="E2002" s="3" t="e">
        <f t="shared" si="64"/>
        <v>#N/A</v>
      </c>
      <c r="F2002" s="3" t="e">
        <f t="shared" si="65"/>
        <v>#N/A</v>
      </c>
    </row>
    <row r="2003" spans="2:6" x14ac:dyDescent="0.25">
      <c r="B2003" s="3"/>
      <c r="C2003" s="3"/>
      <c r="D2003" s="3"/>
      <c r="E2003" s="3" t="e">
        <f t="shared" si="64"/>
        <v>#N/A</v>
      </c>
      <c r="F2003" s="3" t="e">
        <f t="shared" si="65"/>
        <v>#N/A</v>
      </c>
    </row>
    <row r="2004" spans="2:6" x14ac:dyDescent="0.25">
      <c r="B2004" s="3"/>
      <c r="C2004" s="3"/>
      <c r="D2004" s="3"/>
      <c r="E2004" s="3" t="e">
        <f t="shared" si="64"/>
        <v>#N/A</v>
      </c>
      <c r="F2004" s="3" t="e">
        <f t="shared" si="65"/>
        <v>#N/A</v>
      </c>
    </row>
    <row r="2005" spans="2:6" x14ac:dyDescent="0.25">
      <c r="B2005" s="3"/>
      <c r="C2005" s="3"/>
      <c r="D2005" s="3"/>
      <c r="E2005" s="3" t="e">
        <f t="shared" si="64"/>
        <v>#N/A</v>
      </c>
      <c r="F2005" s="3" t="e">
        <f t="shared" si="65"/>
        <v>#N/A</v>
      </c>
    </row>
    <row r="2006" spans="2:6" x14ac:dyDescent="0.25">
      <c r="B2006" s="3"/>
      <c r="C2006" s="3"/>
      <c r="D2006" s="3"/>
      <c r="E2006" s="3" t="e">
        <f t="shared" si="64"/>
        <v>#N/A</v>
      </c>
      <c r="F2006" s="3" t="e">
        <f t="shared" si="65"/>
        <v>#N/A</v>
      </c>
    </row>
    <row r="2007" spans="2:6" x14ac:dyDescent="0.25">
      <c r="B2007" s="3"/>
      <c r="C2007" s="3"/>
      <c r="D2007" s="3"/>
      <c r="E2007" s="3" t="e">
        <f t="shared" si="64"/>
        <v>#N/A</v>
      </c>
      <c r="F2007" s="3" t="e">
        <f t="shared" si="65"/>
        <v>#N/A</v>
      </c>
    </row>
    <row r="2008" spans="2:6" x14ac:dyDescent="0.25">
      <c r="B2008" s="3"/>
      <c r="C2008" s="3"/>
      <c r="D2008" s="3"/>
      <c r="E2008" s="3" t="e">
        <f t="shared" si="64"/>
        <v>#N/A</v>
      </c>
      <c r="F2008" s="3" t="e">
        <f t="shared" si="65"/>
        <v>#N/A</v>
      </c>
    </row>
    <row r="2009" spans="2:6" x14ac:dyDescent="0.25">
      <c r="B2009" s="3"/>
      <c r="C2009" s="3"/>
      <c r="D2009" s="3"/>
      <c r="E2009" s="3" t="e">
        <f t="shared" si="64"/>
        <v>#N/A</v>
      </c>
      <c r="F2009" s="3" t="e">
        <f t="shared" si="65"/>
        <v>#N/A</v>
      </c>
    </row>
    <row r="2010" spans="2:6" x14ac:dyDescent="0.25">
      <c r="B2010" s="3"/>
      <c r="C2010" s="3"/>
      <c r="D2010" s="3"/>
      <c r="E2010" s="3" t="e">
        <f t="shared" si="64"/>
        <v>#N/A</v>
      </c>
      <c r="F2010" s="3" t="e">
        <f t="shared" si="65"/>
        <v>#N/A</v>
      </c>
    </row>
    <row r="2011" spans="2:6" x14ac:dyDescent="0.25">
      <c r="B2011" s="3"/>
      <c r="C2011" s="3"/>
      <c r="D2011" s="3"/>
      <c r="E2011" s="3" t="e">
        <f t="shared" si="64"/>
        <v>#N/A</v>
      </c>
      <c r="F2011" s="3" t="e">
        <f t="shared" si="65"/>
        <v>#N/A</v>
      </c>
    </row>
    <row r="2012" spans="2:6" x14ac:dyDescent="0.25">
      <c r="B2012" s="3"/>
      <c r="C2012" s="3"/>
      <c r="D2012" s="3"/>
      <c r="E2012" s="3" t="e">
        <f t="shared" si="64"/>
        <v>#N/A</v>
      </c>
      <c r="F2012" s="3" t="e">
        <f t="shared" si="65"/>
        <v>#N/A</v>
      </c>
    </row>
    <row r="2013" spans="2:6" x14ac:dyDescent="0.25">
      <c r="B2013" s="3"/>
      <c r="C2013" s="3"/>
      <c r="D2013" s="3"/>
      <c r="E2013" s="3" t="e">
        <f t="shared" si="64"/>
        <v>#N/A</v>
      </c>
      <c r="F2013" s="3" t="e">
        <f t="shared" si="65"/>
        <v>#N/A</v>
      </c>
    </row>
    <row r="2014" spans="2:6" x14ac:dyDescent="0.25">
      <c r="B2014" s="3"/>
      <c r="C2014" s="3"/>
      <c r="D2014" s="3"/>
      <c r="E2014" s="3" t="e">
        <f t="shared" si="64"/>
        <v>#N/A</v>
      </c>
      <c r="F2014" s="3" t="e">
        <f t="shared" si="65"/>
        <v>#N/A</v>
      </c>
    </row>
    <row r="2015" spans="2:6" x14ac:dyDescent="0.25">
      <c r="B2015" s="3"/>
      <c r="C2015" s="3"/>
      <c r="D2015" s="3"/>
      <c r="E2015" s="3" t="e">
        <f t="shared" si="64"/>
        <v>#N/A</v>
      </c>
      <c r="F2015" s="3" t="e">
        <f t="shared" si="65"/>
        <v>#N/A</v>
      </c>
    </row>
    <row r="2016" spans="2:6" x14ac:dyDescent="0.25">
      <c r="B2016" s="3"/>
      <c r="C2016" s="3"/>
      <c r="D2016" s="3"/>
      <c r="E2016" s="3" t="e">
        <f t="shared" si="64"/>
        <v>#N/A</v>
      </c>
      <c r="F2016" s="3" t="e">
        <f t="shared" si="65"/>
        <v>#N/A</v>
      </c>
    </row>
    <row r="2017" spans="2:6" x14ac:dyDescent="0.25">
      <c r="B2017" s="3"/>
      <c r="C2017" s="3"/>
      <c r="D2017" s="3"/>
      <c r="E2017" s="3" t="e">
        <f t="shared" si="64"/>
        <v>#N/A</v>
      </c>
      <c r="F2017" s="3" t="e">
        <f t="shared" si="65"/>
        <v>#N/A</v>
      </c>
    </row>
    <row r="2018" spans="2:6" x14ac:dyDescent="0.25">
      <c r="B2018" s="3"/>
      <c r="C2018" s="3"/>
      <c r="D2018" s="3"/>
      <c r="E2018" s="3" t="e">
        <f t="shared" si="64"/>
        <v>#N/A</v>
      </c>
      <c r="F2018" s="3" t="e">
        <f t="shared" si="65"/>
        <v>#N/A</v>
      </c>
    </row>
    <row r="2019" spans="2:6" x14ac:dyDescent="0.25">
      <c r="B2019" s="3"/>
      <c r="C2019" s="3"/>
      <c r="D2019" s="3"/>
      <c r="E2019" s="3" t="e">
        <f t="shared" si="64"/>
        <v>#N/A</v>
      </c>
      <c r="F2019" s="3" t="e">
        <f t="shared" si="65"/>
        <v>#N/A</v>
      </c>
    </row>
    <row r="2020" spans="2:6" x14ac:dyDescent="0.25">
      <c r="B2020" s="3"/>
      <c r="C2020" s="3"/>
      <c r="D2020" s="3"/>
      <c r="E2020" s="3" t="e">
        <f t="shared" si="64"/>
        <v>#N/A</v>
      </c>
      <c r="F2020" s="3" t="e">
        <f t="shared" si="65"/>
        <v>#N/A</v>
      </c>
    </row>
    <row r="2021" spans="2:6" x14ac:dyDescent="0.25">
      <c r="B2021" s="3"/>
      <c r="C2021" s="3"/>
      <c r="D2021" s="3"/>
      <c r="E2021" s="3" t="e">
        <f t="shared" si="64"/>
        <v>#N/A</v>
      </c>
      <c r="F2021" s="3" t="e">
        <f t="shared" si="65"/>
        <v>#N/A</v>
      </c>
    </row>
    <row r="2022" spans="2:6" x14ac:dyDescent="0.25">
      <c r="B2022" s="3"/>
      <c r="C2022" s="3"/>
      <c r="D2022" s="3"/>
      <c r="E2022" s="3" t="e">
        <f t="shared" si="64"/>
        <v>#N/A</v>
      </c>
      <c r="F2022" s="3" t="e">
        <f t="shared" si="65"/>
        <v>#N/A</v>
      </c>
    </row>
    <row r="2023" spans="2:6" x14ac:dyDescent="0.25">
      <c r="B2023" s="3"/>
      <c r="C2023" s="3"/>
      <c r="D2023" s="3"/>
      <c r="E2023" s="3" t="e">
        <f t="shared" si="64"/>
        <v>#N/A</v>
      </c>
      <c r="F2023" s="3" t="e">
        <f t="shared" si="65"/>
        <v>#N/A</v>
      </c>
    </row>
    <row r="2024" spans="2:6" x14ac:dyDescent="0.25">
      <c r="B2024" s="3"/>
      <c r="C2024" s="3"/>
      <c r="D2024" s="3"/>
      <c r="E2024" s="3" t="e">
        <f t="shared" si="64"/>
        <v>#N/A</v>
      </c>
      <c r="F2024" s="3" t="e">
        <f t="shared" si="65"/>
        <v>#N/A</v>
      </c>
    </row>
    <row r="2025" spans="2:6" x14ac:dyDescent="0.25">
      <c r="B2025" s="3"/>
      <c r="C2025" s="3"/>
      <c r="D2025" s="3"/>
      <c r="E2025" s="3" t="e">
        <f t="shared" si="64"/>
        <v>#N/A</v>
      </c>
      <c r="F2025" s="3" t="e">
        <f t="shared" si="65"/>
        <v>#N/A</v>
      </c>
    </row>
    <row r="2026" spans="2:6" x14ac:dyDescent="0.25">
      <c r="B2026" s="3"/>
      <c r="C2026" s="3"/>
      <c r="D2026" s="3"/>
      <c r="E2026" s="3" t="e">
        <f t="shared" si="64"/>
        <v>#N/A</v>
      </c>
      <c r="F2026" s="3" t="e">
        <f t="shared" si="65"/>
        <v>#N/A</v>
      </c>
    </row>
    <row r="2027" spans="2:6" x14ac:dyDescent="0.25">
      <c r="B2027" s="3"/>
      <c r="C2027" s="3"/>
      <c r="D2027" s="3"/>
      <c r="E2027" s="3" t="e">
        <f t="shared" si="64"/>
        <v>#N/A</v>
      </c>
      <c r="F2027" s="3" t="e">
        <f t="shared" si="65"/>
        <v>#N/A</v>
      </c>
    </row>
    <row r="2028" spans="2:6" x14ac:dyDescent="0.25">
      <c r="B2028" s="3"/>
      <c r="C2028" s="3"/>
      <c r="D2028" s="3"/>
      <c r="E2028" s="3" t="e">
        <f t="shared" si="64"/>
        <v>#N/A</v>
      </c>
      <c r="F2028" s="3" t="e">
        <f t="shared" si="65"/>
        <v>#N/A</v>
      </c>
    </row>
    <row r="2029" spans="2:6" x14ac:dyDescent="0.25">
      <c r="B2029" s="3"/>
      <c r="C2029" s="3"/>
      <c r="D2029" s="3"/>
      <c r="E2029" s="3" t="e">
        <f t="shared" si="64"/>
        <v>#N/A</v>
      </c>
      <c r="F2029" s="3" t="e">
        <f t="shared" si="65"/>
        <v>#N/A</v>
      </c>
    </row>
    <row r="2030" spans="2:6" x14ac:dyDescent="0.25">
      <c r="B2030" s="3"/>
      <c r="C2030" s="3"/>
      <c r="D2030" s="3"/>
      <c r="E2030" s="3" t="e">
        <f t="shared" si="64"/>
        <v>#N/A</v>
      </c>
      <c r="F2030" s="3" t="e">
        <f t="shared" si="65"/>
        <v>#N/A</v>
      </c>
    </row>
    <row r="2031" spans="2:6" x14ac:dyDescent="0.25">
      <c r="B2031" s="3"/>
      <c r="C2031" s="3"/>
      <c r="D2031" s="3"/>
      <c r="E2031" s="3" t="e">
        <f t="shared" si="64"/>
        <v>#N/A</v>
      </c>
      <c r="F2031" s="3" t="e">
        <f t="shared" si="65"/>
        <v>#N/A</v>
      </c>
    </row>
    <row r="2032" spans="2:6" x14ac:dyDescent="0.25">
      <c r="B2032" s="3"/>
      <c r="C2032" s="3"/>
      <c r="D2032" s="3"/>
      <c r="E2032" s="3" t="e">
        <f t="shared" si="64"/>
        <v>#N/A</v>
      </c>
      <c r="F2032" s="3" t="e">
        <f t="shared" si="65"/>
        <v>#N/A</v>
      </c>
    </row>
    <row r="2033" spans="2:6" x14ac:dyDescent="0.25">
      <c r="B2033" s="3"/>
      <c r="C2033" s="3"/>
      <c r="D2033" s="3"/>
      <c r="E2033" s="3" t="e">
        <f t="shared" si="64"/>
        <v>#N/A</v>
      </c>
      <c r="F2033" s="3" t="e">
        <f t="shared" si="65"/>
        <v>#N/A</v>
      </c>
    </row>
    <row r="2034" spans="2:6" x14ac:dyDescent="0.25">
      <c r="B2034" s="3"/>
      <c r="C2034" s="3"/>
      <c r="D2034" s="3"/>
      <c r="E2034" s="3" t="e">
        <f t="shared" si="64"/>
        <v>#N/A</v>
      </c>
      <c r="F2034" s="3" t="e">
        <f t="shared" si="65"/>
        <v>#N/A</v>
      </c>
    </row>
    <row r="2035" spans="2:6" x14ac:dyDescent="0.25">
      <c r="B2035" s="3"/>
      <c r="C2035" s="3"/>
      <c r="D2035" s="3"/>
      <c r="E2035" s="3" t="e">
        <f t="shared" si="64"/>
        <v>#N/A</v>
      </c>
      <c r="F2035" s="3" t="e">
        <f t="shared" si="65"/>
        <v>#N/A</v>
      </c>
    </row>
    <row r="2036" spans="2:6" x14ac:dyDescent="0.25">
      <c r="B2036" s="3"/>
      <c r="C2036" s="3"/>
      <c r="D2036" s="3"/>
      <c r="E2036" s="3" t="e">
        <f t="shared" si="64"/>
        <v>#N/A</v>
      </c>
      <c r="F2036" s="3" t="e">
        <f t="shared" si="65"/>
        <v>#N/A</v>
      </c>
    </row>
    <row r="2037" spans="2:6" x14ac:dyDescent="0.25">
      <c r="B2037" s="3"/>
      <c r="C2037" s="3"/>
      <c r="D2037" s="3"/>
      <c r="E2037" s="3" t="e">
        <f t="shared" si="64"/>
        <v>#N/A</v>
      </c>
      <c r="F2037" s="3" t="e">
        <f t="shared" si="65"/>
        <v>#N/A</v>
      </c>
    </row>
    <row r="2038" spans="2:6" x14ac:dyDescent="0.25">
      <c r="B2038" s="3"/>
      <c r="C2038" s="3"/>
      <c r="D2038" s="3"/>
      <c r="E2038" s="3" t="e">
        <f t="shared" si="64"/>
        <v>#N/A</v>
      </c>
      <c r="F2038" s="3" t="e">
        <f t="shared" si="65"/>
        <v>#N/A</v>
      </c>
    </row>
    <row r="2039" spans="2:6" x14ac:dyDescent="0.25">
      <c r="B2039" s="3"/>
      <c r="C2039" s="3"/>
      <c r="D2039" s="3"/>
      <c r="E2039" s="3" t="e">
        <f t="shared" si="64"/>
        <v>#N/A</v>
      </c>
      <c r="F2039" s="3" t="e">
        <f t="shared" si="65"/>
        <v>#N/A</v>
      </c>
    </row>
    <row r="2040" spans="2:6" x14ac:dyDescent="0.25">
      <c r="B2040" s="3"/>
      <c r="C2040" s="3"/>
      <c r="D2040" s="3"/>
      <c r="E2040" s="3" t="e">
        <f t="shared" si="64"/>
        <v>#N/A</v>
      </c>
      <c r="F2040" s="3" t="e">
        <f t="shared" si="65"/>
        <v>#N/A</v>
      </c>
    </row>
    <row r="2041" spans="2:6" x14ac:dyDescent="0.25">
      <c r="B2041" s="3"/>
      <c r="C2041" s="3"/>
      <c r="D2041" s="3"/>
      <c r="E2041" s="3" t="e">
        <f t="shared" si="64"/>
        <v>#N/A</v>
      </c>
      <c r="F2041" s="3" t="e">
        <f t="shared" si="65"/>
        <v>#N/A</v>
      </c>
    </row>
    <row r="2042" spans="2:6" x14ac:dyDescent="0.25">
      <c r="B2042" s="3"/>
      <c r="C2042" s="3"/>
      <c r="D2042" s="3"/>
      <c r="E2042" s="3" t="e">
        <f t="shared" si="64"/>
        <v>#N/A</v>
      </c>
      <c r="F2042" s="3" t="e">
        <f t="shared" si="65"/>
        <v>#N/A</v>
      </c>
    </row>
    <row r="2043" spans="2:6" x14ac:dyDescent="0.25">
      <c r="B2043" s="3"/>
      <c r="C2043" s="3"/>
      <c r="D2043" s="3"/>
      <c r="E2043" s="3" t="e">
        <f t="shared" si="64"/>
        <v>#N/A</v>
      </c>
      <c r="F2043" s="3" t="e">
        <f t="shared" si="65"/>
        <v>#N/A</v>
      </c>
    </row>
    <row r="2044" spans="2:6" x14ac:dyDescent="0.25">
      <c r="B2044" s="3"/>
      <c r="C2044" s="3"/>
      <c r="D2044" s="3"/>
      <c r="E2044" s="3" t="e">
        <f t="shared" si="64"/>
        <v>#N/A</v>
      </c>
      <c r="F2044" s="3" t="e">
        <f t="shared" si="65"/>
        <v>#N/A</v>
      </c>
    </row>
    <row r="2045" spans="2:6" x14ac:dyDescent="0.25">
      <c r="B2045" s="3"/>
      <c r="C2045" s="3"/>
      <c r="D2045" s="3"/>
      <c r="E2045" s="3" t="e">
        <f t="shared" si="64"/>
        <v>#N/A</v>
      </c>
      <c r="F2045" s="3" t="e">
        <f t="shared" si="65"/>
        <v>#N/A</v>
      </c>
    </row>
    <row r="2046" spans="2:6" x14ac:dyDescent="0.25">
      <c r="B2046" s="3"/>
      <c r="C2046" s="3"/>
      <c r="D2046" s="3"/>
      <c r="E2046" s="3" t="e">
        <f t="shared" si="64"/>
        <v>#N/A</v>
      </c>
      <c r="F2046" s="3" t="e">
        <f t="shared" si="65"/>
        <v>#N/A</v>
      </c>
    </row>
    <row r="2047" spans="2:6" x14ac:dyDescent="0.25">
      <c r="B2047" s="3"/>
      <c r="C2047" s="3"/>
      <c r="D2047" s="3"/>
      <c r="E2047" s="3" t="e">
        <f t="shared" si="64"/>
        <v>#N/A</v>
      </c>
      <c r="F2047" s="3" t="e">
        <f t="shared" si="65"/>
        <v>#N/A</v>
      </c>
    </row>
    <row r="2048" spans="2:6" x14ac:dyDescent="0.25">
      <c r="B2048" s="3"/>
      <c r="C2048" s="3"/>
      <c r="D2048" s="3"/>
      <c r="E2048" s="3" t="e">
        <f t="shared" si="64"/>
        <v>#N/A</v>
      </c>
      <c r="F2048" s="3" t="e">
        <f t="shared" si="65"/>
        <v>#N/A</v>
      </c>
    </row>
    <row r="2049" spans="2:6" x14ac:dyDescent="0.25">
      <c r="B2049" s="3"/>
      <c r="C2049" s="3"/>
      <c r="D2049" s="3"/>
      <c r="E2049" s="3" t="e">
        <f t="shared" si="64"/>
        <v>#N/A</v>
      </c>
      <c r="F2049" s="3" t="e">
        <f t="shared" si="65"/>
        <v>#N/A</v>
      </c>
    </row>
    <row r="2050" spans="2:6" x14ac:dyDescent="0.25">
      <c r="B2050" s="3"/>
      <c r="C2050" s="3"/>
      <c r="D2050" s="3"/>
      <c r="E2050" s="3" t="e">
        <f t="shared" si="64"/>
        <v>#N/A</v>
      </c>
      <c r="F2050" s="3" t="e">
        <f t="shared" si="65"/>
        <v>#N/A</v>
      </c>
    </row>
    <row r="2051" spans="2:6" x14ac:dyDescent="0.25">
      <c r="B2051" s="3"/>
      <c r="C2051" s="3"/>
      <c r="D2051" s="3"/>
      <c r="E2051" s="3" t="e">
        <f t="shared" si="64"/>
        <v>#N/A</v>
      </c>
      <c r="F2051" s="3" t="e">
        <f t="shared" si="65"/>
        <v>#N/A</v>
      </c>
    </row>
    <row r="2052" spans="2:6" x14ac:dyDescent="0.25">
      <c r="B2052" s="3"/>
      <c r="C2052" s="3"/>
      <c r="D2052" s="3"/>
      <c r="E2052" s="3" t="e">
        <f t="shared" ref="E2052:E2115" si="66">VLOOKUP(C2052,I:J,2,0)</f>
        <v>#N/A</v>
      </c>
      <c r="F2052" s="3" t="e">
        <f t="shared" ref="F2052:F2115" si="67">E2052&amp;" "&amp;B2052</f>
        <v>#N/A</v>
      </c>
    </row>
    <row r="2053" spans="2:6" x14ac:dyDescent="0.25">
      <c r="B2053" s="3"/>
      <c r="C2053" s="3"/>
      <c r="D2053" s="3"/>
      <c r="E2053" s="3" t="e">
        <f t="shared" si="66"/>
        <v>#N/A</v>
      </c>
      <c r="F2053" s="3" t="e">
        <f t="shared" si="67"/>
        <v>#N/A</v>
      </c>
    </row>
    <row r="2054" spans="2:6" x14ac:dyDescent="0.25">
      <c r="B2054" s="3"/>
      <c r="C2054" s="3"/>
      <c r="D2054" s="3"/>
      <c r="E2054" s="3" t="e">
        <f t="shared" si="66"/>
        <v>#N/A</v>
      </c>
      <c r="F2054" s="3" t="e">
        <f t="shared" si="67"/>
        <v>#N/A</v>
      </c>
    </row>
    <row r="2055" spans="2:6" x14ac:dyDescent="0.25">
      <c r="B2055" s="3"/>
      <c r="C2055" s="3"/>
      <c r="D2055" s="3"/>
      <c r="E2055" s="3" t="e">
        <f t="shared" si="66"/>
        <v>#N/A</v>
      </c>
      <c r="F2055" s="3" t="e">
        <f t="shared" si="67"/>
        <v>#N/A</v>
      </c>
    </row>
    <row r="2056" spans="2:6" x14ac:dyDescent="0.25">
      <c r="B2056" s="3"/>
      <c r="C2056" s="3"/>
      <c r="D2056" s="3"/>
      <c r="E2056" s="3" t="e">
        <f t="shared" si="66"/>
        <v>#N/A</v>
      </c>
      <c r="F2056" s="3" t="e">
        <f t="shared" si="67"/>
        <v>#N/A</v>
      </c>
    </row>
    <row r="2057" spans="2:6" x14ac:dyDescent="0.25">
      <c r="B2057" s="3"/>
      <c r="C2057" s="3"/>
      <c r="D2057" s="3"/>
      <c r="E2057" s="3" t="e">
        <f t="shared" si="66"/>
        <v>#N/A</v>
      </c>
      <c r="F2057" s="3" t="e">
        <f t="shared" si="67"/>
        <v>#N/A</v>
      </c>
    </row>
    <row r="2058" spans="2:6" x14ac:dyDescent="0.25">
      <c r="B2058" s="3"/>
      <c r="C2058" s="3"/>
      <c r="D2058" s="3"/>
      <c r="E2058" s="3" t="e">
        <f t="shared" si="66"/>
        <v>#N/A</v>
      </c>
      <c r="F2058" s="3" t="e">
        <f t="shared" si="67"/>
        <v>#N/A</v>
      </c>
    </row>
    <row r="2059" spans="2:6" x14ac:dyDescent="0.25">
      <c r="B2059" s="3"/>
      <c r="C2059" s="3"/>
      <c r="D2059" s="3"/>
      <c r="E2059" s="3" t="e">
        <f t="shared" si="66"/>
        <v>#N/A</v>
      </c>
      <c r="F2059" s="3" t="e">
        <f t="shared" si="67"/>
        <v>#N/A</v>
      </c>
    </row>
    <row r="2060" spans="2:6" x14ac:dyDescent="0.25">
      <c r="B2060" s="3"/>
      <c r="C2060" s="3"/>
      <c r="D2060" s="3"/>
      <c r="E2060" s="3" t="e">
        <f t="shared" si="66"/>
        <v>#N/A</v>
      </c>
      <c r="F2060" s="3" t="e">
        <f t="shared" si="67"/>
        <v>#N/A</v>
      </c>
    </row>
    <row r="2061" spans="2:6" x14ac:dyDescent="0.25">
      <c r="B2061" s="3"/>
      <c r="C2061" s="3"/>
      <c r="D2061" s="3"/>
      <c r="E2061" s="3" t="e">
        <f t="shared" si="66"/>
        <v>#N/A</v>
      </c>
      <c r="F2061" s="3" t="e">
        <f t="shared" si="67"/>
        <v>#N/A</v>
      </c>
    </row>
    <row r="2062" spans="2:6" x14ac:dyDescent="0.25">
      <c r="B2062" s="3"/>
      <c r="C2062" s="3"/>
      <c r="D2062" s="3"/>
      <c r="E2062" s="3" t="e">
        <f t="shared" si="66"/>
        <v>#N/A</v>
      </c>
      <c r="F2062" s="3" t="e">
        <f t="shared" si="67"/>
        <v>#N/A</v>
      </c>
    </row>
    <row r="2063" spans="2:6" x14ac:dyDescent="0.25">
      <c r="B2063" s="3"/>
      <c r="C2063" s="3"/>
      <c r="D2063" s="3"/>
      <c r="E2063" s="3" t="e">
        <f t="shared" si="66"/>
        <v>#N/A</v>
      </c>
      <c r="F2063" s="3" t="e">
        <f t="shared" si="67"/>
        <v>#N/A</v>
      </c>
    </row>
    <row r="2064" spans="2:6" x14ac:dyDescent="0.25">
      <c r="B2064" s="3"/>
      <c r="C2064" s="3"/>
      <c r="D2064" s="3"/>
      <c r="E2064" s="3" t="e">
        <f t="shared" si="66"/>
        <v>#N/A</v>
      </c>
      <c r="F2064" s="3" t="e">
        <f t="shared" si="67"/>
        <v>#N/A</v>
      </c>
    </row>
    <row r="2065" spans="2:6" x14ac:dyDescent="0.25">
      <c r="B2065" s="3"/>
      <c r="C2065" s="3"/>
      <c r="D2065" s="3"/>
      <c r="E2065" s="3" t="e">
        <f t="shared" si="66"/>
        <v>#N/A</v>
      </c>
      <c r="F2065" s="3" t="e">
        <f t="shared" si="67"/>
        <v>#N/A</v>
      </c>
    </row>
    <row r="2066" spans="2:6" x14ac:dyDescent="0.25">
      <c r="B2066" s="3"/>
      <c r="C2066" s="3"/>
      <c r="D2066" s="3"/>
      <c r="E2066" s="3" t="e">
        <f t="shared" si="66"/>
        <v>#N/A</v>
      </c>
      <c r="F2066" s="3" t="e">
        <f t="shared" si="67"/>
        <v>#N/A</v>
      </c>
    </row>
    <row r="2067" spans="2:6" x14ac:dyDescent="0.25">
      <c r="B2067" s="3"/>
      <c r="C2067" s="3"/>
      <c r="D2067" s="3"/>
      <c r="E2067" s="3" t="e">
        <f t="shared" si="66"/>
        <v>#N/A</v>
      </c>
      <c r="F2067" s="3" t="e">
        <f t="shared" si="67"/>
        <v>#N/A</v>
      </c>
    </row>
    <row r="2068" spans="2:6" x14ac:dyDescent="0.25">
      <c r="B2068" s="3"/>
      <c r="C2068" s="3"/>
      <c r="D2068" s="3"/>
      <c r="E2068" s="3" t="e">
        <f t="shared" si="66"/>
        <v>#N/A</v>
      </c>
      <c r="F2068" s="3" t="e">
        <f t="shared" si="67"/>
        <v>#N/A</v>
      </c>
    </row>
    <row r="2069" spans="2:6" x14ac:dyDescent="0.25">
      <c r="B2069" s="3"/>
      <c r="C2069" s="3"/>
      <c r="D2069" s="3"/>
      <c r="E2069" s="3" t="e">
        <f t="shared" si="66"/>
        <v>#N/A</v>
      </c>
      <c r="F2069" s="3" t="e">
        <f t="shared" si="67"/>
        <v>#N/A</v>
      </c>
    </row>
    <row r="2070" spans="2:6" x14ac:dyDescent="0.25">
      <c r="B2070" s="3"/>
      <c r="C2070" s="3"/>
      <c r="D2070" s="3"/>
      <c r="E2070" s="3" t="e">
        <f t="shared" si="66"/>
        <v>#N/A</v>
      </c>
      <c r="F2070" s="3" t="e">
        <f t="shared" si="67"/>
        <v>#N/A</v>
      </c>
    </row>
    <row r="2071" spans="2:6" x14ac:dyDescent="0.25">
      <c r="B2071" s="3"/>
      <c r="C2071" s="3"/>
      <c r="D2071" s="3"/>
      <c r="E2071" s="3" t="e">
        <f t="shared" si="66"/>
        <v>#N/A</v>
      </c>
      <c r="F2071" s="3" t="e">
        <f t="shared" si="67"/>
        <v>#N/A</v>
      </c>
    </row>
    <row r="2072" spans="2:6" x14ac:dyDescent="0.25">
      <c r="B2072" s="3"/>
      <c r="C2072" s="3"/>
      <c r="D2072" s="3"/>
      <c r="E2072" s="3" t="e">
        <f t="shared" si="66"/>
        <v>#N/A</v>
      </c>
      <c r="F2072" s="3" t="e">
        <f t="shared" si="67"/>
        <v>#N/A</v>
      </c>
    </row>
    <row r="2073" spans="2:6" x14ac:dyDescent="0.25">
      <c r="B2073" s="3"/>
      <c r="C2073" s="3"/>
      <c r="D2073" s="3"/>
      <c r="E2073" s="3" t="e">
        <f t="shared" si="66"/>
        <v>#N/A</v>
      </c>
      <c r="F2073" s="3" t="e">
        <f t="shared" si="67"/>
        <v>#N/A</v>
      </c>
    </row>
    <row r="2074" spans="2:6" x14ac:dyDescent="0.25">
      <c r="B2074" s="3"/>
      <c r="C2074" s="3"/>
      <c r="D2074" s="3"/>
      <c r="E2074" s="3" t="e">
        <f t="shared" si="66"/>
        <v>#N/A</v>
      </c>
      <c r="F2074" s="3" t="e">
        <f t="shared" si="67"/>
        <v>#N/A</v>
      </c>
    </row>
    <row r="2075" spans="2:6" x14ac:dyDescent="0.25">
      <c r="B2075" s="3"/>
      <c r="C2075" s="3"/>
      <c r="D2075" s="3"/>
      <c r="E2075" s="3" t="e">
        <f t="shared" si="66"/>
        <v>#N/A</v>
      </c>
      <c r="F2075" s="3" t="e">
        <f t="shared" si="67"/>
        <v>#N/A</v>
      </c>
    </row>
    <row r="2076" spans="2:6" x14ac:dyDescent="0.25">
      <c r="B2076" s="3"/>
      <c r="C2076" s="3"/>
      <c r="D2076" s="3"/>
      <c r="E2076" s="3" t="e">
        <f t="shared" si="66"/>
        <v>#N/A</v>
      </c>
      <c r="F2076" s="3" t="e">
        <f t="shared" si="67"/>
        <v>#N/A</v>
      </c>
    </row>
    <row r="2077" spans="2:6" x14ac:dyDescent="0.25">
      <c r="B2077" s="3"/>
      <c r="C2077" s="3"/>
      <c r="D2077" s="3"/>
      <c r="E2077" s="3" t="e">
        <f t="shared" si="66"/>
        <v>#N/A</v>
      </c>
      <c r="F2077" s="3" t="e">
        <f t="shared" si="67"/>
        <v>#N/A</v>
      </c>
    </row>
    <row r="2078" spans="2:6" x14ac:dyDescent="0.25">
      <c r="B2078" s="3"/>
      <c r="C2078" s="3"/>
      <c r="D2078" s="3"/>
      <c r="E2078" s="3" t="e">
        <f t="shared" si="66"/>
        <v>#N/A</v>
      </c>
      <c r="F2078" s="3" t="e">
        <f t="shared" si="67"/>
        <v>#N/A</v>
      </c>
    </row>
    <row r="2079" spans="2:6" x14ac:dyDescent="0.25">
      <c r="B2079" s="3"/>
      <c r="C2079" s="3"/>
      <c r="D2079" s="3"/>
      <c r="E2079" s="3" t="e">
        <f t="shared" si="66"/>
        <v>#N/A</v>
      </c>
      <c r="F2079" s="3" t="e">
        <f t="shared" si="67"/>
        <v>#N/A</v>
      </c>
    </row>
    <row r="2080" spans="2:6" x14ac:dyDescent="0.25">
      <c r="B2080" s="3"/>
      <c r="C2080" s="3"/>
      <c r="D2080" s="3"/>
      <c r="E2080" s="3" t="e">
        <f t="shared" si="66"/>
        <v>#N/A</v>
      </c>
      <c r="F2080" s="3" t="e">
        <f t="shared" si="67"/>
        <v>#N/A</v>
      </c>
    </row>
    <row r="2081" spans="2:6" x14ac:dyDescent="0.25">
      <c r="B2081" s="3"/>
      <c r="C2081" s="3"/>
      <c r="D2081" s="3"/>
      <c r="E2081" s="3" t="e">
        <f t="shared" si="66"/>
        <v>#N/A</v>
      </c>
      <c r="F2081" s="3" t="e">
        <f t="shared" si="67"/>
        <v>#N/A</v>
      </c>
    </row>
    <row r="2082" spans="2:6" x14ac:dyDescent="0.25">
      <c r="B2082" s="3"/>
      <c r="C2082" s="3"/>
      <c r="D2082" s="3"/>
      <c r="E2082" s="3" t="e">
        <f t="shared" si="66"/>
        <v>#N/A</v>
      </c>
      <c r="F2082" s="3" t="e">
        <f t="shared" si="67"/>
        <v>#N/A</v>
      </c>
    </row>
    <row r="2083" spans="2:6" x14ac:dyDescent="0.25">
      <c r="B2083" s="3"/>
      <c r="C2083" s="3"/>
      <c r="D2083" s="3"/>
      <c r="E2083" s="3" t="e">
        <f t="shared" si="66"/>
        <v>#N/A</v>
      </c>
      <c r="F2083" s="3" t="e">
        <f t="shared" si="67"/>
        <v>#N/A</v>
      </c>
    </row>
    <row r="2084" spans="2:6" x14ac:dyDescent="0.25">
      <c r="B2084" s="3"/>
      <c r="C2084" s="3"/>
      <c r="D2084" s="3"/>
      <c r="E2084" s="3" t="e">
        <f t="shared" si="66"/>
        <v>#N/A</v>
      </c>
      <c r="F2084" s="3" t="e">
        <f t="shared" si="67"/>
        <v>#N/A</v>
      </c>
    </row>
    <row r="2085" spans="2:6" x14ac:dyDescent="0.25">
      <c r="B2085" s="3"/>
      <c r="C2085" s="3"/>
      <c r="D2085" s="3"/>
      <c r="E2085" s="3" t="e">
        <f t="shared" si="66"/>
        <v>#N/A</v>
      </c>
      <c r="F2085" s="3" t="e">
        <f t="shared" si="67"/>
        <v>#N/A</v>
      </c>
    </row>
    <row r="2086" spans="2:6" x14ac:dyDescent="0.25">
      <c r="B2086" s="3"/>
      <c r="C2086" s="3"/>
      <c r="D2086" s="3"/>
      <c r="E2086" s="3" t="e">
        <f t="shared" si="66"/>
        <v>#N/A</v>
      </c>
      <c r="F2086" s="3" t="e">
        <f t="shared" si="67"/>
        <v>#N/A</v>
      </c>
    </row>
    <row r="2087" spans="2:6" x14ac:dyDescent="0.25">
      <c r="B2087" s="3"/>
      <c r="C2087" s="3"/>
      <c r="D2087" s="3"/>
      <c r="E2087" s="3" t="e">
        <f t="shared" si="66"/>
        <v>#N/A</v>
      </c>
      <c r="F2087" s="3" t="e">
        <f t="shared" si="67"/>
        <v>#N/A</v>
      </c>
    </row>
    <row r="2088" spans="2:6" x14ac:dyDescent="0.25">
      <c r="B2088" s="3"/>
      <c r="C2088" s="3"/>
      <c r="D2088" s="3"/>
      <c r="E2088" s="3" t="e">
        <f t="shared" si="66"/>
        <v>#N/A</v>
      </c>
      <c r="F2088" s="3" t="e">
        <f t="shared" si="67"/>
        <v>#N/A</v>
      </c>
    </row>
    <row r="2089" spans="2:6" x14ac:dyDescent="0.25">
      <c r="B2089" s="3"/>
      <c r="C2089" s="3"/>
      <c r="D2089" s="3"/>
      <c r="E2089" s="3" t="e">
        <f t="shared" si="66"/>
        <v>#N/A</v>
      </c>
      <c r="F2089" s="3" t="e">
        <f t="shared" si="67"/>
        <v>#N/A</v>
      </c>
    </row>
    <row r="2090" spans="2:6" x14ac:dyDescent="0.25">
      <c r="B2090" s="3"/>
      <c r="C2090" s="3"/>
      <c r="D2090" s="3"/>
      <c r="E2090" s="3" t="e">
        <f t="shared" si="66"/>
        <v>#N/A</v>
      </c>
      <c r="F2090" s="3" t="e">
        <f t="shared" si="67"/>
        <v>#N/A</v>
      </c>
    </row>
    <row r="2091" spans="2:6" x14ac:dyDescent="0.25">
      <c r="B2091" s="3"/>
      <c r="C2091" s="3"/>
      <c r="D2091" s="3"/>
      <c r="E2091" s="3" t="e">
        <f t="shared" si="66"/>
        <v>#N/A</v>
      </c>
      <c r="F2091" s="3" t="e">
        <f t="shared" si="67"/>
        <v>#N/A</v>
      </c>
    </row>
    <row r="2092" spans="2:6" x14ac:dyDescent="0.25">
      <c r="B2092" s="3"/>
      <c r="C2092" s="3"/>
      <c r="D2092" s="3"/>
      <c r="E2092" s="3" t="e">
        <f t="shared" si="66"/>
        <v>#N/A</v>
      </c>
      <c r="F2092" s="3" t="e">
        <f t="shared" si="67"/>
        <v>#N/A</v>
      </c>
    </row>
    <row r="2093" spans="2:6" x14ac:dyDescent="0.25">
      <c r="B2093" s="3"/>
      <c r="C2093" s="3"/>
      <c r="D2093" s="3"/>
      <c r="E2093" s="3" t="e">
        <f t="shared" si="66"/>
        <v>#N/A</v>
      </c>
      <c r="F2093" s="3" t="e">
        <f t="shared" si="67"/>
        <v>#N/A</v>
      </c>
    </row>
    <row r="2094" spans="2:6" x14ac:dyDescent="0.25">
      <c r="B2094" s="3"/>
      <c r="C2094" s="3"/>
      <c r="D2094" s="3"/>
      <c r="E2094" s="3" t="e">
        <f t="shared" si="66"/>
        <v>#N/A</v>
      </c>
      <c r="F2094" s="3" t="e">
        <f t="shared" si="67"/>
        <v>#N/A</v>
      </c>
    </row>
    <row r="2095" spans="2:6" x14ac:dyDescent="0.25">
      <c r="B2095" s="3"/>
      <c r="C2095" s="3"/>
      <c r="D2095" s="3"/>
      <c r="E2095" s="3" t="e">
        <f t="shared" si="66"/>
        <v>#N/A</v>
      </c>
      <c r="F2095" s="3" t="e">
        <f t="shared" si="67"/>
        <v>#N/A</v>
      </c>
    </row>
    <row r="2096" spans="2:6" x14ac:dyDescent="0.25">
      <c r="B2096" s="3"/>
      <c r="C2096" s="3"/>
      <c r="D2096" s="3"/>
      <c r="E2096" s="3" t="e">
        <f t="shared" si="66"/>
        <v>#N/A</v>
      </c>
      <c r="F2096" s="3" t="e">
        <f t="shared" si="67"/>
        <v>#N/A</v>
      </c>
    </row>
    <row r="2097" spans="2:6" x14ac:dyDescent="0.25">
      <c r="B2097" s="3"/>
      <c r="C2097" s="3"/>
      <c r="D2097" s="3"/>
      <c r="E2097" s="3" t="e">
        <f t="shared" si="66"/>
        <v>#N/A</v>
      </c>
      <c r="F2097" s="3" t="e">
        <f t="shared" si="67"/>
        <v>#N/A</v>
      </c>
    </row>
    <row r="2098" spans="2:6" x14ac:dyDescent="0.25">
      <c r="B2098" s="3"/>
      <c r="C2098" s="3"/>
      <c r="D2098" s="3"/>
      <c r="E2098" s="3" t="e">
        <f t="shared" si="66"/>
        <v>#N/A</v>
      </c>
      <c r="F2098" s="3" t="e">
        <f t="shared" si="67"/>
        <v>#N/A</v>
      </c>
    </row>
    <row r="2099" spans="2:6" x14ac:dyDescent="0.25">
      <c r="B2099" s="3"/>
      <c r="C2099" s="3"/>
      <c r="D2099" s="3"/>
      <c r="E2099" s="3" t="e">
        <f t="shared" si="66"/>
        <v>#N/A</v>
      </c>
      <c r="F2099" s="3" t="e">
        <f t="shared" si="67"/>
        <v>#N/A</v>
      </c>
    </row>
    <row r="2100" spans="2:6" x14ac:dyDescent="0.25">
      <c r="B2100" s="3"/>
      <c r="C2100" s="3"/>
      <c r="D2100" s="3"/>
      <c r="E2100" s="3" t="e">
        <f t="shared" si="66"/>
        <v>#N/A</v>
      </c>
      <c r="F2100" s="3" t="e">
        <f t="shared" si="67"/>
        <v>#N/A</v>
      </c>
    </row>
    <row r="2101" spans="2:6" x14ac:dyDescent="0.25">
      <c r="B2101" s="3"/>
      <c r="C2101" s="3"/>
      <c r="D2101" s="3"/>
      <c r="E2101" s="3" t="e">
        <f t="shared" si="66"/>
        <v>#N/A</v>
      </c>
      <c r="F2101" s="3" t="e">
        <f t="shared" si="67"/>
        <v>#N/A</v>
      </c>
    </row>
    <row r="2102" spans="2:6" x14ac:dyDescent="0.25">
      <c r="B2102" s="3"/>
      <c r="C2102" s="3"/>
      <c r="D2102" s="3"/>
      <c r="E2102" s="3" t="e">
        <f t="shared" si="66"/>
        <v>#N/A</v>
      </c>
      <c r="F2102" s="3" t="e">
        <f t="shared" si="67"/>
        <v>#N/A</v>
      </c>
    </row>
    <row r="2103" spans="2:6" x14ac:dyDescent="0.25">
      <c r="B2103" s="3"/>
      <c r="C2103" s="3"/>
      <c r="D2103" s="3"/>
      <c r="E2103" s="3" t="e">
        <f t="shared" si="66"/>
        <v>#N/A</v>
      </c>
      <c r="F2103" s="3" t="e">
        <f t="shared" si="67"/>
        <v>#N/A</v>
      </c>
    </row>
    <row r="2104" spans="2:6" x14ac:dyDescent="0.25">
      <c r="B2104" s="3"/>
      <c r="C2104" s="3"/>
      <c r="D2104" s="3"/>
      <c r="E2104" s="3" t="e">
        <f t="shared" si="66"/>
        <v>#N/A</v>
      </c>
      <c r="F2104" s="3" t="e">
        <f t="shared" si="67"/>
        <v>#N/A</v>
      </c>
    </row>
    <row r="2105" spans="2:6" x14ac:dyDescent="0.25">
      <c r="B2105" s="3"/>
      <c r="C2105" s="3"/>
      <c r="D2105" s="3"/>
      <c r="E2105" s="3" t="e">
        <f t="shared" si="66"/>
        <v>#N/A</v>
      </c>
      <c r="F2105" s="3" t="e">
        <f t="shared" si="67"/>
        <v>#N/A</v>
      </c>
    </row>
    <row r="2106" spans="2:6" x14ac:dyDescent="0.25">
      <c r="B2106" s="3"/>
      <c r="C2106" s="3"/>
      <c r="D2106" s="3"/>
      <c r="E2106" s="3" t="e">
        <f t="shared" si="66"/>
        <v>#N/A</v>
      </c>
      <c r="F2106" s="3" t="e">
        <f t="shared" si="67"/>
        <v>#N/A</v>
      </c>
    </row>
    <row r="2107" spans="2:6" x14ac:dyDescent="0.25">
      <c r="B2107" s="3"/>
      <c r="C2107" s="3"/>
      <c r="D2107" s="3"/>
      <c r="E2107" s="3" t="e">
        <f t="shared" si="66"/>
        <v>#N/A</v>
      </c>
      <c r="F2107" s="3" t="e">
        <f t="shared" si="67"/>
        <v>#N/A</v>
      </c>
    </row>
    <row r="2108" spans="2:6" x14ac:dyDescent="0.25">
      <c r="B2108" s="3"/>
      <c r="C2108" s="3"/>
      <c r="D2108" s="3"/>
      <c r="E2108" s="3" t="e">
        <f t="shared" si="66"/>
        <v>#N/A</v>
      </c>
      <c r="F2108" s="3" t="e">
        <f t="shared" si="67"/>
        <v>#N/A</v>
      </c>
    </row>
    <row r="2109" spans="2:6" x14ac:dyDescent="0.25">
      <c r="B2109" s="3"/>
      <c r="C2109" s="3"/>
      <c r="D2109" s="3"/>
      <c r="E2109" s="3" t="e">
        <f t="shared" si="66"/>
        <v>#N/A</v>
      </c>
      <c r="F2109" s="3" t="e">
        <f t="shared" si="67"/>
        <v>#N/A</v>
      </c>
    </row>
    <row r="2110" spans="2:6" x14ac:dyDescent="0.25">
      <c r="B2110" s="3"/>
      <c r="C2110" s="3"/>
      <c r="D2110" s="3"/>
      <c r="E2110" s="3" t="e">
        <f t="shared" si="66"/>
        <v>#N/A</v>
      </c>
      <c r="F2110" s="3" t="e">
        <f t="shared" si="67"/>
        <v>#N/A</v>
      </c>
    </row>
    <row r="2111" spans="2:6" x14ac:dyDescent="0.25">
      <c r="B2111" s="3"/>
      <c r="C2111" s="3"/>
      <c r="D2111" s="3"/>
      <c r="E2111" s="3" t="e">
        <f t="shared" si="66"/>
        <v>#N/A</v>
      </c>
      <c r="F2111" s="3" t="e">
        <f t="shared" si="67"/>
        <v>#N/A</v>
      </c>
    </row>
    <row r="2112" spans="2:6" x14ac:dyDescent="0.25">
      <c r="B2112" s="3"/>
      <c r="C2112" s="3"/>
      <c r="D2112" s="3"/>
      <c r="E2112" s="3" t="e">
        <f t="shared" si="66"/>
        <v>#N/A</v>
      </c>
      <c r="F2112" s="3" t="e">
        <f t="shared" si="67"/>
        <v>#N/A</v>
      </c>
    </row>
    <row r="2113" spans="2:6" x14ac:dyDescent="0.25">
      <c r="B2113" s="3"/>
      <c r="C2113" s="3"/>
      <c r="D2113" s="3"/>
      <c r="E2113" s="3" t="e">
        <f t="shared" si="66"/>
        <v>#N/A</v>
      </c>
      <c r="F2113" s="3" t="e">
        <f t="shared" si="67"/>
        <v>#N/A</v>
      </c>
    </row>
    <row r="2114" spans="2:6" x14ac:dyDescent="0.25">
      <c r="B2114" s="3"/>
      <c r="C2114" s="3"/>
      <c r="D2114" s="3"/>
      <c r="E2114" s="3" t="e">
        <f t="shared" si="66"/>
        <v>#N/A</v>
      </c>
      <c r="F2114" s="3" t="e">
        <f t="shared" si="67"/>
        <v>#N/A</v>
      </c>
    </row>
    <row r="2115" spans="2:6" x14ac:dyDescent="0.25">
      <c r="B2115" s="3"/>
      <c r="C2115" s="3"/>
      <c r="D2115" s="3"/>
      <c r="E2115" s="3" t="e">
        <f t="shared" si="66"/>
        <v>#N/A</v>
      </c>
      <c r="F2115" s="3" t="e">
        <f t="shared" si="67"/>
        <v>#N/A</v>
      </c>
    </row>
    <row r="2116" spans="2:6" x14ac:dyDescent="0.25">
      <c r="B2116" s="3"/>
      <c r="C2116" s="3"/>
      <c r="D2116" s="3"/>
      <c r="E2116" s="3" t="e">
        <f t="shared" ref="E2116:E2179" si="68">VLOOKUP(C2116,I:J,2,0)</f>
        <v>#N/A</v>
      </c>
      <c r="F2116" s="3" t="e">
        <f t="shared" ref="F2116:F2179" si="69">E2116&amp;" "&amp;B2116</f>
        <v>#N/A</v>
      </c>
    </row>
    <row r="2117" spans="2:6" x14ac:dyDescent="0.25">
      <c r="B2117" s="3"/>
      <c r="C2117" s="3"/>
      <c r="D2117" s="3"/>
      <c r="E2117" s="3" t="e">
        <f t="shared" si="68"/>
        <v>#N/A</v>
      </c>
      <c r="F2117" s="3" t="e">
        <f t="shared" si="69"/>
        <v>#N/A</v>
      </c>
    </row>
    <row r="2118" spans="2:6" x14ac:dyDescent="0.25">
      <c r="B2118" s="3"/>
      <c r="C2118" s="3"/>
      <c r="D2118" s="3"/>
      <c r="E2118" s="3" t="e">
        <f t="shared" si="68"/>
        <v>#N/A</v>
      </c>
      <c r="F2118" s="3" t="e">
        <f t="shared" si="69"/>
        <v>#N/A</v>
      </c>
    </row>
    <row r="2119" spans="2:6" x14ac:dyDescent="0.25">
      <c r="B2119" s="3"/>
      <c r="C2119" s="3"/>
      <c r="D2119" s="3"/>
      <c r="E2119" s="3" t="e">
        <f t="shared" si="68"/>
        <v>#N/A</v>
      </c>
      <c r="F2119" s="3" t="e">
        <f t="shared" si="69"/>
        <v>#N/A</v>
      </c>
    </row>
    <row r="2120" spans="2:6" x14ac:dyDescent="0.25">
      <c r="B2120" s="3"/>
      <c r="C2120" s="3"/>
      <c r="D2120" s="3"/>
      <c r="E2120" s="3" t="e">
        <f t="shared" si="68"/>
        <v>#N/A</v>
      </c>
      <c r="F2120" s="3" t="e">
        <f t="shared" si="69"/>
        <v>#N/A</v>
      </c>
    </row>
    <row r="2121" spans="2:6" x14ac:dyDescent="0.25">
      <c r="B2121" s="3"/>
      <c r="C2121" s="3"/>
      <c r="D2121" s="3"/>
      <c r="E2121" s="3" t="e">
        <f t="shared" si="68"/>
        <v>#N/A</v>
      </c>
      <c r="F2121" s="3" t="e">
        <f t="shared" si="69"/>
        <v>#N/A</v>
      </c>
    </row>
    <row r="2122" spans="2:6" x14ac:dyDescent="0.25">
      <c r="B2122" s="3"/>
      <c r="C2122" s="3"/>
      <c r="D2122" s="3"/>
      <c r="E2122" s="3" t="e">
        <f t="shared" si="68"/>
        <v>#N/A</v>
      </c>
      <c r="F2122" s="3" t="e">
        <f t="shared" si="69"/>
        <v>#N/A</v>
      </c>
    </row>
    <row r="2123" spans="2:6" x14ac:dyDescent="0.25">
      <c r="B2123" s="3"/>
      <c r="C2123" s="3"/>
      <c r="D2123" s="3"/>
      <c r="E2123" s="3" t="e">
        <f t="shared" si="68"/>
        <v>#N/A</v>
      </c>
      <c r="F2123" s="3" t="e">
        <f t="shared" si="69"/>
        <v>#N/A</v>
      </c>
    </row>
    <row r="2124" spans="2:6" x14ac:dyDescent="0.25">
      <c r="B2124" s="3"/>
      <c r="C2124" s="3"/>
      <c r="D2124" s="3"/>
      <c r="E2124" s="3" t="e">
        <f t="shared" si="68"/>
        <v>#N/A</v>
      </c>
      <c r="F2124" s="3" t="e">
        <f t="shared" si="69"/>
        <v>#N/A</v>
      </c>
    </row>
    <row r="2125" spans="2:6" x14ac:dyDescent="0.25">
      <c r="B2125" s="3"/>
      <c r="C2125" s="3"/>
      <c r="D2125" s="3"/>
      <c r="E2125" s="3" t="e">
        <f t="shared" si="68"/>
        <v>#N/A</v>
      </c>
      <c r="F2125" s="3" t="e">
        <f t="shared" si="69"/>
        <v>#N/A</v>
      </c>
    </row>
    <row r="2126" spans="2:6" x14ac:dyDescent="0.25">
      <c r="B2126" s="3"/>
      <c r="C2126" s="3"/>
      <c r="D2126" s="3"/>
      <c r="E2126" s="3" t="e">
        <f t="shared" si="68"/>
        <v>#N/A</v>
      </c>
      <c r="F2126" s="3" t="e">
        <f t="shared" si="69"/>
        <v>#N/A</v>
      </c>
    </row>
    <row r="2127" spans="2:6" x14ac:dyDescent="0.25">
      <c r="B2127" s="3"/>
      <c r="C2127" s="3"/>
      <c r="D2127" s="3"/>
      <c r="E2127" s="3" t="e">
        <f t="shared" si="68"/>
        <v>#N/A</v>
      </c>
      <c r="F2127" s="3" t="e">
        <f t="shared" si="69"/>
        <v>#N/A</v>
      </c>
    </row>
    <row r="2128" spans="2:6" x14ac:dyDescent="0.25">
      <c r="B2128" s="3"/>
      <c r="C2128" s="3"/>
      <c r="D2128" s="3"/>
      <c r="E2128" s="3" t="e">
        <f t="shared" si="68"/>
        <v>#N/A</v>
      </c>
      <c r="F2128" s="3" t="e">
        <f t="shared" si="69"/>
        <v>#N/A</v>
      </c>
    </row>
    <row r="2129" spans="2:6" x14ac:dyDescent="0.25">
      <c r="B2129" s="3"/>
      <c r="C2129" s="3"/>
      <c r="D2129" s="3"/>
      <c r="E2129" s="3" t="e">
        <f t="shared" si="68"/>
        <v>#N/A</v>
      </c>
      <c r="F2129" s="3" t="e">
        <f t="shared" si="69"/>
        <v>#N/A</v>
      </c>
    </row>
    <row r="2130" spans="2:6" x14ac:dyDescent="0.25">
      <c r="B2130" s="3"/>
      <c r="C2130" s="3"/>
      <c r="D2130" s="3"/>
      <c r="E2130" s="3" t="e">
        <f t="shared" si="68"/>
        <v>#N/A</v>
      </c>
      <c r="F2130" s="3" t="e">
        <f t="shared" si="69"/>
        <v>#N/A</v>
      </c>
    </row>
    <row r="2131" spans="2:6" x14ac:dyDescent="0.25">
      <c r="B2131" s="3"/>
      <c r="C2131" s="3"/>
      <c r="D2131" s="3"/>
      <c r="E2131" s="3" t="e">
        <f t="shared" si="68"/>
        <v>#N/A</v>
      </c>
      <c r="F2131" s="3" t="e">
        <f t="shared" si="69"/>
        <v>#N/A</v>
      </c>
    </row>
    <row r="2132" spans="2:6" x14ac:dyDescent="0.25">
      <c r="B2132" s="3"/>
      <c r="C2132" s="3"/>
      <c r="D2132" s="3"/>
      <c r="E2132" s="3" t="e">
        <f t="shared" si="68"/>
        <v>#N/A</v>
      </c>
      <c r="F2132" s="3" t="e">
        <f t="shared" si="69"/>
        <v>#N/A</v>
      </c>
    </row>
    <row r="2133" spans="2:6" x14ac:dyDescent="0.25">
      <c r="B2133" s="3"/>
      <c r="C2133" s="3"/>
      <c r="D2133" s="3"/>
      <c r="E2133" s="3" t="e">
        <f t="shared" si="68"/>
        <v>#N/A</v>
      </c>
      <c r="F2133" s="3" t="e">
        <f t="shared" si="69"/>
        <v>#N/A</v>
      </c>
    </row>
    <row r="2134" spans="2:6" x14ac:dyDescent="0.25">
      <c r="B2134" s="3"/>
      <c r="C2134" s="3"/>
      <c r="D2134" s="3"/>
      <c r="E2134" s="3" t="e">
        <f t="shared" si="68"/>
        <v>#N/A</v>
      </c>
      <c r="F2134" s="3" t="e">
        <f t="shared" si="69"/>
        <v>#N/A</v>
      </c>
    </row>
    <row r="2135" spans="2:6" x14ac:dyDescent="0.25">
      <c r="B2135" s="3"/>
      <c r="C2135" s="3"/>
      <c r="D2135" s="3"/>
      <c r="E2135" s="3" t="e">
        <f t="shared" si="68"/>
        <v>#N/A</v>
      </c>
      <c r="F2135" s="3" t="e">
        <f t="shared" si="69"/>
        <v>#N/A</v>
      </c>
    </row>
    <row r="2136" spans="2:6" x14ac:dyDescent="0.25">
      <c r="B2136" s="3"/>
      <c r="C2136" s="3"/>
      <c r="D2136" s="3"/>
      <c r="E2136" s="3" t="e">
        <f t="shared" si="68"/>
        <v>#N/A</v>
      </c>
      <c r="F2136" s="3" t="e">
        <f t="shared" si="69"/>
        <v>#N/A</v>
      </c>
    </row>
    <row r="2137" spans="2:6" x14ac:dyDescent="0.25">
      <c r="B2137" s="3"/>
      <c r="C2137" s="3"/>
      <c r="D2137" s="3"/>
      <c r="E2137" s="3" t="e">
        <f t="shared" si="68"/>
        <v>#N/A</v>
      </c>
      <c r="F2137" s="3" t="e">
        <f t="shared" si="69"/>
        <v>#N/A</v>
      </c>
    </row>
    <row r="2138" spans="2:6" x14ac:dyDescent="0.25">
      <c r="B2138" s="3"/>
      <c r="C2138" s="3"/>
      <c r="D2138" s="3"/>
      <c r="E2138" s="3" t="e">
        <f t="shared" si="68"/>
        <v>#N/A</v>
      </c>
      <c r="F2138" s="3" t="e">
        <f t="shared" si="69"/>
        <v>#N/A</v>
      </c>
    </row>
    <row r="2139" spans="2:6" x14ac:dyDescent="0.25">
      <c r="B2139" s="3"/>
      <c r="C2139" s="3"/>
      <c r="D2139" s="3"/>
      <c r="E2139" s="3" t="e">
        <f t="shared" si="68"/>
        <v>#N/A</v>
      </c>
      <c r="F2139" s="3" t="e">
        <f t="shared" si="69"/>
        <v>#N/A</v>
      </c>
    </row>
    <row r="2140" spans="2:6" x14ac:dyDescent="0.25">
      <c r="B2140" s="3"/>
      <c r="C2140" s="3"/>
      <c r="D2140" s="3"/>
      <c r="E2140" s="3" t="e">
        <f t="shared" si="68"/>
        <v>#N/A</v>
      </c>
      <c r="F2140" s="3" t="e">
        <f t="shared" si="69"/>
        <v>#N/A</v>
      </c>
    </row>
    <row r="2141" spans="2:6" x14ac:dyDescent="0.25">
      <c r="B2141" s="3"/>
      <c r="C2141" s="3"/>
      <c r="D2141" s="3"/>
      <c r="E2141" s="3" t="e">
        <f t="shared" si="68"/>
        <v>#N/A</v>
      </c>
      <c r="F2141" s="3" t="e">
        <f t="shared" si="69"/>
        <v>#N/A</v>
      </c>
    </row>
    <row r="2142" spans="2:6" x14ac:dyDescent="0.25">
      <c r="B2142" s="3"/>
      <c r="C2142" s="3"/>
      <c r="D2142" s="3"/>
      <c r="E2142" s="3" t="e">
        <f t="shared" si="68"/>
        <v>#N/A</v>
      </c>
      <c r="F2142" s="3" t="e">
        <f t="shared" si="69"/>
        <v>#N/A</v>
      </c>
    </row>
    <row r="2143" spans="2:6" x14ac:dyDescent="0.25">
      <c r="B2143" s="3"/>
      <c r="C2143" s="3"/>
      <c r="D2143" s="3"/>
      <c r="E2143" s="3" t="e">
        <f t="shared" si="68"/>
        <v>#N/A</v>
      </c>
      <c r="F2143" s="3" t="e">
        <f t="shared" si="69"/>
        <v>#N/A</v>
      </c>
    </row>
    <row r="2144" spans="2:6" x14ac:dyDescent="0.25">
      <c r="B2144" s="3"/>
      <c r="C2144" s="3"/>
      <c r="D2144" s="3"/>
      <c r="E2144" s="3" t="e">
        <f t="shared" si="68"/>
        <v>#N/A</v>
      </c>
      <c r="F2144" s="3" t="e">
        <f t="shared" si="69"/>
        <v>#N/A</v>
      </c>
    </row>
    <row r="2145" spans="2:6" x14ac:dyDescent="0.25">
      <c r="B2145" s="3"/>
      <c r="C2145" s="3"/>
      <c r="D2145" s="3"/>
      <c r="E2145" s="3" t="e">
        <f t="shared" si="68"/>
        <v>#N/A</v>
      </c>
      <c r="F2145" s="3" t="e">
        <f t="shared" si="69"/>
        <v>#N/A</v>
      </c>
    </row>
    <row r="2146" spans="2:6" x14ac:dyDescent="0.25">
      <c r="B2146" s="3"/>
      <c r="C2146" s="3"/>
      <c r="D2146" s="3"/>
      <c r="E2146" s="3" t="e">
        <f t="shared" si="68"/>
        <v>#N/A</v>
      </c>
      <c r="F2146" s="3" t="e">
        <f t="shared" si="69"/>
        <v>#N/A</v>
      </c>
    </row>
    <row r="2147" spans="2:6" x14ac:dyDescent="0.25">
      <c r="B2147" s="3"/>
      <c r="C2147" s="3"/>
      <c r="D2147" s="3"/>
      <c r="E2147" s="3" t="e">
        <f t="shared" si="68"/>
        <v>#N/A</v>
      </c>
      <c r="F2147" s="3" t="e">
        <f t="shared" si="69"/>
        <v>#N/A</v>
      </c>
    </row>
    <row r="2148" spans="2:6" x14ac:dyDescent="0.25">
      <c r="B2148" s="3"/>
      <c r="C2148" s="3"/>
      <c r="D2148" s="3"/>
      <c r="E2148" s="3" t="e">
        <f t="shared" si="68"/>
        <v>#N/A</v>
      </c>
      <c r="F2148" s="3" t="e">
        <f t="shared" si="69"/>
        <v>#N/A</v>
      </c>
    </row>
    <row r="2149" spans="2:6" x14ac:dyDescent="0.25">
      <c r="B2149" s="3"/>
      <c r="C2149" s="3"/>
      <c r="D2149" s="3"/>
      <c r="E2149" s="3" t="e">
        <f t="shared" si="68"/>
        <v>#N/A</v>
      </c>
      <c r="F2149" s="3" t="e">
        <f t="shared" si="69"/>
        <v>#N/A</v>
      </c>
    </row>
    <row r="2150" spans="2:6" x14ac:dyDescent="0.25">
      <c r="B2150" s="3"/>
      <c r="C2150" s="3"/>
      <c r="D2150" s="3"/>
      <c r="E2150" s="3" t="e">
        <f t="shared" si="68"/>
        <v>#N/A</v>
      </c>
      <c r="F2150" s="3" t="e">
        <f t="shared" si="69"/>
        <v>#N/A</v>
      </c>
    </row>
    <row r="2151" spans="2:6" x14ac:dyDescent="0.25">
      <c r="B2151" s="3"/>
      <c r="C2151" s="3"/>
      <c r="D2151" s="3"/>
      <c r="E2151" s="3" t="e">
        <f t="shared" si="68"/>
        <v>#N/A</v>
      </c>
      <c r="F2151" s="3" t="e">
        <f t="shared" si="69"/>
        <v>#N/A</v>
      </c>
    </row>
    <row r="2152" spans="2:6" x14ac:dyDescent="0.25">
      <c r="B2152" s="3"/>
      <c r="C2152" s="3"/>
      <c r="D2152" s="3"/>
      <c r="E2152" s="3" t="e">
        <f t="shared" si="68"/>
        <v>#N/A</v>
      </c>
      <c r="F2152" s="3" t="e">
        <f t="shared" si="69"/>
        <v>#N/A</v>
      </c>
    </row>
    <row r="2153" spans="2:6" x14ac:dyDescent="0.25">
      <c r="B2153" s="3"/>
      <c r="C2153" s="3"/>
      <c r="D2153" s="3"/>
      <c r="E2153" s="3" t="e">
        <f t="shared" si="68"/>
        <v>#N/A</v>
      </c>
      <c r="F2153" s="3" t="e">
        <f t="shared" si="69"/>
        <v>#N/A</v>
      </c>
    </row>
    <row r="2154" spans="2:6" x14ac:dyDescent="0.25">
      <c r="B2154" s="3"/>
      <c r="C2154" s="3"/>
      <c r="D2154" s="3"/>
      <c r="E2154" s="3" t="e">
        <f t="shared" si="68"/>
        <v>#N/A</v>
      </c>
      <c r="F2154" s="3" t="e">
        <f t="shared" si="69"/>
        <v>#N/A</v>
      </c>
    </row>
    <row r="2155" spans="2:6" x14ac:dyDescent="0.25">
      <c r="B2155" s="3"/>
      <c r="C2155" s="3"/>
      <c r="D2155" s="3"/>
      <c r="E2155" s="3" t="e">
        <f t="shared" si="68"/>
        <v>#N/A</v>
      </c>
      <c r="F2155" s="3" t="e">
        <f t="shared" si="69"/>
        <v>#N/A</v>
      </c>
    </row>
    <row r="2156" spans="2:6" x14ac:dyDescent="0.25">
      <c r="B2156" s="3"/>
      <c r="C2156" s="3"/>
      <c r="D2156" s="3"/>
      <c r="E2156" s="3" t="e">
        <f t="shared" si="68"/>
        <v>#N/A</v>
      </c>
      <c r="F2156" s="3" t="e">
        <f t="shared" si="69"/>
        <v>#N/A</v>
      </c>
    </row>
    <row r="2157" spans="2:6" x14ac:dyDescent="0.25">
      <c r="B2157" s="3"/>
      <c r="C2157" s="3"/>
      <c r="D2157" s="3"/>
      <c r="E2157" s="3" t="e">
        <f t="shared" si="68"/>
        <v>#N/A</v>
      </c>
      <c r="F2157" s="3" t="e">
        <f t="shared" si="69"/>
        <v>#N/A</v>
      </c>
    </row>
    <row r="2158" spans="2:6" x14ac:dyDescent="0.25">
      <c r="B2158" s="3"/>
      <c r="C2158" s="3"/>
      <c r="D2158" s="3"/>
      <c r="E2158" s="3" t="e">
        <f t="shared" si="68"/>
        <v>#N/A</v>
      </c>
      <c r="F2158" s="3" t="e">
        <f t="shared" si="69"/>
        <v>#N/A</v>
      </c>
    </row>
    <row r="2159" spans="2:6" x14ac:dyDescent="0.25">
      <c r="B2159" s="3"/>
      <c r="C2159" s="3"/>
      <c r="D2159" s="3"/>
      <c r="E2159" s="3" t="e">
        <f t="shared" si="68"/>
        <v>#N/A</v>
      </c>
      <c r="F2159" s="3" t="e">
        <f t="shared" si="69"/>
        <v>#N/A</v>
      </c>
    </row>
    <row r="2160" spans="2:6" x14ac:dyDescent="0.25">
      <c r="B2160" s="3"/>
      <c r="C2160" s="3"/>
      <c r="D2160" s="3"/>
      <c r="E2160" s="3" t="e">
        <f t="shared" si="68"/>
        <v>#N/A</v>
      </c>
      <c r="F2160" s="3" t="e">
        <f t="shared" si="69"/>
        <v>#N/A</v>
      </c>
    </row>
    <row r="2161" spans="2:6" x14ac:dyDescent="0.25">
      <c r="B2161" s="3"/>
      <c r="C2161" s="3"/>
      <c r="D2161" s="3"/>
      <c r="E2161" s="3" t="e">
        <f t="shared" si="68"/>
        <v>#N/A</v>
      </c>
      <c r="F2161" s="3" t="e">
        <f t="shared" si="69"/>
        <v>#N/A</v>
      </c>
    </row>
    <row r="2162" spans="2:6" x14ac:dyDescent="0.25">
      <c r="B2162" s="3"/>
      <c r="C2162" s="3"/>
      <c r="D2162" s="3"/>
      <c r="E2162" s="3" t="e">
        <f t="shared" si="68"/>
        <v>#N/A</v>
      </c>
      <c r="F2162" s="3" t="e">
        <f t="shared" si="69"/>
        <v>#N/A</v>
      </c>
    </row>
    <row r="2163" spans="2:6" x14ac:dyDescent="0.25">
      <c r="B2163" s="3"/>
      <c r="C2163" s="3"/>
      <c r="D2163" s="3"/>
      <c r="E2163" s="3" t="e">
        <f t="shared" si="68"/>
        <v>#N/A</v>
      </c>
      <c r="F2163" s="3" t="e">
        <f t="shared" si="69"/>
        <v>#N/A</v>
      </c>
    </row>
    <row r="2164" spans="2:6" x14ac:dyDescent="0.25">
      <c r="B2164" s="3"/>
      <c r="C2164" s="3"/>
      <c r="D2164" s="3"/>
      <c r="E2164" s="3" t="e">
        <f t="shared" si="68"/>
        <v>#N/A</v>
      </c>
      <c r="F2164" s="3" t="e">
        <f t="shared" si="69"/>
        <v>#N/A</v>
      </c>
    </row>
    <row r="2165" spans="2:6" x14ac:dyDescent="0.25">
      <c r="B2165" s="3"/>
      <c r="C2165" s="3"/>
      <c r="D2165" s="3"/>
      <c r="E2165" s="3" t="e">
        <f t="shared" si="68"/>
        <v>#N/A</v>
      </c>
      <c r="F2165" s="3" t="e">
        <f t="shared" si="69"/>
        <v>#N/A</v>
      </c>
    </row>
    <row r="2166" spans="2:6" x14ac:dyDescent="0.25">
      <c r="B2166" s="3"/>
      <c r="C2166" s="3"/>
      <c r="D2166" s="3"/>
      <c r="E2166" s="3" t="e">
        <f t="shared" si="68"/>
        <v>#N/A</v>
      </c>
      <c r="F2166" s="3" t="e">
        <f t="shared" si="69"/>
        <v>#N/A</v>
      </c>
    </row>
    <row r="2167" spans="2:6" x14ac:dyDescent="0.25">
      <c r="B2167" s="3"/>
      <c r="C2167" s="3"/>
      <c r="D2167" s="3"/>
      <c r="E2167" s="3" t="e">
        <f t="shared" si="68"/>
        <v>#N/A</v>
      </c>
      <c r="F2167" s="3" t="e">
        <f t="shared" si="69"/>
        <v>#N/A</v>
      </c>
    </row>
    <row r="2168" spans="2:6" x14ac:dyDescent="0.25">
      <c r="B2168" s="3"/>
      <c r="C2168" s="3"/>
      <c r="D2168" s="3"/>
      <c r="E2168" s="3" t="e">
        <f t="shared" si="68"/>
        <v>#N/A</v>
      </c>
      <c r="F2168" s="3" t="e">
        <f t="shared" si="69"/>
        <v>#N/A</v>
      </c>
    </row>
    <row r="2169" spans="2:6" x14ac:dyDescent="0.25">
      <c r="B2169" s="3"/>
      <c r="C2169" s="3"/>
      <c r="D2169" s="3"/>
      <c r="E2169" s="3" t="e">
        <f t="shared" si="68"/>
        <v>#N/A</v>
      </c>
      <c r="F2169" s="3" t="e">
        <f t="shared" si="69"/>
        <v>#N/A</v>
      </c>
    </row>
    <row r="2170" spans="2:6" x14ac:dyDescent="0.25">
      <c r="B2170" s="3"/>
      <c r="C2170" s="3"/>
      <c r="D2170" s="3"/>
      <c r="E2170" s="3" t="e">
        <f t="shared" si="68"/>
        <v>#N/A</v>
      </c>
      <c r="F2170" s="3" t="e">
        <f t="shared" si="69"/>
        <v>#N/A</v>
      </c>
    </row>
    <row r="2171" spans="2:6" x14ac:dyDescent="0.25">
      <c r="B2171" s="3"/>
      <c r="C2171" s="3"/>
      <c r="D2171" s="3"/>
      <c r="E2171" s="3" t="e">
        <f t="shared" si="68"/>
        <v>#N/A</v>
      </c>
      <c r="F2171" s="3" t="e">
        <f t="shared" si="69"/>
        <v>#N/A</v>
      </c>
    </row>
    <row r="2172" spans="2:6" x14ac:dyDescent="0.25">
      <c r="B2172" s="3"/>
      <c r="C2172" s="3"/>
      <c r="D2172" s="3"/>
      <c r="E2172" s="3" t="e">
        <f t="shared" si="68"/>
        <v>#N/A</v>
      </c>
      <c r="F2172" s="3" t="e">
        <f t="shared" si="69"/>
        <v>#N/A</v>
      </c>
    </row>
    <row r="2173" spans="2:6" x14ac:dyDescent="0.25">
      <c r="B2173" s="3"/>
      <c r="C2173" s="3"/>
      <c r="D2173" s="3"/>
      <c r="E2173" s="3" t="e">
        <f t="shared" si="68"/>
        <v>#N/A</v>
      </c>
      <c r="F2173" s="3" t="e">
        <f t="shared" si="69"/>
        <v>#N/A</v>
      </c>
    </row>
    <row r="2174" spans="2:6" x14ac:dyDescent="0.25">
      <c r="B2174" s="3"/>
      <c r="C2174" s="3"/>
      <c r="D2174" s="3"/>
      <c r="E2174" s="3" t="e">
        <f t="shared" si="68"/>
        <v>#N/A</v>
      </c>
      <c r="F2174" s="3" t="e">
        <f t="shared" si="69"/>
        <v>#N/A</v>
      </c>
    </row>
    <row r="2175" spans="2:6" x14ac:dyDescent="0.25">
      <c r="B2175" s="3"/>
      <c r="C2175" s="3"/>
      <c r="D2175" s="3"/>
      <c r="E2175" s="3" t="e">
        <f t="shared" si="68"/>
        <v>#N/A</v>
      </c>
      <c r="F2175" s="3" t="e">
        <f t="shared" si="69"/>
        <v>#N/A</v>
      </c>
    </row>
    <row r="2176" spans="2:6" x14ac:dyDescent="0.25">
      <c r="B2176" s="3"/>
      <c r="C2176" s="3"/>
      <c r="D2176" s="3"/>
      <c r="E2176" s="3" t="e">
        <f t="shared" si="68"/>
        <v>#N/A</v>
      </c>
      <c r="F2176" s="3" t="e">
        <f t="shared" si="69"/>
        <v>#N/A</v>
      </c>
    </row>
    <row r="2177" spans="2:6" x14ac:dyDescent="0.25">
      <c r="B2177" s="3"/>
      <c r="C2177" s="3"/>
      <c r="D2177" s="3"/>
      <c r="E2177" s="3" t="e">
        <f t="shared" si="68"/>
        <v>#N/A</v>
      </c>
      <c r="F2177" s="3" t="e">
        <f t="shared" si="69"/>
        <v>#N/A</v>
      </c>
    </row>
    <row r="2178" spans="2:6" x14ac:dyDescent="0.25">
      <c r="B2178" s="3"/>
      <c r="C2178" s="3"/>
      <c r="D2178" s="3"/>
      <c r="E2178" s="3" t="e">
        <f t="shared" si="68"/>
        <v>#N/A</v>
      </c>
      <c r="F2178" s="3" t="e">
        <f t="shared" si="69"/>
        <v>#N/A</v>
      </c>
    </row>
    <row r="2179" spans="2:6" x14ac:dyDescent="0.25">
      <c r="B2179" s="3"/>
      <c r="C2179" s="3"/>
      <c r="D2179" s="3"/>
      <c r="E2179" s="3" t="e">
        <f t="shared" si="68"/>
        <v>#N/A</v>
      </c>
      <c r="F2179" s="3" t="e">
        <f t="shared" si="69"/>
        <v>#N/A</v>
      </c>
    </row>
    <row r="2180" spans="2:6" x14ac:dyDescent="0.25">
      <c r="B2180" s="3"/>
      <c r="C2180" s="3"/>
      <c r="D2180" s="3"/>
      <c r="E2180" s="3" t="e">
        <f t="shared" ref="E2180:E2243" si="70">VLOOKUP(C2180,I:J,2,0)</f>
        <v>#N/A</v>
      </c>
      <c r="F2180" s="3" t="e">
        <f t="shared" ref="F2180:F2243" si="71">E2180&amp;" "&amp;B2180</f>
        <v>#N/A</v>
      </c>
    </row>
    <row r="2181" spans="2:6" x14ac:dyDescent="0.25">
      <c r="B2181" s="3"/>
      <c r="C2181" s="3"/>
      <c r="D2181" s="3"/>
      <c r="E2181" s="3" t="e">
        <f t="shared" si="70"/>
        <v>#N/A</v>
      </c>
      <c r="F2181" s="3" t="e">
        <f t="shared" si="71"/>
        <v>#N/A</v>
      </c>
    </row>
    <row r="2182" spans="2:6" x14ac:dyDescent="0.25">
      <c r="B2182" s="3"/>
      <c r="C2182" s="3"/>
      <c r="D2182" s="3"/>
      <c r="E2182" s="3" t="e">
        <f t="shared" si="70"/>
        <v>#N/A</v>
      </c>
      <c r="F2182" s="3" t="e">
        <f t="shared" si="71"/>
        <v>#N/A</v>
      </c>
    </row>
    <row r="2183" spans="2:6" x14ac:dyDescent="0.25">
      <c r="B2183" s="3"/>
      <c r="C2183" s="3"/>
      <c r="D2183" s="3"/>
      <c r="E2183" s="3" t="e">
        <f t="shared" si="70"/>
        <v>#N/A</v>
      </c>
      <c r="F2183" s="3" t="e">
        <f t="shared" si="71"/>
        <v>#N/A</v>
      </c>
    </row>
    <row r="2184" spans="2:6" x14ac:dyDescent="0.25">
      <c r="B2184" s="3"/>
      <c r="C2184" s="3"/>
      <c r="D2184" s="3"/>
      <c r="E2184" s="3" t="e">
        <f t="shared" si="70"/>
        <v>#N/A</v>
      </c>
      <c r="F2184" s="3" t="e">
        <f t="shared" si="71"/>
        <v>#N/A</v>
      </c>
    </row>
    <row r="2185" spans="2:6" x14ac:dyDescent="0.25">
      <c r="B2185" s="3"/>
      <c r="C2185" s="3"/>
      <c r="D2185" s="3"/>
      <c r="E2185" s="3" t="e">
        <f t="shared" si="70"/>
        <v>#N/A</v>
      </c>
      <c r="F2185" s="3" t="e">
        <f t="shared" si="71"/>
        <v>#N/A</v>
      </c>
    </row>
    <row r="2186" spans="2:6" x14ac:dyDescent="0.25">
      <c r="B2186" s="3"/>
      <c r="C2186" s="3"/>
      <c r="D2186" s="3"/>
      <c r="E2186" s="3" t="e">
        <f t="shared" si="70"/>
        <v>#N/A</v>
      </c>
      <c r="F2186" s="3" t="e">
        <f t="shared" si="71"/>
        <v>#N/A</v>
      </c>
    </row>
    <row r="2187" spans="2:6" x14ac:dyDescent="0.25">
      <c r="B2187" s="3"/>
      <c r="C2187" s="3"/>
      <c r="D2187" s="3"/>
      <c r="E2187" s="3" t="e">
        <f t="shared" si="70"/>
        <v>#N/A</v>
      </c>
      <c r="F2187" s="3" t="e">
        <f t="shared" si="71"/>
        <v>#N/A</v>
      </c>
    </row>
    <row r="2188" spans="2:6" x14ac:dyDescent="0.25">
      <c r="B2188" s="3"/>
      <c r="C2188" s="3"/>
      <c r="D2188" s="3"/>
      <c r="E2188" s="3" t="e">
        <f t="shared" si="70"/>
        <v>#N/A</v>
      </c>
      <c r="F2188" s="3" t="e">
        <f t="shared" si="71"/>
        <v>#N/A</v>
      </c>
    </row>
    <row r="2189" spans="2:6" x14ac:dyDescent="0.25">
      <c r="B2189" s="3"/>
      <c r="C2189" s="3"/>
      <c r="D2189" s="3"/>
      <c r="E2189" s="3" t="e">
        <f t="shared" si="70"/>
        <v>#N/A</v>
      </c>
      <c r="F2189" s="3" t="e">
        <f t="shared" si="71"/>
        <v>#N/A</v>
      </c>
    </row>
    <row r="2190" spans="2:6" x14ac:dyDescent="0.25">
      <c r="B2190" s="3"/>
      <c r="C2190" s="3"/>
      <c r="D2190" s="3"/>
      <c r="E2190" s="3" t="e">
        <f t="shared" si="70"/>
        <v>#N/A</v>
      </c>
      <c r="F2190" s="3" t="e">
        <f t="shared" si="71"/>
        <v>#N/A</v>
      </c>
    </row>
    <row r="2191" spans="2:6" x14ac:dyDescent="0.25">
      <c r="B2191" s="3"/>
      <c r="C2191" s="3"/>
      <c r="D2191" s="3"/>
      <c r="E2191" s="3" t="e">
        <f t="shared" si="70"/>
        <v>#N/A</v>
      </c>
      <c r="F2191" s="3" t="e">
        <f t="shared" si="71"/>
        <v>#N/A</v>
      </c>
    </row>
    <row r="2192" spans="2:6" x14ac:dyDescent="0.25">
      <c r="B2192" s="3"/>
      <c r="C2192" s="3"/>
      <c r="D2192" s="3"/>
      <c r="E2192" s="3" t="e">
        <f t="shared" si="70"/>
        <v>#N/A</v>
      </c>
      <c r="F2192" s="3" t="e">
        <f t="shared" si="71"/>
        <v>#N/A</v>
      </c>
    </row>
    <row r="2193" spans="2:6" x14ac:dyDescent="0.25">
      <c r="B2193" s="3"/>
      <c r="C2193" s="3"/>
      <c r="D2193" s="3"/>
      <c r="E2193" s="3" t="e">
        <f t="shared" si="70"/>
        <v>#N/A</v>
      </c>
      <c r="F2193" s="3" t="e">
        <f t="shared" si="71"/>
        <v>#N/A</v>
      </c>
    </row>
    <row r="2194" spans="2:6" x14ac:dyDescent="0.25">
      <c r="B2194" s="3"/>
      <c r="C2194" s="3"/>
      <c r="D2194" s="3"/>
      <c r="E2194" s="3" t="e">
        <f t="shared" si="70"/>
        <v>#N/A</v>
      </c>
      <c r="F2194" s="3" t="e">
        <f t="shared" si="71"/>
        <v>#N/A</v>
      </c>
    </row>
    <row r="2195" spans="2:6" x14ac:dyDescent="0.25">
      <c r="B2195" s="3"/>
      <c r="C2195" s="3"/>
      <c r="D2195" s="3"/>
      <c r="E2195" s="3" t="e">
        <f t="shared" si="70"/>
        <v>#N/A</v>
      </c>
      <c r="F2195" s="3" t="e">
        <f t="shared" si="71"/>
        <v>#N/A</v>
      </c>
    </row>
    <row r="2196" spans="2:6" x14ac:dyDescent="0.25">
      <c r="B2196" s="3"/>
      <c r="C2196" s="3"/>
      <c r="D2196" s="3"/>
      <c r="E2196" s="3" t="e">
        <f t="shared" si="70"/>
        <v>#N/A</v>
      </c>
      <c r="F2196" s="3" t="e">
        <f t="shared" si="71"/>
        <v>#N/A</v>
      </c>
    </row>
    <row r="2197" spans="2:6" x14ac:dyDescent="0.25">
      <c r="B2197" s="3"/>
      <c r="C2197" s="3"/>
      <c r="D2197" s="3"/>
      <c r="E2197" s="3" t="e">
        <f t="shared" si="70"/>
        <v>#N/A</v>
      </c>
      <c r="F2197" s="3" t="e">
        <f t="shared" si="71"/>
        <v>#N/A</v>
      </c>
    </row>
    <row r="2198" spans="2:6" x14ac:dyDescent="0.25">
      <c r="B2198" s="3"/>
      <c r="C2198" s="3"/>
      <c r="D2198" s="3"/>
      <c r="E2198" s="3" t="e">
        <f t="shared" si="70"/>
        <v>#N/A</v>
      </c>
      <c r="F2198" s="3" t="e">
        <f t="shared" si="71"/>
        <v>#N/A</v>
      </c>
    </row>
    <row r="2199" spans="2:6" x14ac:dyDescent="0.25">
      <c r="B2199" s="3"/>
      <c r="C2199" s="3"/>
      <c r="D2199" s="3"/>
      <c r="E2199" s="3" t="e">
        <f t="shared" si="70"/>
        <v>#N/A</v>
      </c>
      <c r="F2199" s="3" t="e">
        <f t="shared" si="71"/>
        <v>#N/A</v>
      </c>
    </row>
    <row r="2200" spans="2:6" x14ac:dyDescent="0.25">
      <c r="B2200" s="3"/>
      <c r="C2200" s="3"/>
      <c r="D2200" s="3"/>
      <c r="E2200" s="3" t="e">
        <f t="shared" si="70"/>
        <v>#N/A</v>
      </c>
      <c r="F2200" s="3" t="e">
        <f t="shared" si="71"/>
        <v>#N/A</v>
      </c>
    </row>
    <row r="2201" spans="2:6" x14ac:dyDescent="0.25">
      <c r="B2201" s="3"/>
      <c r="C2201" s="3"/>
      <c r="D2201" s="3"/>
      <c r="E2201" s="3" t="e">
        <f t="shared" si="70"/>
        <v>#N/A</v>
      </c>
      <c r="F2201" s="3" t="e">
        <f t="shared" si="71"/>
        <v>#N/A</v>
      </c>
    </row>
    <row r="2202" spans="2:6" x14ac:dyDescent="0.25">
      <c r="B2202" s="3"/>
      <c r="C2202" s="3"/>
      <c r="D2202" s="3"/>
      <c r="E2202" s="3" t="e">
        <f t="shared" si="70"/>
        <v>#N/A</v>
      </c>
      <c r="F2202" s="3" t="e">
        <f t="shared" si="71"/>
        <v>#N/A</v>
      </c>
    </row>
    <row r="2203" spans="2:6" x14ac:dyDescent="0.25">
      <c r="B2203" s="3"/>
      <c r="C2203" s="3"/>
      <c r="D2203" s="3"/>
      <c r="E2203" s="3" t="e">
        <f t="shared" si="70"/>
        <v>#N/A</v>
      </c>
      <c r="F2203" s="3" t="e">
        <f t="shared" si="71"/>
        <v>#N/A</v>
      </c>
    </row>
    <row r="2204" spans="2:6" x14ac:dyDescent="0.25">
      <c r="B2204" s="3"/>
      <c r="C2204" s="3"/>
      <c r="D2204" s="3"/>
      <c r="E2204" s="3" t="e">
        <f t="shared" si="70"/>
        <v>#N/A</v>
      </c>
      <c r="F2204" s="3" t="e">
        <f t="shared" si="71"/>
        <v>#N/A</v>
      </c>
    </row>
    <row r="2205" spans="2:6" x14ac:dyDescent="0.25">
      <c r="B2205" s="3"/>
      <c r="C2205" s="3"/>
      <c r="D2205" s="3"/>
      <c r="E2205" s="3" t="e">
        <f t="shared" si="70"/>
        <v>#N/A</v>
      </c>
      <c r="F2205" s="3" t="e">
        <f t="shared" si="71"/>
        <v>#N/A</v>
      </c>
    </row>
    <row r="2206" spans="2:6" x14ac:dyDescent="0.25">
      <c r="B2206" s="3"/>
      <c r="C2206" s="3"/>
      <c r="D2206" s="3"/>
      <c r="E2206" s="3" t="e">
        <f t="shared" si="70"/>
        <v>#N/A</v>
      </c>
      <c r="F2206" s="3" t="e">
        <f t="shared" si="71"/>
        <v>#N/A</v>
      </c>
    </row>
    <row r="2207" spans="2:6" x14ac:dyDescent="0.25">
      <c r="B2207" s="3"/>
      <c r="C2207" s="3"/>
      <c r="D2207" s="3"/>
      <c r="E2207" s="3" t="e">
        <f t="shared" si="70"/>
        <v>#N/A</v>
      </c>
      <c r="F2207" s="3" t="e">
        <f t="shared" si="71"/>
        <v>#N/A</v>
      </c>
    </row>
    <row r="2208" spans="2:6" x14ac:dyDescent="0.25">
      <c r="B2208" s="3"/>
      <c r="C2208" s="3"/>
      <c r="D2208" s="3"/>
      <c r="E2208" s="3" t="e">
        <f t="shared" si="70"/>
        <v>#N/A</v>
      </c>
      <c r="F2208" s="3" t="e">
        <f t="shared" si="71"/>
        <v>#N/A</v>
      </c>
    </row>
    <row r="2209" spans="2:6" x14ac:dyDescent="0.25">
      <c r="B2209" s="3"/>
      <c r="C2209" s="3"/>
      <c r="D2209" s="3"/>
      <c r="E2209" s="3" t="e">
        <f t="shared" si="70"/>
        <v>#N/A</v>
      </c>
      <c r="F2209" s="3" t="e">
        <f t="shared" si="71"/>
        <v>#N/A</v>
      </c>
    </row>
    <row r="2210" spans="2:6" x14ac:dyDescent="0.25">
      <c r="B2210" s="3"/>
      <c r="C2210" s="3"/>
      <c r="D2210" s="3"/>
      <c r="E2210" s="3" t="e">
        <f t="shared" si="70"/>
        <v>#N/A</v>
      </c>
      <c r="F2210" s="3" t="e">
        <f t="shared" si="71"/>
        <v>#N/A</v>
      </c>
    </row>
    <row r="2211" spans="2:6" x14ac:dyDescent="0.25">
      <c r="B2211" s="3"/>
      <c r="C2211" s="3"/>
      <c r="D2211" s="3"/>
      <c r="E2211" s="3" t="e">
        <f t="shared" si="70"/>
        <v>#N/A</v>
      </c>
      <c r="F2211" s="3" t="e">
        <f t="shared" si="71"/>
        <v>#N/A</v>
      </c>
    </row>
    <row r="2212" spans="2:6" x14ac:dyDescent="0.25">
      <c r="B2212" s="3"/>
      <c r="C2212" s="3"/>
      <c r="D2212" s="3"/>
      <c r="E2212" s="3" t="e">
        <f t="shared" si="70"/>
        <v>#N/A</v>
      </c>
      <c r="F2212" s="3" t="e">
        <f t="shared" si="71"/>
        <v>#N/A</v>
      </c>
    </row>
    <row r="2213" spans="2:6" x14ac:dyDescent="0.25">
      <c r="B2213" s="3"/>
      <c r="C2213" s="3"/>
      <c r="D2213" s="3"/>
      <c r="E2213" s="3" t="e">
        <f t="shared" si="70"/>
        <v>#N/A</v>
      </c>
      <c r="F2213" s="3" t="e">
        <f t="shared" si="71"/>
        <v>#N/A</v>
      </c>
    </row>
    <row r="2214" spans="2:6" x14ac:dyDescent="0.25">
      <c r="B2214" s="3"/>
      <c r="C2214" s="3"/>
      <c r="D2214" s="3"/>
      <c r="E2214" s="3" t="e">
        <f t="shared" si="70"/>
        <v>#N/A</v>
      </c>
      <c r="F2214" s="3" t="e">
        <f t="shared" si="71"/>
        <v>#N/A</v>
      </c>
    </row>
    <row r="2215" spans="2:6" x14ac:dyDescent="0.25">
      <c r="B2215" s="3"/>
      <c r="C2215" s="3"/>
      <c r="D2215" s="3"/>
      <c r="E2215" s="3" t="e">
        <f t="shared" si="70"/>
        <v>#N/A</v>
      </c>
      <c r="F2215" s="3" t="e">
        <f t="shared" si="71"/>
        <v>#N/A</v>
      </c>
    </row>
    <row r="2216" spans="2:6" x14ac:dyDescent="0.25">
      <c r="B2216" s="3"/>
      <c r="C2216" s="3"/>
      <c r="D2216" s="3"/>
      <c r="E2216" s="3" t="e">
        <f t="shared" si="70"/>
        <v>#N/A</v>
      </c>
      <c r="F2216" s="3" t="e">
        <f t="shared" si="71"/>
        <v>#N/A</v>
      </c>
    </row>
    <row r="2217" spans="2:6" x14ac:dyDescent="0.25">
      <c r="B2217" s="3"/>
      <c r="C2217" s="3"/>
      <c r="D2217" s="3"/>
      <c r="E2217" s="3" t="e">
        <f t="shared" si="70"/>
        <v>#N/A</v>
      </c>
      <c r="F2217" s="3" t="e">
        <f t="shared" si="71"/>
        <v>#N/A</v>
      </c>
    </row>
    <row r="2218" spans="2:6" x14ac:dyDescent="0.25">
      <c r="B2218" s="3"/>
      <c r="C2218" s="3"/>
      <c r="D2218" s="3"/>
      <c r="E2218" s="3" t="e">
        <f t="shared" si="70"/>
        <v>#N/A</v>
      </c>
      <c r="F2218" s="3" t="e">
        <f t="shared" si="71"/>
        <v>#N/A</v>
      </c>
    </row>
    <row r="2219" spans="2:6" x14ac:dyDescent="0.25">
      <c r="B2219" s="3"/>
      <c r="C2219" s="3"/>
      <c r="D2219" s="3"/>
      <c r="E2219" s="3" t="e">
        <f t="shared" si="70"/>
        <v>#N/A</v>
      </c>
      <c r="F2219" s="3" t="e">
        <f t="shared" si="71"/>
        <v>#N/A</v>
      </c>
    </row>
    <row r="2220" spans="2:6" x14ac:dyDescent="0.25">
      <c r="B2220" s="3"/>
      <c r="C2220" s="3"/>
      <c r="D2220" s="3"/>
      <c r="E2220" s="3" t="e">
        <f t="shared" si="70"/>
        <v>#N/A</v>
      </c>
      <c r="F2220" s="3" t="e">
        <f t="shared" si="71"/>
        <v>#N/A</v>
      </c>
    </row>
    <row r="2221" spans="2:6" x14ac:dyDescent="0.25">
      <c r="B2221" s="3"/>
      <c r="C2221" s="3"/>
      <c r="D2221" s="3"/>
      <c r="E2221" s="3" t="e">
        <f t="shared" si="70"/>
        <v>#N/A</v>
      </c>
      <c r="F2221" s="3" t="e">
        <f t="shared" si="71"/>
        <v>#N/A</v>
      </c>
    </row>
    <row r="2222" spans="2:6" x14ac:dyDescent="0.25">
      <c r="B2222" s="3"/>
      <c r="C2222" s="3"/>
      <c r="D2222" s="3"/>
      <c r="E2222" s="3" t="e">
        <f t="shared" si="70"/>
        <v>#N/A</v>
      </c>
      <c r="F2222" s="3" t="e">
        <f t="shared" si="71"/>
        <v>#N/A</v>
      </c>
    </row>
    <row r="2223" spans="2:6" x14ac:dyDescent="0.25">
      <c r="B2223" s="3"/>
      <c r="C2223" s="3"/>
      <c r="D2223" s="3"/>
      <c r="E2223" s="3" t="e">
        <f t="shared" si="70"/>
        <v>#N/A</v>
      </c>
      <c r="F2223" s="3" t="e">
        <f t="shared" si="71"/>
        <v>#N/A</v>
      </c>
    </row>
    <row r="2224" spans="2:6" x14ac:dyDescent="0.25">
      <c r="B2224" s="3"/>
      <c r="C2224" s="3"/>
      <c r="D2224" s="3"/>
      <c r="E2224" s="3" t="e">
        <f t="shared" si="70"/>
        <v>#N/A</v>
      </c>
      <c r="F2224" s="3" t="e">
        <f t="shared" si="71"/>
        <v>#N/A</v>
      </c>
    </row>
    <row r="2225" spans="2:6" x14ac:dyDescent="0.25">
      <c r="B2225" s="3"/>
      <c r="C2225" s="3"/>
      <c r="D2225" s="3"/>
      <c r="E2225" s="3" t="e">
        <f t="shared" si="70"/>
        <v>#N/A</v>
      </c>
      <c r="F2225" s="3" t="e">
        <f t="shared" si="71"/>
        <v>#N/A</v>
      </c>
    </row>
    <row r="2226" spans="2:6" x14ac:dyDescent="0.25">
      <c r="B2226" s="3"/>
      <c r="C2226" s="3"/>
      <c r="D2226" s="3"/>
      <c r="E2226" s="3" t="e">
        <f t="shared" si="70"/>
        <v>#N/A</v>
      </c>
      <c r="F2226" s="3" t="e">
        <f t="shared" si="71"/>
        <v>#N/A</v>
      </c>
    </row>
    <row r="2227" spans="2:6" x14ac:dyDescent="0.25">
      <c r="B2227" s="3"/>
      <c r="C2227" s="3"/>
      <c r="D2227" s="3"/>
      <c r="E2227" s="3" t="e">
        <f t="shared" si="70"/>
        <v>#N/A</v>
      </c>
      <c r="F2227" s="3" t="e">
        <f t="shared" si="71"/>
        <v>#N/A</v>
      </c>
    </row>
    <row r="2228" spans="2:6" x14ac:dyDescent="0.25">
      <c r="B2228" s="3"/>
      <c r="C2228" s="3"/>
      <c r="D2228" s="3"/>
      <c r="E2228" s="3" t="e">
        <f t="shared" si="70"/>
        <v>#N/A</v>
      </c>
      <c r="F2228" s="3" t="e">
        <f t="shared" si="71"/>
        <v>#N/A</v>
      </c>
    </row>
    <row r="2229" spans="2:6" x14ac:dyDescent="0.25">
      <c r="B2229" s="3"/>
      <c r="C2229" s="3"/>
      <c r="D2229" s="3"/>
      <c r="E2229" s="3" t="e">
        <f t="shared" si="70"/>
        <v>#N/A</v>
      </c>
      <c r="F2229" s="3" t="e">
        <f t="shared" si="71"/>
        <v>#N/A</v>
      </c>
    </row>
    <row r="2230" spans="2:6" x14ac:dyDescent="0.25">
      <c r="B2230" s="3"/>
      <c r="C2230" s="3"/>
      <c r="D2230" s="3"/>
      <c r="E2230" s="3" t="e">
        <f t="shared" si="70"/>
        <v>#N/A</v>
      </c>
      <c r="F2230" s="3" t="e">
        <f t="shared" si="71"/>
        <v>#N/A</v>
      </c>
    </row>
    <row r="2231" spans="2:6" x14ac:dyDescent="0.25">
      <c r="B2231" s="3"/>
      <c r="C2231" s="3"/>
      <c r="D2231" s="3"/>
      <c r="E2231" s="3" t="e">
        <f t="shared" si="70"/>
        <v>#N/A</v>
      </c>
      <c r="F2231" s="3" t="e">
        <f t="shared" si="71"/>
        <v>#N/A</v>
      </c>
    </row>
    <row r="2232" spans="2:6" x14ac:dyDescent="0.25">
      <c r="B2232" s="3"/>
      <c r="C2232" s="3"/>
      <c r="D2232" s="3"/>
      <c r="E2232" s="3" t="e">
        <f t="shared" si="70"/>
        <v>#N/A</v>
      </c>
      <c r="F2232" s="3" t="e">
        <f t="shared" si="71"/>
        <v>#N/A</v>
      </c>
    </row>
    <row r="2233" spans="2:6" x14ac:dyDescent="0.25">
      <c r="B2233" s="3"/>
      <c r="C2233" s="3"/>
      <c r="D2233" s="3"/>
      <c r="E2233" s="3" t="e">
        <f t="shared" si="70"/>
        <v>#N/A</v>
      </c>
      <c r="F2233" s="3" t="e">
        <f t="shared" si="71"/>
        <v>#N/A</v>
      </c>
    </row>
    <row r="2234" spans="2:6" x14ac:dyDescent="0.25">
      <c r="B2234" s="3"/>
      <c r="C2234" s="3"/>
      <c r="D2234" s="3"/>
      <c r="E2234" s="3" t="e">
        <f t="shared" si="70"/>
        <v>#N/A</v>
      </c>
      <c r="F2234" s="3" t="e">
        <f t="shared" si="71"/>
        <v>#N/A</v>
      </c>
    </row>
    <row r="2235" spans="2:6" x14ac:dyDescent="0.25">
      <c r="B2235" s="3"/>
      <c r="C2235" s="3"/>
      <c r="D2235" s="3"/>
      <c r="E2235" s="3" t="e">
        <f t="shared" si="70"/>
        <v>#N/A</v>
      </c>
      <c r="F2235" s="3" t="e">
        <f t="shared" si="71"/>
        <v>#N/A</v>
      </c>
    </row>
    <row r="2236" spans="2:6" x14ac:dyDescent="0.25">
      <c r="B2236" s="3"/>
      <c r="C2236" s="3"/>
      <c r="D2236" s="3"/>
      <c r="E2236" s="3" t="e">
        <f t="shared" si="70"/>
        <v>#N/A</v>
      </c>
      <c r="F2236" s="3" t="e">
        <f t="shared" si="71"/>
        <v>#N/A</v>
      </c>
    </row>
    <row r="2237" spans="2:6" x14ac:dyDescent="0.25">
      <c r="B2237" s="3"/>
      <c r="C2237" s="3"/>
      <c r="D2237" s="3"/>
      <c r="E2237" s="3" t="e">
        <f t="shared" si="70"/>
        <v>#N/A</v>
      </c>
      <c r="F2237" s="3" t="e">
        <f t="shared" si="71"/>
        <v>#N/A</v>
      </c>
    </row>
    <row r="2238" spans="2:6" x14ac:dyDescent="0.25">
      <c r="B2238" s="3"/>
      <c r="C2238" s="3"/>
      <c r="D2238" s="3"/>
      <c r="E2238" s="3" t="e">
        <f t="shared" si="70"/>
        <v>#N/A</v>
      </c>
      <c r="F2238" s="3" t="e">
        <f t="shared" si="71"/>
        <v>#N/A</v>
      </c>
    </row>
    <row r="2239" spans="2:6" x14ac:dyDescent="0.25">
      <c r="B2239" s="3"/>
      <c r="C2239" s="3"/>
      <c r="D2239" s="3"/>
      <c r="E2239" s="3" t="e">
        <f t="shared" si="70"/>
        <v>#N/A</v>
      </c>
      <c r="F2239" s="3" t="e">
        <f t="shared" si="71"/>
        <v>#N/A</v>
      </c>
    </row>
    <row r="2240" spans="2:6" x14ac:dyDescent="0.25">
      <c r="B2240" s="3"/>
      <c r="C2240" s="3"/>
      <c r="D2240" s="3"/>
      <c r="E2240" s="3" t="e">
        <f t="shared" si="70"/>
        <v>#N/A</v>
      </c>
      <c r="F2240" s="3" t="e">
        <f t="shared" si="71"/>
        <v>#N/A</v>
      </c>
    </row>
    <row r="2241" spans="2:6" x14ac:dyDescent="0.25">
      <c r="B2241" s="3"/>
      <c r="C2241" s="3"/>
      <c r="D2241" s="3"/>
      <c r="E2241" s="3" t="e">
        <f t="shared" si="70"/>
        <v>#N/A</v>
      </c>
      <c r="F2241" s="3" t="e">
        <f t="shared" si="71"/>
        <v>#N/A</v>
      </c>
    </row>
    <row r="2242" spans="2:6" x14ac:dyDescent="0.25">
      <c r="B2242" s="3"/>
      <c r="C2242" s="3"/>
      <c r="D2242" s="3"/>
      <c r="E2242" s="3" t="e">
        <f t="shared" si="70"/>
        <v>#N/A</v>
      </c>
      <c r="F2242" s="3" t="e">
        <f t="shared" si="71"/>
        <v>#N/A</v>
      </c>
    </row>
    <row r="2243" spans="2:6" x14ac:dyDescent="0.25">
      <c r="B2243" s="3"/>
      <c r="C2243" s="3"/>
      <c r="D2243" s="3"/>
      <c r="E2243" s="3" t="e">
        <f t="shared" si="70"/>
        <v>#N/A</v>
      </c>
      <c r="F2243" s="3" t="e">
        <f t="shared" si="71"/>
        <v>#N/A</v>
      </c>
    </row>
    <row r="2244" spans="2:6" x14ac:dyDescent="0.25">
      <c r="B2244" s="3"/>
      <c r="C2244" s="3"/>
      <c r="D2244" s="3"/>
      <c r="E2244" s="3" t="e">
        <f t="shared" ref="E2244:E2307" si="72">VLOOKUP(C2244,I:J,2,0)</f>
        <v>#N/A</v>
      </c>
      <c r="F2244" s="3" t="e">
        <f t="shared" ref="F2244:F2307" si="73">E2244&amp;" "&amp;B2244</f>
        <v>#N/A</v>
      </c>
    </row>
    <row r="2245" spans="2:6" x14ac:dyDescent="0.25">
      <c r="B2245" s="3"/>
      <c r="C2245" s="3"/>
      <c r="D2245" s="3"/>
      <c r="E2245" s="3" t="e">
        <f t="shared" si="72"/>
        <v>#N/A</v>
      </c>
      <c r="F2245" s="3" t="e">
        <f t="shared" si="73"/>
        <v>#N/A</v>
      </c>
    </row>
    <row r="2246" spans="2:6" x14ac:dyDescent="0.25">
      <c r="B2246" s="3"/>
      <c r="C2246" s="3"/>
      <c r="D2246" s="3"/>
      <c r="E2246" s="3" t="e">
        <f t="shared" si="72"/>
        <v>#N/A</v>
      </c>
      <c r="F2246" s="3" t="e">
        <f t="shared" si="73"/>
        <v>#N/A</v>
      </c>
    </row>
    <row r="2247" spans="2:6" x14ac:dyDescent="0.25">
      <c r="B2247" s="3"/>
      <c r="C2247" s="3"/>
      <c r="D2247" s="3"/>
      <c r="E2247" s="3" t="e">
        <f t="shared" si="72"/>
        <v>#N/A</v>
      </c>
      <c r="F2247" s="3" t="e">
        <f t="shared" si="73"/>
        <v>#N/A</v>
      </c>
    </row>
    <row r="2248" spans="2:6" x14ac:dyDescent="0.25">
      <c r="B2248" s="3"/>
      <c r="C2248" s="3"/>
      <c r="D2248" s="3"/>
      <c r="E2248" s="3" t="e">
        <f t="shared" si="72"/>
        <v>#N/A</v>
      </c>
      <c r="F2248" s="3" t="e">
        <f t="shared" si="73"/>
        <v>#N/A</v>
      </c>
    </row>
    <row r="2249" spans="2:6" x14ac:dyDescent="0.25">
      <c r="B2249" s="3"/>
      <c r="C2249" s="3"/>
      <c r="D2249" s="3"/>
      <c r="E2249" s="3" t="e">
        <f t="shared" si="72"/>
        <v>#N/A</v>
      </c>
      <c r="F2249" s="3" t="e">
        <f t="shared" si="73"/>
        <v>#N/A</v>
      </c>
    </row>
    <row r="2250" spans="2:6" x14ac:dyDescent="0.25">
      <c r="B2250" s="3"/>
      <c r="C2250" s="3"/>
      <c r="D2250" s="3"/>
      <c r="E2250" s="3" t="e">
        <f t="shared" si="72"/>
        <v>#N/A</v>
      </c>
      <c r="F2250" s="3" t="e">
        <f t="shared" si="73"/>
        <v>#N/A</v>
      </c>
    </row>
    <row r="2251" spans="2:6" x14ac:dyDescent="0.25">
      <c r="B2251" s="3"/>
      <c r="C2251" s="3"/>
      <c r="D2251" s="3"/>
      <c r="E2251" s="3" t="e">
        <f t="shared" si="72"/>
        <v>#N/A</v>
      </c>
      <c r="F2251" s="3" t="e">
        <f t="shared" si="73"/>
        <v>#N/A</v>
      </c>
    </row>
    <row r="2252" spans="2:6" x14ac:dyDescent="0.25">
      <c r="B2252" s="3"/>
      <c r="C2252" s="3"/>
      <c r="D2252" s="3"/>
      <c r="E2252" s="3" t="e">
        <f t="shared" si="72"/>
        <v>#N/A</v>
      </c>
      <c r="F2252" s="3" t="e">
        <f t="shared" si="73"/>
        <v>#N/A</v>
      </c>
    </row>
    <row r="2253" spans="2:6" x14ac:dyDescent="0.25">
      <c r="B2253" s="3"/>
      <c r="C2253" s="3"/>
      <c r="D2253" s="3"/>
      <c r="E2253" s="3" t="e">
        <f t="shared" si="72"/>
        <v>#N/A</v>
      </c>
      <c r="F2253" s="3" t="e">
        <f t="shared" si="73"/>
        <v>#N/A</v>
      </c>
    </row>
    <row r="2254" spans="2:6" x14ac:dyDescent="0.25">
      <c r="B2254" s="3"/>
      <c r="C2254" s="3"/>
      <c r="D2254" s="3"/>
      <c r="E2254" s="3" t="e">
        <f t="shared" si="72"/>
        <v>#N/A</v>
      </c>
      <c r="F2254" s="3" t="e">
        <f t="shared" si="73"/>
        <v>#N/A</v>
      </c>
    </row>
    <row r="2255" spans="2:6" x14ac:dyDescent="0.25">
      <c r="B2255" s="3"/>
      <c r="C2255" s="3"/>
      <c r="D2255" s="3"/>
      <c r="E2255" s="3" t="e">
        <f t="shared" si="72"/>
        <v>#N/A</v>
      </c>
      <c r="F2255" s="3" t="e">
        <f t="shared" si="73"/>
        <v>#N/A</v>
      </c>
    </row>
    <row r="2256" spans="2:6" x14ac:dyDescent="0.25">
      <c r="B2256" s="3"/>
      <c r="C2256" s="3"/>
      <c r="D2256" s="3"/>
      <c r="E2256" s="3" t="e">
        <f t="shared" si="72"/>
        <v>#N/A</v>
      </c>
      <c r="F2256" s="3" t="e">
        <f t="shared" si="73"/>
        <v>#N/A</v>
      </c>
    </row>
    <row r="2257" spans="2:6" x14ac:dyDescent="0.25">
      <c r="B2257" s="3"/>
      <c r="C2257" s="3"/>
      <c r="D2257" s="3"/>
      <c r="E2257" s="3" t="e">
        <f t="shared" si="72"/>
        <v>#N/A</v>
      </c>
      <c r="F2257" s="3" t="e">
        <f t="shared" si="73"/>
        <v>#N/A</v>
      </c>
    </row>
    <row r="2258" spans="2:6" x14ac:dyDescent="0.25">
      <c r="B2258" s="3"/>
      <c r="C2258" s="3"/>
      <c r="D2258" s="3"/>
      <c r="E2258" s="3" t="e">
        <f t="shared" si="72"/>
        <v>#N/A</v>
      </c>
      <c r="F2258" s="3" t="e">
        <f t="shared" si="73"/>
        <v>#N/A</v>
      </c>
    </row>
    <row r="2259" spans="2:6" x14ac:dyDescent="0.25">
      <c r="B2259" s="3"/>
      <c r="C2259" s="3"/>
      <c r="D2259" s="3"/>
      <c r="E2259" s="3" t="e">
        <f t="shared" si="72"/>
        <v>#N/A</v>
      </c>
      <c r="F2259" s="3" t="e">
        <f t="shared" si="73"/>
        <v>#N/A</v>
      </c>
    </row>
    <row r="2260" spans="2:6" x14ac:dyDescent="0.25">
      <c r="B2260" s="3"/>
      <c r="C2260" s="3"/>
      <c r="D2260" s="3"/>
      <c r="E2260" s="3" t="e">
        <f t="shared" si="72"/>
        <v>#N/A</v>
      </c>
      <c r="F2260" s="3" t="e">
        <f t="shared" si="73"/>
        <v>#N/A</v>
      </c>
    </row>
    <row r="2261" spans="2:6" x14ac:dyDescent="0.25">
      <c r="B2261" s="3"/>
      <c r="C2261" s="3"/>
      <c r="D2261" s="3"/>
      <c r="E2261" s="3" t="e">
        <f t="shared" si="72"/>
        <v>#N/A</v>
      </c>
      <c r="F2261" s="3" t="e">
        <f t="shared" si="73"/>
        <v>#N/A</v>
      </c>
    </row>
    <row r="2262" spans="2:6" x14ac:dyDescent="0.25">
      <c r="B2262" s="3"/>
      <c r="C2262" s="3"/>
      <c r="D2262" s="3"/>
      <c r="E2262" s="3" t="e">
        <f t="shared" si="72"/>
        <v>#N/A</v>
      </c>
      <c r="F2262" s="3" t="e">
        <f t="shared" si="73"/>
        <v>#N/A</v>
      </c>
    </row>
    <row r="2263" spans="2:6" x14ac:dyDescent="0.25">
      <c r="B2263" s="3"/>
      <c r="C2263" s="3"/>
      <c r="D2263" s="3"/>
      <c r="E2263" s="3" t="e">
        <f t="shared" si="72"/>
        <v>#N/A</v>
      </c>
      <c r="F2263" s="3" t="e">
        <f t="shared" si="73"/>
        <v>#N/A</v>
      </c>
    </row>
    <row r="2264" spans="2:6" x14ac:dyDescent="0.25">
      <c r="B2264" s="3"/>
      <c r="C2264" s="3"/>
      <c r="D2264" s="3"/>
      <c r="E2264" s="3" t="e">
        <f t="shared" si="72"/>
        <v>#N/A</v>
      </c>
      <c r="F2264" s="3" t="e">
        <f t="shared" si="73"/>
        <v>#N/A</v>
      </c>
    </row>
    <row r="2265" spans="2:6" x14ac:dyDescent="0.25">
      <c r="B2265" s="3"/>
      <c r="C2265" s="3"/>
      <c r="D2265" s="3"/>
      <c r="E2265" s="3" t="e">
        <f t="shared" si="72"/>
        <v>#N/A</v>
      </c>
      <c r="F2265" s="3" t="e">
        <f t="shared" si="73"/>
        <v>#N/A</v>
      </c>
    </row>
    <row r="2266" spans="2:6" x14ac:dyDescent="0.25">
      <c r="B2266" s="3"/>
      <c r="C2266" s="3"/>
      <c r="D2266" s="3"/>
      <c r="E2266" s="3" t="e">
        <f t="shared" si="72"/>
        <v>#N/A</v>
      </c>
      <c r="F2266" s="3" t="e">
        <f t="shared" si="73"/>
        <v>#N/A</v>
      </c>
    </row>
    <row r="2267" spans="2:6" x14ac:dyDescent="0.25">
      <c r="B2267" s="3"/>
      <c r="C2267" s="3"/>
      <c r="D2267" s="3"/>
      <c r="E2267" s="3" t="e">
        <f t="shared" si="72"/>
        <v>#N/A</v>
      </c>
      <c r="F2267" s="3" t="e">
        <f t="shared" si="73"/>
        <v>#N/A</v>
      </c>
    </row>
    <row r="2268" spans="2:6" x14ac:dyDescent="0.25">
      <c r="B2268" s="3"/>
      <c r="C2268" s="3"/>
      <c r="D2268" s="3"/>
      <c r="E2268" s="3" t="e">
        <f t="shared" si="72"/>
        <v>#N/A</v>
      </c>
      <c r="F2268" s="3" t="e">
        <f t="shared" si="73"/>
        <v>#N/A</v>
      </c>
    </row>
    <row r="2269" spans="2:6" x14ac:dyDescent="0.25">
      <c r="B2269" s="3"/>
      <c r="C2269" s="3"/>
      <c r="D2269" s="3"/>
      <c r="E2269" s="3" t="e">
        <f t="shared" si="72"/>
        <v>#N/A</v>
      </c>
      <c r="F2269" s="3" t="e">
        <f t="shared" si="73"/>
        <v>#N/A</v>
      </c>
    </row>
    <row r="2270" spans="2:6" x14ac:dyDescent="0.25">
      <c r="B2270" s="3"/>
      <c r="C2270" s="3"/>
      <c r="D2270" s="3"/>
      <c r="E2270" s="3" t="e">
        <f t="shared" si="72"/>
        <v>#N/A</v>
      </c>
      <c r="F2270" s="3" t="e">
        <f t="shared" si="73"/>
        <v>#N/A</v>
      </c>
    </row>
    <row r="2271" spans="2:6" x14ac:dyDescent="0.25">
      <c r="B2271" s="3"/>
      <c r="C2271" s="3"/>
      <c r="D2271" s="3"/>
      <c r="E2271" s="3" t="e">
        <f t="shared" si="72"/>
        <v>#N/A</v>
      </c>
      <c r="F2271" s="3" t="e">
        <f t="shared" si="73"/>
        <v>#N/A</v>
      </c>
    </row>
    <row r="2272" spans="2:6" x14ac:dyDescent="0.25">
      <c r="B2272" s="3"/>
      <c r="C2272" s="3"/>
      <c r="D2272" s="3"/>
      <c r="E2272" s="3" t="e">
        <f t="shared" si="72"/>
        <v>#N/A</v>
      </c>
      <c r="F2272" s="3" t="e">
        <f t="shared" si="73"/>
        <v>#N/A</v>
      </c>
    </row>
    <row r="2273" spans="2:6" x14ac:dyDescent="0.25">
      <c r="B2273" s="3"/>
      <c r="C2273" s="3"/>
      <c r="D2273" s="3"/>
      <c r="E2273" s="3" t="e">
        <f t="shared" si="72"/>
        <v>#N/A</v>
      </c>
      <c r="F2273" s="3" t="e">
        <f t="shared" si="73"/>
        <v>#N/A</v>
      </c>
    </row>
    <row r="2274" spans="2:6" x14ac:dyDescent="0.25">
      <c r="B2274" s="3"/>
      <c r="C2274" s="3"/>
      <c r="D2274" s="3"/>
      <c r="E2274" s="3" t="e">
        <f t="shared" si="72"/>
        <v>#N/A</v>
      </c>
      <c r="F2274" s="3" t="e">
        <f t="shared" si="73"/>
        <v>#N/A</v>
      </c>
    </row>
    <row r="2275" spans="2:6" x14ac:dyDescent="0.25">
      <c r="B2275" s="3"/>
      <c r="C2275" s="3"/>
      <c r="D2275" s="3"/>
      <c r="E2275" s="3" t="e">
        <f t="shared" si="72"/>
        <v>#N/A</v>
      </c>
      <c r="F2275" s="3" t="e">
        <f t="shared" si="73"/>
        <v>#N/A</v>
      </c>
    </row>
    <row r="2276" spans="2:6" x14ac:dyDescent="0.25">
      <c r="B2276" s="3"/>
      <c r="C2276" s="3"/>
      <c r="D2276" s="3"/>
      <c r="E2276" s="3" t="e">
        <f t="shared" si="72"/>
        <v>#N/A</v>
      </c>
      <c r="F2276" s="3" t="e">
        <f t="shared" si="73"/>
        <v>#N/A</v>
      </c>
    </row>
    <row r="2277" spans="2:6" x14ac:dyDescent="0.25">
      <c r="B2277" s="3"/>
      <c r="C2277" s="3"/>
      <c r="D2277" s="3"/>
      <c r="E2277" s="3" t="e">
        <f t="shared" si="72"/>
        <v>#N/A</v>
      </c>
      <c r="F2277" s="3" t="e">
        <f t="shared" si="73"/>
        <v>#N/A</v>
      </c>
    </row>
    <row r="2278" spans="2:6" x14ac:dyDescent="0.25">
      <c r="B2278" s="3"/>
      <c r="C2278" s="3"/>
      <c r="D2278" s="3"/>
      <c r="E2278" s="3" t="e">
        <f t="shared" si="72"/>
        <v>#N/A</v>
      </c>
      <c r="F2278" s="3" t="e">
        <f t="shared" si="73"/>
        <v>#N/A</v>
      </c>
    </row>
    <row r="2279" spans="2:6" x14ac:dyDescent="0.25">
      <c r="B2279" s="3"/>
      <c r="C2279" s="3"/>
      <c r="D2279" s="3"/>
      <c r="E2279" s="3" t="e">
        <f t="shared" si="72"/>
        <v>#N/A</v>
      </c>
      <c r="F2279" s="3" t="e">
        <f t="shared" si="73"/>
        <v>#N/A</v>
      </c>
    </row>
    <row r="2280" spans="2:6" x14ac:dyDescent="0.25">
      <c r="B2280" s="3"/>
      <c r="C2280" s="3"/>
      <c r="D2280" s="3"/>
      <c r="E2280" s="3" t="e">
        <f t="shared" si="72"/>
        <v>#N/A</v>
      </c>
      <c r="F2280" s="3" t="e">
        <f t="shared" si="73"/>
        <v>#N/A</v>
      </c>
    </row>
    <row r="2281" spans="2:6" x14ac:dyDescent="0.25">
      <c r="B2281" s="3"/>
      <c r="C2281" s="3"/>
      <c r="D2281" s="3"/>
      <c r="E2281" s="3" t="e">
        <f t="shared" si="72"/>
        <v>#N/A</v>
      </c>
      <c r="F2281" s="3" t="e">
        <f t="shared" si="73"/>
        <v>#N/A</v>
      </c>
    </row>
    <row r="2282" spans="2:6" x14ac:dyDescent="0.25">
      <c r="B2282" s="3"/>
      <c r="C2282" s="3"/>
      <c r="D2282" s="3"/>
      <c r="E2282" s="3" t="e">
        <f t="shared" si="72"/>
        <v>#N/A</v>
      </c>
      <c r="F2282" s="3" t="e">
        <f t="shared" si="73"/>
        <v>#N/A</v>
      </c>
    </row>
    <row r="2283" spans="2:6" x14ac:dyDescent="0.25">
      <c r="B2283" s="3"/>
      <c r="C2283" s="3"/>
      <c r="D2283" s="3"/>
      <c r="E2283" s="3" t="e">
        <f t="shared" si="72"/>
        <v>#N/A</v>
      </c>
      <c r="F2283" s="3" t="e">
        <f t="shared" si="73"/>
        <v>#N/A</v>
      </c>
    </row>
    <row r="2284" spans="2:6" x14ac:dyDescent="0.25">
      <c r="B2284" s="3"/>
      <c r="C2284" s="3"/>
      <c r="D2284" s="3"/>
      <c r="E2284" s="3" t="e">
        <f t="shared" si="72"/>
        <v>#N/A</v>
      </c>
      <c r="F2284" s="3" t="e">
        <f t="shared" si="73"/>
        <v>#N/A</v>
      </c>
    </row>
    <row r="2285" spans="2:6" x14ac:dyDescent="0.25">
      <c r="B2285" s="3"/>
      <c r="C2285" s="3"/>
      <c r="D2285" s="3"/>
      <c r="E2285" s="3" t="e">
        <f t="shared" si="72"/>
        <v>#N/A</v>
      </c>
      <c r="F2285" s="3" t="e">
        <f t="shared" si="73"/>
        <v>#N/A</v>
      </c>
    </row>
    <row r="2286" spans="2:6" x14ac:dyDescent="0.25">
      <c r="B2286" s="3"/>
      <c r="C2286" s="3"/>
      <c r="D2286" s="3"/>
      <c r="E2286" s="3" t="e">
        <f t="shared" si="72"/>
        <v>#N/A</v>
      </c>
      <c r="F2286" s="3" t="e">
        <f t="shared" si="73"/>
        <v>#N/A</v>
      </c>
    </row>
    <row r="2287" spans="2:6" x14ac:dyDescent="0.25">
      <c r="B2287" s="3"/>
      <c r="C2287" s="3"/>
      <c r="D2287" s="3"/>
      <c r="E2287" s="3" t="e">
        <f t="shared" si="72"/>
        <v>#N/A</v>
      </c>
      <c r="F2287" s="3" t="e">
        <f t="shared" si="73"/>
        <v>#N/A</v>
      </c>
    </row>
    <row r="2288" spans="2:6" x14ac:dyDescent="0.25">
      <c r="B2288" s="3"/>
      <c r="C2288" s="3"/>
      <c r="D2288" s="3"/>
      <c r="E2288" s="3" t="e">
        <f t="shared" si="72"/>
        <v>#N/A</v>
      </c>
      <c r="F2288" s="3" t="e">
        <f t="shared" si="73"/>
        <v>#N/A</v>
      </c>
    </row>
    <row r="2289" spans="2:6" x14ac:dyDescent="0.25">
      <c r="B2289" s="3"/>
      <c r="C2289" s="3"/>
      <c r="D2289" s="3"/>
      <c r="E2289" s="3" t="e">
        <f t="shared" si="72"/>
        <v>#N/A</v>
      </c>
      <c r="F2289" s="3" t="e">
        <f t="shared" si="73"/>
        <v>#N/A</v>
      </c>
    </row>
    <row r="2290" spans="2:6" x14ac:dyDescent="0.25">
      <c r="B2290" s="3"/>
      <c r="C2290" s="3"/>
      <c r="D2290" s="3"/>
      <c r="E2290" s="3" t="e">
        <f t="shared" si="72"/>
        <v>#N/A</v>
      </c>
      <c r="F2290" s="3" t="e">
        <f t="shared" si="73"/>
        <v>#N/A</v>
      </c>
    </row>
    <row r="2291" spans="2:6" x14ac:dyDescent="0.25">
      <c r="B2291" s="3"/>
      <c r="C2291" s="3"/>
      <c r="D2291" s="3"/>
      <c r="E2291" s="3" t="e">
        <f t="shared" si="72"/>
        <v>#N/A</v>
      </c>
      <c r="F2291" s="3" t="e">
        <f t="shared" si="73"/>
        <v>#N/A</v>
      </c>
    </row>
    <row r="2292" spans="2:6" x14ac:dyDescent="0.25">
      <c r="B2292" s="3"/>
      <c r="C2292" s="3"/>
      <c r="D2292" s="3"/>
      <c r="E2292" s="3" t="e">
        <f t="shared" si="72"/>
        <v>#N/A</v>
      </c>
      <c r="F2292" s="3" t="e">
        <f t="shared" si="73"/>
        <v>#N/A</v>
      </c>
    </row>
    <row r="2293" spans="2:6" x14ac:dyDescent="0.25">
      <c r="B2293" s="3"/>
      <c r="C2293" s="3"/>
      <c r="D2293" s="3"/>
      <c r="E2293" s="3" t="e">
        <f t="shared" si="72"/>
        <v>#N/A</v>
      </c>
      <c r="F2293" s="3" t="e">
        <f t="shared" si="73"/>
        <v>#N/A</v>
      </c>
    </row>
    <row r="2294" spans="2:6" x14ac:dyDescent="0.25">
      <c r="B2294" s="3"/>
      <c r="C2294" s="3"/>
      <c r="D2294" s="3"/>
      <c r="E2294" s="3" t="e">
        <f t="shared" si="72"/>
        <v>#N/A</v>
      </c>
      <c r="F2294" s="3" t="e">
        <f t="shared" si="73"/>
        <v>#N/A</v>
      </c>
    </row>
    <row r="2295" spans="2:6" x14ac:dyDescent="0.25">
      <c r="B2295" s="3"/>
      <c r="C2295" s="3"/>
      <c r="D2295" s="3"/>
      <c r="E2295" s="3" t="e">
        <f t="shared" si="72"/>
        <v>#N/A</v>
      </c>
      <c r="F2295" s="3" t="e">
        <f t="shared" si="73"/>
        <v>#N/A</v>
      </c>
    </row>
    <row r="2296" spans="2:6" x14ac:dyDescent="0.25">
      <c r="B2296" s="3"/>
      <c r="C2296" s="3"/>
      <c r="D2296" s="3"/>
      <c r="E2296" s="3" t="e">
        <f t="shared" si="72"/>
        <v>#N/A</v>
      </c>
      <c r="F2296" s="3" t="e">
        <f t="shared" si="73"/>
        <v>#N/A</v>
      </c>
    </row>
    <row r="2297" spans="2:6" x14ac:dyDescent="0.25">
      <c r="B2297" s="3"/>
      <c r="C2297" s="3"/>
      <c r="D2297" s="3"/>
      <c r="E2297" s="3" t="e">
        <f t="shared" si="72"/>
        <v>#N/A</v>
      </c>
      <c r="F2297" s="3" t="e">
        <f t="shared" si="73"/>
        <v>#N/A</v>
      </c>
    </row>
    <row r="2298" spans="2:6" x14ac:dyDescent="0.25">
      <c r="B2298" s="3"/>
      <c r="C2298" s="3"/>
      <c r="D2298" s="3"/>
      <c r="E2298" s="3" t="e">
        <f t="shared" si="72"/>
        <v>#N/A</v>
      </c>
      <c r="F2298" s="3" t="e">
        <f t="shared" si="73"/>
        <v>#N/A</v>
      </c>
    </row>
    <row r="2299" spans="2:6" x14ac:dyDescent="0.25">
      <c r="B2299" s="3"/>
      <c r="C2299" s="3"/>
      <c r="D2299" s="3"/>
      <c r="E2299" s="3" t="e">
        <f t="shared" si="72"/>
        <v>#N/A</v>
      </c>
      <c r="F2299" s="3" t="e">
        <f t="shared" si="73"/>
        <v>#N/A</v>
      </c>
    </row>
    <row r="2300" spans="2:6" x14ac:dyDescent="0.25">
      <c r="B2300" s="3"/>
      <c r="C2300" s="3"/>
      <c r="D2300" s="3"/>
      <c r="E2300" s="3" t="e">
        <f t="shared" si="72"/>
        <v>#N/A</v>
      </c>
      <c r="F2300" s="3" t="e">
        <f t="shared" si="73"/>
        <v>#N/A</v>
      </c>
    </row>
    <row r="2301" spans="2:6" x14ac:dyDescent="0.25">
      <c r="B2301" s="3"/>
      <c r="C2301" s="3"/>
      <c r="D2301" s="3"/>
      <c r="E2301" s="3" t="e">
        <f t="shared" si="72"/>
        <v>#N/A</v>
      </c>
      <c r="F2301" s="3" t="e">
        <f t="shared" si="73"/>
        <v>#N/A</v>
      </c>
    </row>
    <row r="2302" spans="2:6" x14ac:dyDescent="0.25">
      <c r="B2302" s="3"/>
      <c r="C2302" s="3"/>
      <c r="D2302" s="3"/>
      <c r="E2302" s="3" t="e">
        <f t="shared" si="72"/>
        <v>#N/A</v>
      </c>
      <c r="F2302" s="3" t="e">
        <f t="shared" si="73"/>
        <v>#N/A</v>
      </c>
    </row>
    <row r="2303" spans="2:6" x14ac:dyDescent="0.25">
      <c r="B2303" s="3"/>
      <c r="C2303" s="3"/>
      <c r="D2303" s="3"/>
      <c r="E2303" s="3" t="e">
        <f t="shared" si="72"/>
        <v>#N/A</v>
      </c>
      <c r="F2303" s="3" t="e">
        <f t="shared" si="73"/>
        <v>#N/A</v>
      </c>
    </row>
    <row r="2304" spans="2:6" x14ac:dyDescent="0.25">
      <c r="B2304" s="3"/>
      <c r="C2304" s="3"/>
      <c r="D2304" s="3"/>
      <c r="E2304" s="3" t="e">
        <f t="shared" si="72"/>
        <v>#N/A</v>
      </c>
      <c r="F2304" s="3" t="e">
        <f t="shared" si="73"/>
        <v>#N/A</v>
      </c>
    </row>
    <row r="2305" spans="2:6" x14ac:dyDescent="0.25">
      <c r="B2305" s="3"/>
      <c r="C2305" s="3"/>
      <c r="D2305" s="3"/>
      <c r="E2305" s="3" t="e">
        <f t="shared" si="72"/>
        <v>#N/A</v>
      </c>
      <c r="F2305" s="3" t="e">
        <f t="shared" si="73"/>
        <v>#N/A</v>
      </c>
    </row>
    <row r="2306" spans="2:6" x14ac:dyDescent="0.25">
      <c r="B2306" s="3"/>
      <c r="C2306" s="3"/>
      <c r="D2306" s="3"/>
      <c r="E2306" s="3" t="e">
        <f t="shared" si="72"/>
        <v>#N/A</v>
      </c>
      <c r="F2306" s="3" t="e">
        <f t="shared" si="73"/>
        <v>#N/A</v>
      </c>
    </row>
    <row r="2307" spans="2:6" x14ac:dyDescent="0.25">
      <c r="B2307" s="3"/>
      <c r="C2307" s="3"/>
      <c r="D2307" s="3"/>
      <c r="E2307" s="3" t="e">
        <f t="shared" si="72"/>
        <v>#N/A</v>
      </c>
      <c r="F2307" s="3" t="e">
        <f t="shared" si="73"/>
        <v>#N/A</v>
      </c>
    </row>
    <row r="2308" spans="2:6" x14ac:dyDescent="0.25">
      <c r="B2308" s="3"/>
      <c r="C2308" s="3"/>
      <c r="D2308" s="3"/>
      <c r="E2308" s="3" t="e">
        <f t="shared" ref="E2308:E2371" si="74">VLOOKUP(C2308,I:J,2,0)</f>
        <v>#N/A</v>
      </c>
      <c r="F2308" s="3" t="e">
        <f t="shared" ref="F2308:F2371" si="75">E2308&amp;" "&amp;B2308</f>
        <v>#N/A</v>
      </c>
    </row>
    <row r="2309" spans="2:6" x14ac:dyDescent="0.25">
      <c r="B2309" s="3"/>
      <c r="C2309" s="3"/>
      <c r="D2309" s="3"/>
      <c r="E2309" s="3" t="e">
        <f t="shared" si="74"/>
        <v>#N/A</v>
      </c>
      <c r="F2309" s="3" t="e">
        <f t="shared" si="75"/>
        <v>#N/A</v>
      </c>
    </row>
    <row r="2310" spans="2:6" x14ac:dyDescent="0.25">
      <c r="B2310" s="3"/>
      <c r="C2310" s="3"/>
      <c r="D2310" s="3"/>
      <c r="E2310" s="3" t="e">
        <f t="shared" si="74"/>
        <v>#N/A</v>
      </c>
      <c r="F2310" s="3" t="e">
        <f t="shared" si="75"/>
        <v>#N/A</v>
      </c>
    </row>
    <row r="2311" spans="2:6" x14ac:dyDescent="0.25">
      <c r="B2311" s="3"/>
      <c r="C2311" s="3"/>
      <c r="D2311" s="3"/>
      <c r="E2311" s="3" t="e">
        <f t="shared" si="74"/>
        <v>#N/A</v>
      </c>
      <c r="F2311" s="3" t="e">
        <f t="shared" si="75"/>
        <v>#N/A</v>
      </c>
    </row>
    <row r="2312" spans="2:6" x14ac:dyDescent="0.25">
      <c r="B2312" s="3"/>
      <c r="C2312" s="3"/>
      <c r="D2312" s="3"/>
      <c r="E2312" s="3" t="e">
        <f t="shared" si="74"/>
        <v>#N/A</v>
      </c>
      <c r="F2312" s="3" t="e">
        <f t="shared" si="75"/>
        <v>#N/A</v>
      </c>
    </row>
    <row r="2313" spans="2:6" x14ac:dyDescent="0.25">
      <c r="B2313" s="3"/>
      <c r="C2313" s="3"/>
      <c r="D2313" s="3"/>
      <c r="E2313" s="3" t="e">
        <f t="shared" si="74"/>
        <v>#N/A</v>
      </c>
      <c r="F2313" s="3" t="e">
        <f t="shared" si="75"/>
        <v>#N/A</v>
      </c>
    </row>
    <row r="2314" spans="2:6" x14ac:dyDescent="0.25">
      <c r="B2314" s="3"/>
      <c r="C2314" s="3"/>
      <c r="D2314" s="3"/>
      <c r="E2314" s="3" t="e">
        <f t="shared" si="74"/>
        <v>#N/A</v>
      </c>
      <c r="F2314" s="3" t="e">
        <f t="shared" si="75"/>
        <v>#N/A</v>
      </c>
    </row>
    <row r="2315" spans="2:6" x14ac:dyDescent="0.25">
      <c r="B2315" s="3"/>
      <c r="C2315" s="3"/>
      <c r="D2315" s="3"/>
      <c r="E2315" s="3" t="e">
        <f t="shared" si="74"/>
        <v>#N/A</v>
      </c>
      <c r="F2315" s="3" t="e">
        <f t="shared" si="75"/>
        <v>#N/A</v>
      </c>
    </row>
    <row r="2316" spans="2:6" x14ac:dyDescent="0.25">
      <c r="B2316" s="3"/>
      <c r="C2316" s="3"/>
      <c r="D2316" s="3"/>
      <c r="E2316" s="3" t="e">
        <f t="shared" si="74"/>
        <v>#N/A</v>
      </c>
      <c r="F2316" s="3" t="e">
        <f t="shared" si="75"/>
        <v>#N/A</v>
      </c>
    </row>
    <row r="2317" spans="2:6" x14ac:dyDescent="0.25">
      <c r="B2317" s="3"/>
      <c r="C2317" s="3"/>
      <c r="D2317" s="3"/>
      <c r="E2317" s="3" t="e">
        <f t="shared" si="74"/>
        <v>#N/A</v>
      </c>
      <c r="F2317" s="3" t="e">
        <f t="shared" si="75"/>
        <v>#N/A</v>
      </c>
    </row>
    <row r="2318" spans="2:6" x14ac:dyDescent="0.25">
      <c r="B2318" s="3"/>
      <c r="C2318" s="3"/>
      <c r="D2318" s="3"/>
      <c r="E2318" s="3" t="e">
        <f t="shared" si="74"/>
        <v>#N/A</v>
      </c>
      <c r="F2318" s="3" t="e">
        <f t="shared" si="75"/>
        <v>#N/A</v>
      </c>
    </row>
    <row r="2319" spans="2:6" x14ac:dyDescent="0.25">
      <c r="B2319" s="3"/>
      <c r="C2319" s="3"/>
      <c r="D2319" s="3"/>
      <c r="E2319" s="3" t="e">
        <f t="shared" si="74"/>
        <v>#N/A</v>
      </c>
      <c r="F2319" s="3" t="e">
        <f t="shared" si="75"/>
        <v>#N/A</v>
      </c>
    </row>
    <row r="2320" spans="2:6" x14ac:dyDescent="0.25">
      <c r="B2320" s="3"/>
      <c r="C2320" s="3"/>
      <c r="D2320" s="3"/>
      <c r="E2320" s="3" t="e">
        <f t="shared" si="74"/>
        <v>#N/A</v>
      </c>
      <c r="F2320" s="3" t="e">
        <f t="shared" si="75"/>
        <v>#N/A</v>
      </c>
    </row>
    <row r="2321" spans="2:6" x14ac:dyDescent="0.25">
      <c r="B2321" s="3"/>
      <c r="C2321" s="3"/>
      <c r="D2321" s="3"/>
      <c r="E2321" s="3" t="e">
        <f t="shared" si="74"/>
        <v>#N/A</v>
      </c>
      <c r="F2321" s="3" t="e">
        <f t="shared" si="75"/>
        <v>#N/A</v>
      </c>
    </row>
    <row r="2322" spans="2:6" x14ac:dyDescent="0.25">
      <c r="B2322" s="3"/>
      <c r="C2322" s="3"/>
      <c r="D2322" s="3"/>
      <c r="E2322" s="3" t="e">
        <f t="shared" si="74"/>
        <v>#N/A</v>
      </c>
      <c r="F2322" s="3" t="e">
        <f t="shared" si="75"/>
        <v>#N/A</v>
      </c>
    </row>
    <row r="2323" spans="2:6" x14ac:dyDescent="0.25">
      <c r="B2323" s="3"/>
      <c r="C2323" s="3"/>
      <c r="D2323" s="3"/>
      <c r="E2323" s="3" t="e">
        <f t="shared" si="74"/>
        <v>#N/A</v>
      </c>
      <c r="F2323" s="3" t="e">
        <f t="shared" si="75"/>
        <v>#N/A</v>
      </c>
    </row>
    <row r="2324" spans="2:6" x14ac:dyDescent="0.25">
      <c r="B2324" s="3"/>
      <c r="C2324" s="3"/>
      <c r="D2324" s="3"/>
      <c r="E2324" s="3" t="e">
        <f t="shared" si="74"/>
        <v>#N/A</v>
      </c>
      <c r="F2324" s="3" t="e">
        <f t="shared" si="75"/>
        <v>#N/A</v>
      </c>
    </row>
    <row r="2325" spans="2:6" x14ac:dyDescent="0.25">
      <c r="B2325" s="3"/>
      <c r="C2325" s="3"/>
      <c r="D2325" s="3"/>
      <c r="E2325" s="3" t="e">
        <f t="shared" si="74"/>
        <v>#N/A</v>
      </c>
      <c r="F2325" s="3" t="e">
        <f t="shared" si="75"/>
        <v>#N/A</v>
      </c>
    </row>
    <row r="2326" spans="2:6" x14ac:dyDescent="0.25">
      <c r="B2326" s="3"/>
      <c r="C2326" s="3"/>
      <c r="D2326" s="3"/>
      <c r="E2326" s="3" t="e">
        <f t="shared" si="74"/>
        <v>#N/A</v>
      </c>
      <c r="F2326" s="3" t="e">
        <f t="shared" si="75"/>
        <v>#N/A</v>
      </c>
    </row>
    <row r="2327" spans="2:6" x14ac:dyDescent="0.25">
      <c r="B2327" s="3"/>
      <c r="C2327" s="3"/>
      <c r="D2327" s="3"/>
      <c r="E2327" s="3" t="e">
        <f t="shared" si="74"/>
        <v>#N/A</v>
      </c>
      <c r="F2327" s="3" t="e">
        <f t="shared" si="75"/>
        <v>#N/A</v>
      </c>
    </row>
    <row r="2328" spans="2:6" x14ac:dyDescent="0.25">
      <c r="B2328" s="3"/>
      <c r="C2328" s="3"/>
      <c r="D2328" s="3"/>
      <c r="E2328" s="3" t="e">
        <f t="shared" si="74"/>
        <v>#N/A</v>
      </c>
      <c r="F2328" s="3" t="e">
        <f t="shared" si="75"/>
        <v>#N/A</v>
      </c>
    </row>
    <row r="2329" spans="2:6" x14ac:dyDescent="0.25">
      <c r="B2329" s="3"/>
      <c r="C2329" s="3"/>
      <c r="D2329" s="3"/>
      <c r="E2329" s="3" t="e">
        <f t="shared" si="74"/>
        <v>#N/A</v>
      </c>
      <c r="F2329" s="3" t="e">
        <f t="shared" si="75"/>
        <v>#N/A</v>
      </c>
    </row>
    <row r="2330" spans="2:6" x14ac:dyDescent="0.25">
      <c r="B2330" s="3"/>
      <c r="C2330" s="3"/>
      <c r="D2330" s="3"/>
      <c r="E2330" s="3" t="e">
        <f t="shared" si="74"/>
        <v>#N/A</v>
      </c>
      <c r="F2330" s="3" t="e">
        <f t="shared" si="75"/>
        <v>#N/A</v>
      </c>
    </row>
    <row r="2331" spans="2:6" x14ac:dyDescent="0.25">
      <c r="B2331" s="3"/>
      <c r="C2331" s="3"/>
      <c r="D2331" s="3"/>
      <c r="E2331" s="3" t="e">
        <f t="shared" si="74"/>
        <v>#N/A</v>
      </c>
      <c r="F2331" s="3" t="e">
        <f t="shared" si="75"/>
        <v>#N/A</v>
      </c>
    </row>
    <row r="2332" spans="2:6" x14ac:dyDescent="0.25">
      <c r="B2332" s="3"/>
      <c r="C2332" s="3"/>
      <c r="D2332" s="3"/>
      <c r="E2332" s="3" t="e">
        <f t="shared" si="74"/>
        <v>#N/A</v>
      </c>
      <c r="F2332" s="3" t="e">
        <f t="shared" si="75"/>
        <v>#N/A</v>
      </c>
    </row>
    <row r="2333" spans="2:6" x14ac:dyDescent="0.25">
      <c r="B2333" s="3"/>
      <c r="C2333" s="3"/>
      <c r="D2333" s="3"/>
      <c r="E2333" s="3" t="e">
        <f t="shared" si="74"/>
        <v>#N/A</v>
      </c>
      <c r="F2333" s="3" t="e">
        <f t="shared" si="75"/>
        <v>#N/A</v>
      </c>
    </row>
    <row r="2334" spans="2:6" x14ac:dyDescent="0.25">
      <c r="B2334" s="3"/>
      <c r="C2334" s="3"/>
      <c r="D2334" s="3"/>
      <c r="E2334" s="3" t="e">
        <f t="shared" si="74"/>
        <v>#N/A</v>
      </c>
      <c r="F2334" s="3" t="e">
        <f t="shared" si="75"/>
        <v>#N/A</v>
      </c>
    </row>
    <row r="2335" spans="2:6" x14ac:dyDescent="0.25">
      <c r="B2335" s="3"/>
      <c r="C2335" s="3"/>
      <c r="D2335" s="3"/>
      <c r="E2335" s="3" t="e">
        <f t="shared" si="74"/>
        <v>#N/A</v>
      </c>
      <c r="F2335" s="3" t="e">
        <f t="shared" si="75"/>
        <v>#N/A</v>
      </c>
    </row>
    <row r="2336" spans="2:6" x14ac:dyDescent="0.25">
      <c r="B2336" s="3"/>
      <c r="C2336" s="3"/>
      <c r="D2336" s="3"/>
      <c r="E2336" s="3" t="e">
        <f t="shared" si="74"/>
        <v>#N/A</v>
      </c>
      <c r="F2336" s="3" t="e">
        <f t="shared" si="75"/>
        <v>#N/A</v>
      </c>
    </row>
    <row r="2337" spans="2:6" x14ac:dyDescent="0.25">
      <c r="B2337" s="3"/>
      <c r="C2337" s="3"/>
      <c r="D2337" s="3"/>
      <c r="E2337" s="3" t="e">
        <f t="shared" si="74"/>
        <v>#N/A</v>
      </c>
      <c r="F2337" s="3" t="e">
        <f t="shared" si="75"/>
        <v>#N/A</v>
      </c>
    </row>
    <row r="2338" spans="2:6" x14ac:dyDescent="0.25">
      <c r="B2338" s="3"/>
      <c r="C2338" s="3"/>
      <c r="D2338" s="3"/>
      <c r="E2338" s="3" t="e">
        <f t="shared" si="74"/>
        <v>#N/A</v>
      </c>
      <c r="F2338" s="3" t="e">
        <f t="shared" si="75"/>
        <v>#N/A</v>
      </c>
    </row>
    <row r="2339" spans="2:6" x14ac:dyDescent="0.25">
      <c r="B2339" s="3"/>
      <c r="C2339" s="3"/>
      <c r="D2339" s="3"/>
      <c r="E2339" s="3" t="e">
        <f t="shared" si="74"/>
        <v>#N/A</v>
      </c>
      <c r="F2339" s="3" t="e">
        <f t="shared" si="75"/>
        <v>#N/A</v>
      </c>
    </row>
    <row r="2340" spans="2:6" x14ac:dyDescent="0.25">
      <c r="B2340" s="3"/>
      <c r="C2340" s="3"/>
      <c r="D2340" s="3"/>
      <c r="E2340" s="3" t="e">
        <f t="shared" si="74"/>
        <v>#N/A</v>
      </c>
      <c r="F2340" s="3" t="e">
        <f t="shared" si="75"/>
        <v>#N/A</v>
      </c>
    </row>
    <row r="2341" spans="2:6" x14ac:dyDescent="0.25">
      <c r="B2341" s="3"/>
      <c r="C2341" s="3"/>
      <c r="D2341" s="3"/>
      <c r="E2341" s="3" t="e">
        <f t="shared" si="74"/>
        <v>#N/A</v>
      </c>
      <c r="F2341" s="3" t="e">
        <f t="shared" si="75"/>
        <v>#N/A</v>
      </c>
    </row>
    <row r="2342" spans="2:6" x14ac:dyDescent="0.25">
      <c r="B2342" s="3"/>
      <c r="C2342" s="3"/>
      <c r="D2342" s="3"/>
      <c r="E2342" s="3" t="e">
        <f t="shared" si="74"/>
        <v>#N/A</v>
      </c>
      <c r="F2342" s="3" t="e">
        <f t="shared" si="75"/>
        <v>#N/A</v>
      </c>
    </row>
    <row r="2343" spans="2:6" x14ac:dyDescent="0.25">
      <c r="B2343" s="3"/>
      <c r="C2343" s="3"/>
      <c r="D2343" s="3"/>
      <c r="E2343" s="3" t="e">
        <f t="shared" si="74"/>
        <v>#N/A</v>
      </c>
      <c r="F2343" s="3" t="e">
        <f t="shared" si="75"/>
        <v>#N/A</v>
      </c>
    </row>
    <row r="2344" spans="2:6" x14ac:dyDescent="0.25">
      <c r="B2344" s="3"/>
      <c r="C2344" s="3"/>
      <c r="D2344" s="3"/>
      <c r="E2344" s="3" t="e">
        <f t="shared" si="74"/>
        <v>#N/A</v>
      </c>
      <c r="F2344" s="3" t="e">
        <f t="shared" si="75"/>
        <v>#N/A</v>
      </c>
    </row>
    <row r="2345" spans="2:6" x14ac:dyDescent="0.25">
      <c r="B2345" s="3"/>
      <c r="C2345" s="3"/>
      <c r="D2345" s="3"/>
      <c r="E2345" s="3" t="e">
        <f t="shared" si="74"/>
        <v>#N/A</v>
      </c>
      <c r="F2345" s="3" t="e">
        <f t="shared" si="75"/>
        <v>#N/A</v>
      </c>
    </row>
    <row r="2346" spans="2:6" x14ac:dyDescent="0.25">
      <c r="B2346" s="3"/>
      <c r="C2346" s="3"/>
      <c r="D2346" s="3"/>
      <c r="E2346" s="3" t="e">
        <f t="shared" si="74"/>
        <v>#N/A</v>
      </c>
      <c r="F2346" s="3" t="e">
        <f t="shared" si="75"/>
        <v>#N/A</v>
      </c>
    </row>
    <row r="2347" spans="2:6" x14ac:dyDescent="0.25">
      <c r="B2347" s="3"/>
      <c r="C2347" s="3"/>
      <c r="D2347" s="3"/>
      <c r="E2347" s="3" t="e">
        <f t="shared" si="74"/>
        <v>#N/A</v>
      </c>
      <c r="F2347" s="3" t="e">
        <f t="shared" si="75"/>
        <v>#N/A</v>
      </c>
    </row>
    <row r="2348" spans="2:6" x14ac:dyDescent="0.25">
      <c r="B2348" s="3"/>
      <c r="C2348" s="3"/>
      <c r="D2348" s="3"/>
      <c r="E2348" s="3" t="e">
        <f t="shared" si="74"/>
        <v>#N/A</v>
      </c>
      <c r="F2348" s="3" t="e">
        <f t="shared" si="75"/>
        <v>#N/A</v>
      </c>
    </row>
    <row r="2349" spans="2:6" x14ac:dyDescent="0.25">
      <c r="B2349" s="3"/>
      <c r="C2349" s="3"/>
      <c r="D2349" s="3"/>
      <c r="E2349" s="3" t="e">
        <f t="shared" si="74"/>
        <v>#N/A</v>
      </c>
      <c r="F2349" s="3" t="e">
        <f t="shared" si="75"/>
        <v>#N/A</v>
      </c>
    </row>
    <row r="2350" spans="2:6" x14ac:dyDescent="0.25">
      <c r="B2350" s="3"/>
      <c r="C2350" s="3"/>
      <c r="D2350" s="3"/>
      <c r="E2350" s="3" t="e">
        <f t="shared" si="74"/>
        <v>#N/A</v>
      </c>
      <c r="F2350" s="3" t="e">
        <f t="shared" si="75"/>
        <v>#N/A</v>
      </c>
    </row>
    <row r="2351" spans="2:6" x14ac:dyDescent="0.25">
      <c r="B2351" s="3"/>
      <c r="C2351" s="3"/>
      <c r="D2351" s="3"/>
      <c r="E2351" s="3" t="e">
        <f t="shared" si="74"/>
        <v>#N/A</v>
      </c>
      <c r="F2351" s="3" t="e">
        <f t="shared" si="75"/>
        <v>#N/A</v>
      </c>
    </row>
    <row r="2352" spans="2:6" x14ac:dyDescent="0.25">
      <c r="B2352" s="3"/>
      <c r="C2352" s="3"/>
      <c r="D2352" s="3"/>
      <c r="E2352" s="3" t="e">
        <f t="shared" si="74"/>
        <v>#N/A</v>
      </c>
      <c r="F2352" s="3" t="e">
        <f t="shared" si="75"/>
        <v>#N/A</v>
      </c>
    </row>
    <row r="2353" spans="2:6" x14ac:dyDescent="0.25">
      <c r="B2353" s="3"/>
      <c r="C2353" s="3"/>
      <c r="D2353" s="3"/>
      <c r="E2353" s="3" t="e">
        <f t="shared" si="74"/>
        <v>#N/A</v>
      </c>
      <c r="F2353" s="3" t="e">
        <f t="shared" si="75"/>
        <v>#N/A</v>
      </c>
    </row>
    <row r="2354" spans="2:6" x14ac:dyDescent="0.25">
      <c r="B2354" s="3"/>
      <c r="C2354" s="3"/>
      <c r="D2354" s="3"/>
      <c r="E2354" s="3" t="e">
        <f t="shared" si="74"/>
        <v>#N/A</v>
      </c>
      <c r="F2354" s="3" t="e">
        <f t="shared" si="75"/>
        <v>#N/A</v>
      </c>
    </row>
    <row r="2355" spans="2:6" x14ac:dyDescent="0.25">
      <c r="B2355" s="3"/>
      <c r="C2355" s="3"/>
      <c r="D2355" s="3"/>
      <c r="E2355" s="3" t="e">
        <f t="shared" si="74"/>
        <v>#N/A</v>
      </c>
      <c r="F2355" s="3" t="e">
        <f t="shared" si="75"/>
        <v>#N/A</v>
      </c>
    </row>
    <row r="2356" spans="2:6" x14ac:dyDescent="0.25">
      <c r="B2356" s="3"/>
      <c r="C2356" s="3"/>
      <c r="D2356" s="3"/>
      <c r="E2356" s="3" t="e">
        <f t="shared" si="74"/>
        <v>#N/A</v>
      </c>
      <c r="F2356" s="3" t="e">
        <f t="shared" si="75"/>
        <v>#N/A</v>
      </c>
    </row>
    <row r="2357" spans="2:6" x14ac:dyDescent="0.25">
      <c r="B2357" s="3"/>
      <c r="C2357" s="3"/>
      <c r="D2357" s="3"/>
      <c r="E2357" s="3" t="e">
        <f t="shared" si="74"/>
        <v>#N/A</v>
      </c>
      <c r="F2357" s="3" t="e">
        <f t="shared" si="75"/>
        <v>#N/A</v>
      </c>
    </row>
    <row r="2358" spans="2:6" x14ac:dyDescent="0.25">
      <c r="B2358" s="3"/>
      <c r="C2358" s="3"/>
      <c r="D2358" s="3"/>
      <c r="E2358" s="3" t="e">
        <f t="shared" si="74"/>
        <v>#N/A</v>
      </c>
      <c r="F2358" s="3" t="e">
        <f t="shared" si="75"/>
        <v>#N/A</v>
      </c>
    </row>
    <row r="2359" spans="2:6" x14ac:dyDescent="0.25">
      <c r="B2359" s="3"/>
      <c r="C2359" s="3"/>
      <c r="D2359" s="3"/>
      <c r="E2359" s="3" t="e">
        <f t="shared" si="74"/>
        <v>#N/A</v>
      </c>
      <c r="F2359" s="3" t="e">
        <f t="shared" si="75"/>
        <v>#N/A</v>
      </c>
    </row>
    <row r="2360" spans="2:6" x14ac:dyDescent="0.25">
      <c r="B2360" s="3"/>
      <c r="C2360" s="3"/>
      <c r="D2360" s="3"/>
      <c r="E2360" s="3" t="e">
        <f t="shared" si="74"/>
        <v>#N/A</v>
      </c>
      <c r="F2360" s="3" t="e">
        <f t="shared" si="75"/>
        <v>#N/A</v>
      </c>
    </row>
    <row r="2361" spans="2:6" x14ac:dyDescent="0.25">
      <c r="B2361" s="3"/>
      <c r="C2361" s="3"/>
      <c r="D2361" s="3"/>
      <c r="E2361" s="3" t="e">
        <f t="shared" si="74"/>
        <v>#N/A</v>
      </c>
      <c r="F2361" s="3" t="e">
        <f t="shared" si="75"/>
        <v>#N/A</v>
      </c>
    </row>
    <row r="2362" spans="2:6" x14ac:dyDescent="0.25">
      <c r="B2362" s="3"/>
      <c r="C2362" s="3"/>
      <c r="D2362" s="3"/>
      <c r="E2362" s="3" t="e">
        <f t="shared" si="74"/>
        <v>#N/A</v>
      </c>
      <c r="F2362" s="3" t="e">
        <f t="shared" si="75"/>
        <v>#N/A</v>
      </c>
    </row>
    <row r="2363" spans="2:6" x14ac:dyDescent="0.25">
      <c r="B2363" s="3"/>
      <c r="C2363" s="3"/>
      <c r="D2363" s="3"/>
      <c r="E2363" s="3" t="e">
        <f t="shared" si="74"/>
        <v>#N/A</v>
      </c>
      <c r="F2363" s="3" t="e">
        <f t="shared" si="75"/>
        <v>#N/A</v>
      </c>
    </row>
    <row r="2364" spans="2:6" x14ac:dyDescent="0.25">
      <c r="B2364" s="3"/>
      <c r="C2364" s="3"/>
      <c r="D2364" s="3"/>
      <c r="E2364" s="3" t="e">
        <f t="shared" si="74"/>
        <v>#N/A</v>
      </c>
      <c r="F2364" s="3" t="e">
        <f t="shared" si="75"/>
        <v>#N/A</v>
      </c>
    </row>
    <row r="2365" spans="2:6" x14ac:dyDescent="0.25">
      <c r="B2365" s="3"/>
      <c r="C2365" s="3"/>
      <c r="D2365" s="3"/>
      <c r="E2365" s="3" t="e">
        <f t="shared" si="74"/>
        <v>#N/A</v>
      </c>
      <c r="F2365" s="3" t="e">
        <f t="shared" si="75"/>
        <v>#N/A</v>
      </c>
    </row>
    <row r="2366" spans="2:6" x14ac:dyDescent="0.25">
      <c r="B2366" s="3"/>
      <c r="C2366" s="3"/>
      <c r="D2366" s="3"/>
      <c r="E2366" s="3" t="e">
        <f t="shared" si="74"/>
        <v>#N/A</v>
      </c>
      <c r="F2366" s="3" t="e">
        <f t="shared" si="75"/>
        <v>#N/A</v>
      </c>
    </row>
    <row r="2367" spans="2:6" x14ac:dyDescent="0.25">
      <c r="B2367" s="3"/>
      <c r="C2367" s="3"/>
      <c r="D2367" s="3"/>
      <c r="E2367" s="3" t="e">
        <f t="shared" si="74"/>
        <v>#N/A</v>
      </c>
      <c r="F2367" s="3" t="e">
        <f t="shared" si="75"/>
        <v>#N/A</v>
      </c>
    </row>
    <row r="2368" spans="2:6" x14ac:dyDescent="0.25">
      <c r="B2368" s="3"/>
      <c r="C2368" s="3"/>
      <c r="D2368" s="3"/>
      <c r="E2368" s="3" t="e">
        <f t="shared" si="74"/>
        <v>#N/A</v>
      </c>
      <c r="F2368" s="3" t="e">
        <f t="shared" si="75"/>
        <v>#N/A</v>
      </c>
    </row>
    <row r="2369" spans="2:6" x14ac:dyDescent="0.25">
      <c r="B2369" s="3"/>
      <c r="C2369" s="3"/>
      <c r="D2369" s="3"/>
      <c r="E2369" s="3" t="e">
        <f t="shared" si="74"/>
        <v>#N/A</v>
      </c>
      <c r="F2369" s="3" t="e">
        <f t="shared" si="75"/>
        <v>#N/A</v>
      </c>
    </row>
    <row r="2370" spans="2:6" x14ac:dyDescent="0.25">
      <c r="B2370" s="3"/>
      <c r="C2370" s="3"/>
      <c r="D2370" s="3"/>
      <c r="E2370" s="3" t="e">
        <f t="shared" si="74"/>
        <v>#N/A</v>
      </c>
      <c r="F2370" s="3" t="e">
        <f t="shared" si="75"/>
        <v>#N/A</v>
      </c>
    </row>
    <row r="2371" spans="2:6" x14ac:dyDescent="0.25">
      <c r="B2371" s="3"/>
      <c r="C2371" s="3"/>
      <c r="D2371" s="3"/>
      <c r="E2371" s="3" t="e">
        <f t="shared" si="74"/>
        <v>#N/A</v>
      </c>
      <c r="F2371" s="3" t="e">
        <f t="shared" si="75"/>
        <v>#N/A</v>
      </c>
    </row>
    <row r="2372" spans="2:6" x14ac:dyDescent="0.25">
      <c r="B2372" s="3"/>
      <c r="C2372" s="3"/>
      <c r="D2372" s="3"/>
      <c r="E2372" s="3" t="e">
        <f t="shared" ref="E2372:E2435" si="76">VLOOKUP(C2372,I:J,2,0)</f>
        <v>#N/A</v>
      </c>
      <c r="F2372" s="3" t="e">
        <f t="shared" ref="F2372:F2435" si="77">E2372&amp;" "&amp;B2372</f>
        <v>#N/A</v>
      </c>
    </row>
    <row r="2373" spans="2:6" x14ac:dyDescent="0.25">
      <c r="B2373" s="3"/>
      <c r="C2373" s="3"/>
      <c r="D2373" s="3"/>
      <c r="E2373" s="3" t="e">
        <f t="shared" si="76"/>
        <v>#N/A</v>
      </c>
      <c r="F2373" s="3" t="e">
        <f t="shared" si="77"/>
        <v>#N/A</v>
      </c>
    </row>
    <row r="2374" spans="2:6" x14ac:dyDescent="0.25">
      <c r="B2374" s="3"/>
      <c r="C2374" s="3"/>
      <c r="D2374" s="3"/>
      <c r="E2374" s="3" t="e">
        <f t="shared" si="76"/>
        <v>#N/A</v>
      </c>
      <c r="F2374" s="3" t="e">
        <f t="shared" si="77"/>
        <v>#N/A</v>
      </c>
    </row>
    <row r="2375" spans="2:6" x14ac:dyDescent="0.25">
      <c r="B2375" s="3"/>
      <c r="C2375" s="3"/>
      <c r="D2375" s="3"/>
      <c r="E2375" s="3" t="e">
        <f t="shared" si="76"/>
        <v>#N/A</v>
      </c>
      <c r="F2375" s="3" t="e">
        <f t="shared" si="77"/>
        <v>#N/A</v>
      </c>
    </row>
    <row r="2376" spans="2:6" x14ac:dyDescent="0.25">
      <c r="B2376" s="3"/>
      <c r="C2376" s="3"/>
      <c r="D2376" s="3"/>
      <c r="E2376" s="3" t="e">
        <f t="shared" si="76"/>
        <v>#N/A</v>
      </c>
      <c r="F2376" s="3" t="e">
        <f t="shared" si="77"/>
        <v>#N/A</v>
      </c>
    </row>
    <row r="2377" spans="2:6" x14ac:dyDescent="0.25">
      <c r="B2377" s="3"/>
      <c r="C2377" s="3"/>
      <c r="D2377" s="3"/>
      <c r="E2377" s="3" t="e">
        <f t="shared" si="76"/>
        <v>#N/A</v>
      </c>
      <c r="F2377" s="3" t="e">
        <f t="shared" si="77"/>
        <v>#N/A</v>
      </c>
    </row>
    <row r="2378" spans="2:6" x14ac:dyDescent="0.25">
      <c r="B2378" s="3"/>
      <c r="C2378" s="3"/>
      <c r="D2378" s="3"/>
      <c r="E2378" s="3" t="e">
        <f t="shared" si="76"/>
        <v>#N/A</v>
      </c>
      <c r="F2378" s="3" t="e">
        <f t="shared" si="77"/>
        <v>#N/A</v>
      </c>
    </row>
    <row r="2379" spans="2:6" x14ac:dyDescent="0.25">
      <c r="B2379" s="3"/>
      <c r="C2379" s="3"/>
      <c r="D2379" s="3"/>
      <c r="E2379" s="3" t="e">
        <f t="shared" si="76"/>
        <v>#N/A</v>
      </c>
      <c r="F2379" s="3" t="e">
        <f t="shared" si="77"/>
        <v>#N/A</v>
      </c>
    </row>
    <row r="2380" spans="2:6" x14ac:dyDescent="0.25">
      <c r="B2380" s="3"/>
      <c r="C2380" s="3"/>
      <c r="D2380" s="3"/>
      <c r="E2380" s="3" t="e">
        <f t="shared" si="76"/>
        <v>#N/A</v>
      </c>
      <c r="F2380" s="3" t="e">
        <f t="shared" si="77"/>
        <v>#N/A</v>
      </c>
    </row>
    <row r="2381" spans="2:6" x14ac:dyDescent="0.25">
      <c r="B2381" s="3"/>
      <c r="C2381" s="3"/>
      <c r="D2381" s="3"/>
      <c r="E2381" s="3" t="e">
        <f t="shared" si="76"/>
        <v>#N/A</v>
      </c>
      <c r="F2381" s="3" t="e">
        <f t="shared" si="77"/>
        <v>#N/A</v>
      </c>
    </row>
    <row r="2382" spans="2:6" x14ac:dyDescent="0.25">
      <c r="B2382" s="3"/>
      <c r="C2382" s="3"/>
      <c r="D2382" s="3"/>
      <c r="E2382" s="3" t="e">
        <f t="shared" si="76"/>
        <v>#N/A</v>
      </c>
      <c r="F2382" s="3" t="e">
        <f t="shared" si="77"/>
        <v>#N/A</v>
      </c>
    </row>
    <row r="2383" spans="2:6" x14ac:dyDescent="0.25">
      <c r="B2383" s="3"/>
      <c r="C2383" s="3"/>
      <c r="D2383" s="3"/>
      <c r="E2383" s="3" t="e">
        <f t="shared" si="76"/>
        <v>#N/A</v>
      </c>
      <c r="F2383" s="3" t="e">
        <f t="shared" si="77"/>
        <v>#N/A</v>
      </c>
    </row>
    <row r="2384" spans="2:6" x14ac:dyDescent="0.25">
      <c r="B2384" s="3"/>
      <c r="C2384" s="3"/>
      <c r="D2384" s="3"/>
      <c r="E2384" s="3" t="e">
        <f t="shared" si="76"/>
        <v>#N/A</v>
      </c>
      <c r="F2384" s="3" t="e">
        <f t="shared" si="77"/>
        <v>#N/A</v>
      </c>
    </row>
    <row r="2385" spans="2:6" x14ac:dyDescent="0.25">
      <c r="B2385" s="3"/>
      <c r="C2385" s="3"/>
      <c r="D2385" s="3"/>
      <c r="E2385" s="3" t="e">
        <f t="shared" si="76"/>
        <v>#N/A</v>
      </c>
      <c r="F2385" s="3" t="e">
        <f t="shared" si="77"/>
        <v>#N/A</v>
      </c>
    </row>
    <row r="2386" spans="2:6" x14ac:dyDescent="0.25">
      <c r="B2386" s="3"/>
      <c r="C2386" s="3"/>
      <c r="D2386" s="3"/>
      <c r="E2386" s="3" t="e">
        <f t="shared" si="76"/>
        <v>#N/A</v>
      </c>
      <c r="F2386" s="3" t="e">
        <f t="shared" si="77"/>
        <v>#N/A</v>
      </c>
    </row>
    <row r="2387" spans="2:6" x14ac:dyDescent="0.25">
      <c r="B2387" s="3"/>
      <c r="C2387" s="3"/>
      <c r="D2387" s="3"/>
      <c r="E2387" s="3" t="e">
        <f t="shared" si="76"/>
        <v>#N/A</v>
      </c>
      <c r="F2387" s="3" t="e">
        <f t="shared" si="77"/>
        <v>#N/A</v>
      </c>
    </row>
    <row r="2388" spans="2:6" x14ac:dyDescent="0.25">
      <c r="B2388" s="3"/>
      <c r="C2388" s="3"/>
      <c r="D2388" s="3"/>
      <c r="E2388" s="3" t="e">
        <f t="shared" si="76"/>
        <v>#N/A</v>
      </c>
      <c r="F2388" s="3" t="e">
        <f t="shared" si="77"/>
        <v>#N/A</v>
      </c>
    </row>
    <row r="2389" spans="2:6" x14ac:dyDescent="0.25">
      <c r="B2389" s="3"/>
      <c r="C2389" s="3"/>
      <c r="D2389" s="3"/>
      <c r="E2389" s="3" t="e">
        <f t="shared" si="76"/>
        <v>#N/A</v>
      </c>
      <c r="F2389" s="3" t="e">
        <f t="shared" si="77"/>
        <v>#N/A</v>
      </c>
    </row>
    <row r="2390" spans="2:6" x14ac:dyDescent="0.25">
      <c r="B2390" s="3"/>
      <c r="C2390" s="3"/>
      <c r="D2390" s="3"/>
      <c r="E2390" s="3" t="e">
        <f t="shared" si="76"/>
        <v>#N/A</v>
      </c>
      <c r="F2390" s="3" t="e">
        <f t="shared" si="77"/>
        <v>#N/A</v>
      </c>
    </row>
    <row r="2391" spans="2:6" x14ac:dyDescent="0.25">
      <c r="B2391" s="3"/>
      <c r="C2391" s="3"/>
      <c r="D2391" s="3"/>
      <c r="E2391" s="3" t="e">
        <f t="shared" si="76"/>
        <v>#N/A</v>
      </c>
      <c r="F2391" s="3" t="e">
        <f t="shared" si="77"/>
        <v>#N/A</v>
      </c>
    </row>
    <row r="2392" spans="2:6" x14ac:dyDescent="0.25">
      <c r="B2392" s="3"/>
      <c r="C2392" s="3"/>
      <c r="D2392" s="3"/>
      <c r="E2392" s="3" t="e">
        <f t="shared" si="76"/>
        <v>#N/A</v>
      </c>
      <c r="F2392" s="3" t="e">
        <f t="shared" si="77"/>
        <v>#N/A</v>
      </c>
    </row>
    <row r="2393" spans="2:6" x14ac:dyDescent="0.25">
      <c r="B2393" s="3"/>
      <c r="C2393" s="3"/>
      <c r="D2393" s="3"/>
      <c r="E2393" s="3" t="e">
        <f t="shared" si="76"/>
        <v>#N/A</v>
      </c>
      <c r="F2393" s="3" t="e">
        <f t="shared" si="77"/>
        <v>#N/A</v>
      </c>
    </row>
    <row r="2394" spans="2:6" x14ac:dyDescent="0.25">
      <c r="B2394" s="3"/>
      <c r="C2394" s="3"/>
      <c r="D2394" s="3"/>
      <c r="E2394" s="3" t="e">
        <f t="shared" si="76"/>
        <v>#N/A</v>
      </c>
      <c r="F2394" s="3" t="e">
        <f t="shared" si="77"/>
        <v>#N/A</v>
      </c>
    </row>
    <row r="2395" spans="2:6" x14ac:dyDescent="0.25">
      <c r="B2395" s="3"/>
      <c r="C2395" s="3"/>
      <c r="D2395" s="3"/>
      <c r="E2395" s="3" t="e">
        <f t="shared" si="76"/>
        <v>#N/A</v>
      </c>
      <c r="F2395" s="3" t="e">
        <f t="shared" si="77"/>
        <v>#N/A</v>
      </c>
    </row>
    <row r="2396" spans="2:6" x14ac:dyDescent="0.25">
      <c r="B2396" s="3"/>
      <c r="C2396" s="3"/>
      <c r="D2396" s="3"/>
      <c r="E2396" s="3" t="e">
        <f t="shared" si="76"/>
        <v>#N/A</v>
      </c>
      <c r="F2396" s="3" t="e">
        <f t="shared" si="77"/>
        <v>#N/A</v>
      </c>
    </row>
    <row r="2397" spans="2:6" x14ac:dyDescent="0.25">
      <c r="B2397" s="3"/>
      <c r="C2397" s="3"/>
      <c r="D2397" s="3"/>
      <c r="E2397" s="3" t="e">
        <f t="shared" si="76"/>
        <v>#N/A</v>
      </c>
      <c r="F2397" s="3" t="e">
        <f t="shared" si="77"/>
        <v>#N/A</v>
      </c>
    </row>
    <row r="2398" spans="2:6" x14ac:dyDescent="0.25">
      <c r="B2398" s="3"/>
      <c r="C2398" s="3"/>
      <c r="D2398" s="3"/>
      <c r="E2398" s="3" t="e">
        <f t="shared" si="76"/>
        <v>#N/A</v>
      </c>
      <c r="F2398" s="3" t="e">
        <f t="shared" si="77"/>
        <v>#N/A</v>
      </c>
    </row>
    <row r="2399" spans="2:6" x14ac:dyDescent="0.25">
      <c r="B2399" s="3"/>
      <c r="C2399" s="3"/>
      <c r="D2399" s="3"/>
      <c r="E2399" s="3" t="e">
        <f t="shared" si="76"/>
        <v>#N/A</v>
      </c>
      <c r="F2399" s="3" t="e">
        <f t="shared" si="77"/>
        <v>#N/A</v>
      </c>
    </row>
    <row r="2400" spans="2:6" x14ac:dyDescent="0.25">
      <c r="B2400" s="3"/>
      <c r="C2400" s="3"/>
      <c r="D2400" s="3"/>
      <c r="E2400" s="3" t="e">
        <f t="shared" si="76"/>
        <v>#N/A</v>
      </c>
      <c r="F2400" s="3" t="e">
        <f t="shared" si="77"/>
        <v>#N/A</v>
      </c>
    </row>
    <row r="2401" spans="2:6" x14ac:dyDescent="0.25">
      <c r="B2401" s="3"/>
      <c r="C2401" s="3"/>
      <c r="D2401" s="3"/>
      <c r="E2401" s="3" t="e">
        <f t="shared" si="76"/>
        <v>#N/A</v>
      </c>
      <c r="F2401" s="3" t="e">
        <f t="shared" si="77"/>
        <v>#N/A</v>
      </c>
    </row>
    <row r="2402" spans="2:6" x14ac:dyDescent="0.25">
      <c r="B2402" s="3"/>
      <c r="C2402" s="3"/>
      <c r="D2402" s="3"/>
      <c r="E2402" s="3" t="e">
        <f t="shared" si="76"/>
        <v>#N/A</v>
      </c>
      <c r="F2402" s="3" t="e">
        <f t="shared" si="77"/>
        <v>#N/A</v>
      </c>
    </row>
    <row r="2403" spans="2:6" x14ac:dyDescent="0.25">
      <c r="B2403" s="3"/>
      <c r="C2403" s="3"/>
      <c r="D2403" s="3"/>
      <c r="E2403" s="3" t="e">
        <f t="shared" si="76"/>
        <v>#N/A</v>
      </c>
      <c r="F2403" s="3" t="e">
        <f t="shared" si="77"/>
        <v>#N/A</v>
      </c>
    </row>
    <row r="2404" spans="2:6" x14ac:dyDescent="0.25">
      <c r="B2404" s="3"/>
      <c r="C2404" s="3"/>
      <c r="D2404" s="3"/>
      <c r="E2404" s="3" t="e">
        <f t="shared" si="76"/>
        <v>#N/A</v>
      </c>
      <c r="F2404" s="3" t="e">
        <f t="shared" si="77"/>
        <v>#N/A</v>
      </c>
    </row>
    <row r="2405" spans="2:6" x14ac:dyDescent="0.25">
      <c r="B2405" s="3"/>
      <c r="C2405" s="3"/>
      <c r="D2405" s="3"/>
      <c r="E2405" s="3" t="e">
        <f t="shared" si="76"/>
        <v>#N/A</v>
      </c>
      <c r="F2405" s="3" t="e">
        <f t="shared" si="77"/>
        <v>#N/A</v>
      </c>
    </row>
    <row r="2406" spans="2:6" x14ac:dyDescent="0.25">
      <c r="B2406" s="3"/>
      <c r="C2406" s="3"/>
      <c r="D2406" s="3"/>
      <c r="E2406" s="3" t="e">
        <f t="shared" si="76"/>
        <v>#N/A</v>
      </c>
      <c r="F2406" s="3" t="e">
        <f t="shared" si="77"/>
        <v>#N/A</v>
      </c>
    </row>
    <row r="2407" spans="2:6" x14ac:dyDescent="0.25">
      <c r="B2407" s="3"/>
      <c r="C2407" s="3"/>
      <c r="D2407" s="3"/>
      <c r="E2407" s="3" t="e">
        <f t="shared" si="76"/>
        <v>#N/A</v>
      </c>
      <c r="F2407" s="3" t="e">
        <f t="shared" si="77"/>
        <v>#N/A</v>
      </c>
    </row>
    <row r="2408" spans="2:6" x14ac:dyDescent="0.25">
      <c r="B2408" s="3"/>
      <c r="C2408" s="3"/>
      <c r="D2408" s="3"/>
      <c r="E2408" s="3" t="e">
        <f t="shared" si="76"/>
        <v>#N/A</v>
      </c>
      <c r="F2408" s="3" t="e">
        <f t="shared" si="77"/>
        <v>#N/A</v>
      </c>
    </row>
    <row r="2409" spans="2:6" x14ac:dyDescent="0.25">
      <c r="B2409" s="3"/>
      <c r="C2409" s="3"/>
      <c r="D2409" s="3"/>
      <c r="E2409" s="3" t="e">
        <f t="shared" si="76"/>
        <v>#N/A</v>
      </c>
      <c r="F2409" s="3" t="e">
        <f t="shared" si="77"/>
        <v>#N/A</v>
      </c>
    </row>
    <row r="2410" spans="2:6" x14ac:dyDescent="0.25">
      <c r="B2410" s="3"/>
      <c r="C2410" s="3"/>
      <c r="D2410" s="3"/>
      <c r="E2410" s="3" t="e">
        <f t="shared" si="76"/>
        <v>#N/A</v>
      </c>
      <c r="F2410" s="3" t="e">
        <f t="shared" si="77"/>
        <v>#N/A</v>
      </c>
    </row>
    <row r="2411" spans="2:6" x14ac:dyDescent="0.25">
      <c r="B2411" s="3"/>
      <c r="C2411" s="3"/>
      <c r="D2411" s="3"/>
      <c r="E2411" s="3" t="e">
        <f t="shared" si="76"/>
        <v>#N/A</v>
      </c>
      <c r="F2411" s="3" t="e">
        <f t="shared" si="77"/>
        <v>#N/A</v>
      </c>
    </row>
    <row r="2412" spans="2:6" x14ac:dyDescent="0.25">
      <c r="B2412" s="3"/>
      <c r="C2412" s="3"/>
      <c r="D2412" s="3"/>
      <c r="E2412" s="3" t="e">
        <f t="shared" si="76"/>
        <v>#N/A</v>
      </c>
      <c r="F2412" s="3" t="e">
        <f t="shared" si="77"/>
        <v>#N/A</v>
      </c>
    </row>
    <row r="2413" spans="2:6" x14ac:dyDescent="0.25">
      <c r="B2413" s="3"/>
      <c r="C2413" s="3"/>
      <c r="D2413" s="3"/>
      <c r="E2413" s="3" t="e">
        <f t="shared" si="76"/>
        <v>#N/A</v>
      </c>
      <c r="F2413" s="3" t="e">
        <f t="shared" si="77"/>
        <v>#N/A</v>
      </c>
    </row>
    <row r="2414" spans="2:6" x14ac:dyDescent="0.25">
      <c r="B2414" s="3"/>
      <c r="C2414" s="3"/>
      <c r="D2414" s="3"/>
      <c r="E2414" s="3" t="e">
        <f t="shared" si="76"/>
        <v>#N/A</v>
      </c>
      <c r="F2414" s="3" t="e">
        <f t="shared" si="77"/>
        <v>#N/A</v>
      </c>
    </row>
    <row r="2415" spans="2:6" x14ac:dyDescent="0.25">
      <c r="B2415" s="3"/>
      <c r="C2415" s="3"/>
      <c r="D2415" s="3"/>
      <c r="E2415" s="3" t="e">
        <f t="shared" si="76"/>
        <v>#N/A</v>
      </c>
      <c r="F2415" s="3" t="e">
        <f t="shared" si="77"/>
        <v>#N/A</v>
      </c>
    </row>
    <row r="2416" spans="2:6" x14ac:dyDescent="0.25">
      <c r="B2416" s="3"/>
      <c r="C2416" s="3"/>
      <c r="D2416" s="3"/>
      <c r="E2416" s="3" t="e">
        <f t="shared" si="76"/>
        <v>#N/A</v>
      </c>
      <c r="F2416" s="3" t="e">
        <f t="shared" si="77"/>
        <v>#N/A</v>
      </c>
    </row>
    <row r="2417" spans="2:6" x14ac:dyDescent="0.25">
      <c r="B2417" s="3"/>
      <c r="C2417" s="3"/>
      <c r="D2417" s="3"/>
      <c r="E2417" s="3" t="e">
        <f t="shared" si="76"/>
        <v>#N/A</v>
      </c>
      <c r="F2417" s="3" t="e">
        <f t="shared" si="77"/>
        <v>#N/A</v>
      </c>
    </row>
    <row r="2418" spans="2:6" x14ac:dyDescent="0.25">
      <c r="B2418" s="3"/>
      <c r="C2418" s="3"/>
      <c r="D2418" s="3"/>
      <c r="E2418" s="3" t="e">
        <f t="shared" si="76"/>
        <v>#N/A</v>
      </c>
      <c r="F2418" s="3" t="e">
        <f t="shared" si="77"/>
        <v>#N/A</v>
      </c>
    </row>
    <row r="2419" spans="2:6" x14ac:dyDescent="0.25">
      <c r="B2419" s="3"/>
      <c r="C2419" s="3"/>
      <c r="D2419" s="3"/>
      <c r="E2419" s="3" t="e">
        <f t="shared" si="76"/>
        <v>#N/A</v>
      </c>
      <c r="F2419" s="3" t="e">
        <f t="shared" si="77"/>
        <v>#N/A</v>
      </c>
    </row>
    <row r="2420" spans="2:6" x14ac:dyDescent="0.25">
      <c r="B2420" s="3"/>
      <c r="C2420" s="3"/>
      <c r="D2420" s="3"/>
      <c r="E2420" s="3" t="e">
        <f t="shared" si="76"/>
        <v>#N/A</v>
      </c>
      <c r="F2420" s="3" t="e">
        <f t="shared" si="77"/>
        <v>#N/A</v>
      </c>
    </row>
    <row r="2421" spans="2:6" x14ac:dyDescent="0.25">
      <c r="B2421" s="3"/>
      <c r="C2421" s="3"/>
      <c r="D2421" s="3"/>
      <c r="E2421" s="3" t="e">
        <f t="shared" si="76"/>
        <v>#N/A</v>
      </c>
      <c r="F2421" s="3" t="e">
        <f t="shared" si="77"/>
        <v>#N/A</v>
      </c>
    </row>
    <row r="2422" spans="2:6" x14ac:dyDescent="0.25">
      <c r="B2422" s="3"/>
      <c r="C2422" s="3"/>
      <c r="D2422" s="3"/>
      <c r="E2422" s="3" t="e">
        <f t="shared" si="76"/>
        <v>#N/A</v>
      </c>
      <c r="F2422" s="3" t="e">
        <f t="shared" si="77"/>
        <v>#N/A</v>
      </c>
    </row>
    <row r="2423" spans="2:6" x14ac:dyDescent="0.25">
      <c r="B2423" s="3"/>
      <c r="C2423" s="3"/>
      <c r="D2423" s="3"/>
      <c r="E2423" s="3" t="e">
        <f t="shared" si="76"/>
        <v>#N/A</v>
      </c>
      <c r="F2423" s="3" t="e">
        <f t="shared" si="77"/>
        <v>#N/A</v>
      </c>
    </row>
    <row r="2424" spans="2:6" x14ac:dyDescent="0.25">
      <c r="B2424" s="3"/>
      <c r="C2424" s="3"/>
      <c r="D2424" s="3"/>
      <c r="E2424" s="3" t="e">
        <f t="shared" si="76"/>
        <v>#N/A</v>
      </c>
      <c r="F2424" s="3" t="e">
        <f t="shared" si="77"/>
        <v>#N/A</v>
      </c>
    </row>
    <row r="2425" spans="2:6" x14ac:dyDescent="0.25">
      <c r="B2425" s="3"/>
      <c r="C2425" s="3"/>
      <c r="D2425" s="3"/>
      <c r="E2425" s="3" t="e">
        <f t="shared" si="76"/>
        <v>#N/A</v>
      </c>
      <c r="F2425" s="3" t="e">
        <f t="shared" si="77"/>
        <v>#N/A</v>
      </c>
    </row>
    <row r="2426" spans="2:6" x14ac:dyDescent="0.25">
      <c r="B2426" s="3"/>
      <c r="C2426" s="3"/>
      <c r="D2426" s="3"/>
      <c r="E2426" s="3" t="e">
        <f t="shared" si="76"/>
        <v>#N/A</v>
      </c>
      <c r="F2426" s="3" t="e">
        <f t="shared" si="77"/>
        <v>#N/A</v>
      </c>
    </row>
    <row r="2427" spans="2:6" x14ac:dyDescent="0.25">
      <c r="B2427" s="3"/>
      <c r="C2427" s="3"/>
      <c r="D2427" s="3"/>
      <c r="E2427" s="3" t="e">
        <f t="shared" si="76"/>
        <v>#N/A</v>
      </c>
      <c r="F2427" s="3" t="e">
        <f t="shared" si="77"/>
        <v>#N/A</v>
      </c>
    </row>
    <row r="2428" spans="2:6" x14ac:dyDescent="0.25">
      <c r="B2428" s="3"/>
      <c r="C2428" s="3"/>
      <c r="D2428" s="3"/>
      <c r="E2428" s="3" t="e">
        <f t="shared" si="76"/>
        <v>#N/A</v>
      </c>
      <c r="F2428" s="3" t="e">
        <f t="shared" si="77"/>
        <v>#N/A</v>
      </c>
    </row>
    <row r="2429" spans="2:6" x14ac:dyDescent="0.25">
      <c r="B2429" s="3"/>
      <c r="C2429" s="3"/>
      <c r="D2429" s="3"/>
      <c r="E2429" s="3" t="e">
        <f t="shared" si="76"/>
        <v>#N/A</v>
      </c>
      <c r="F2429" s="3" t="e">
        <f t="shared" si="77"/>
        <v>#N/A</v>
      </c>
    </row>
    <row r="2430" spans="2:6" x14ac:dyDescent="0.25">
      <c r="B2430" s="3"/>
      <c r="C2430" s="3"/>
      <c r="D2430" s="3"/>
      <c r="E2430" s="3" t="e">
        <f t="shared" si="76"/>
        <v>#N/A</v>
      </c>
      <c r="F2430" s="3" t="e">
        <f t="shared" si="77"/>
        <v>#N/A</v>
      </c>
    </row>
    <row r="2431" spans="2:6" x14ac:dyDescent="0.25">
      <c r="B2431" s="3"/>
      <c r="C2431" s="3"/>
      <c r="D2431" s="3"/>
      <c r="E2431" s="3" t="e">
        <f t="shared" si="76"/>
        <v>#N/A</v>
      </c>
      <c r="F2431" s="3" t="e">
        <f t="shared" si="77"/>
        <v>#N/A</v>
      </c>
    </row>
    <row r="2432" spans="2:6" x14ac:dyDescent="0.25">
      <c r="B2432" s="3"/>
      <c r="C2432" s="3"/>
      <c r="D2432" s="3"/>
      <c r="E2432" s="3" t="e">
        <f t="shared" si="76"/>
        <v>#N/A</v>
      </c>
      <c r="F2432" s="3" t="e">
        <f t="shared" si="77"/>
        <v>#N/A</v>
      </c>
    </row>
    <row r="2433" spans="2:6" x14ac:dyDescent="0.25">
      <c r="B2433" s="3"/>
      <c r="C2433" s="3"/>
      <c r="D2433" s="3"/>
      <c r="E2433" s="3" t="e">
        <f t="shared" si="76"/>
        <v>#N/A</v>
      </c>
      <c r="F2433" s="3" t="e">
        <f t="shared" si="77"/>
        <v>#N/A</v>
      </c>
    </row>
    <row r="2434" spans="2:6" x14ac:dyDescent="0.25">
      <c r="B2434" s="3"/>
      <c r="C2434" s="3"/>
      <c r="D2434" s="3"/>
      <c r="E2434" s="3" t="e">
        <f t="shared" si="76"/>
        <v>#N/A</v>
      </c>
      <c r="F2434" s="3" t="e">
        <f t="shared" si="77"/>
        <v>#N/A</v>
      </c>
    </row>
    <row r="2435" spans="2:6" x14ac:dyDescent="0.25">
      <c r="B2435" s="3"/>
      <c r="C2435" s="3"/>
      <c r="D2435" s="3"/>
      <c r="E2435" s="3" t="e">
        <f t="shared" si="76"/>
        <v>#N/A</v>
      </c>
      <c r="F2435" s="3" t="e">
        <f t="shared" si="77"/>
        <v>#N/A</v>
      </c>
    </row>
    <row r="2436" spans="2:6" x14ac:dyDescent="0.25">
      <c r="B2436" s="3"/>
      <c r="C2436" s="3"/>
      <c r="D2436" s="3"/>
      <c r="E2436" s="3" t="e">
        <f t="shared" ref="E2436:E2499" si="78">VLOOKUP(C2436,I:J,2,0)</f>
        <v>#N/A</v>
      </c>
      <c r="F2436" s="3" t="e">
        <f t="shared" ref="F2436:F2499" si="79">E2436&amp;" "&amp;B2436</f>
        <v>#N/A</v>
      </c>
    </row>
    <row r="2437" spans="2:6" x14ac:dyDescent="0.25">
      <c r="B2437" s="3"/>
      <c r="C2437" s="3"/>
      <c r="D2437" s="3"/>
      <c r="E2437" s="3" t="e">
        <f t="shared" si="78"/>
        <v>#N/A</v>
      </c>
      <c r="F2437" s="3" t="e">
        <f t="shared" si="79"/>
        <v>#N/A</v>
      </c>
    </row>
    <row r="2438" spans="2:6" x14ac:dyDescent="0.25">
      <c r="B2438" s="3"/>
      <c r="C2438" s="3"/>
      <c r="D2438" s="3"/>
      <c r="E2438" s="3" t="e">
        <f t="shared" si="78"/>
        <v>#N/A</v>
      </c>
      <c r="F2438" s="3" t="e">
        <f t="shared" si="79"/>
        <v>#N/A</v>
      </c>
    </row>
    <row r="2439" spans="2:6" x14ac:dyDescent="0.25">
      <c r="B2439" s="3"/>
      <c r="C2439" s="3"/>
      <c r="D2439" s="3"/>
      <c r="E2439" s="3" t="e">
        <f t="shared" si="78"/>
        <v>#N/A</v>
      </c>
      <c r="F2439" s="3" t="e">
        <f t="shared" si="79"/>
        <v>#N/A</v>
      </c>
    </row>
    <row r="2440" spans="2:6" x14ac:dyDescent="0.25">
      <c r="B2440" s="3"/>
      <c r="C2440" s="3"/>
      <c r="D2440" s="3"/>
      <c r="E2440" s="3" t="e">
        <f t="shared" si="78"/>
        <v>#N/A</v>
      </c>
      <c r="F2440" s="3" t="e">
        <f t="shared" si="79"/>
        <v>#N/A</v>
      </c>
    </row>
    <row r="2441" spans="2:6" x14ac:dyDescent="0.25">
      <c r="B2441" s="3"/>
      <c r="C2441" s="3"/>
      <c r="D2441" s="3"/>
      <c r="E2441" s="3" t="e">
        <f t="shared" si="78"/>
        <v>#N/A</v>
      </c>
      <c r="F2441" s="3" t="e">
        <f t="shared" si="79"/>
        <v>#N/A</v>
      </c>
    </row>
    <row r="2442" spans="2:6" x14ac:dyDescent="0.25">
      <c r="B2442" s="3"/>
      <c r="C2442" s="3"/>
      <c r="D2442" s="3"/>
      <c r="E2442" s="3" t="e">
        <f t="shared" si="78"/>
        <v>#N/A</v>
      </c>
      <c r="F2442" s="3" t="e">
        <f t="shared" si="79"/>
        <v>#N/A</v>
      </c>
    </row>
    <row r="2443" spans="2:6" x14ac:dyDescent="0.25">
      <c r="B2443" s="3"/>
      <c r="C2443" s="3"/>
      <c r="D2443" s="3"/>
      <c r="E2443" s="3" t="e">
        <f t="shared" si="78"/>
        <v>#N/A</v>
      </c>
      <c r="F2443" s="3" t="e">
        <f t="shared" si="79"/>
        <v>#N/A</v>
      </c>
    </row>
    <row r="2444" spans="2:6" x14ac:dyDescent="0.25">
      <c r="B2444" s="3"/>
      <c r="C2444" s="3"/>
      <c r="D2444" s="3"/>
      <c r="E2444" s="3" t="e">
        <f t="shared" si="78"/>
        <v>#N/A</v>
      </c>
      <c r="F2444" s="3" t="e">
        <f t="shared" si="79"/>
        <v>#N/A</v>
      </c>
    </row>
    <row r="2445" spans="2:6" x14ac:dyDescent="0.25">
      <c r="B2445" s="3"/>
      <c r="C2445" s="3"/>
      <c r="D2445" s="3"/>
      <c r="E2445" s="3" t="e">
        <f t="shared" si="78"/>
        <v>#N/A</v>
      </c>
      <c r="F2445" s="3" t="e">
        <f t="shared" si="79"/>
        <v>#N/A</v>
      </c>
    </row>
    <row r="2446" spans="2:6" x14ac:dyDescent="0.25">
      <c r="B2446" s="3"/>
      <c r="C2446" s="3"/>
      <c r="D2446" s="3"/>
      <c r="E2446" s="3" t="e">
        <f t="shared" si="78"/>
        <v>#N/A</v>
      </c>
      <c r="F2446" s="3" t="e">
        <f t="shared" si="79"/>
        <v>#N/A</v>
      </c>
    </row>
    <row r="2447" spans="2:6" x14ac:dyDescent="0.25">
      <c r="B2447" s="3"/>
      <c r="C2447" s="3"/>
      <c r="D2447" s="3"/>
      <c r="E2447" s="3" t="e">
        <f t="shared" si="78"/>
        <v>#N/A</v>
      </c>
      <c r="F2447" s="3" t="e">
        <f t="shared" si="79"/>
        <v>#N/A</v>
      </c>
    </row>
    <row r="2448" spans="2:6" x14ac:dyDescent="0.25">
      <c r="B2448" s="3"/>
      <c r="C2448" s="3"/>
      <c r="D2448" s="3"/>
      <c r="E2448" s="3" t="e">
        <f t="shared" si="78"/>
        <v>#N/A</v>
      </c>
      <c r="F2448" s="3" t="e">
        <f t="shared" si="79"/>
        <v>#N/A</v>
      </c>
    </row>
    <row r="2449" spans="2:6" x14ac:dyDescent="0.25">
      <c r="B2449" s="3"/>
      <c r="C2449" s="3"/>
      <c r="D2449" s="3"/>
      <c r="E2449" s="3" t="e">
        <f t="shared" si="78"/>
        <v>#N/A</v>
      </c>
      <c r="F2449" s="3" t="e">
        <f t="shared" si="79"/>
        <v>#N/A</v>
      </c>
    </row>
    <row r="2450" spans="2:6" x14ac:dyDescent="0.25">
      <c r="B2450" s="3"/>
      <c r="C2450" s="3"/>
      <c r="D2450" s="3"/>
      <c r="E2450" s="3" t="e">
        <f t="shared" si="78"/>
        <v>#N/A</v>
      </c>
      <c r="F2450" s="3" t="e">
        <f t="shared" si="79"/>
        <v>#N/A</v>
      </c>
    </row>
    <row r="2451" spans="2:6" x14ac:dyDescent="0.25">
      <c r="B2451" s="3"/>
      <c r="C2451" s="3"/>
      <c r="D2451" s="3"/>
      <c r="E2451" s="3" t="e">
        <f t="shared" si="78"/>
        <v>#N/A</v>
      </c>
      <c r="F2451" s="3" t="e">
        <f t="shared" si="79"/>
        <v>#N/A</v>
      </c>
    </row>
    <row r="2452" spans="2:6" x14ac:dyDescent="0.25">
      <c r="B2452" s="3"/>
      <c r="C2452" s="3"/>
      <c r="D2452" s="3"/>
      <c r="E2452" s="3" t="e">
        <f t="shared" si="78"/>
        <v>#N/A</v>
      </c>
      <c r="F2452" s="3" t="e">
        <f t="shared" si="79"/>
        <v>#N/A</v>
      </c>
    </row>
    <row r="2453" spans="2:6" x14ac:dyDescent="0.25">
      <c r="B2453" s="3"/>
      <c r="C2453" s="3"/>
      <c r="D2453" s="3"/>
      <c r="E2453" s="3" t="e">
        <f t="shared" si="78"/>
        <v>#N/A</v>
      </c>
      <c r="F2453" s="3" t="e">
        <f t="shared" si="79"/>
        <v>#N/A</v>
      </c>
    </row>
    <row r="2454" spans="2:6" x14ac:dyDescent="0.25">
      <c r="B2454" s="3"/>
      <c r="C2454" s="3"/>
      <c r="D2454" s="3"/>
      <c r="E2454" s="3" t="e">
        <f t="shared" si="78"/>
        <v>#N/A</v>
      </c>
      <c r="F2454" s="3" t="e">
        <f t="shared" si="79"/>
        <v>#N/A</v>
      </c>
    </row>
    <row r="2455" spans="2:6" x14ac:dyDescent="0.25">
      <c r="B2455" s="3"/>
      <c r="C2455" s="3"/>
      <c r="D2455" s="3"/>
      <c r="E2455" s="3" t="e">
        <f t="shared" si="78"/>
        <v>#N/A</v>
      </c>
      <c r="F2455" s="3" t="e">
        <f t="shared" si="79"/>
        <v>#N/A</v>
      </c>
    </row>
    <row r="2456" spans="2:6" x14ac:dyDescent="0.25">
      <c r="B2456" s="3"/>
      <c r="C2456" s="3"/>
      <c r="D2456" s="3"/>
      <c r="E2456" s="3" t="e">
        <f t="shared" si="78"/>
        <v>#N/A</v>
      </c>
      <c r="F2456" s="3" t="e">
        <f t="shared" si="79"/>
        <v>#N/A</v>
      </c>
    </row>
    <row r="2457" spans="2:6" x14ac:dyDescent="0.25">
      <c r="B2457" s="3"/>
      <c r="C2457" s="3"/>
      <c r="D2457" s="3"/>
      <c r="E2457" s="3" t="e">
        <f t="shared" si="78"/>
        <v>#N/A</v>
      </c>
      <c r="F2457" s="3" t="e">
        <f t="shared" si="79"/>
        <v>#N/A</v>
      </c>
    </row>
    <row r="2458" spans="2:6" x14ac:dyDescent="0.25">
      <c r="B2458" s="3"/>
      <c r="C2458" s="3"/>
      <c r="D2458" s="3"/>
      <c r="E2458" s="3" t="e">
        <f t="shared" si="78"/>
        <v>#N/A</v>
      </c>
      <c r="F2458" s="3" t="e">
        <f t="shared" si="79"/>
        <v>#N/A</v>
      </c>
    </row>
    <row r="2459" spans="2:6" x14ac:dyDescent="0.25">
      <c r="B2459" s="3"/>
      <c r="C2459" s="3"/>
      <c r="D2459" s="3"/>
      <c r="E2459" s="3" t="e">
        <f t="shared" si="78"/>
        <v>#N/A</v>
      </c>
      <c r="F2459" s="3" t="e">
        <f t="shared" si="79"/>
        <v>#N/A</v>
      </c>
    </row>
    <row r="2460" spans="2:6" x14ac:dyDescent="0.25">
      <c r="B2460" s="3"/>
      <c r="C2460" s="3"/>
      <c r="D2460" s="3"/>
      <c r="E2460" s="3" t="e">
        <f t="shared" si="78"/>
        <v>#N/A</v>
      </c>
      <c r="F2460" s="3" t="e">
        <f t="shared" si="79"/>
        <v>#N/A</v>
      </c>
    </row>
    <row r="2461" spans="2:6" x14ac:dyDescent="0.25">
      <c r="B2461" s="3"/>
      <c r="C2461" s="3"/>
      <c r="D2461" s="3"/>
      <c r="E2461" s="3" t="e">
        <f t="shared" si="78"/>
        <v>#N/A</v>
      </c>
      <c r="F2461" s="3" t="e">
        <f t="shared" si="79"/>
        <v>#N/A</v>
      </c>
    </row>
    <row r="2462" spans="2:6" x14ac:dyDescent="0.25">
      <c r="B2462" s="3"/>
      <c r="C2462" s="3"/>
      <c r="D2462" s="3"/>
      <c r="E2462" s="3" t="e">
        <f t="shared" si="78"/>
        <v>#N/A</v>
      </c>
      <c r="F2462" s="3" t="e">
        <f t="shared" si="79"/>
        <v>#N/A</v>
      </c>
    </row>
    <row r="2463" spans="2:6" x14ac:dyDescent="0.25">
      <c r="B2463" s="3"/>
      <c r="C2463" s="3"/>
      <c r="D2463" s="3"/>
      <c r="E2463" s="3" t="e">
        <f t="shared" si="78"/>
        <v>#N/A</v>
      </c>
      <c r="F2463" s="3" t="e">
        <f t="shared" si="79"/>
        <v>#N/A</v>
      </c>
    </row>
    <row r="2464" spans="2:6" x14ac:dyDescent="0.25">
      <c r="B2464" s="3"/>
      <c r="C2464" s="3"/>
      <c r="D2464" s="3"/>
      <c r="E2464" s="3" t="e">
        <f t="shared" si="78"/>
        <v>#N/A</v>
      </c>
      <c r="F2464" s="3" t="e">
        <f t="shared" si="79"/>
        <v>#N/A</v>
      </c>
    </row>
    <row r="2465" spans="2:6" x14ac:dyDescent="0.25">
      <c r="B2465" s="3"/>
      <c r="C2465" s="3"/>
      <c r="D2465" s="3"/>
      <c r="E2465" s="3" t="e">
        <f t="shared" si="78"/>
        <v>#N/A</v>
      </c>
      <c r="F2465" s="3" t="e">
        <f t="shared" si="79"/>
        <v>#N/A</v>
      </c>
    </row>
    <row r="2466" spans="2:6" x14ac:dyDescent="0.25">
      <c r="B2466" s="3"/>
      <c r="C2466" s="3"/>
      <c r="D2466" s="3"/>
      <c r="E2466" s="3" t="e">
        <f t="shared" si="78"/>
        <v>#N/A</v>
      </c>
      <c r="F2466" s="3" t="e">
        <f t="shared" si="79"/>
        <v>#N/A</v>
      </c>
    </row>
    <row r="2467" spans="2:6" x14ac:dyDescent="0.25">
      <c r="B2467" s="3"/>
      <c r="C2467" s="3"/>
      <c r="D2467" s="3"/>
      <c r="E2467" s="3" t="e">
        <f t="shared" si="78"/>
        <v>#N/A</v>
      </c>
      <c r="F2467" s="3" t="e">
        <f t="shared" si="79"/>
        <v>#N/A</v>
      </c>
    </row>
    <row r="2468" spans="2:6" x14ac:dyDescent="0.25">
      <c r="B2468" s="3"/>
      <c r="C2468" s="3"/>
      <c r="D2468" s="3"/>
      <c r="E2468" s="3" t="e">
        <f t="shared" si="78"/>
        <v>#N/A</v>
      </c>
      <c r="F2468" s="3" t="e">
        <f t="shared" si="79"/>
        <v>#N/A</v>
      </c>
    </row>
    <row r="2469" spans="2:6" x14ac:dyDescent="0.25">
      <c r="B2469" s="3"/>
      <c r="C2469" s="3"/>
      <c r="D2469" s="3"/>
      <c r="E2469" s="3" t="e">
        <f t="shared" si="78"/>
        <v>#N/A</v>
      </c>
      <c r="F2469" s="3" t="e">
        <f t="shared" si="79"/>
        <v>#N/A</v>
      </c>
    </row>
    <row r="2470" spans="2:6" x14ac:dyDescent="0.25">
      <c r="B2470" s="3"/>
      <c r="C2470" s="3"/>
      <c r="D2470" s="3"/>
      <c r="E2470" s="3" t="e">
        <f t="shared" si="78"/>
        <v>#N/A</v>
      </c>
      <c r="F2470" s="3" t="e">
        <f t="shared" si="79"/>
        <v>#N/A</v>
      </c>
    </row>
    <row r="2471" spans="2:6" x14ac:dyDescent="0.25">
      <c r="B2471" s="3"/>
      <c r="C2471" s="3"/>
      <c r="D2471" s="3"/>
      <c r="E2471" s="3" t="e">
        <f t="shared" si="78"/>
        <v>#N/A</v>
      </c>
      <c r="F2471" s="3" t="e">
        <f t="shared" si="79"/>
        <v>#N/A</v>
      </c>
    </row>
    <row r="2472" spans="2:6" x14ac:dyDescent="0.25">
      <c r="B2472" s="3"/>
      <c r="C2472" s="3"/>
      <c r="D2472" s="3"/>
      <c r="E2472" s="3" t="e">
        <f t="shared" si="78"/>
        <v>#N/A</v>
      </c>
      <c r="F2472" s="3" t="e">
        <f t="shared" si="79"/>
        <v>#N/A</v>
      </c>
    </row>
    <row r="2473" spans="2:6" x14ac:dyDescent="0.25">
      <c r="B2473" s="3"/>
      <c r="C2473" s="3"/>
      <c r="D2473" s="3"/>
      <c r="E2473" s="3" t="e">
        <f t="shared" si="78"/>
        <v>#N/A</v>
      </c>
      <c r="F2473" s="3" t="e">
        <f t="shared" si="79"/>
        <v>#N/A</v>
      </c>
    </row>
    <row r="2474" spans="2:6" x14ac:dyDescent="0.25">
      <c r="B2474" s="3"/>
      <c r="C2474" s="3"/>
      <c r="D2474" s="3"/>
      <c r="E2474" s="3" t="e">
        <f t="shared" si="78"/>
        <v>#N/A</v>
      </c>
      <c r="F2474" s="3" t="e">
        <f t="shared" si="79"/>
        <v>#N/A</v>
      </c>
    </row>
    <row r="2475" spans="2:6" x14ac:dyDescent="0.25">
      <c r="B2475" s="3"/>
      <c r="C2475" s="3"/>
      <c r="D2475" s="3"/>
      <c r="E2475" s="3" t="e">
        <f t="shared" si="78"/>
        <v>#N/A</v>
      </c>
      <c r="F2475" s="3" t="e">
        <f t="shared" si="79"/>
        <v>#N/A</v>
      </c>
    </row>
    <row r="2476" spans="2:6" x14ac:dyDescent="0.25">
      <c r="B2476" s="3"/>
      <c r="C2476" s="3"/>
      <c r="D2476" s="3"/>
      <c r="E2476" s="3" t="e">
        <f t="shared" si="78"/>
        <v>#N/A</v>
      </c>
      <c r="F2476" s="3" t="e">
        <f t="shared" si="79"/>
        <v>#N/A</v>
      </c>
    </row>
    <row r="2477" spans="2:6" x14ac:dyDescent="0.25">
      <c r="B2477" s="3"/>
      <c r="C2477" s="3"/>
      <c r="D2477" s="3"/>
      <c r="E2477" s="3" t="e">
        <f t="shared" si="78"/>
        <v>#N/A</v>
      </c>
      <c r="F2477" s="3" t="e">
        <f t="shared" si="79"/>
        <v>#N/A</v>
      </c>
    </row>
    <row r="2478" spans="2:6" x14ac:dyDescent="0.25">
      <c r="B2478" s="3"/>
      <c r="C2478" s="3"/>
      <c r="D2478" s="3"/>
      <c r="E2478" s="3" t="e">
        <f t="shared" si="78"/>
        <v>#N/A</v>
      </c>
      <c r="F2478" s="3" t="e">
        <f t="shared" si="79"/>
        <v>#N/A</v>
      </c>
    </row>
    <row r="2479" spans="2:6" x14ac:dyDescent="0.25">
      <c r="B2479" s="3"/>
      <c r="C2479" s="3"/>
      <c r="D2479" s="3"/>
      <c r="E2479" s="3" t="e">
        <f t="shared" si="78"/>
        <v>#N/A</v>
      </c>
      <c r="F2479" s="3" t="e">
        <f t="shared" si="79"/>
        <v>#N/A</v>
      </c>
    </row>
    <row r="2480" spans="2:6" x14ac:dyDescent="0.25">
      <c r="B2480" s="3"/>
      <c r="C2480" s="3"/>
      <c r="D2480" s="3"/>
      <c r="E2480" s="3" t="e">
        <f t="shared" si="78"/>
        <v>#N/A</v>
      </c>
      <c r="F2480" s="3" t="e">
        <f t="shared" si="79"/>
        <v>#N/A</v>
      </c>
    </row>
    <row r="2481" spans="2:6" x14ac:dyDescent="0.25">
      <c r="B2481" s="3"/>
      <c r="C2481" s="3"/>
      <c r="D2481" s="3"/>
      <c r="E2481" s="3" t="e">
        <f t="shared" si="78"/>
        <v>#N/A</v>
      </c>
      <c r="F2481" s="3" t="e">
        <f t="shared" si="79"/>
        <v>#N/A</v>
      </c>
    </row>
    <row r="2482" spans="2:6" x14ac:dyDescent="0.25">
      <c r="B2482" s="3"/>
      <c r="C2482" s="3"/>
      <c r="D2482" s="3"/>
      <c r="E2482" s="3" t="e">
        <f t="shared" si="78"/>
        <v>#N/A</v>
      </c>
      <c r="F2482" s="3" t="e">
        <f t="shared" si="79"/>
        <v>#N/A</v>
      </c>
    </row>
    <row r="2483" spans="2:6" x14ac:dyDescent="0.25">
      <c r="B2483" s="3"/>
      <c r="C2483" s="3"/>
      <c r="D2483" s="3"/>
      <c r="E2483" s="3" t="e">
        <f t="shared" si="78"/>
        <v>#N/A</v>
      </c>
      <c r="F2483" s="3" t="e">
        <f t="shared" si="79"/>
        <v>#N/A</v>
      </c>
    </row>
    <row r="2484" spans="2:6" x14ac:dyDescent="0.25">
      <c r="B2484" s="3"/>
      <c r="C2484" s="3"/>
      <c r="D2484" s="3"/>
      <c r="E2484" s="3" t="e">
        <f t="shared" si="78"/>
        <v>#N/A</v>
      </c>
      <c r="F2484" s="3" t="e">
        <f t="shared" si="79"/>
        <v>#N/A</v>
      </c>
    </row>
    <row r="2485" spans="2:6" x14ac:dyDescent="0.25">
      <c r="B2485" s="3"/>
      <c r="C2485" s="3"/>
      <c r="D2485" s="3"/>
      <c r="E2485" s="3" t="e">
        <f t="shared" si="78"/>
        <v>#N/A</v>
      </c>
      <c r="F2485" s="3" t="e">
        <f t="shared" si="79"/>
        <v>#N/A</v>
      </c>
    </row>
    <row r="2486" spans="2:6" x14ac:dyDescent="0.25">
      <c r="B2486" s="3"/>
      <c r="C2486" s="3"/>
      <c r="D2486" s="3"/>
      <c r="E2486" s="3" t="e">
        <f t="shared" si="78"/>
        <v>#N/A</v>
      </c>
      <c r="F2486" s="3" t="e">
        <f t="shared" si="79"/>
        <v>#N/A</v>
      </c>
    </row>
    <row r="2487" spans="2:6" x14ac:dyDescent="0.25">
      <c r="B2487" s="3"/>
      <c r="C2487" s="3"/>
      <c r="D2487" s="3"/>
      <c r="E2487" s="3" t="e">
        <f t="shared" si="78"/>
        <v>#N/A</v>
      </c>
      <c r="F2487" s="3" t="e">
        <f t="shared" si="79"/>
        <v>#N/A</v>
      </c>
    </row>
    <row r="2488" spans="2:6" x14ac:dyDescent="0.25">
      <c r="B2488" s="3"/>
      <c r="C2488" s="3"/>
      <c r="D2488" s="3"/>
      <c r="E2488" s="3" t="e">
        <f t="shared" si="78"/>
        <v>#N/A</v>
      </c>
      <c r="F2488" s="3" t="e">
        <f t="shared" si="79"/>
        <v>#N/A</v>
      </c>
    </row>
    <row r="2489" spans="2:6" x14ac:dyDescent="0.25">
      <c r="B2489" s="3"/>
      <c r="C2489" s="3"/>
      <c r="D2489" s="3"/>
      <c r="E2489" s="3" t="e">
        <f t="shared" si="78"/>
        <v>#N/A</v>
      </c>
      <c r="F2489" s="3" t="e">
        <f t="shared" si="79"/>
        <v>#N/A</v>
      </c>
    </row>
    <row r="2490" spans="2:6" x14ac:dyDescent="0.25">
      <c r="B2490" s="3"/>
      <c r="C2490" s="3"/>
      <c r="D2490" s="3"/>
      <c r="E2490" s="3" t="e">
        <f t="shared" si="78"/>
        <v>#N/A</v>
      </c>
      <c r="F2490" s="3" t="e">
        <f t="shared" si="79"/>
        <v>#N/A</v>
      </c>
    </row>
    <row r="2491" spans="2:6" x14ac:dyDescent="0.25">
      <c r="B2491" s="3"/>
      <c r="C2491" s="3"/>
      <c r="D2491" s="3"/>
      <c r="E2491" s="3" t="e">
        <f t="shared" si="78"/>
        <v>#N/A</v>
      </c>
      <c r="F2491" s="3" t="e">
        <f t="shared" si="79"/>
        <v>#N/A</v>
      </c>
    </row>
    <row r="2492" spans="2:6" x14ac:dyDescent="0.25">
      <c r="B2492" s="3"/>
      <c r="C2492" s="3"/>
      <c r="D2492" s="3"/>
      <c r="E2492" s="3" t="e">
        <f t="shared" si="78"/>
        <v>#N/A</v>
      </c>
      <c r="F2492" s="3" t="e">
        <f t="shared" si="79"/>
        <v>#N/A</v>
      </c>
    </row>
    <row r="2493" spans="2:6" x14ac:dyDescent="0.25">
      <c r="B2493" s="3"/>
      <c r="C2493" s="3"/>
      <c r="D2493" s="3"/>
      <c r="E2493" s="3" t="e">
        <f t="shared" si="78"/>
        <v>#N/A</v>
      </c>
      <c r="F2493" s="3" t="e">
        <f t="shared" si="79"/>
        <v>#N/A</v>
      </c>
    </row>
    <row r="2494" spans="2:6" x14ac:dyDescent="0.25">
      <c r="B2494" s="3"/>
      <c r="C2494" s="3"/>
      <c r="D2494" s="3"/>
      <c r="E2494" s="3" t="e">
        <f t="shared" si="78"/>
        <v>#N/A</v>
      </c>
      <c r="F2494" s="3" t="e">
        <f t="shared" si="79"/>
        <v>#N/A</v>
      </c>
    </row>
    <row r="2495" spans="2:6" x14ac:dyDescent="0.25">
      <c r="B2495" s="3"/>
      <c r="C2495" s="3"/>
      <c r="D2495" s="3"/>
      <c r="E2495" s="3" t="e">
        <f t="shared" si="78"/>
        <v>#N/A</v>
      </c>
      <c r="F2495" s="3" t="e">
        <f t="shared" si="79"/>
        <v>#N/A</v>
      </c>
    </row>
    <row r="2496" spans="2:6" x14ac:dyDescent="0.25">
      <c r="B2496" s="3"/>
      <c r="C2496" s="3"/>
      <c r="D2496" s="3"/>
      <c r="E2496" s="3" t="e">
        <f t="shared" si="78"/>
        <v>#N/A</v>
      </c>
      <c r="F2496" s="3" t="e">
        <f t="shared" si="79"/>
        <v>#N/A</v>
      </c>
    </row>
    <row r="2497" spans="2:6" x14ac:dyDescent="0.25">
      <c r="B2497" s="3"/>
      <c r="C2497" s="3"/>
      <c r="D2497" s="3"/>
      <c r="E2497" s="3" t="e">
        <f t="shared" si="78"/>
        <v>#N/A</v>
      </c>
      <c r="F2497" s="3" t="e">
        <f t="shared" si="79"/>
        <v>#N/A</v>
      </c>
    </row>
    <row r="2498" spans="2:6" x14ac:dyDescent="0.25">
      <c r="B2498" s="3"/>
      <c r="C2498" s="3"/>
      <c r="D2498" s="3"/>
      <c r="E2498" s="3" t="e">
        <f t="shared" si="78"/>
        <v>#N/A</v>
      </c>
      <c r="F2498" s="3" t="e">
        <f t="shared" si="79"/>
        <v>#N/A</v>
      </c>
    </row>
    <row r="2499" spans="2:6" x14ac:dyDescent="0.25">
      <c r="B2499" s="3"/>
      <c r="C2499" s="3"/>
      <c r="D2499" s="3"/>
      <c r="E2499" s="3" t="e">
        <f t="shared" si="78"/>
        <v>#N/A</v>
      </c>
      <c r="F2499" s="3" t="e">
        <f t="shared" si="79"/>
        <v>#N/A</v>
      </c>
    </row>
    <row r="2500" spans="2:6" x14ac:dyDescent="0.25">
      <c r="B2500" s="3"/>
      <c r="C2500" s="3"/>
      <c r="D2500" s="3"/>
      <c r="E2500" s="3" t="e">
        <f t="shared" ref="E2500:E2563" si="80">VLOOKUP(C2500,I:J,2,0)</f>
        <v>#N/A</v>
      </c>
      <c r="F2500" s="3" t="e">
        <f t="shared" ref="F2500:F2563" si="81">E2500&amp;" "&amp;B2500</f>
        <v>#N/A</v>
      </c>
    </row>
    <row r="2501" spans="2:6" x14ac:dyDescent="0.25">
      <c r="B2501" s="3"/>
      <c r="C2501" s="3"/>
      <c r="D2501" s="3"/>
      <c r="E2501" s="3" t="e">
        <f t="shared" si="80"/>
        <v>#N/A</v>
      </c>
      <c r="F2501" s="3" t="e">
        <f t="shared" si="81"/>
        <v>#N/A</v>
      </c>
    </row>
    <row r="2502" spans="2:6" x14ac:dyDescent="0.25">
      <c r="B2502" s="3"/>
      <c r="C2502" s="3"/>
      <c r="D2502" s="3"/>
      <c r="E2502" s="3" t="e">
        <f t="shared" si="80"/>
        <v>#N/A</v>
      </c>
      <c r="F2502" s="3" t="e">
        <f t="shared" si="81"/>
        <v>#N/A</v>
      </c>
    </row>
    <row r="2503" spans="2:6" x14ac:dyDescent="0.25">
      <c r="B2503" s="3"/>
      <c r="C2503" s="3"/>
      <c r="D2503" s="3"/>
      <c r="E2503" s="3" t="e">
        <f t="shared" si="80"/>
        <v>#N/A</v>
      </c>
      <c r="F2503" s="3" t="e">
        <f t="shared" si="81"/>
        <v>#N/A</v>
      </c>
    </row>
    <row r="2504" spans="2:6" x14ac:dyDescent="0.25">
      <c r="B2504" s="3"/>
      <c r="C2504" s="3"/>
      <c r="D2504" s="3"/>
      <c r="E2504" s="3" t="e">
        <f t="shared" si="80"/>
        <v>#N/A</v>
      </c>
      <c r="F2504" s="3" t="e">
        <f t="shared" si="81"/>
        <v>#N/A</v>
      </c>
    </row>
    <row r="2505" spans="2:6" x14ac:dyDescent="0.25">
      <c r="B2505" s="3"/>
      <c r="C2505" s="3"/>
      <c r="D2505" s="3"/>
      <c r="E2505" s="3" t="e">
        <f t="shared" si="80"/>
        <v>#N/A</v>
      </c>
      <c r="F2505" s="3" t="e">
        <f t="shared" si="81"/>
        <v>#N/A</v>
      </c>
    </row>
    <row r="2506" spans="2:6" x14ac:dyDescent="0.25">
      <c r="B2506" s="3"/>
      <c r="C2506" s="3"/>
      <c r="D2506" s="3"/>
      <c r="E2506" s="3" t="e">
        <f t="shared" si="80"/>
        <v>#N/A</v>
      </c>
      <c r="F2506" s="3" t="e">
        <f t="shared" si="81"/>
        <v>#N/A</v>
      </c>
    </row>
    <row r="2507" spans="2:6" x14ac:dyDescent="0.25">
      <c r="B2507" s="3"/>
      <c r="C2507" s="3"/>
      <c r="D2507" s="3"/>
      <c r="E2507" s="3" t="e">
        <f t="shared" si="80"/>
        <v>#N/A</v>
      </c>
      <c r="F2507" s="3" t="e">
        <f t="shared" si="81"/>
        <v>#N/A</v>
      </c>
    </row>
    <row r="2508" spans="2:6" x14ac:dyDescent="0.25">
      <c r="B2508" s="3"/>
      <c r="C2508" s="3"/>
      <c r="D2508" s="3"/>
      <c r="E2508" s="3" t="e">
        <f t="shared" si="80"/>
        <v>#N/A</v>
      </c>
      <c r="F2508" s="3" t="e">
        <f t="shared" si="81"/>
        <v>#N/A</v>
      </c>
    </row>
    <row r="2509" spans="2:6" x14ac:dyDescent="0.25">
      <c r="B2509" s="3"/>
      <c r="C2509" s="3"/>
      <c r="D2509" s="3"/>
      <c r="E2509" s="3" t="e">
        <f t="shared" si="80"/>
        <v>#N/A</v>
      </c>
      <c r="F2509" s="3" t="e">
        <f t="shared" si="81"/>
        <v>#N/A</v>
      </c>
    </row>
    <row r="2510" spans="2:6" x14ac:dyDescent="0.25">
      <c r="B2510" s="3"/>
      <c r="C2510" s="3"/>
      <c r="D2510" s="3"/>
      <c r="E2510" s="3" t="e">
        <f t="shared" si="80"/>
        <v>#N/A</v>
      </c>
      <c r="F2510" s="3" t="e">
        <f t="shared" si="81"/>
        <v>#N/A</v>
      </c>
    </row>
    <row r="2511" spans="2:6" x14ac:dyDescent="0.25">
      <c r="B2511" s="3"/>
      <c r="C2511" s="3"/>
      <c r="D2511" s="3"/>
      <c r="E2511" s="3" t="e">
        <f t="shared" si="80"/>
        <v>#N/A</v>
      </c>
      <c r="F2511" s="3" t="e">
        <f t="shared" si="81"/>
        <v>#N/A</v>
      </c>
    </row>
    <row r="2512" spans="2:6" x14ac:dyDescent="0.25">
      <c r="B2512" s="3"/>
      <c r="C2512" s="3"/>
      <c r="D2512" s="3"/>
      <c r="E2512" s="3" t="e">
        <f t="shared" si="80"/>
        <v>#N/A</v>
      </c>
      <c r="F2512" s="3" t="e">
        <f t="shared" si="81"/>
        <v>#N/A</v>
      </c>
    </row>
    <row r="2513" spans="2:6" x14ac:dyDescent="0.25">
      <c r="B2513" s="3"/>
      <c r="C2513" s="3"/>
      <c r="D2513" s="3"/>
      <c r="E2513" s="3" t="e">
        <f t="shared" si="80"/>
        <v>#N/A</v>
      </c>
      <c r="F2513" s="3" t="e">
        <f t="shared" si="81"/>
        <v>#N/A</v>
      </c>
    </row>
    <row r="2514" spans="2:6" x14ac:dyDescent="0.25">
      <c r="B2514" s="3"/>
      <c r="C2514" s="3"/>
      <c r="D2514" s="3"/>
      <c r="E2514" s="3" t="e">
        <f t="shared" si="80"/>
        <v>#N/A</v>
      </c>
      <c r="F2514" s="3" t="e">
        <f t="shared" si="81"/>
        <v>#N/A</v>
      </c>
    </row>
    <row r="2515" spans="2:6" x14ac:dyDescent="0.25">
      <c r="B2515" s="3"/>
      <c r="C2515" s="3"/>
      <c r="D2515" s="3"/>
      <c r="E2515" s="3" t="e">
        <f t="shared" si="80"/>
        <v>#N/A</v>
      </c>
      <c r="F2515" s="3" t="e">
        <f t="shared" si="81"/>
        <v>#N/A</v>
      </c>
    </row>
    <row r="2516" spans="2:6" x14ac:dyDescent="0.25">
      <c r="B2516" s="3"/>
      <c r="C2516" s="3"/>
      <c r="D2516" s="3"/>
      <c r="E2516" s="3" t="e">
        <f t="shared" si="80"/>
        <v>#N/A</v>
      </c>
      <c r="F2516" s="3" t="e">
        <f t="shared" si="81"/>
        <v>#N/A</v>
      </c>
    </row>
    <row r="2517" spans="2:6" x14ac:dyDescent="0.25">
      <c r="B2517" s="3"/>
      <c r="C2517" s="3"/>
      <c r="D2517" s="3"/>
      <c r="E2517" s="3" t="e">
        <f t="shared" si="80"/>
        <v>#N/A</v>
      </c>
      <c r="F2517" s="3" t="e">
        <f t="shared" si="81"/>
        <v>#N/A</v>
      </c>
    </row>
    <row r="2518" spans="2:6" x14ac:dyDescent="0.25">
      <c r="B2518" s="3"/>
      <c r="C2518" s="3"/>
      <c r="D2518" s="3"/>
      <c r="E2518" s="3" t="e">
        <f t="shared" si="80"/>
        <v>#N/A</v>
      </c>
      <c r="F2518" s="3" t="e">
        <f t="shared" si="81"/>
        <v>#N/A</v>
      </c>
    </row>
    <row r="2519" spans="2:6" x14ac:dyDescent="0.25">
      <c r="B2519" s="3"/>
      <c r="C2519" s="3"/>
      <c r="D2519" s="3"/>
      <c r="E2519" s="3" t="e">
        <f t="shared" si="80"/>
        <v>#N/A</v>
      </c>
      <c r="F2519" s="3" t="e">
        <f t="shared" si="81"/>
        <v>#N/A</v>
      </c>
    </row>
    <row r="2520" spans="2:6" x14ac:dyDescent="0.25">
      <c r="B2520" s="3"/>
      <c r="C2520" s="3"/>
      <c r="D2520" s="3"/>
      <c r="E2520" s="3" t="e">
        <f t="shared" si="80"/>
        <v>#N/A</v>
      </c>
      <c r="F2520" s="3" t="e">
        <f t="shared" si="81"/>
        <v>#N/A</v>
      </c>
    </row>
    <row r="2521" spans="2:6" x14ac:dyDescent="0.25">
      <c r="B2521" s="3"/>
      <c r="C2521" s="3"/>
      <c r="D2521" s="3"/>
      <c r="E2521" s="3" t="e">
        <f t="shared" si="80"/>
        <v>#N/A</v>
      </c>
      <c r="F2521" s="3" t="e">
        <f t="shared" si="81"/>
        <v>#N/A</v>
      </c>
    </row>
    <row r="2522" spans="2:6" x14ac:dyDescent="0.25">
      <c r="B2522" s="3"/>
      <c r="C2522" s="3"/>
      <c r="D2522" s="3"/>
      <c r="E2522" s="3" t="e">
        <f t="shared" si="80"/>
        <v>#N/A</v>
      </c>
      <c r="F2522" s="3" t="e">
        <f t="shared" si="81"/>
        <v>#N/A</v>
      </c>
    </row>
    <row r="2523" spans="2:6" x14ac:dyDescent="0.25">
      <c r="B2523" s="3"/>
      <c r="C2523" s="3"/>
      <c r="D2523" s="3"/>
      <c r="E2523" s="3" t="e">
        <f t="shared" si="80"/>
        <v>#N/A</v>
      </c>
      <c r="F2523" s="3" t="e">
        <f t="shared" si="81"/>
        <v>#N/A</v>
      </c>
    </row>
    <row r="2524" spans="2:6" x14ac:dyDescent="0.25">
      <c r="B2524" s="3"/>
      <c r="C2524" s="3"/>
      <c r="D2524" s="3"/>
      <c r="E2524" s="3" t="e">
        <f t="shared" si="80"/>
        <v>#N/A</v>
      </c>
      <c r="F2524" s="3" t="e">
        <f t="shared" si="81"/>
        <v>#N/A</v>
      </c>
    </row>
    <row r="2525" spans="2:6" x14ac:dyDescent="0.25">
      <c r="B2525" s="3"/>
      <c r="C2525" s="3"/>
      <c r="D2525" s="3"/>
      <c r="E2525" s="3" t="e">
        <f t="shared" si="80"/>
        <v>#N/A</v>
      </c>
      <c r="F2525" s="3" t="e">
        <f t="shared" si="81"/>
        <v>#N/A</v>
      </c>
    </row>
    <row r="2526" spans="2:6" x14ac:dyDescent="0.25">
      <c r="B2526" s="3"/>
      <c r="C2526" s="3"/>
      <c r="D2526" s="3"/>
      <c r="E2526" s="3" t="e">
        <f t="shared" si="80"/>
        <v>#N/A</v>
      </c>
      <c r="F2526" s="3" t="e">
        <f t="shared" si="81"/>
        <v>#N/A</v>
      </c>
    </row>
    <row r="2527" spans="2:6" x14ac:dyDescent="0.25">
      <c r="B2527" s="3"/>
      <c r="C2527" s="3"/>
      <c r="D2527" s="3"/>
      <c r="E2527" s="3" t="e">
        <f t="shared" si="80"/>
        <v>#N/A</v>
      </c>
      <c r="F2527" s="3" t="e">
        <f t="shared" si="81"/>
        <v>#N/A</v>
      </c>
    </row>
    <row r="2528" spans="2:6" x14ac:dyDescent="0.25">
      <c r="B2528" s="3"/>
      <c r="C2528" s="3"/>
      <c r="D2528" s="3"/>
      <c r="E2528" s="3" t="e">
        <f t="shared" si="80"/>
        <v>#N/A</v>
      </c>
      <c r="F2528" s="3" t="e">
        <f t="shared" si="81"/>
        <v>#N/A</v>
      </c>
    </row>
    <row r="2529" spans="2:6" x14ac:dyDescent="0.25">
      <c r="B2529" s="3"/>
      <c r="C2529" s="3"/>
      <c r="D2529" s="3"/>
      <c r="E2529" s="3" t="e">
        <f t="shared" si="80"/>
        <v>#N/A</v>
      </c>
      <c r="F2529" s="3" t="e">
        <f t="shared" si="81"/>
        <v>#N/A</v>
      </c>
    </row>
    <row r="2530" spans="2:6" x14ac:dyDescent="0.25">
      <c r="B2530" s="3"/>
      <c r="C2530" s="3"/>
      <c r="D2530" s="3"/>
      <c r="E2530" s="3" t="e">
        <f t="shared" si="80"/>
        <v>#N/A</v>
      </c>
      <c r="F2530" s="3" t="e">
        <f t="shared" si="81"/>
        <v>#N/A</v>
      </c>
    </row>
    <row r="2531" spans="2:6" x14ac:dyDescent="0.25">
      <c r="B2531" s="3"/>
      <c r="C2531" s="3"/>
      <c r="D2531" s="3"/>
      <c r="E2531" s="3" t="e">
        <f t="shared" si="80"/>
        <v>#N/A</v>
      </c>
      <c r="F2531" s="3" t="e">
        <f t="shared" si="81"/>
        <v>#N/A</v>
      </c>
    </row>
    <row r="2532" spans="2:6" x14ac:dyDescent="0.25">
      <c r="B2532" s="3"/>
      <c r="C2532" s="3"/>
      <c r="D2532" s="3"/>
      <c r="E2532" s="3" t="e">
        <f t="shared" si="80"/>
        <v>#N/A</v>
      </c>
      <c r="F2532" s="3" t="e">
        <f t="shared" si="81"/>
        <v>#N/A</v>
      </c>
    </row>
    <row r="2533" spans="2:6" x14ac:dyDescent="0.25">
      <c r="B2533" s="3"/>
      <c r="C2533" s="3"/>
      <c r="D2533" s="3"/>
      <c r="E2533" s="3" t="e">
        <f t="shared" si="80"/>
        <v>#N/A</v>
      </c>
      <c r="F2533" s="3" t="e">
        <f t="shared" si="81"/>
        <v>#N/A</v>
      </c>
    </row>
    <row r="2534" spans="2:6" x14ac:dyDescent="0.25">
      <c r="B2534" s="3"/>
      <c r="C2534" s="3"/>
      <c r="D2534" s="3"/>
      <c r="E2534" s="3" t="e">
        <f t="shared" si="80"/>
        <v>#N/A</v>
      </c>
      <c r="F2534" s="3" t="e">
        <f t="shared" si="81"/>
        <v>#N/A</v>
      </c>
    </row>
    <row r="2535" spans="2:6" x14ac:dyDescent="0.25">
      <c r="B2535" s="3"/>
      <c r="C2535" s="3"/>
      <c r="D2535" s="3"/>
      <c r="E2535" s="3" t="e">
        <f t="shared" si="80"/>
        <v>#N/A</v>
      </c>
      <c r="F2535" s="3" t="e">
        <f t="shared" si="81"/>
        <v>#N/A</v>
      </c>
    </row>
    <row r="2536" spans="2:6" x14ac:dyDescent="0.25">
      <c r="B2536" s="3"/>
      <c r="C2536" s="3"/>
      <c r="D2536" s="3"/>
      <c r="E2536" s="3" t="e">
        <f t="shared" si="80"/>
        <v>#N/A</v>
      </c>
      <c r="F2536" s="3" t="e">
        <f t="shared" si="81"/>
        <v>#N/A</v>
      </c>
    </row>
    <row r="2537" spans="2:6" x14ac:dyDescent="0.25">
      <c r="B2537" s="3"/>
      <c r="C2537" s="3"/>
      <c r="D2537" s="3"/>
      <c r="E2537" s="3" t="e">
        <f t="shared" si="80"/>
        <v>#N/A</v>
      </c>
      <c r="F2537" s="3" t="e">
        <f t="shared" si="81"/>
        <v>#N/A</v>
      </c>
    </row>
    <row r="2538" spans="2:6" x14ac:dyDescent="0.25">
      <c r="B2538" s="3"/>
      <c r="C2538" s="3"/>
      <c r="D2538" s="3"/>
      <c r="E2538" s="3" t="e">
        <f t="shared" si="80"/>
        <v>#N/A</v>
      </c>
      <c r="F2538" s="3" t="e">
        <f t="shared" si="81"/>
        <v>#N/A</v>
      </c>
    </row>
    <row r="2539" spans="2:6" x14ac:dyDescent="0.25">
      <c r="B2539" s="3"/>
      <c r="C2539" s="3"/>
      <c r="D2539" s="3"/>
      <c r="E2539" s="3" t="e">
        <f t="shared" si="80"/>
        <v>#N/A</v>
      </c>
      <c r="F2539" s="3" t="e">
        <f t="shared" si="81"/>
        <v>#N/A</v>
      </c>
    </row>
    <row r="2540" spans="2:6" x14ac:dyDescent="0.25">
      <c r="B2540" s="3"/>
      <c r="C2540" s="3"/>
      <c r="D2540" s="3"/>
      <c r="E2540" s="3" t="e">
        <f t="shared" si="80"/>
        <v>#N/A</v>
      </c>
      <c r="F2540" s="3" t="e">
        <f t="shared" si="81"/>
        <v>#N/A</v>
      </c>
    </row>
    <row r="2541" spans="2:6" x14ac:dyDescent="0.25">
      <c r="B2541" s="3"/>
      <c r="C2541" s="3"/>
      <c r="D2541" s="3"/>
      <c r="E2541" s="3" t="e">
        <f t="shared" si="80"/>
        <v>#N/A</v>
      </c>
      <c r="F2541" s="3" t="e">
        <f t="shared" si="81"/>
        <v>#N/A</v>
      </c>
    </row>
    <row r="2542" spans="2:6" x14ac:dyDescent="0.25">
      <c r="B2542" s="3"/>
      <c r="C2542" s="3"/>
      <c r="D2542" s="3"/>
      <c r="E2542" s="3" t="e">
        <f t="shared" si="80"/>
        <v>#N/A</v>
      </c>
      <c r="F2542" s="3" t="e">
        <f t="shared" si="81"/>
        <v>#N/A</v>
      </c>
    </row>
    <row r="2543" spans="2:6" x14ac:dyDescent="0.25">
      <c r="B2543" s="3"/>
      <c r="C2543" s="3"/>
      <c r="D2543" s="3"/>
      <c r="E2543" s="3" t="e">
        <f t="shared" si="80"/>
        <v>#N/A</v>
      </c>
      <c r="F2543" s="3" t="e">
        <f t="shared" si="81"/>
        <v>#N/A</v>
      </c>
    </row>
    <row r="2544" spans="2:6" x14ac:dyDescent="0.25">
      <c r="B2544" s="3"/>
      <c r="C2544" s="3"/>
      <c r="D2544" s="3"/>
      <c r="E2544" s="3" t="e">
        <f t="shared" si="80"/>
        <v>#N/A</v>
      </c>
      <c r="F2544" s="3" t="e">
        <f t="shared" si="81"/>
        <v>#N/A</v>
      </c>
    </row>
    <row r="2545" spans="2:6" x14ac:dyDescent="0.25">
      <c r="B2545" s="3"/>
      <c r="C2545" s="3"/>
      <c r="D2545" s="3"/>
      <c r="E2545" s="3" t="e">
        <f t="shared" si="80"/>
        <v>#N/A</v>
      </c>
      <c r="F2545" s="3" t="e">
        <f t="shared" si="81"/>
        <v>#N/A</v>
      </c>
    </row>
    <row r="2546" spans="2:6" x14ac:dyDescent="0.25">
      <c r="B2546" s="3"/>
      <c r="C2546" s="3"/>
      <c r="D2546" s="3"/>
      <c r="E2546" s="3" t="e">
        <f t="shared" si="80"/>
        <v>#N/A</v>
      </c>
      <c r="F2546" s="3" t="e">
        <f t="shared" si="81"/>
        <v>#N/A</v>
      </c>
    </row>
    <row r="2547" spans="2:6" x14ac:dyDescent="0.25">
      <c r="B2547" s="3"/>
      <c r="C2547" s="3"/>
      <c r="D2547" s="3"/>
      <c r="E2547" s="3" t="e">
        <f t="shared" si="80"/>
        <v>#N/A</v>
      </c>
      <c r="F2547" s="3" t="e">
        <f t="shared" si="81"/>
        <v>#N/A</v>
      </c>
    </row>
    <row r="2548" spans="2:6" x14ac:dyDescent="0.25">
      <c r="B2548" s="3"/>
      <c r="C2548" s="3"/>
      <c r="D2548" s="3"/>
      <c r="E2548" s="3" t="e">
        <f t="shared" si="80"/>
        <v>#N/A</v>
      </c>
      <c r="F2548" s="3" t="e">
        <f t="shared" si="81"/>
        <v>#N/A</v>
      </c>
    </row>
    <row r="2549" spans="2:6" x14ac:dyDescent="0.25">
      <c r="B2549" s="3"/>
      <c r="C2549" s="3"/>
      <c r="D2549" s="3"/>
      <c r="E2549" s="3" t="e">
        <f t="shared" si="80"/>
        <v>#N/A</v>
      </c>
      <c r="F2549" s="3" t="e">
        <f t="shared" si="81"/>
        <v>#N/A</v>
      </c>
    </row>
    <row r="2550" spans="2:6" x14ac:dyDescent="0.25">
      <c r="B2550" s="3"/>
      <c r="C2550" s="3"/>
      <c r="D2550" s="3"/>
      <c r="E2550" s="3" t="e">
        <f t="shared" si="80"/>
        <v>#N/A</v>
      </c>
      <c r="F2550" s="3" t="e">
        <f t="shared" si="81"/>
        <v>#N/A</v>
      </c>
    </row>
    <row r="2551" spans="2:6" x14ac:dyDescent="0.25">
      <c r="B2551" s="3"/>
      <c r="C2551" s="3"/>
      <c r="D2551" s="3"/>
      <c r="E2551" s="3" t="e">
        <f t="shared" si="80"/>
        <v>#N/A</v>
      </c>
      <c r="F2551" s="3" t="e">
        <f t="shared" si="81"/>
        <v>#N/A</v>
      </c>
    </row>
    <row r="2552" spans="2:6" x14ac:dyDescent="0.25">
      <c r="B2552" s="3"/>
      <c r="C2552" s="3"/>
      <c r="D2552" s="3"/>
      <c r="E2552" s="3" t="e">
        <f t="shared" si="80"/>
        <v>#N/A</v>
      </c>
      <c r="F2552" s="3" t="e">
        <f t="shared" si="81"/>
        <v>#N/A</v>
      </c>
    </row>
    <row r="2553" spans="2:6" x14ac:dyDescent="0.25">
      <c r="B2553" s="3"/>
      <c r="C2553" s="3"/>
      <c r="D2553" s="3"/>
      <c r="E2553" s="3" t="e">
        <f t="shared" si="80"/>
        <v>#N/A</v>
      </c>
      <c r="F2553" s="3" t="e">
        <f t="shared" si="81"/>
        <v>#N/A</v>
      </c>
    </row>
    <row r="2554" spans="2:6" x14ac:dyDescent="0.25">
      <c r="B2554" s="3"/>
      <c r="C2554" s="3"/>
      <c r="D2554" s="3"/>
      <c r="E2554" s="3" t="e">
        <f t="shared" si="80"/>
        <v>#N/A</v>
      </c>
      <c r="F2554" s="3" t="e">
        <f t="shared" si="81"/>
        <v>#N/A</v>
      </c>
    </row>
    <row r="2555" spans="2:6" x14ac:dyDescent="0.25">
      <c r="B2555" s="3"/>
      <c r="C2555" s="3"/>
      <c r="D2555" s="3"/>
      <c r="E2555" s="3" t="e">
        <f t="shared" si="80"/>
        <v>#N/A</v>
      </c>
      <c r="F2555" s="3" t="e">
        <f t="shared" si="81"/>
        <v>#N/A</v>
      </c>
    </row>
    <row r="2556" spans="2:6" x14ac:dyDescent="0.25">
      <c r="B2556" s="3"/>
      <c r="C2556" s="3"/>
      <c r="D2556" s="3"/>
      <c r="E2556" s="3" t="e">
        <f t="shared" si="80"/>
        <v>#N/A</v>
      </c>
      <c r="F2556" s="3" t="e">
        <f t="shared" si="81"/>
        <v>#N/A</v>
      </c>
    </row>
    <row r="2557" spans="2:6" x14ac:dyDescent="0.25">
      <c r="B2557" s="3"/>
      <c r="C2557" s="3"/>
      <c r="D2557" s="3"/>
      <c r="E2557" s="3" t="e">
        <f t="shared" si="80"/>
        <v>#N/A</v>
      </c>
      <c r="F2557" s="3" t="e">
        <f t="shared" si="81"/>
        <v>#N/A</v>
      </c>
    </row>
    <row r="2558" spans="2:6" x14ac:dyDescent="0.25">
      <c r="B2558" s="3"/>
      <c r="C2558" s="3"/>
      <c r="D2558" s="3"/>
      <c r="E2558" s="3" t="e">
        <f t="shared" si="80"/>
        <v>#N/A</v>
      </c>
      <c r="F2558" s="3" t="e">
        <f t="shared" si="81"/>
        <v>#N/A</v>
      </c>
    </row>
    <row r="2559" spans="2:6" x14ac:dyDescent="0.25">
      <c r="B2559" s="3"/>
      <c r="C2559" s="3"/>
      <c r="D2559" s="3"/>
      <c r="E2559" s="3" t="e">
        <f t="shared" si="80"/>
        <v>#N/A</v>
      </c>
      <c r="F2559" s="3" t="e">
        <f t="shared" si="81"/>
        <v>#N/A</v>
      </c>
    </row>
    <row r="2560" spans="2:6" x14ac:dyDescent="0.25">
      <c r="B2560" s="3"/>
      <c r="C2560" s="3"/>
      <c r="D2560" s="3"/>
      <c r="E2560" s="3" t="e">
        <f t="shared" si="80"/>
        <v>#N/A</v>
      </c>
      <c r="F2560" s="3" t="e">
        <f t="shared" si="81"/>
        <v>#N/A</v>
      </c>
    </row>
    <row r="2561" spans="2:6" x14ac:dyDescent="0.25">
      <c r="B2561" s="3"/>
      <c r="C2561" s="3"/>
      <c r="D2561" s="3"/>
      <c r="E2561" s="3" t="e">
        <f t="shared" si="80"/>
        <v>#N/A</v>
      </c>
      <c r="F2561" s="3" t="e">
        <f t="shared" si="81"/>
        <v>#N/A</v>
      </c>
    </row>
    <row r="2562" spans="2:6" x14ac:dyDescent="0.25">
      <c r="B2562" s="3"/>
      <c r="C2562" s="3"/>
      <c r="D2562" s="3"/>
      <c r="E2562" s="3" t="e">
        <f t="shared" si="80"/>
        <v>#N/A</v>
      </c>
      <c r="F2562" s="3" t="e">
        <f t="shared" si="81"/>
        <v>#N/A</v>
      </c>
    </row>
    <row r="2563" spans="2:6" x14ac:dyDescent="0.25">
      <c r="B2563" s="3"/>
      <c r="C2563" s="3"/>
      <c r="D2563" s="3"/>
      <c r="E2563" s="3" t="e">
        <f t="shared" si="80"/>
        <v>#N/A</v>
      </c>
      <c r="F2563" s="3" t="e">
        <f t="shared" si="81"/>
        <v>#N/A</v>
      </c>
    </row>
    <row r="2564" spans="2:6" x14ac:dyDescent="0.25">
      <c r="B2564" s="3"/>
      <c r="C2564" s="3"/>
      <c r="D2564" s="3"/>
      <c r="E2564" s="3" t="e">
        <f t="shared" ref="E2564:E2627" si="82">VLOOKUP(C2564,I:J,2,0)</f>
        <v>#N/A</v>
      </c>
      <c r="F2564" s="3" t="e">
        <f t="shared" ref="F2564:F2627" si="83">E2564&amp;" "&amp;B2564</f>
        <v>#N/A</v>
      </c>
    </row>
    <row r="2565" spans="2:6" x14ac:dyDescent="0.25">
      <c r="B2565" s="3"/>
      <c r="C2565" s="3"/>
      <c r="D2565" s="3"/>
      <c r="E2565" s="3" t="e">
        <f t="shared" si="82"/>
        <v>#N/A</v>
      </c>
      <c r="F2565" s="3" t="e">
        <f t="shared" si="83"/>
        <v>#N/A</v>
      </c>
    </row>
    <row r="2566" spans="2:6" x14ac:dyDescent="0.25">
      <c r="B2566" s="3"/>
      <c r="C2566" s="3"/>
      <c r="D2566" s="3"/>
      <c r="E2566" s="3" t="e">
        <f t="shared" si="82"/>
        <v>#N/A</v>
      </c>
      <c r="F2566" s="3" t="e">
        <f t="shared" si="83"/>
        <v>#N/A</v>
      </c>
    </row>
    <row r="2567" spans="2:6" x14ac:dyDescent="0.25">
      <c r="B2567" s="3"/>
      <c r="C2567" s="3"/>
      <c r="D2567" s="3"/>
      <c r="E2567" s="3" t="e">
        <f t="shared" si="82"/>
        <v>#N/A</v>
      </c>
      <c r="F2567" s="3" t="e">
        <f t="shared" si="83"/>
        <v>#N/A</v>
      </c>
    </row>
    <row r="2568" spans="2:6" x14ac:dyDescent="0.25">
      <c r="B2568" s="3"/>
      <c r="C2568" s="3"/>
      <c r="D2568" s="3"/>
      <c r="E2568" s="3" t="e">
        <f t="shared" si="82"/>
        <v>#N/A</v>
      </c>
      <c r="F2568" s="3" t="e">
        <f t="shared" si="83"/>
        <v>#N/A</v>
      </c>
    </row>
    <row r="2569" spans="2:6" x14ac:dyDescent="0.25">
      <c r="B2569" s="3"/>
      <c r="C2569" s="3"/>
      <c r="D2569" s="3"/>
      <c r="E2569" s="3" t="e">
        <f t="shared" si="82"/>
        <v>#N/A</v>
      </c>
      <c r="F2569" s="3" t="e">
        <f t="shared" si="83"/>
        <v>#N/A</v>
      </c>
    </row>
    <row r="2570" spans="2:6" x14ac:dyDescent="0.25">
      <c r="B2570" s="3"/>
      <c r="C2570" s="3"/>
      <c r="D2570" s="3"/>
      <c r="E2570" s="3" t="e">
        <f t="shared" si="82"/>
        <v>#N/A</v>
      </c>
      <c r="F2570" s="3" t="e">
        <f t="shared" si="83"/>
        <v>#N/A</v>
      </c>
    </row>
    <row r="2571" spans="2:6" x14ac:dyDescent="0.25">
      <c r="B2571" s="3"/>
      <c r="C2571" s="3"/>
      <c r="D2571" s="3"/>
      <c r="E2571" s="3" t="e">
        <f t="shared" si="82"/>
        <v>#N/A</v>
      </c>
      <c r="F2571" s="3" t="e">
        <f t="shared" si="83"/>
        <v>#N/A</v>
      </c>
    </row>
    <row r="2572" spans="2:6" x14ac:dyDescent="0.25">
      <c r="B2572" s="3"/>
      <c r="C2572" s="3"/>
      <c r="D2572" s="3"/>
      <c r="E2572" s="3" t="e">
        <f t="shared" si="82"/>
        <v>#N/A</v>
      </c>
      <c r="F2572" s="3" t="e">
        <f t="shared" si="83"/>
        <v>#N/A</v>
      </c>
    </row>
    <row r="2573" spans="2:6" x14ac:dyDescent="0.25">
      <c r="B2573" s="3"/>
      <c r="C2573" s="3"/>
      <c r="D2573" s="3"/>
      <c r="E2573" s="3" t="e">
        <f t="shared" si="82"/>
        <v>#N/A</v>
      </c>
      <c r="F2573" s="3" t="e">
        <f t="shared" si="83"/>
        <v>#N/A</v>
      </c>
    </row>
    <row r="2574" spans="2:6" x14ac:dyDescent="0.25">
      <c r="B2574" s="3"/>
      <c r="C2574" s="3"/>
      <c r="D2574" s="3"/>
      <c r="E2574" s="3" t="e">
        <f t="shared" si="82"/>
        <v>#N/A</v>
      </c>
      <c r="F2574" s="3" t="e">
        <f t="shared" si="83"/>
        <v>#N/A</v>
      </c>
    </row>
    <row r="2575" spans="2:6" x14ac:dyDescent="0.25">
      <c r="B2575" s="3"/>
      <c r="C2575" s="3"/>
      <c r="D2575" s="3"/>
      <c r="E2575" s="3" t="e">
        <f t="shared" si="82"/>
        <v>#N/A</v>
      </c>
      <c r="F2575" s="3" t="e">
        <f t="shared" si="83"/>
        <v>#N/A</v>
      </c>
    </row>
    <row r="2576" spans="2:6" x14ac:dyDescent="0.25">
      <c r="B2576" s="3"/>
      <c r="C2576" s="3"/>
      <c r="D2576" s="3"/>
      <c r="E2576" s="3" t="e">
        <f t="shared" si="82"/>
        <v>#N/A</v>
      </c>
      <c r="F2576" s="3" t="e">
        <f t="shared" si="83"/>
        <v>#N/A</v>
      </c>
    </row>
    <row r="2577" spans="2:6" x14ac:dyDescent="0.25">
      <c r="B2577" s="3"/>
      <c r="C2577" s="3"/>
      <c r="D2577" s="3"/>
      <c r="E2577" s="3" t="e">
        <f t="shared" si="82"/>
        <v>#N/A</v>
      </c>
      <c r="F2577" s="3" t="e">
        <f t="shared" si="83"/>
        <v>#N/A</v>
      </c>
    </row>
    <row r="2578" spans="2:6" x14ac:dyDescent="0.25">
      <c r="B2578" s="3"/>
      <c r="C2578" s="3"/>
      <c r="D2578" s="3"/>
      <c r="E2578" s="3" t="e">
        <f t="shared" si="82"/>
        <v>#N/A</v>
      </c>
      <c r="F2578" s="3" t="e">
        <f t="shared" si="83"/>
        <v>#N/A</v>
      </c>
    </row>
    <row r="2579" spans="2:6" x14ac:dyDescent="0.25">
      <c r="B2579" s="3"/>
      <c r="C2579" s="3"/>
      <c r="D2579" s="3"/>
      <c r="E2579" s="3" t="e">
        <f t="shared" si="82"/>
        <v>#N/A</v>
      </c>
      <c r="F2579" s="3" t="e">
        <f t="shared" si="83"/>
        <v>#N/A</v>
      </c>
    </row>
    <row r="2580" spans="2:6" x14ac:dyDescent="0.25">
      <c r="B2580" s="3"/>
      <c r="C2580" s="3"/>
      <c r="D2580" s="3"/>
      <c r="E2580" s="3" t="e">
        <f t="shared" si="82"/>
        <v>#N/A</v>
      </c>
      <c r="F2580" s="3" t="e">
        <f t="shared" si="83"/>
        <v>#N/A</v>
      </c>
    </row>
    <row r="2581" spans="2:6" x14ac:dyDescent="0.25">
      <c r="B2581" s="3"/>
      <c r="C2581" s="3"/>
      <c r="D2581" s="3"/>
      <c r="E2581" s="3" t="e">
        <f t="shared" si="82"/>
        <v>#N/A</v>
      </c>
      <c r="F2581" s="3" t="e">
        <f t="shared" si="83"/>
        <v>#N/A</v>
      </c>
    </row>
    <row r="2582" spans="2:6" x14ac:dyDescent="0.25">
      <c r="B2582" s="3"/>
      <c r="C2582" s="3"/>
      <c r="D2582" s="3"/>
      <c r="E2582" s="3" t="e">
        <f t="shared" si="82"/>
        <v>#N/A</v>
      </c>
      <c r="F2582" s="3" t="e">
        <f t="shared" si="83"/>
        <v>#N/A</v>
      </c>
    </row>
    <row r="2583" spans="2:6" x14ac:dyDescent="0.25">
      <c r="B2583" s="3"/>
      <c r="C2583" s="3"/>
      <c r="D2583" s="3"/>
      <c r="E2583" s="3" t="e">
        <f t="shared" si="82"/>
        <v>#N/A</v>
      </c>
      <c r="F2583" s="3" t="e">
        <f t="shared" si="83"/>
        <v>#N/A</v>
      </c>
    </row>
    <row r="2584" spans="2:6" x14ac:dyDescent="0.25">
      <c r="B2584" s="3"/>
      <c r="C2584" s="3"/>
      <c r="D2584" s="3"/>
      <c r="E2584" s="3" t="e">
        <f t="shared" si="82"/>
        <v>#N/A</v>
      </c>
      <c r="F2584" s="3" t="e">
        <f t="shared" si="83"/>
        <v>#N/A</v>
      </c>
    </row>
    <row r="2585" spans="2:6" x14ac:dyDescent="0.25">
      <c r="B2585" s="3"/>
      <c r="C2585" s="3"/>
      <c r="D2585" s="3"/>
      <c r="E2585" s="3" t="e">
        <f t="shared" si="82"/>
        <v>#N/A</v>
      </c>
      <c r="F2585" s="3" t="e">
        <f t="shared" si="83"/>
        <v>#N/A</v>
      </c>
    </row>
    <row r="2586" spans="2:6" x14ac:dyDescent="0.25">
      <c r="B2586" s="3"/>
      <c r="C2586" s="3"/>
      <c r="D2586" s="3"/>
      <c r="E2586" s="3" t="e">
        <f t="shared" si="82"/>
        <v>#N/A</v>
      </c>
      <c r="F2586" s="3" t="e">
        <f t="shared" si="83"/>
        <v>#N/A</v>
      </c>
    </row>
    <row r="2587" spans="2:6" x14ac:dyDescent="0.25">
      <c r="B2587" s="3"/>
      <c r="C2587" s="3"/>
      <c r="D2587" s="3"/>
      <c r="E2587" s="3" t="e">
        <f t="shared" si="82"/>
        <v>#N/A</v>
      </c>
      <c r="F2587" s="3" t="e">
        <f t="shared" si="83"/>
        <v>#N/A</v>
      </c>
    </row>
    <row r="2588" spans="2:6" x14ac:dyDescent="0.25">
      <c r="B2588" s="3"/>
      <c r="C2588" s="3"/>
      <c r="D2588" s="3"/>
      <c r="E2588" s="3" t="e">
        <f t="shared" si="82"/>
        <v>#N/A</v>
      </c>
      <c r="F2588" s="3" t="e">
        <f t="shared" si="83"/>
        <v>#N/A</v>
      </c>
    </row>
    <row r="2589" spans="2:6" x14ac:dyDescent="0.25">
      <c r="B2589" s="3"/>
      <c r="C2589" s="3"/>
      <c r="D2589" s="3"/>
      <c r="E2589" s="3" t="e">
        <f t="shared" si="82"/>
        <v>#N/A</v>
      </c>
      <c r="F2589" s="3" t="e">
        <f t="shared" si="83"/>
        <v>#N/A</v>
      </c>
    </row>
    <row r="2590" spans="2:6" x14ac:dyDescent="0.25">
      <c r="B2590" s="3"/>
      <c r="C2590" s="3"/>
      <c r="D2590" s="3"/>
      <c r="E2590" s="3" t="e">
        <f t="shared" si="82"/>
        <v>#N/A</v>
      </c>
      <c r="F2590" s="3" t="e">
        <f t="shared" si="83"/>
        <v>#N/A</v>
      </c>
    </row>
    <row r="2591" spans="2:6" x14ac:dyDescent="0.25">
      <c r="B2591" s="3"/>
      <c r="C2591" s="3"/>
      <c r="D2591" s="3"/>
      <c r="E2591" s="3" t="e">
        <f t="shared" si="82"/>
        <v>#N/A</v>
      </c>
      <c r="F2591" s="3" t="e">
        <f t="shared" si="83"/>
        <v>#N/A</v>
      </c>
    </row>
    <row r="2592" spans="2:6" x14ac:dyDescent="0.25">
      <c r="B2592" s="3"/>
      <c r="C2592" s="3"/>
      <c r="D2592" s="3"/>
      <c r="E2592" s="3" t="e">
        <f t="shared" si="82"/>
        <v>#N/A</v>
      </c>
      <c r="F2592" s="3" t="e">
        <f t="shared" si="83"/>
        <v>#N/A</v>
      </c>
    </row>
    <row r="2593" spans="2:6" x14ac:dyDescent="0.25">
      <c r="B2593" s="3"/>
      <c r="C2593" s="3"/>
      <c r="D2593" s="3"/>
      <c r="E2593" s="3" t="e">
        <f t="shared" si="82"/>
        <v>#N/A</v>
      </c>
      <c r="F2593" s="3" t="e">
        <f t="shared" si="83"/>
        <v>#N/A</v>
      </c>
    </row>
    <row r="2594" spans="2:6" x14ac:dyDescent="0.25">
      <c r="B2594" s="3"/>
      <c r="C2594" s="3"/>
      <c r="D2594" s="3"/>
      <c r="E2594" s="3" t="e">
        <f t="shared" si="82"/>
        <v>#N/A</v>
      </c>
      <c r="F2594" s="3" t="e">
        <f t="shared" si="83"/>
        <v>#N/A</v>
      </c>
    </row>
    <row r="2595" spans="2:6" x14ac:dyDescent="0.25">
      <c r="B2595" s="3"/>
      <c r="C2595" s="3"/>
      <c r="D2595" s="3"/>
      <c r="E2595" s="3" t="e">
        <f t="shared" si="82"/>
        <v>#N/A</v>
      </c>
      <c r="F2595" s="3" t="e">
        <f t="shared" si="83"/>
        <v>#N/A</v>
      </c>
    </row>
    <row r="2596" spans="2:6" x14ac:dyDescent="0.25">
      <c r="B2596" s="3"/>
      <c r="C2596" s="3"/>
      <c r="D2596" s="3"/>
      <c r="E2596" s="3" t="e">
        <f t="shared" si="82"/>
        <v>#N/A</v>
      </c>
      <c r="F2596" s="3" t="e">
        <f t="shared" si="83"/>
        <v>#N/A</v>
      </c>
    </row>
    <row r="2597" spans="2:6" x14ac:dyDescent="0.25">
      <c r="B2597" s="3"/>
      <c r="C2597" s="3"/>
      <c r="D2597" s="3"/>
      <c r="E2597" s="3" t="e">
        <f t="shared" si="82"/>
        <v>#N/A</v>
      </c>
      <c r="F2597" s="3" t="e">
        <f t="shared" si="83"/>
        <v>#N/A</v>
      </c>
    </row>
    <row r="2598" spans="2:6" x14ac:dyDescent="0.25">
      <c r="B2598" s="3"/>
      <c r="C2598" s="3"/>
      <c r="D2598" s="3"/>
      <c r="E2598" s="3" t="e">
        <f t="shared" si="82"/>
        <v>#N/A</v>
      </c>
      <c r="F2598" s="3" t="e">
        <f t="shared" si="83"/>
        <v>#N/A</v>
      </c>
    </row>
    <row r="2599" spans="2:6" x14ac:dyDescent="0.25">
      <c r="B2599" s="3"/>
      <c r="C2599" s="3"/>
      <c r="D2599" s="3"/>
      <c r="E2599" s="3" t="e">
        <f t="shared" si="82"/>
        <v>#N/A</v>
      </c>
      <c r="F2599" s="3" t="e">
        <f t="shared" si="83"/>
        <v>#N/A</v>
      </c>
    </row>
    <row r="2600" spans="2:6" x14ac:dyDescent="0.25">
      <c r="B2600" s="3"/>
      <c r="C2600" s="3"/>
      <c r="D2600" s="3"/>
      <c r="E2600" s="3" t="e">
        <f t="shared" si="82"/>
        <v>#N/A</v>
      </c>
      <c r="F2600" s="3" t="e">
        <f t="shared" si="83"/>
        <v>#N/A</v>
      </c>
    </row>
    <row r="2601" spans="2:6" x14ac:dyDescent="0.25">
      <c r="B2601" s="3"/>
      <c r="C2601" s="3"/>
      <c r="D2601" s="3"/>
      <c r="E2601" s="3" t="e">
        <f t="shared" si="82"/>
        <v>#N/A</v>
      </c>
      <c r="F2601" s="3" t="e">
        <f t="shared" si="83"/>
        <v>#N/A</v>
      </c>
    </row>
    <row r="2602" spans="2:6" x14ac:dyDescent="0.25">
      <c r="B2602" s="3"/>
      <c r="C2602" s="3"/>
      <c r="D2602" s="3"/>
      <c r="E2602" s="3" t="e">
        <f t="shared" si="82"/>
        <v>#N/A</v>
      </c>
      <c r="F2602" s="3" t="e">
        <f t="shared" si="83"/>
        <v>#N/A</v>
      </c>
    </row>
    <row r="2603" spans="2:6" x14ac:dyDescent="0.25">
      <c r="B2603" s="3"/>
      <c r="C2603" s="3"/>
      <c r="D2603" s="3"/>
      <c r="E2603" s="3" t="e">
        <f t="shared" si="82"/>
        <v>#N/A</v>
      </c>
      <c r="F2603" s="3" t="e">
        <f t="shared" si="83"/>
        <v>#N/A</v>
      </c>
    </row>
    <row r="2604" spans="2:6" x14ac:dyDescent="0.25">
      <c r="B2604" s="3"/>
      <c r="C2604" s="3"/>
      <c r="D2604" s="3"/>
      <c r="E2604" s="3" t="e">
        <f t="shared" si="82"/>
        <v>#N/A</v>
      </c>
      <c r="F2604" s="3" t="e">
        <f t="shared" si="83"/>
        <v>#N/A</v>
      </c>
    </row>
    <row r="2605" spans="2:6" x14ac:dyDescent="0.25">
      <c r="B2605" s="3"/>
      <c r="C2605" s="3"/>
      <c r="D2605" s="3"/>
      <c r="E2605" s="3" t="e">
        <f t="shared" si="82"/>
        <v>#N/A</v>
      </c>
      <c r="F2605" s="3" t="e">
        <f t="shared" si="83"/>
        <v>#N/A</v>
      </c>
    </row>
    <row r="2606" spans="2:6" x14ac:dyDescent="0.25">
      <c r="B2606" s="3"/>
      <c r="C2606" s="3"/>
      <c r="D2606" s="3"/>
      <c r="E2606" s="3" t="e">
        <f t="shared" si="82"/>
        <v>#N/A</v>
      </c>
      <c r="F2606" s="3" t="e">
        <f t="shared" si="83"/>
        <v>#N/A</v>
      </c>
    </row>
    <row r="2607" spans="2:6" x14ac:dyDescent="0.25">
      <c r="B2607" s="3"/>
      <c r="C2607" s="3"/>
      <c r="D2607" s="3"/>
      <c r="E2607" s="3" t="e">
        <f t="shared" si="82"/>
        <v>#N/A</v>
      </c>
      <c r="F2607" s="3" t="e">
        <f t="shared" si="83"/>
        <v>#N/A</v>
      </c>
    </row>
    <row r="2608" spans="2:6" x14ac:dyDescent="0.25">
      <c r="B2608" s="3"/>
      <c r="C2608" s="3"/>
      <c r="D2608" s="3"/>
      <c r="E2608" s="3" t="e">
        <f t="shared" si="82"/>
        <v>#N/A</v>
      </c>
      <c r="F2608" s="3" t="e">
        <f t="shared" si="83"/>
        <v>#N/A</v>
      </c>
    </row>
    <row r="2609" spans="2:6" x14ac:dyDescent="0.25">
      <c r="B2609" s="3"/>
      <c r="C2609" s="3"/>
      <c r="D2609" s="3"/>
      <c r="E2609" s="3" t="e">
        <f t="shared" si="82"/>
        <v>#N/A</v>
      </c>
      <c r="F2609" s="3" t="e">
        <f t="shared" si="83"/>
        <v>#N/A</v>
      </c>
    </row>
    <row r="2610" spans="2:6" x14ac:dyDescent="0.25">
      <c r="B2610" s="3"/>
      <c r="C2610" s="3"/>
      <c r="D2610" s="3"/>
      <c r="E2610" s="3" t="e">
        <f t="shared" si="82"/>
        <v>#N/A</v>
      </c>
      <c r="F2610" s="3" t="e">
        <f t="shared" si="83"/>
        <v>#N/A</v>
      </c>
    </row>
    <row r="2611" spans="2:6" x14ac:dyDescent="0.25">
      <c r="B2611" s="3"/>
      <c r="C2611" s="3"/>
      <c r="D2611" s="3"/>
      <c r="E2611" s="3" t="e">
        <f t="shared" si="82"/>
        <v>#N/A</v>
      </c>
      <c r="F2611" s="3" t="e">
        <f t="shared" si="83"/>
        <v>#N/A</v>
      </c>
    </row>
    <row r="2612" spans="2:6" x14ac:dyDescent="0.25">
      <c r="B2612" s="3"/>
      <c r="C2612" s="3"/>
      <c r="D2612" s="3"/>
      <c r="E2612" s="3" t="e">
        <f t="shared" si="82"/>
        <v>#N/A</v>
      </c>
      <c r="F2612" s="3" t="e">
        <f t="shared" si="83"/>
        <v>#N/A</v>
      </c>
    </row>
    <row r="2613" spans="2:6" x14ac:dyDescent="0.25">
      <c r="B2613" s="3"/>
      <c r="C2613" s="3"/>
      <c r="D2613" s="3"/>
      <c r="E2613" s="3" t="e">
        <f t="shared" si="82"/>
        <v>#N/A</v>
      </c>
      <c r="F2613" s="3" t="e">
        <f t="shared" si="83"/>
        <v>#N/A</v>
      </c>
    </row>
    <row r="2614" spans="2:6" x14ac:dyDescent="0.25">
      <c r="B2614" s="3"/>
      <c r="C2614" s="3"/>
      <c r="D2614" s="3"/>
      <c r="E2614" s="3" t="e">
        <f t="shared" si="82"/>
        <v>#N/A</v>
      </c>
      <c r="F2614" s="3" t="e">
        <f t="shared" si="83"/>
        <v>#N/A</v>
      </c>
    </row>
    <row r="2615" spans="2:6" x14ac:dyDescent="0.25">
      <c r="B2615" s="3"/>
      <c r="C2615" s="3"/>
      <c r="D2615" s="3"/>
      <c r="E2615" s="3" t="e">
        <f t="shared" si="82"/>
        <v>#N/A</v>
      </c>
      <c r="F2615" s="3" t="e">
        <f t="shared" si="83"/>
        <v>#N/A</v>
      </c>
    </row>
    <row r="2616" spans="2:6" x14ac:dyDescent="0.25">
      <c r="B2616" s="3"/>
      <c r="C2616" s="3"/>
      <c r="D2616" s="3"/>
      <c r="E2616" s="3" t="e">
        <f t="shared" si="82"/>
        <v>#N/A</v>
      </c>
      <c r="F2616" s="3" t="e">
        <f t="shared" si="83"/>
        <v>#N/A</v>
      </c>
    </row>
    <row r="2617" spans="2:6" x14ac:dyDescent="0.25">
      <c r="B2617" s="3"/>
      <c r="C2617" s="3"/>
      <c r="D2617" s="3"/>
      <c r="E2617" s="3" t="e">
        <f t="shared" si="82"/>
        <v>#N/A</v>
      </c>
      <c r="F2617" s="3" t="e">
        <f t="shared" si="83"/>
        <v>#N/A</v>
      </c>
    </row>
    <row r="2618" spans="2:6" x14ac:dyDescent="0.25">
      <c r="B2618" s="3"/>
      <c r="C2618" s="3"/>
      <c r="D2618" s="3"/>
      <c r="E2618" s="3" t="e">
        <f t="shared" si="82"/>
        <v>#N/A</v>
      </c>
      <c r="F2618" s="3" t="e">
        <f t="shared" si="83"/>
        <v>#N/A</v>
      </c>
    </row>
    <row r="2619" spans="2:6" x14ac:dyDescent="0.25">
      <c r="B2619" s="3"/>
      <c r="C2619" s="3"/>
      <c r="D2619" s="3"/>
      <c r="E2619" s="3" t="e">
        <f t="shared" si="82"/>
        <v>#N/A</v>
      </c>
      <c r="F2619" s="3" t="e">
        <f t="shared" si="83"/>
        <v>#N/A</v>
      </c>
    </row>
    <row r="2620" spans="2:6" x14ac:dyDescent="0.25">
      <c r="B2620" s="3"/>
      <c r="C2620" s="3"/>
      <c r="D2620" s="3"/>
      <c r="E2620" s="3" t="e">
        <f t="shared" si="82"/>
        <v>#N/A</v>
      </c>
      <c r="F2620" s="3" t="e">
        <f t="shared" si="83"/>
        <v>#N/A</v>
      </c>
    </row>
    <row r="2621" spans="2:6" x14ac:dyDescent="0.25">
      <c r="B2621" s="3"/>
      <c r="C2621" s="3"/>
      <c r="D2621" s="3"/>
      <c r="E2621" s="3" t="e">
        <f t="shared" si="82"/>
        <v>#N/A</v>
      </c>
      <c r="F2621" s="3" t="e">
        <f t="shared" si="83"/>
        <v>#N/A</v>
      </c>
    </row>
    <row r="2622" spans="2:6" x14ac:dyDescent="0.25">
      <c r="B2622" s="3"/>
      <c r="C2622" s="3"/>
      <c r="D2622" s="3"/>
      <c r="E2622" s="3" t="e">
        <f t="shared" si="82"/>
        <v>#N/A</v>
      </c>
      <c r="F2622" s="3" t="e">
        <f t="shared" si="83"/>
        <v>#N/A</v>
      </c>
    </row>
    <row r="2623" spans="2:6" x14ac:dyDescent="0.25">
      <c r="B2623" s="3"/>
      <c r="C2623" s="3"/>
      <c r="D2623" s="3"/>
      <c r="E2623" s="3" t="e">
        <f t="shared" si="82"/>
        <v>#N/A</v>
      </c>
      <c r="F2623" s="3" t="e">
        <f t="shared" si="83"/>
        <v>#N/A</v>
      </c>
    </row>
    <row r="2624" spans="2:6" x14ac:dyDescent="0.25">
      <c r="B2624" s="3"/>
      <c r="C2624" s="3"/>
      <c r="D2624" s="3"/>
      <c r="E2624" s="3" t="e">
        <f t="shared" si="82"/>
        <v>#N/A</v>
      </c>
      <c r="F2624" s="3" t="e">
        <f t="shared" si="83"/>
        <v>#N/A</v>
      </c>
    </row>
    <row r="2625" spans="2:6" x14ac:dyDescent="0.25">
      <c r="B2625" s="3"/>
      <c r="C2625" s="3"/>
      <c r="D2625" s="3"/>
      <c r="E2625" s="3" t="e">
        <f t="shared" si="82"/>
        <v>#N/A</v>
      </c>
      <c r="F2625" s="3" t="e">
        <f t="shared" si="83"/>
        <v>#N/A</v>
      </c>
    </row>
    <row r="2626" spans="2:6" x14ac:dyDescent="0.25">
      <c r="B2626" s="3"/>
      <c r="C2626" s="3"/>
      <c r="D2626" s="3"/>
      <c r="E2626" s="3" t="e">
        <f t="shared" si="82"/>
        <v>#N/A</v>
      </c>
      <c r="F2626" s="3" t="e">
        <f t="shared" si="83"/>
        <v>#N/A</v>
      </c>
    </row>
    <row r="2627" spans="2:6" x14ac:dyDescent="0.25">
      <c r="B2627" s="3"/>
      <c r="C2627" s="3"/>
      <c r="D2627" s="3"/>
      <c r="E2627" s="3" t="e">
        <f t="shared" si="82"/>
        <v>#N/A</v>
      </c>
      <c r="F2627" s="3" t="e">
        <f t="shared" si="83"/>
        <v>#N/A</v>
      </c>
    </row>
    <row r="2628" spans="2:6" x14ac:dyDescent="0.25">
      <c r="B2628" s="3"/>
      <c r="C2628" s="3"/>
      <c r="D2628" s="3"/>
      <c r="E2628" s="3" t="e">
        <f t="shared" ref="E2628:E2691" si="84">VLOOKUP(C2628,I:J,2,0)</f>
        <v>#N/A</v>
      </c>
      <c r="F2628" s="3" t="e">
        <f t="shared" ref="F2628:F2691" si="85">E2628&amp;" "&amp;B2628</f>
        <v>#N/A</v>
      </c>
    </row>
    <row r="2629" spans="2:6" x14ac:dyDescent="0.25">
      <c r="B2629" s="3"/>
      <c r="C2629" s="3"/>
      <c r="D2629" s="3"/>
      <c r="E2629" s="3" t="e">
        <f t="shared" si="84"/>
        <v>#N/A</v>
      </c>
      <c r="F2629" s="3" t="e">
        <f t="shared" si="85"/>
        <v>#N/A</v>
      </c>
    </row>
    <row r="2630" spans="2:6" x14ac:dyDescent="0.25">
      <c r="B2630" s="3"/>
      <c r="C2630" s="3"/>
      <c r="D2630" s="3"/>
      <c r="E2630" s="3" t="e">
        <f t="shared" si="84"/>
        <v>#N/A</v>
      </c>
      <c r="F2630" s="3" t="e">
        <f t="shared" si="85"/>
        <v>#N/A</v>
      </c>
    </row>
    <row r="2631" spans="2:6" x14ac:dyDescent="0.25">
      <c r="B2631" s="3"/>
      <c r="C2631" s="3"/>
      <c r="D2631" s="3"/>
      <c r="E2631" s="3" t="e">
        <f t="shared" si="84"/>
        <v>#N/A</v>
      </c>
      <c r="F2631" s="3" t="e">
        <f t="shared" si="85"/>
        <v>#N/A</v>
      </c>
    </row>
    <row r="2632" spans="2:6" x14ac:dyDescent="0.25">
      <c r="B2632" s="3"/>
      <c r="C2632" s="3"/>
      <c r="D2632" s="3"/>
      <c r="E2632" s="3" t="e">
        <f t="shared" si="84"/>
        <v>#N/A</v>
      </c>
      <c r="F2632" s="3" t="e">
        <f t="shared" si="85"/>
        <v>#N/A</v>
      </c>
    </row>
    <row r="2633" spans="2:6" x14ac:dyDescent="0.25">
      <c r="B2633" s="3"/>
      <c r="C2633" s="3"/>
      <c r="D2633" s="3"/>
      <c r="E2633" s="3" t="e">
        <f t="shared" si="84"/>
        <v>#N/A</v>
      </c>
      <c r="F2633" s="3" t="e">
        <f t="shared" si="85"/>
        <v>#N/A</v>
      </c>
    </row>
    <row r="2634" spans="2:6" x14ac:dyDescent="0.25">
      <c r="B2634" s="3"/>
      <c r="C2634" s="3"/>
      <c r="D2634" s="3"/>
      <c r="E2634" s="3" t="e">
        <f t="shared" si="84"/>
        <v>#N/A</v>
      </c>
      <c r="F2634" s="3" t="e">
        <f t="shared" si="85"/>
        <v>#N/A</v>
      </c>
    </row>
    <row r="2635" spans="2:6" x14ac:dyDescent="0.25">
      <c r="B2635" s="3"/>
      <c r="C2635" s="3"/>
      <c r="D2635" s="3"/>
      <c r="E2635" s="3" t="e">
        <f t="shared" si="84"/>
        <v>#N/A</v>
      </c>
      <c r="F2635" s="3" t="e">
        <f t="shared" si="85"/>
        <v>#N/A</v>
      </c>
    </row>
    <row r="2636" spans="2:6" x14ac:dyDescent="0.25">
      <c r="B2636" s="3"/>
      <c r="C2636" s="3"/>
      <c r="D2636" s="3"/>
      <c r="E2636" s="3" t="e">
        <f t="shared" si="84"/>
        <v>#N/A</v>
      </c>
      <c r="F2636" s="3" t="e">
        <f t="shared" si="85"/>
        <v>#N/A</v>
      </c>
    </row>
    <row r="2637" spans="2:6" x14ac:dyDescent="0.25">
      <c r="B2637" s="3"/>
      <c r="C2637" s="3"/>
      <c r="D2637" s="3"/>
      <c r="E2637" s="3" t="e">
        <f t="shared" si="84"/>
        <v>#N/A</v>
      </c>
      <c r="F2637" s="3" t="e">
        <f t="shared" si="85"/>
        <v>#N/A</v>
      </c>
    </row>
    <row r="2638" spans="2:6" x14ac:dyDescent="0.25">
      <c r="B2638" s="3"/>
      <c r="C2638" s="3"/>
      <c r="D2638" s="3"/>
      <c r="E2638" s="3" t="e">
        <f t="shared" si="84"/>
        <v>#N/A</v>
      </c>
      <c r="F2638" s="3" t="e">
        <f t="shared" si="85"/>
        <v>#N/A</v>
      </c>
    </row>
    <row r="2639" spans="2:6" x14ac:dyDescent="0.25">
      <c r="B2639" s="3"/>
      <c r="C2639" s="3"/>
      <c r="D2639" s="3"/>
      <c r="E2639" s="3" t="e">
        <f t="shared" si="84"/>
        <v>#N/A</v>
      </c>
      <c r="F2639" s="3" t="e">
        <f t="shared" si="85"/>
        <v>#N/A</v>
      </c>
    </row>
    <row r="2640" spans="2:6" x14ac:dyDescent="0.25">
      <c r="B2640" s="3"/>
      <c r="C2640" s="3"/>
      <c r="D2640" s="3"/>
      <c r="E2640" s="3" t="e">
        <f t="shared" si="84"/>
        <v>#N/A</v>
      </c>
      <c r="F2640" s="3" t="e">
        <f t="shared" si="85"/>
        <v>#N/A</v>
      </c>
    </row>
    <row r="2641" spans="2:6" x14ac:dyDescent="0.25">
      <c r="B2641" s="3"/>
      <c r="C2641" s="3"/>
      <c r="D2641" s="3"/>
      <c r="E2641" s="3" t="e">
        <f t="shared" si="84"/>
        <v>#N/A</v>
      </c>
      <c r="F2641" s="3" t="e">
        <f t="shared" si="85"/>
        <v>#N/A</v>
      </c>
    </row>
    <row r="2642" spans="2:6" x14ac:dyDescent="0.25">
      <c r="B2642" s="3"/>
      <c r="C2642" s="3"/>
      <c r="D2642" s="3"/>
      <c r="E2642" s="3" t="e">
        <f t="shared" si="84"/>
        <v>#N/A</v>
      </c>
      <c r="F2642" s="3" t="e">
        <f t="shared" si="85"/>
        <v>#N/A</v>
      </c>
    </row>
    <row r="2643" spans="2:6" x14ac:dyDescent="0.25">
      <c r="B2643" s="3"/>
      <c r="C2643" s="3"/>
      <c r="D2643" s="3"/>
      <c r="E2643" s="3" t="e">
        <f t="shared" si="84"/>
        <v>#N/A</v>
      </c>
      <c r="F2643" s="3" t="e">
        <f t="shared" si="85"/>
        <v>#N/A</v>
      </c>
    </row>
    <row r="2644" spans="2:6" x14ac:dyDescent="0.25">
      <c r="B2644" s="3"/>
      <c r="C2644" s="3"/>
      <c r="D2644" s="3"/>
      <c r="E2644" s="3" t="e">
        <f t="shared" si="84"/>
        <v>#N/A</v>
      </c>
      <c r="F2644" s="3" t="e">
        <f t="shared" si="85"/>
        <v>#N/A</v>
      </c>
    </row>
    <row r="2645" spans="2:6" x14ac:dyDescent="0.25">
      <c r="B2645" s="3"/>
      <c r="C2645" s="3"/>
      <c r="D2645" s="3"/>
      <c r="E2645" s="3" t="e">
        <f t="shared" si="84"/>
        <v>#N/A</v>
      </c>
      <c r="F2645" s="3" t="e">
        <f t="shared" si="85"/>
        <v>#N/A</v>
      </c>
    </row>
    <row r="2646" spans="2:6" x14ac:dyDescent="0.25">
      <c r="B2646" s="3"/>
      <c r="C2646" s="3"/>
      <c r="D2646" s="3"/>
      <c r="E2646" s="3" t="e">
        <f t="shared" si="84"/>
        <v>#N/A</v>
      </c>
      <c r="F2646" s="3" t="e">
        <f t="shared" si="85"/>
        <v>#N/A</v>
      </c>
    </row>
    <row r="2647" spans="2:6" x14ac:dyDescent="0.25">
      <c r="B2647" s="3"/>
      <c r="C2647" s="3"/>
      <c r="D2647" s="3"/>
      <c r="E2647" s="3" t="e">
        <f t="shared" si="84"/>
        <v>#N/A</v>
      </c>
      <c r="F2647" s="3" t="e">
        <f t="shared" si="85"/>
        <v>#N/A</v>
      </c>
    </row>
    <row r="2648" spans="2:6" x14ac:dyDescent="0.25">
      <c r="B2648" s="3"/>
      <c r="C2648" s="3"/>
      <c r="D2648" s="3"/>
      <c r="E2648" s="3" t="e">
        <f t="shared" si="84"/>
        <v>#N/A</v>
      </c>
      <c r="F2648" s="3" t="e">
        <f t="shared" si="85"/>
        <v>#N/A</v>
      </c>
    </row>
    <row r="2649" spans="2:6" x14ac:dyDescent="0.25">
      <c r="B2649" s="3"/>
      <c r="C2649" s="3"/>
      <c r="D2649" s="3"/>
      <c r="E2649" s="3" t="e">
        <f t="shared" si="84"/>
        <v>#N/A</v>
      </c>
      <c r="F2649" s="3" t="e">
        <f t="shared" si="85"/>
        <v>#N/A</v>
      </c>
    </row>
    <row r="2650" spans="2:6" x14ac:dyDescent="0.25">
      <c r="B2650" s="3"/>
      <c r="C2650" s="3"/>
      <c r="D2650" s="3"/>
      <c r="E2650" s="3" t="e">
        <f t="shared" si="84"/>
        <v>#N/A</v>
      </c>
      <c r="F2650" s="3" t="e">
        <f t="shared" si="85"/>
        <v>#N/A</v>
      </c>
    </row>
    <row r="2651" spans="2:6" x14ac:dyDescent="0.25">
      <c r="B2651" s="3"/>
      <c r="C2651" s="3"/>
      <c r="D2651" s="3"/>
      <c r="E2651" s="3" t="e">
        <f t="shared" si="84"/>
        <v>#N/A</v>
      </c>
      <c r="F2651" s="3" t="e">
        <f t="shared" si="85"/>
        <v>#N/A</v>
      </c>
    </row>
    <row r="2652" spans="2:6" x14ac:dyDescent="0.25">
      <c r="B2652" s="3"/>
      <c r="C2652" s="3"/>
      <c r="D2652" s="3"/>
      <c r="E2652" s="3" t="e">
        <f t="shared" si="84"/>
        <v>#N/A</v>
      </c>
      <c r="F2652" s="3" t="e">
        <f t="shared" si="85"/>
        <v>#N/A</v>
      </c>
    </row>
    <row r="2653" spans="2:6" x14ac:dyDescent="0.25">
      <c r="B2653" s="3"/>
      <c r="C2653" s="3"/>
      <c r="D2653" s="3"/>
      <c r="E2653" s="3" t="e">
        <f t="shared" si="84"/>
        <v>#N/A</v>
      </c>
      <c r="F2653" s="3" t="e">
        <f t="shared" si="85"/>
        <v>#N/A</v>
      </c>
    </row>
    <row r="2654" spans="2:6" x14ac:dyDescent="0.25">
      <c r="B2654" s="3"/>
      <c r="C2654" s="3"/>
      <c r="D2654" s="3"/>
      <c r="E2654" s="3" t="e">
        <f t="shared" si="84"/>
        <v>#N/A</v>
      </c>
      <c r="F2654" s="3" t="e">
        <f t="shared" si="85"/>
        <v>#N/A</v>
      </c>
    </row>
    <row r="2655" spans="2:6" x14ac:dyDescent="0.25">
      <c r="B2655" s="3"/>
      <c r="C2655" s="3"/>
      <c r="D2655" s="3"/>
      <c r="E2655" s="3" t="e">
        <f t="shared" si="84"/>
        <v>#N/A</v>
      </c>
      <c r="F2655" s="3" t="e">
        <f t="shared" si="85"/>
        <v>#N/A</v>
      </c>
    </row>
    <row r="2656" spans="2:6" x14ac:dyDescent="0.25">
      <c r="B2656" s="3"/>
      <c r="C2656" s="3"/>
      <c r="D2656" s="3"/>
      <c r="E2656" s="3" t="e">
        <f t="shared" si="84"/>
        <v>#N/A</v>
      </c>
      <c r="F2656" s="3" t="e">
        <f t="shared" si="85"/>
        <v>#N/A</v>
      </c>
    </row>
    <row r="2657" spans="2:6" x14ac:dyDescent="0.25">
      <c r="B2657" s="3"/>
      <c r="C2657" s="3"/>
      <c r="D2657" s="3"/>
      <c r="E2657" s="3" t="e">
        <f t="shared" si="84"/>
        <v>#N/A</v>
      </c>
      <c r="F2657" s="3" t="e">
        <f t="shared" si="85"/>
        <v>#N/A</v>
      </c>
    </row>
    <row r="2658" spans="2:6" x14ac:dyDescent="0.25">
      <c r="B2658" s="3"/>
      <c r="C2658" s="3"/>
      <c r="D2658" s="3"/>
      <c r="E2658" s="3" t="e">
        <f t="shared" si="84"/>
        <v>#N/A</v>
      </c>
      <c r="F2658" s="3" t="e">
        <f t="shared" si="85"/>
        <v>#N/A</v>
      </c>
    </row>
    <row r="2659" spans="2:6" x14ac:dyDescent="0.25">
      <c r="B2659" s="3"/>
      <c r="C2659" s="3"/>
      <c r="D2659" s="3"/>
      <c r="E2659" s="3" t="e">
        <f t="shared" si="84"/>
        <v>#N/A</v>
      </c>
      <c r="F2659" s="3" t="e">
        <f t="shared" si="85"/>
        <v>#N/A</v>
      </c>
    </row>
    <row r="2660" spans="2:6" x14ac:dyDescent="0.25">
      <c r="B2660" s="3"/>
      <c r="C2660" s="3"/>
      <c r="D2660" s="3"/>
      <c r="E2660" s="3" t="e">
        <f t="shared" si="84"/>
        <v>#N/A</v>
      </c>
      <c r="F2660" s="3" t="e">
        <f t="shared" si="85"/>
        <v>#N/A</v>
      </c>
    </row>
    <row r="2661" spans="2:6" x14ac:dyDescent="0.25">
      <c r="B2661" s="3"/>
      <c r="C2661" s="3"/>
      <c r="D2661" s="3"/>
      <c r="E2661" s="3" t="e">
        <f t="shared" si="84"/>
        <v>#N/A</v>
      </c>
      <c r="F2661" s="3" t="e">
        <f t="shared" si="85"/>
        <v>#N/A</v>
      </c>
    </row>
    <row r="2662" spans="2:6" x14ac:dyDescent="0.25">
      <c r="B2662" s="3"/>
      <c r="C2662" s="3"/>
      <c r="D2662" s="3"/>
      <c r="E2662" s="3" t="e">
        <f t="shared" si="84"/>
        <v>#N/A</v>
      </c>
      <c r="F2662" s="3" t="e">
        <f t="shared" si="85"/>
        <v>#N/A</v>
      </c>
    </row>
    <row r="2663" spans="2:6" x14ac:dyDescent="0.25">
      <c r="B2663" s="3"/>
      <c r="C2663" s="3"/>
      <c r="D2663" s="3"/>
      <c r="E2663" s="3" t="e">
        <f t="shared" si="84"/>
        <v>#N/A</v>
      </c>
      <c r="F2663" s="3" t="e">
        <f t="shared" si="85"/>
        <v>#N/A</v>
      </c>
    </row>
    <row r="2664" spans="2:6" x14ac:dyDescent="0.25">
      <c r="B2664" s="3"/>
      <c r="C2664" s="3"/>
      <c r="D2664" s="3"/>
      <c r="E2664" s="3" t="e">
        <f t="shared" si="84"/>
        <v>#N/A</v>
      </c>
      <c r="F2664" s="3" t="e">
        <f t="shared" si="85"/>
        <v>#N/A</v>
      </c>
    </row>
    <row r="2665" spans="2:6" x14ac:dyDescent="0.25">
      <c r="B2665" s="3"/>
      <c r="C2665" s="3"/>
      <c r="D2665" s="3"/>
      <c r="E2665" s="3" t="e">
        <f t="shared" si="84"/>
        <v>#N/A</v>
      </c>
      <c r="F2665" s="3" t="e">
        <f t="shared" si="85"/>
        <v>#N/A</v>
      </c>
    </row>
    <row r="2666" spans="2:6" x14ac:dyDescent="0.25">
      <c r="B2666" s="3"/>
      <c r="C2666" s="3"/>
      <c r="D2666" s="3"/>
      <c r="E2666" s="3" t="e">
        <f t="shared" si="84"/>
        <v>#N/A</v>
      </c>
      <c r="F2666" s="3" t="e">
        <f t="shared" si="85"/>
        <v>#N/A</v>
      </c>
    </row>
    <row r="2667" spans="2:6" x14ac:dyDescent="0.25">
      <c r="B2667" s="3"/>
      <c r="C2667" s="3"/>
      <c r="D2667" s="3"/>
      <c r="E2667" s="3" t="e">
        <f t="shared" si="84"/>
        <v>#N/A</v>
      </c>
      <c r="F2667" s="3" t="e">
        <f t="shared" si="85"/>
        <v>#N/A</v>
      </c>
    </row>
    <row r="2668" spans="2:6" x14ac:dyDescent="0.25">
      <c r="B2668" s="3"/>
      <c r="C2668" s="3"/>
      <c r="D2668" s="3"/>
      <c r="E2668" s="3" t="e">
        <f t="shared" si="84"/>
        <v>#N/A</v>
      </c>
      <c r="F2668" s="3" t="e">
        <f t="shared" si="85"/>
        <v>#N/A</v>
      </c>
    </row>
    <row r="2669" spans="2:6" x14ac:dyDescent="0.25">
      <c r="B2669" s="3"/>
      <c r="C2669" s="3"/>
      <c r="D2669" s="3"/>
      <c r="E2669" s="3" t="e">
        <f t="shared" si="84"/>
        <v>#N/A</v>
      </c>
      <c r="F2669" s="3" t="e">
        <f t="shared" si="85"/>
        <v>#N/A</v>
      </c>
    </row>
    <row r="2670" spans="2:6" x14ac:dyDescent="0.25">
      <c r="B2670" s="3"/>
      <c r="C2670" s="3"/>
      <c r="D2670" s="3"/>
      <c r="E2670" s="3" t="e">
        <f t="shared" si="84"/>
        <v>#N/A</v>
      </c>
      <c r="F2670" s="3" t="e">
        <f t="shared" si="85"/>
        <v>#N/A</v>
      </c>
    </row>
    <row r="2671" spans="2:6" x14ac:dyDescent="0.25">
      <c r="B2671" s="3"/>
      <c r="C2671" s="3"/>
      <c r="D2671" s="3"/>
      <c r="E2671" s="3" t="e">
        <f t="shared" si="84"/>
        <v>#N/A</v>
      </c>
      <c r="F2671" s="3" t="e">
        <f t="shared" si="85"/>
        <v>#N/A</v>
      </c>
    </row>
    <row r="2672" spans="2:6" x14ac:dyDescent="0.25">
      <c r="B2672" s="3"/>
      <c r="C2672" s="3"/>
      <c r="D2672" s="3"/>
      <c r="E2672" s="3" t="e">
        <f t="shared" si="84"/>
        <v>#N/A</v>
      </c>
      <c r="F2672" s="3" t="e">
        <f t="shared" si="85"/>
        <v>#N/A</v>
      </c>
    </row>
    <row r="2673" spans="2:6" x14ac:dyDescent="0.25">
      <c r="B2673" s="3"/>
      <c r="C2673" s="3"/>
      <c r="D2673" s="3"/>
      <c r="E2673" s="3" t="e">
        <f t="shared" si="84"/>
        <v>#N/A</v>
      </c>
      <c r="F2673" s="3" t="e">
        <f t="shared" si="85"/>
        <v>#N/A</v>
      </c>
    </row>
    <row r="2674" spans="2:6" x14ac:dyDescent="0.25">
      <c r="B2674" s="3"/>
      <c r="C2674" s="3"/>
      <c r="D2674" s="3"/>
      <c r="E2674" s="3" t="e">
        <f t="shared" si="84"/>
        <v>#N/A</v>
      </c>
      <c r="F2674" s="3" t="e">
        <f t="shared" si="85"/>
        <v>#N/A</v>
      </c>
    </row>
    <row r="2675" spans="2:6" x14ac:dyDescent="0.25">
      <c r="B2675" s="3"/>
      <c r="C2675" s="3"/>
      <c r="D2675" s="3"/>
      <c r="E2675" s="3" t="e">
        <f t="shared" si="84"/>
        <v>#N/A</v>
      </c>
      <c r="F2675" s="3" t="e">
        <f t="shared" si="85"/>
        <v>#N/A</v>
      </c>
    </row>
    <row r="2676" spans="2:6" x14ac:dyDescent="0.25">
      <c r="B2676" s="3"/>
      <c r="C2676" s="3"/>
      <c r="D2676" s="3"/>
      <c r="E2676" s="3" t="e">
        <f t="shared" si="84"/>
        <v>#N/A</v>
      </c>
      <c r="F2676" s="3" t="e">
        <f t="shared" si="85"/>
        <v>#N/A</v>
      </c>
    </row>
    <row r="2677" spans="2:6" x14ac:dyDescent="0.25">
      <c r="B2677" s="3"/>
      <c r="C2677" s="3"/>
      <c r="D2677" s="3"/>
      <c r="E2677" s="3" t="e">
        <f t="shared" si="84"/>
        <v>#N/A</v>
      </c>
      <c r="F2677" s="3" t="e">
        <f t="shared" si="85"/>
        <v>#N/A</v>
      </c>
    </row>
    <row r="2678" spans="2:6" x14ac:dyDescent="0.25">
      <c r="B2678" s="3"/>
      <c r="C2678" s="3"/>
      <c r="D2678" s="3"/>
      <c r="E2678" s="3" t="e">
        <f t="shared" si="84"/>
        <v>#N/A</v>
      </c>
      <c r="F2678" s="3" t="e">
        <f t="shared" si="85"/>
        <v>#N/A</v>
      </c>
    </row>
    <row r="2679" spans="2:6" x14ac:dyDescent="0.25">
      <c r="B2679" s="3"/>
      <c r="C2679" s="3"/>
      <c r="D2679" s="3"/>
      <c r="E2679" s="3" t="e">
        <f t="shared" si="84"/>
        <v>#N/A</v>
      </c>
      <c r="F2679" s="3" t="e">
        <f t="shared" si="85"/>
        <v>#N/A</v>
      </c>
    </row>
    <row r="2680" spans="2:6" x14ac:dyDescent="0.25">
      <c r="B2680" s="3"/>
      <c r="C2680" s="3"/>
      <c r="D2680" s="3"/>
      <c r="E2680" s="3" t="e">
        <f t="shared" si="84"/>
        <v>#N/A</v>
      </c>
      <c r="F2680" s="3" t="e">
        <f t="shared" si="85"/>
        <v>#N/A</v>
      </c>
    </row>
    <row r="2681" spans="2:6" x14ac:dyDescent="0.25">
      <c r="B2681" s="3"/>
      <c r="C2681" s="3"/>
      <c r="D2681" s="3"/>
      <c r="E2681" s="3" t="e">
        <f t="shared" si="84"/>
        <v>#N/A</v>
      </c>
      <c r="F2681" s="3" t="e">
        <f t="shared" si="85"/>
        <v>#N/A</v>
      </c>
    </row>
    <row r="2682" spans="2:6" x14ac:dyDescent="0.25">
      <c r="B2682" s="3"/>
      <c r="C2682" s="3"/>
      <c r="D2682" s="3"/>
      <c r="E2682" s="3" t="e">
        <f t="shared" si="84"/>
        <v>#N/A</v>
      </c>
      <c r="F2682" s="3" t="e">
        <f t="shared" si="85"/>
        <v>#N/A</v>
      </c>
    </row>
    <row r="2683" spans="2:6" x14ac:dyDescent="0.25">
      <c r="B2683" s="3"/>
      <c r="C2683" s="3"/>
      <c r="D2683" s="3"/>
      <c r="E2683" s="3" t="e">
        <f t="shared" si="84"/>
        <v>#N/A</v>
      </c>
      <c r="F2683" s="3" t="e">
        <f t="shared" si="85"/>
        <v>#N/A</v>
      </c>
    </row>
    <row r="2684" spans="2:6" x14ac:dyDescent="0.25">
      <c r="B2684" s="3"/>
      <c r="C2684" s="3"/>
      <c r="D2684" s="3"/>
      <c r="E2684" s="3" t="e">
        <f t="shared" si="84"/>
        <v>#N/A</v>
      </c>
      <c r="F2684" s="3" t="e">
        <f t="shared" si="85"/>
        <v>#N/A</v>
      </c>
    </row>
    <row r="2685" spans="2:6" x14ac:dyDescent="0.25">
      <c r="B2685" s="3"/>
      <c r="C2685" s="3"/>
      <c r="D2685" s="3"/>
      <c r="E2685" s="3" t="e">
        <f t="shared" si="84"/>
        <v>#N/A</v>
      </c>
      <c r="F2685" s="3" t="e">
        <f t="shared" si="85"/>
        <v>#N/A</v>
      </c>
    </row>
    <row r="2686" spans="2:6" x14ac:dyDescent="0.25">
      <c r="B2686" s="3"/>
      <c r="C2686" s="3"/>
      <c r="D2686" s="3"/>
      <c r="E2686" s="3" t="e">
        <f t="shared" si="84"/>
        <v>#N/A</v>
      </c>
      <c r="F2686" s="3" t="e">
        <f t="shared" si="85"/>
        <v>#N/A</v>
      </c>
    </row>
    <row r="2687" spans="2:6" x14ac:dyDescent="0.25">
      <c r="B2687" s="3"/>
      <c r="C2687" s="3"/>
      <c r="D2687" s="3"/>
      <c r="E2687" s="3" t="e">
        <f t="shared" si="84"/>
        <v>#N/A</v>
      </c>
      <c r="F2687" s="3" t="e">
        <f t="shared" si="85"/>
        <v>#N/A</v>
      </c>
    </row>
    <row r="2688" spans="2:6" x14ac:dyDescent="0.25">
      <c r="B2688" s="3"/>
      <c r="C2688" s="3"/>
      <c r="D2688" s="3"/>
      <c r="E2688" s="3" t="e">
        <f t="shared" si="84"/>
        <v>#N/A</v>
      </c>
      <c r="F2688" s="3" t="e">
        <f t="shared" si="85"/>
        <v>#N/A</v>
      </c>
    </row>
    <row r="2689" spans="2:6" x14ac:dyDescent="0.25">
      <c r="B2689" s="3"/>
      <c r="C2689" s="3"/>
      <c r="D2689" s="3"/>
      <c r="E2689" s="3" t="e">
        <f t="shared" si="84"/>
        <v>#N/A</v>
      </c>
      <c r="F2689" s="3" t="e">
        <f t="shared" si="85"/>
        <v>#N/A</v>
      </c>
    </row>
    <row r="2690" spans="2:6" x14ac:dyDescent="0.25">
      <c r="B2690" s="3"/>
      <c r="C2690" s="3"/>
      <c r="D2690" s="3"/>
      <c r="E2690" s="3" t="e">
        <f t="shared" si="84"/>
        <v>#N/A</v>
      </c>
      <c r="F2690" s="3" t="e">
        <f t="shared" si="85"/>
        <v>#N/A</v>
      </c>
    </row>
    <row r="2691" spans="2:6" x14ac:dyDescent="0.25">
      <c r="B2691" s="3"/>
      <c r="C2691" s="3"/>
      <c r="D2691" s="3"/>
      <c r="E2691" s="3" t="e">
        <f t="shared" si="84"/>
        <v>#N/A</v>
      </c>
      <c r="F2691" s="3" t="e">
        <f t="shared" si="85"/>
        <v>#N/A</v>
      </c>
    </row>
    <row r="2692" spans="2:6" x14ac:dyDescent="0.25">
      <c r="B2692" s="3"/>
      <c r="C2692" s="3"/>
      <c r="D2692" s="3"/>
      <c r="E2692" s="3" t="e">
        <f t="shared" ref="E2692:E2755" si="86">VLOOKUP(C2692,I:J,2,0)</f>
        <v>#N/A</v>
      </c>
      <c r="F2692" s="3" t="e">
        <f t="shared" ref="F2692:F2755" si="87">E2692&amp;" "&amp;B2692</f>
        <v>#N/A</v>
      </c>
    </row>
    <row r="2693" spans="2:6" x14ac:dyDescent="0.25">
      <c r="B2693" s="3"/>
      <c r="C2693" s="3"/>
      <c r="D2693" s="3"/>
      <c r="E2693" s="3" t="e">
        <f t="shared" si="86"/>
        <v>#N/A</v>
      </c>
      <c r="F2693" s="3" t="e">
        <f t="shared" si="87"/>
        <v>#N/A</v>
      </c>
    </row>
    <row r="2694" spans="2:6" x14ac:dyDescent="0.25">
      <c r="B2694" s="3"/>
      <c r="C2694" s="3"/>
      <c r="D2694" s="3"/>
      <c r="E2694" s="3" t="e">
        <f t="shared" si="86"/>
        <v>#N/A</v>
      </c>
      <c r="F2694" s="3" t="e">
        <f t="shared" si="87"/>
        <v>#N/A</v>
      </c>
    </row>
    <row r="2695" spans="2:6" x14ac:dyDescent="0.25">
      <c r="B2695" s="3"/>
      <c r="C2695" s="3"/>
      <c r="D2695" s="3"/>
      <c r="E2695" s="3" t="e">
        <f t="shared" si="86"/>
        <v>#N/A</v>
      </c>
      <c r="F2695" s="3" t="e">
        <f t="shared" si="87"/>
        <v>#N/A</v>
      </c>
    </row>
    <row r="2696" spans="2:6" x14ac:dyDescent="0.25">
      <c r="B2696" s="3"/>
      <c r="C2696" s="3"/>
      <c r="D2696" s="3"/>
      <c r="E2696" s="3" t="e">
        <f t="shared" si="86"/>
        <v>#N/A</v>
      </c>
      <c r="F2696" s="3" t="e">
        <f t="shared" si="87"/>
        <v>#N/A</v>
      </c>
    </row>
    <row r="2697" spans="2:6" x14ac:dyDescent="0.25">
      <c r="B2697" s="3"/>
      <c r="C2697" s="3"/>
      <c r="D2697" s="3"/>
      <c r="E2697" s="3" t="e">
        <f t="shared" si="86"/>
        <v>#N/A</v>
      </c>
      <c r="F2697" s="3" t="e">
        <f t="shared" si="87"/>
        <v>#N/A</v>
      </c>
    </row>
    <row r="2698" spans="2:6" x14ac:dyDescent="0.25">
      <c r="B2698" s="3"/>
      <c r="C2698" s="3"/>
      <c r="D2698" s="3"/>
      <c r="E2698" s="3" t="e">
        <f t="shared" si="86"/>
        <v>#N/A</v>
      </c>
      <c r="F2698" s="3" t="e">
        <f t="shared" si="87"/>
        <v>#N/A</v>
      </c>
    </row>
    <row r="2699" spans="2:6" x14ac:dyDescent="0.25">
      <c r="B2699" s="3"/>
      <c r="C2699" s="3"/>
      <c r="D2699" s="3"/>
      <c r="E2699" s="3" t="e">
        <f t="shared" si="86"/>
        <v>#N/A</v>
      </c>
      <c r="F2699" s="3" t="e">
        <f t="shared" si="87"/>
        <v>#N/A</v>
      </c>
    </row>
    <row r="2700" spans="2:6" x14ac:dyDescent="0.25">
      <c r="B2700" s="3"/>
      <c r="C2700" s="3"/>
      <c r="D2700" s="3"/>
      <c r="E2700" s="3" t="e">
        <f t="shared" si="86"/>
        <v>#N/A</v>
      </c>
      <c r="F2700" s="3" t="e">
        <f t="shared" si="87"/>
        <v>#N/A</v>
      </c>
    </row>
    <row r="2701" spans="2:6" x14ac:dyDescent="0.25">
      <c r="B2701" s="3"/>
      <c r="C2701" s="3"/>
      <c r="D2701" s="3"/>
      <c r="E2701" s="3" t="e">
        <f t="shared" si="86"/>
        <v>#N/A</v>
      </c>
      <c r="F2701" s="3" t="e">
        <f t="shared" si="87"/>
        <v>#N/A</v>
      </c>
    </row>
    <row r="2702" spans="2:6" x14ac:dyDescent="0.25">
      <c r="B2702" s="3"/>
      <c r="C2702" s="3"/>
      <c r="D2702" s="3"/>
      <c r="E2702" s="3" t="e">
        <f t="shared" si="86"/>
        <v>#N/A</v>
      </c>
      <c r="F2702" s="3" t="e">
        <f t="shared" si="87"/>
        <v>#N/A</v>
      </c>
    </row>
    <row r="2703" spans="2:6" x14ac:dyDescent="0.25">
      <c r="B2703" s="3"/>
      <c r="C2703" s="3"/>
      <c r="D2703" s="3"/>
      <c r="E2703" s="3" t="e">
        <f t="shared" si="86"/>
        <v>#N/A</v>
      </c>
      <c r="F2703" s="3" t="e">
        <f t="shared" si="87"/>
        <v>#N/A</v>
      </c>
    </row>
    <row r="2704" spans="2:6" x14ac:dyDescent="0.25">
      <c r="B2704" s="3"/>
      <c r="C2704" s="3"/>
      <c r="D2704" s="3"/>
      <c r="E2704" s="3" t="e">
        <f t="shared" si="86"/>
        <v>#N/A</v>
      </c>
      <c r="F2704" s="3" t="e">
        <f t="shared" si="87"/>
        <v>#N/A</v>
      </c>
    </row>
    <row r="2705" spans="2:6" x14ac:dyDescent="0.25">
      <c r="B2705" s="3"/>
      <c r="C2705" s="3"/>
      <c r="D2705" s="3"/>
      <c r="E2705" s="3" t="e">
        <f t="shared" si="86"/>
        <v>#N/A</v>
      </c>
      <c r="F2705" s="3" t="e">
        <f t="shared" si="87"/>
        <v>#N/A</v>
      </c>
    </row>
    <row r="2706" spans="2:6" x14ac:dyDescent="0.25">
      <c r="B2706" s="3"/>
      <c r="C2706" s="3"/>
      <c r="D2706" s="3"/>
      <c r="E2706" s="3" t="e">
        <f t="shared" si="86"/>
        <v>#N/A</v>
      </c>
      <c r="F2706" s="3" t="e">
        <f t="shared" si="87"/>
        <v>#N/A</v>
      </c>
    </row>
    <row r="2707" spans="2:6" x14ac:dyDescent="0.25">
      <c r="B2707" s="3"/>
      <c r="C2707" s="3"/>
      <c r="D2707" s="3"/>
      <c r="E2707" s="3" t="e">
        <f t="shared" si="86"/>
        <v>#N/A</v>
      </c>
      <c r="F2707" s="3" t="e">
        <f t="shared" si="87"/>
        <v>#N/A</v>
      </c>
    </row>
    <row r="2708" spans="2:6" x14ac:dyDescent="0.25">
      <c r="B2708" s="3"/>
      <c r="C2708" s="3"/>
      <c r="D2708" s="3"/>
      <c r="E2708" s="3" t="e">
        <f t="shared" si="86"/>
        <v>#N/A</v>
      </c>
      <c r="F2708" s="3" t="e">
        <f t="shared" si="87"/>
        <v>#N/A</v>
      </c>
    </row>
    <row r="2709" spans="2:6" x14ac:dyDescent="0.25">
      <c r="B2709" s="3"/>
      <c r="C2709" s="3"/>
      <c r="D2709" s="3"/>
      <c r="E2709" s="3" t="e">
        <f t="shared" si="86"/>
        <v>#N/A</v>
      </c>
      <c r="F2709" s="3" t="e">
        <f t="shared" si="87"/>
        <v>#N/A</v>
      </c>
    </row>
    <row r="2710" spans="2:6" x14ac:dyDescent="0.25">
      <c r="B2710" s="3"/>
      <c r="C2710" s="3"/>
      <c r="D2710" s="3"/>
      <c r="E2710" s="3" t="e">
        <f t="shared" si="86"/>
        <v>#N/A</v>
      </c>
      <c r="F2710" s="3" t="e">
        <f t="shared" si="87"/>
        <v>#N/A</v>
      </c>
    </row>
    <row r="2711" spans="2:6" x14ac:dyDescent="0.25">
      <c r="B2711" s="3"/>
      <c r="C2711" s="3"/>
      <c r="D2711" s="3"/>
      <c r="E2711" s="3" t="e">
        <f t="shared" si="86"/>
        <v>#N/A</v>
      </c>
      <c r="F2711" s="3" t="e">
        <f t="shared" si="87"/>
        <v>#N/A</v>
      </c>
    </row>
    <row r="2712" spans="2:6" x14ac:dyDescent="0.25">
      <c r="B2712" s="3"/>
      <c r="C2712" s="3"/>
      <c r="D2712" s="3"/>
      <c r="E2712" s="3" t="e">
        <f t="shared" si="86"/>
        <v>#N/A</v>
      </c>
      <c r="F2712" s="3" t="e">
        <f t="shared" si="87"/>
        <v>#N/A</v>
      </c>
    </row>
    <row r="2713" spans="2:6" x14ac:dyDescent="0.25">
      <c r="B2713" s="3"/>
      <c r="C2713" s="3"/>
      <c r="D2713" s="3"/>
      <c r="E2713" s="3" t="e">
        <f t="shared" si="86"/>
        <v>#N/A</v>
      </c>
      <c r="F2713" s="3" t="e">
        <f t="shared" si="87"/>
        <v>#N/A</v>
      </c>
    </row>
    <row r="2714" spans="2:6" x14ac:dyDescent="0.25">
      <c r="B2714" s="3"/>
      <c r="C2714" s="3"/>
      <c r="D2714" s="3"/>
      <c r="E2714" s="3" t="e">
        <f t="shared" si="86"/>
        <v>#N/A</v>
      </c>
      <c r="F2714" s="3" t="e">
        <f t="shared" si="87"/>
        <v>#N/A</v>
      </c>
    </row>
    <row r="2715" spans="2:6" x14ac:dyDescent="0.25">
      <c r="B2715" s="3"/>
      <c r="C2715" s="3"/>
      <c r="D2715" s="3"/>
      <c r="E2715" s="3" t="e">
        <f t="shared" si="86"/>
        <v>#N/A</v>
      </c>
      <c r="F2715" s="3" t="e">
        <f t="shared" si="87"/>
        <v>#N/A</v>
      </c>
    </row>
    <row r="2716" spans="2:6" x14ac:dyDescent="0.25">
      <c r="B2716" s="3"/>
      <c r="C2716" s="3"/>
      <c r="D2716" s="3"/>
      <c r="E2716" s="3" t="e">
        <f t="shared" si="86"/>
        <v>#N/A</v>
      </c>
      <c r="F2716" s="3" t="e">
        <f t="shared" si="87"/>
        <v>#N/A</v>
      </c>
    </row>
    <row r="2717" spans="2:6" x14ac:dyDescent="0.25">
      <c r="B2717" s="3"/>
      <c r="C2717" s="3"/>
      <c r="D2717" s="3"/>
      <c r="E2717" s="3" t="e">
        <f t="shared" si="86"/>
        <v>#N/A</v>
      </c>
      <c r="F2717" s="3" t="e">
        <f t="shared" si="87"/>
        <v>#N/A</v>
      </c>
    </row>
    <row r="2718" spans="2:6" x14ac:dyDescent="0.25">
      <c r="B2718" s="3"/>
      <c r="C2718" s="3"/>
      <c r="D2718" s="3"/>
      <c r="E2718" s="3" t="e">
        <f t="shared" si="86"/>
        <v>#N/A</v>
      </c>
      <c r="F2718" s="3" t="e">
        <f t="shared" si="87"/>
        <v>#N/A</v>
      </c>
    </row>
    <row r="2719" spans="2:6" x14ac:dyDescent="0.25">
      <c r="B2719" s="3"/>
      <c r="C2719" s="3"/>
      <c r="D2719" s="3"/>
      <c r="E2719" s="3" t="e">
        <f t="shared" si="86"/>
        <v>#N/A</v>
      </c>
      <c r="F2719" s="3" t="e">
        <f t="shared" si="87"/>
        <v>#N/A</v>
      </c>
    </row>
    <row r="2720" spans="2:6" x14ac:dyDescent="0.25">
      <c r="B2720" s="3"/>
      <c r="C2720" s="3"/>
      <c r="D2720" s="3"/>
      <c r="E2720" s="3" t="e">
        <f t="shared" si="86"/>
        <v>#N/A</v>
      </c>
      <c r="F2720" s="3" t="e">
        <f t="shared" si="87"/>
        <v>#N/A</v>
      </c>
    </row>
    <row r="2721" spans="2:6" x14ac:dyDescent="0.25">
      <c r="B2721" s="3"/>
      <c r="C2721" s="3"/>
      <c r="D2721" s="3"/>
      <c r="E2721" s="3" t="e">
        <f t="shared" si="86"/>
        <v>#N/A</v>
      </c>
      <c r="F2721" s="3" t="e">
        <f t="shared" si="87"/>
        <v>#N/A</v>
      </c>
    </row>
    <row r="2722" spans="2:6" x14ac:dyDescent="0.25">
      <c r="B2722" s="3"/>
      <c r="C2722" s="3"/>
      <c r="D2722" s="3"/>
      <c r="E2722" s="3" t="e">
        <f t="shared" si="86"/>
        <v>#N/A</v>
      </c>
      <c r="F2722" s="3" t="e">
        <f t="shared" si="87"/>
        <v>#N/A</v>
      </c>
    </row>
    <row r="2723" spans="2:6" x14ac:dyDescent="0.25">
      <c r="B2723" s="3"/>
      <c r="C2723" s="3"/>
      <c r="D2723" s="3"/>
      <c r="E2723" s="3" t="e">
        <f t="shared" si="86"/>
        <v>#N/A</v>
      </c>
      <c r="F2723" s="3" t="e">
        <f t="shared" si="87"/>
        <v>#N/A</v>
      </c>
    </row>
    <row r="2724" spans="2:6" x14ac:dyDescent="0.25">
      <c r="B2724" s="3"/>
      <c r="C2724" s="3"/>
      <c r="D2724" s="3"/>
      <c r="E2724" s="3" t="e">
        <f t="shared" si="86"/>
        <v>#N/A</v>
      </c>
      <c r="F2724" s="3" t="e">
        <f t="shared" si="87"/>
        <v>#N/A</v>
      </c>
    </row>
    <row r="2725" spans="2:6" x14ac:dyDescent="0.25">
      <c r="B2725" s="3"/>
      <c r="C2725" s="3"/>
      <c r="D2725" s="3"/>
      <c r="E2725" s="3" t="e">
        <f t="shared" si="86"/>
        <v>#N/A</v>
      </c>
      <c r="F2725" s="3" t="e">
        <f t="shared" si="87"/>
        <v>#N/A</v>
      </c>
    </row>
    <row r="2726" spans="2:6" x14ac:dyDescent="0.25">
      <c r="B2726" s="3"/>
      <c r="C2726" s="3"/>
      <c r="D2726" s="3"/>
      <c r="E2726" s="3" t="e">
        <f t="shared" si="86"/>
        <v>#N/A</v>
      </c>
      <c r="F2726" s="3" t="e">
        <f t="shared" si="87"/>
        <v>#N/A</v>
      </c>
    </row>
    <row r="2727" spans="2:6" x14ac:dyDescent="0.25">
      <c r="B2727" s="3"/>
      <c r="C2727" s="3"/>
      <c r="D2727" s="3"/>
      <c r="E2727" s="3" t="e">
        <f t="shared" si="86"/>
        <v>#N/A</v>
      </c>
      <c r="F2727" s="3" t="e">
        <f t="shared" si="87"/>
        <v>#N/A</v>
      </c>
    </row>
    <row r="2728" spans="2:6" x14ac:dyDescent="0.25">
      <c r="B2728" s="3"/>
      <c r="C2728" s="3"/>
      <c r="D2728" s="3"/>
      <c r="E2728" s="3" t="e">
        <f t="shared" si="86"/>
        <v>#N/A</v>
      </c>
      <c r="F2728" s="3" t="e">
        <f t="shared" si="87"/>
        <v>#N/A</v>
      </c>
    </row>
    <row r="2729" spans="2:6" x14ac:dyDescent="0.25">
      <c r="B2729" s="3"/>
      <c r="C2729" s="3"/>
      <c r="D2729" s="3"/>
      <c r="E2729" s="3" t="e">
        <f t="shared" si="86"/>
        <v>#N/A</v>
      </c>
      <c r="F2729" s="3" t="e">
        <f t="shared" si="87"/>
        <v>#N/A</v>
      </c>
    </row>
    <row r="2730" spans="2:6" x14ac:dyDescent="0.25">
      <c r="B2730" s="3"/>
      <c r="C2730" s="3"/>
      <c r="D2730" s="3"/>
      <c r="E2730" s="3" t="e">
        <f t="shared" si="86"/>
        <v>#N/A</v>
      </c>
      <c r="F2730" s="3" t="e">
        <f t="shared" si="87"/>
        <v>#N/A</v>
      </c>
    </row>
    <row r="2731" spans="2:6" x14ac:dyDescent="0.25">
      <c r="B2731" s="3"/>
      <c r="C2731" s="3"/>
      <c r="D2731" s="3"/>
      <c r="E2731" s="3" t="e">
        <f t="shared" si="86"/>
        <v>#N/A</v>
      </c>
      <c r="F2731" s="3" t="e">
        <f t="shared" si="87"/>
        <v>#N/A</v>
      </c>
    </row>
    <row r="2732" spans="2:6" x14ac:dyDescent="0.25">
      <c r="B2732" s="3"/>
      <c r="C2732" s="3"/>
      <c r="D2732" s="3"/>
      <c r="E2732" s="3" t="e">
        <f t="shared" si="86"/>
        <v>#N/A</v>
      </c>
      <c r="F2732" s="3" t="e">
        <f t="shared" si="87"/>
        <v>#N/A</v>
      </c>
    </row>
    <row r="2733" spans="2:6" x14ac:dyDescent="0.25">
      <c r="B2733" s="3"/>
      <c r="C2733" s="3"/>
      <c r="D2733" s="3"/>
      <c r="E2733" s="3" t="e">
        <f t="shared" si="86"/>
        <v>#N/A</v>
      </c>
      <c r="F2733" s="3" t="e">
        <f t="shared" si="87"/>
        <v>#N/A</v>
      </c>
    </row>
    <row r="2734" spans="2:6" x14ac:dyDescent="0.25">
      <c r="B2734" s="3"/>
      <c r="C2734" s="3"/>
      <c r="D2734" s="3"/>
      <c r="E2734" s="3" t="e">
        <f t="shared" si="86"/>
        <v>#N/A</v>
      </c>
      <c r="F2734" s="3" t="e">
        <f t="shared" si="87"/>
        <v>#N/A</v>
      </c>
    </row>
    <row r="2735" spans="2:6" x14ac:dyDescent="0.25">
      <c r="B2735" s="3"/>
      <c r="C2735" s="3"/>
      <c r="D2735" s="3"/>
      <c r="E2735" s="3" t="e">
        <f t="shared" si="86"/>
        <v>#N/A</v>
      </c>
      <c r="F2735" s="3" t="e">
        <f t="shared" si="87"/>
        <v>#N/A</v>
      </c>
    </row>
    <row r="2736" spans="2:6" x14ac:dyDescent="0.25">
      <c r="B2736" s="3"/>
      <c r="C2736" s="3"/>
      <c r="D2736" s="3"/>
      <c r="E2736" s="3" t="e">
        <f t="shared" si="86"/>
        <v>#N/A</v>
      </c>
      <c r="F2736" s="3" t="e">
        <f t="shared" si="87"/>
        <v>#N/A</v>
      </c>
    </row>
    <row r="2737" spans="2:6" x14ac:dyDescent="0.25">
      <c r="B2737" s="3"/>
      <c r="C2737" s="3"/>
      <c r="D2737" s="3"/>
      <c r="E2737" s="3" t="e">
        <f t="shared" si="86"/>
        <v>#N/A</v>
      </c>
      <c r="F2737" s="3" t="e">
        <f t="shared" si="87"/>
        <v>#N/A</v>
      </c>
    </row>
    <row r="2738" spans="2:6" x14ac:dyDescent="0.25">
      <c r="B2738" s="3"/>
      <c r="C2738" s="3"/>
      <c r="D2738" s="3"/>
      <c r="E2738" s="3" t="e">
        <f t="shared" si="86"/>
        <v>#N/A</v>
      </c>
      <c r="F2738" s="3" t="e">
        <f t="shared" si="87"/>
        <v>#N/A</v>
      </c>
    </row>
    <row r="2739" spans="2:6" x14ac:dyDescent="0.25">
      <c r="B2739" s="3"/>
      <c r="C2739" s="3"/>
      <c r="D2739" s="3"/>
      <c r="E2739" s="3" t="e">
        <f t="shared" si="86"/>
        <v>#N/A</v>
      </c>
      <c r="F2739" s="3" t="e">
        <f t="shared" si="87"/>
        <v>#N/A</v>
      </c>
    </row>
    <row r="2740" spans="2:6" x14ac:dyDescent="0.25">
      <c r="B2740" s="3"/>
      <c r="C2740" s="3"/>
      <c r="D2740" s="3"/>
      <c r="E2740" s="3" t="e">
        <f t="shared" si="86"/>
        <v>#N/A</v>
      </c>
      <c r="F2740" s="3" t="e">
        <f t="shared" si="87"/>
        <v>#N/A</v>
      </c>
    </row>
    <row r="2741" spans="2:6" x14ac:dyDescent="0.25">
      <c r="B2741" s="3"/>
      <c r="C2741" s="3"/>
      <c r="D2741" s="3"/>
      <c r="E2741" s="3" t="e">
        <f t="shared" si="86"/>
        <v>#N/A</v>
      </c>
      <c r="F2741" s="3" t="e">
        <f t="shared" si="87"/>
        <v>#N/A</v>
      </c>
    </row>
    <row r="2742" spans="2:6" x14ac:dyDescent="0.25">
      <c r="B2742" s="3"/>
      <c r="C2742" s="3"/>
      <c r="D2742" s="3"/>
      <c r="E2742" s="3" t="e">
        <f t="shared" si="86"/>
        <v>#N/A</v>
      </c>
      <c r="F2742" s="3" t="e">
        <f t="shared" si="87"/>
        <v>#N/A</v>
      </c>
    </row>
    <row r="2743" spans="2:6" x14ac:dyDescent="0.25">
      <c r="B2743" s="3"/>
      <c r="C2743" s="3"/>
      <c r="D2743" s="3"/>
      <c r="E2743" s="3" t="e">
        <f t="shared" si="86"/>
        <v>#N/A</v>
      </c>
      <c r="F2743" s="3" t="e">
        <f t="shared" si="87"/>
        <v>#N/A</v>
      </c>
    </row>
    <row r="2744" spans="2:6" x14ac:dyDescent="0.25">
      <c r="B2744" s="3"/>
      <c r="C2744" s="3"/>
      <c r="D2744" s="3"/>
      <c r="E2744" s="3" t="e">
        <f t="shared" si="86"/>
        <v>#N/A</v>
      </c>
      <c r="F2744" s="3" t="e">
        <f t="shared" si="87"/>
        <v>#N/A</v>
      </c>
    </row>
    <row r="2745" spans="2:6" x14ac:dyDescent="0.25">
      <c r="B2745" s="3"/>
      <c r="C2745" s="3"/>
      <c r="D2745" s="3"/>
      <c r="E2745" s="3" t="e">
        <f t="shared" si="86"/>
        <v>#N/A</v>
      </c>
      <c r="F2745" s="3" t="e">
        <f t="shared" si="87"/>
        <v>#N/A</v>
      </c>
    </row>
    <row r="2746" spans="2:6" x14ac:dyDescent="0.25">
      <c r="B2746" s="3"/>
      <c r="C2746" s="3"/>
      <c r="D2746" s="3"/>
      <c r="E2746" s="3" t="e">
        <f t="shared" si="86"/>
        <v>#N/A</v>
      </c>
      <c r="F2746" s="3" t="e">
        <f t="shared" si="87"/>
        <v>#N/A</v>
      </c>
    </row>
    <row r="2747" spans="2:6" x14ac:dyDescent="0.25">
      <c r="B2747" s="3"/>
      <c r="C2747" s="3"/>
      <c r="D2747" s="3"/>
      <c r="E2747" s="3" t="e">
        <f t="shared" si="86"/>
        <v>#N/A</v>
      </c>
      <c r="F2747" s="3" t="e">
        <f t="shared" si="87"/>
        <v>#N/A</v>
      </c>
    </row>
    <row r="2748" spans="2:6" x14ac:dyDescent="0.25">
      <c r="B2748" s="3"/>
      <c r="C2748" s="3"/>
      <c r="D2748" s="3"/>
      <c r="E2748" s="3" t="e">
        <f t="shared" si="86"/>
        <v>#N/A</v>
      </c>
      <c r="F2748" s="3" t="e">
        <f t="shared" si="87"/>
        <v>#N/A</v>
      </c>
    </row>
    <row r="2749" spans="2:6" x14ac:dyDescent="0.25">
      <c r="B2749" s="3"/>
      <c r="C2749" s="3"/>
      <c r="D2749" s="3"/>
      <c r="E2749" s="3" t="e">
        <f t="shared" si="86"/>
        <v>#N/A</v>
      </c>
      <c r="F2749" s="3" t="e">
        <f t="shared" si="87"/>
        <v>#N/A</v>
      </c>
    </row>
    <row r="2750" spans="2:6" x14ac:dyDescent="0.25">
      <c r="B2750" s="3"/>
      <c r="C2750" s="3"/>
      <c r="D2750" s="3"/>
      <c r="E2750" s="3" t="e">
        <f t="shared" si="86"/>
        <v>#N/A</v>
      </c>
      <c r="F2750" s="3" t="e">
        <f t="shared" si="87"/>
        <v>#N/A</v>
      </c>
    </row>
    <row r="2751" spans="2:6" x14ac:dyDescent="0.25">
      <c r="B2751" s="3"/>
      <c r="C2751" s="3"/>
      <c r="D2751" s="3"/>
      <c r="E2751" s="3" t="e">
        <f t="shared" si="86"/>
        <v>#N/A</v>
      </c>
      <c r="F2751" s="3" t="e">
        <f t="shared" si="87"/>
        <v>#N/A</v>
      </c>
    </row>
    <row r="2752" spans="2:6" x14ac:dyDescent="0.25">
      <c r="B2752" s="3"/>
      <c r="C2752" s="3"/>
      <c r="D2752" s="3"/>
      <c r="E2752" s="3" t="e">
        <f t="shared" si="86"/>
        <v>#N/A</v>
      </c>
      <c r="F2752" s="3" t="e">
        <f t="shared" si="87"/>
        <v>#N/A</v>
      </c>
    </row>
    <row r="2753" spans="2:6" x14ac:dyDescent="0.25">
      <c r="B2753" s="3"/>
      <c r="C2753" s="3"/>
      <c r="D2753" s="3"/>
      <c r="E2753" s="3" t="e">
        <f t="shared" si="86"/>
        <v>#N/A</v>
      </c>
      <c r="F2753" s="3" t="e">
        <f t="shared" si="87"/>
        <v>#N/A</v>
      </c>
    </row>
    <row r="2754" spans="2:6" x14ac:dyDescent="0.25">
      <c r="B2754" s="3"/>
      <c r="C2754" s="3"/>
      <c r="D2754" s="3"/>
      <c r="E2754" s="3" t="e">
        <f t="shared" si="86"/>
        <v>#N/A</v>
      </c>
      <c r="F2754" s="3" t="e">
        <f t="shared" si="87"/>
        <v>#N/A</v>
      </c>
    </row>
    <row r="2755" spans="2:6" x14ac:dyDescent="0.25">
      <c r="B2755" s="3"/>
      <c r="C2755" s="3"/>
      <c r="D2755" s="3"/>
      <c r="E2755" s="3" t="e">
        <f t="shared" si="86"/>
        <v>#N/A</v>
      </c>
      <c r="F2755" s="3" t="e">
        <f t="shared" si="87"/>
        <v>#N/A</v>
      </c>
    </row>
    <row r="2756" spans="2:6" x14ac:dyDescent="0.25">
      <c r="B2756" s="3"/>
      <c r="C2756" s="3"/>
      <c r="D2756" s="3"/>
      <c r="E2756" s="3" t="e">
        <f t="shared" ref="E2756:E2819" si="88">VLOOKUP(C2756,I:J,2,0)</f>
        <v>#N/A</v>
      </c>
      <c r="F2756" s="3" t="e">
        <f t="shared" ref="F2756:F2819" si="89">E2756&amp;" "&amp;B2756</f>
        <v>#N/A</v>
      </c>
    </row>
    <row r="2757" spans="2:6" x14ac:dyDescent="0.25">
      <c r="B2757" s="3"/>
      <c r="C2757" s="3"/>
      <c r="D2757" s="3"/>
      <c r="E2757" s="3" t="e">
        <f t="shared" si="88"/>
        <v>#N/A</v>
      </c>
      <c r="F2757" s="3" t="e">
        <f t="shared" si="89"/>
        <v>#N/A</v>
      </c>
    </row>
    <row r="2758" spans="2:6" x14ac:dyDescent="0.25">
      <c r="B2758" s="3"/>
      <c r="C2758" s="3"/>
      <c r="D2758" s="3"/>
      <c r="E2758" s="3" t="e">
        <f t="shared" si="88"/>
        <v>#N/A</v>
      </c>
      <c r="F2758" s="3" t="e">
        <f t="shared" si="89"/>
        <v>#N/A</v>
      </c>
    </row>
    <row r="2759" spans="2:6" x14ac:dyDescent="0.25">
      <c r="B2759" s="3"/>
      <c r="C2759" s="3"/>
      <c r="D2759" s="3"/>
      <c r="E2759" s="3" t="e">
        <f t="shared" si="88"/>
        <v>#N/A</v>
      </c>
      <c r="F2759" s="3" t="e">
        <f t="shared" si="89"/>
        <v>#N/A</v>
      </c>
    </row>
    <row r="2760" spans="2:6" x14ac:dyDescent="0.25">
      <c r="B2760" s="3"/>
      <c r="C2760" s="3"/>
      <c r="D2760" s="3"/>
      <c r="E2760" s="3" t="e">
        <f t="shared" si="88"/>
        <v>#N/A</v>
      </c>
      <c r="F2760" s="3" t="e">
        <f t="shared" si="89"/>
        <v>#N/A</v>
      </c>
    </row>
    <row r="2761" spans="2:6" x14ac:dyDescent="0.25">
      <c r="B2761" s="3"/>
      <c r="C2761" s="3"/>
      <c r="D2761" s="3"/>
      <c r="E2761" s="3" t="e">
        <f t="shared" si="88"/>
        <v>#N/A</v>
      </c>
      <c r="F2761" s="3" t="e">
        <f t="shared" si="89"/>
        <v>#N/A</v>
      </c>
    </row>
    <row r="2762" spans="2:6" x14ac:dyDescent="0.25">
      <c r="B2762" s="3"/>
      <c r="C2762" s="3"/>
      <c r="D2762" s="3"/>
      <c r="E2762" s="3" t="e">
        <f t="shared" si="88"/>
        <v>#N/A</v>
      </c>
      <c r="F2762" s="3" t="e">
        <f t="shared" si="89"/>
        <v>#N/A</v>
      </c>
    </row>
    <row r="2763" spans="2:6" x14ac:dyDescent="0.25">
      <c r="B2763" s="3"/>
      <c r="C2763" s="3"/>
      <c r="D2763" s="3"/>
      <c r="E2763" s="3" t="e">
        <f t="shared" si="88"/>
        <v>#N/A</v>
      </c>
      <c r="F2763" s="3" t="e">
        <f t="shared" si="89"/>
        <v>#N/A</v>
      </c>
    </row>
    <row r="2764" spans="2:6" x14ac:dyDescent="0.25">
      <c r="B2764" s="3"/>
      <c r="C2764" s="3"/>
      <c r="D2764" s="3"/>
      <c r="E2764" s="3" t="e">
        <f t="shared" si="88"/>
        <v>#N/A</v>
      </c>
      <c r="F2764" s="3" t="e">
        <f t="shared" si="89"/>
        <v>#N/A</v>
      </c>
    </row>
    <row r="2765" spans="2:6" x14ac:dyDescent="0.25">
      <c r="B2765" s="3"/>
      <c r="C2765" s="3"/>
      <c r="D2765" s="3"/>
      <c r="E2765" s="3" t="e">
        <f t="shared" si="88"/>
        <v>#N/A</v>
      </c>
      <c r="F2765" s="3" t="e">
        <f t="shared" si="89"/>
        <v>#N/A</v>
      </c>
    </row>
    <row r="2766" spans="2:6" x14ac:dyDescent="0.25">
      <c r="B2766" s="3"/>
      <c r="C2766" s="3"/>
      <c r="D2766" s="3"/>
      <c r="E2766" s="3" t="e">
        <f t="shared" si="88"/>
        <v>#N/A</v>
      </c>
      <c r="F2766" s="3" t="e">
        <f t="shared" si="89"/>
        <v>#N/A</v>
      </c>
    </row>
    <row r="2767" spans="2:6" x14ac:dyDescent="0.25">
      <c r="B2767" s="3"/>
      <c r="C2767" s="3"/>
      <c r="D2767" s="3"/>
      <c r="E2767" s="3" t="e">
        <f t="shared" si="88"/>
        <v>#N/A</v>
      </c>
      <c r="F2767" s="3" t="e">
        <f t="shared" si="89"/>
        <v>#N/A</v>
      </c>
    </row>
    <row r="2768" spans="2:6" x14ac:dyDescent="0.25">
      <c r="B2768" s="3"/>
      <c r="C2768" s="3"/>
      <c r="D2768" s="3"/>
      <c r="E2768" s="3" t="e">
        <f t="shared" si="88"/>
        <v>#N/A</v>
      </c>
      <c r="F2768" s="3" t="e">
        <f t="shared" si="89"/>
        <v>#N/A</v>
      </c>
    </row>
    <row r="2769" spans="2:6" x14ac:dyDescent="0.25">
      <c r="B2769" s="3"/>
      <c r="C2769" s="3"/>
      <c r="D2769" s="3"/>
      <c r="E2769" s="3" t="e">
        <f t="shared" si="88"/>
        <v>#N/A</v>
      </c>
      <c r="F2769" s="3" t="e">
        <f t="shared" si="89"/>
        <v>#N/A</v>
      </c>
    </row>
    <row r="2770" spans="2:6" x14ac:dyDescent="0.25">
      <c r="B2770" s="3"/>
      <c r="C2770" s="3"/>
      <c r="D2770" s="3"/>
      <c r="E2770" s="3" t="e">
        <f t="shared" si="88"/>
        <v>#N/A</v>
      </c>
      <c r="F2770" s="3" t="e">
        <f t="shared" si="89"/>
        <v>#N/A</v>
      </c>
    </row>
    <row r="2771" spans="2:6" x14ac:dyDescent="0.25">
      <c r="B2771" s="3"/>
      <c r="C2771" s="3"/>
      <c r="D2771" s="3"/>
      <c r="E2771" s="3" t="e">
        <f t="shared" si="88"/>
        <v>#N/A</v>
      </c>
      <c r="F2771" s="3" t="e">
        <f t="shared" si="89"/>
        <v>#N/A</v>
      </c>
    </row>
    <row r="2772" spans="2:6" x14ac:dyDescent="0.25">
      <c r="B2772" s="3"/>
      <c r="C2772" s="3"/>
      <c r="D2772" s="3"/>
      <c r="E2772" s="3" t="e">
        <f t="shared" si="88"/>
        <v>#N/A</v>
      </c>
      <c r="F2772" s="3" t="e">
        <f t="shared" si="89"/>
        <v>#N/A</v>
      </c>
    </row>
    <row r="2773" spans="2:6" x14ac:dyDescent="0.25">
      <c r="B2773" s="3"/>
      <c r="C2773" s="3"/>
      <c r="D2773" s="3"/>
      <c r="E2773" s="3" t="e">
        <f t="shared" si="88"/>
        <v>#N/A</v>
      </c>
      <c r="F2773" s="3" t="e">
        <f t="shared" si="89"/>
        <v>#N/A</v>
      </c>
    </row>
    <row r="2774" spans="2:6" x14ac:dyDescent="0.25">
      <c r="B2774" s="3"/>
      <c r="C2774" s="3"/>
      <c r="D2774" s="3"/>
      <c r="E2774" s="3" t="e">
        <f t="shared" si="88"/>
        <v>#N/A</v>
      </c>
      <c r="F2774" s="3" t="e">
        <f t="shared" si="89"/>
        <v>#N/A</v>
      </c>
    </row>
    <row r="2775" spans="2:6" x14ac:dyDescent="0.25">
      <c r="B2775" s="3"/>
      <c r="C2775" s="3"/>
      <c r="D2775" s="3"/>
      <c r="E2775" s="3" t="e">
        <f t="shared" si="88"/>
        <v>#N/A</v>
      </c>
      <c r="F2775" s="3" t="e">
        <f t="shared" si="89"/>
        <v>#N/A</v>
      </c>
    </row>
    <row r="2776" spans="2:6" x14ac:dyDescent="0.25">
      <c r="B2776" s="3"/>
      <c r="C2776" s="3"/>
      <c r="D2776" s="3"/>
      <c r="E2776" s="3" t="e">
        <f t="shared" si="88"/>
        <v>#N/A</v>
      </c>
      <c r="F2776" s="3" t="e">
        <f t="shared" si="89"/>
        <v>#N/A</v>
      </c>
    </row>
    <row r="2777" spans="2:6" x14ac:dyDescent="0.25">
      <c r="B2777" s="3"/>
      <c r="C2777" s="3"/>
      <c r="D2777" s="3"/>
      <c r="E2777" s="3" t="e">
        <f t="shared" si="88"/>
        <v>#N/A</v>
      </c>
      <c r="F2777" s="3" t="e">
        <f t="shared" si="89"/>
        <v>#N/A</v>
      </c>
    </row>
    <row r="2778" spans="2:6" x14ac:dyDescent="0.25">
      <c r="B2778" s="3"/>
      <c r="C2778" s="3"/>
      <c r="D2778" s="3"/>
      <c r="E2778" s="3" t="e">
        <f t="shared" si="88"/>
        <v>#N/A</v>
      </c>
      <c r="F2778" s="3" t="e">
        <f t="shared" si="89"/>
        <v>#N/A</v>
      </c>
    </row>
    <row r="2779" spans="2:6" x14ac:dyDescent="0.25">
      <c r="B2779" s="3"/>
      <c r="C2779" s="3"/>
      <c r="D2779" s="3"/>
      <c r="E2779" s="3" t="e">
        <f t="shared" si="88"/>
        <v>#N/A</v>
      </c>
      <c r="F2779" s="3" t="e">
        <f t="shared" si="89"/>
        <v>#N/A</v>
      </c>
    </row>
    <row r="2780" spans="2:6" x14ac:dyDescent="0.25">
      <c r="B2780" s="3"/>
      <c r="C2780" s="3"/>
      <c r="D2780" s="3"/>
      <c r="E2780" s="3" t="e">
        <f t="shared" si="88"/>
        <v>#N/A</v>
      </c>
      <c r="F2780" s="3" t="e">
        <f t="shared" si="89"/>
        <v>#N/A</v>
      </c>
    </row>
    <row r="2781" spans="2:6" x14ac:dyDescent="0.25">
      <c r="B2781" s="3"/>
      <c r="C2781" s="3"/>
      <c r="D2781" s="3"/>
      <c r="E2781" s="3" t="e">
        <f t="shared" si="88"/>
        <v>#N/A</v>
      </c>
      <c r="F2781" s="3" t="e">
        <f t="shared" si="89"/>
        <v>#N/A</v>
      </c>
    </row>
    <row r="2782" spans="2:6" x14ac:dyDescent="0.25">
      <c r="B2782" s="3"/>
      <c r="C2782" s="3"/>
      <c r="D2782" s="3"/>
      <c r="E2782" s="3" t="e">
        <f t="shared" si="88"/>
        <v>#N/A</v>
      </c>
      <c r="F2782" s="3" t="e">
        <f t="shared" si="89"/>
        <v>#N/A</v>
      </c>
    </row>
    <row r="2783" spans="2:6" x14ac:dyDescent="0.25">
      <c r="B2783" s="3"/>
      <c r="C2783" s="3"/>
      <c r="D2783" s="3"/>
      <c r="E2783" s="3" t="e">
        <f t="shared" si="88"/>
        <v>#N/A</v>
      </c>
      <c r="F2783" s="3" t="e">
        <f t="shared" si="89"/>
        <v>#N/A</v>
      </c>
    </row>
    <row r="2784" spans="2:6" x14ac:dyDescent="0.25">
      <c r="B2784" s="3"/>
      <c r="C2784" s="3"/>
      <c r="D2784" s="3"/>
      <c r="E2784" s="3" t="e">
        <f t="shared" si="88"/>
        <v>#N/A</v>
      </c>
      <c r="F2784" s="3" t="e">
        <f t="shared" si="89"/>
        <v>#N/A</v>
      </c>
    </row>
    <row r="2785" spans="2:6" x14ac:dyDescent="0.25">
      <c r="B2785" s="3"/>
      <c r="C2785" s="3"/>
      <c r="D2785" s="3"/>
      <c r="E2785" s="3" t="e">
        <f t="shared" si="88"/>
        <v>#N/A</v>
      </c>
      <c r="F2785" s="3" t="e">
        <f t="shared" si="89"/>
        <v>#N/A</v>
      </c>
    </row>
    <row r="2786" spans="2:6" x14ac:dyDescent="0.25">
      <c r="B2786" s="3"/>
      <c r="C2786" s="3"/>
      <c r="D2786" s="3"/>
      <c r="E2786" s="3" t="e">
        <f t="shared" si="88"/>
        <v>#N/A</v>
      </c>
      <c r="F2786" s="3" t="e">
        <f t="shared" si="89"/>
        <v>#N/A</v>
      </c>
    </row>
    <row r="2787" spans="2:6" x14ac:dyDescent="0.25">
      <c r="B2787" s="3"/>
      <c r="C2787" s="3"/>
      <c r="D2787" s="3"/>
      <c r="E2787" s="3" t="e">
        <f t="shared" si="88"/>
        <v>#N/A</v>
      </c>
      <c r="F2787" s="3" t="e">
        <f t="shared" si="89"/>
        <v>#N/A</v>
      </c>
    </row>
    <row r="2788" spans="2:6" x14ac:dyDescent="0.25">
      <c r="B2788" s="3"/>
      <c r="C2788" s="3"/>
      <c r="D2788" s="3"/>
      <c r="E2788" s="3" t="e">
        <f t="shared" si="88"/>
        <v>#N/A</v>
      </c>
      <c r="F2788" s="3" t="e">
        <f t="shared" si="89"/>
        <v>#N/A</v>
      </c>
    </row>
    <row r="2789" spans="2:6" x14ac:dyDescent="0.25">
      <c r="B2789" s="3"/>
      <c r="C2789" s="3"/>
      <c r="D2789" s="3"/>
      <c r="E2789" s="3" t="e">
        <f t="shared" si="88"/>
        <v>#N/A</v>
      </c>
      <c r="F2789" s="3" t="e">
        <f t="shared" si="89"/>
        <v>#N/A</v>
      </c>
    </row>
    <row r="2790" spans="2:6" x14ac:dyDescent="0.25">
      <c r="B2790" s="3"/>
      <c r="C2790" s="3"/>
      <c r="D2790" s="3"/>
      <c r="E2790" s="3" t="e">
        <f t="shared" si="88"/>
        <v>#N/A</v>
      </c>
      <c r="F2790" s="3" t="e">
        <f t="shared" si="89"/>
        <v>#N/A</v>
      </c>
    </row>
    <row r="2791" spans="2:6" x14ac:dyDescent="0.25">
      <c r="B2791" s="3"/>
      <c r="C2791" s="3"/>
      <c r="D2791" s="3"/>
      <c r="E2791" s="3" t="e">
        <f t="shared" si="88"/>
        <v>#N/A</v>
      </c>
      <c r="F2791" s="3" t="e">
        <f t="shared" si="89"/>
        <v>#N/A</v>
      </c>
    </row>
    <row r="2792" spans="2:6" x14ac:dyDescent="0.25">
      <c r="B2792" s="3"/>
      <c r="C2792" s="3"/>
      <c r="D2792" s="3"/>
      <c r="E2792" s="3" t="e">
        <f t="shared" si="88"/>
        <v>#N/A</v>
      </c>
      <c r="F2792" s="3" t="e">
        <f t="shared" si="89"/>
        <v>#N/A</v>
      </c>
    </row>
    <row r="2793" spans="2:6" x14ac:dyDescent="0.25">
      <c r="B2793" s="3"/>
      <c r="C2793" s="3"/>
      <c r="D2793" s="3"/>
      <c r="E2793" s="3" t="e">
        <f t="shared" si="88"/>
        <v>#N/A</v>
      </c>
      <c r="F2793" s="3" t="e">
        <f t="shared" si="89"/>
        <v>#N/A</v>
      </c>
    </row>
    <row r="2794" spans="2:6" x14ac:dyDescent="0.25">
      <c r="B2794" s="3"/>
      <c r="C2794" s="3"/>
      <c r="D2794" s="3"/>
      <c r="E2794" s="3" t="e">
        <f t="shared" si="88"/>
        <v>#N/A</v>
      </c>
      <c r="F2794" s="3" t="e">
        <f t="shared" si="89"/>
        <v>#N/A</v>
      </c>
    </row>
    <row r="2795" spans="2:6" x14ac:dyDescent="0.25">
      <c r="B2795" s="3"/>
      <c r="C2795" s="3"/>
      <c r="D2795" s="3"/>
      <c r="E2795" s="3" t="e">
        <f t="shared" si="88"/>
        <v>#N/A</v>
      </c>
      <c r="F2795" s="3" t="e">
        <f t="shared" si="89"/>
        <v>#N/A</v>
      </c>
    </row>
    <row r="2796" spans="2:6" x14ac:dyDescent="0.25">
      <c r="B2796" s="3"/>
      <c r="C2796" s="3"/>
      <c r="D2796" s="3"/>
      <c r="E2796" s="3" t="e">
        <f t="shared" si="88"/>
        <v>#N/A</v>
      </c>
      <c r="F2796" s="3" t="e">
        <f t="shared" si="89"/>
        <v>#N/A</v>
      </c>
    </row>
    <row r="2797" spans="2:6" x14ac:dyDescent="0.25">
      <c r="B2797" s="3"/>
      <c r="C2797" s="3"/>
      <c r="D2797" s="3"/>
      <c r="E2797" s="3" t="e">
        <f t="shared" si="88"/>
        <v>#N/A</v>
      </c>
      <c r="F2797" s="3" t="e">
        <f t="shared" si="89"/>
        <v>#N/A</v>
      </c>
    </row>
    <row r="2798" spans="2:6" x14ac:dyDescent="0.25">
      <c r="B2798" s="3"/>
      <c r="C2798" s="3"/>
      <c r="D2798" s="3"/>
      <c r="E2798" s="3" t="e">
        <f t="shared" si="88"/>
        <v>#N/A</v>
      </c>
      <c r="F2798" s="3" t="e">
        <f t="shared" si="89"/>
        <v>#N/A</v>
      </c>
    </row>
    <row r="2799" spans="2:6" x14ac:dyDescent="0.25">
      <c r="B2799" s="3"/>
      <c r="C2799" s="3"/>
      <c r="D2799" s="3"/>
      <c r="E2799" s="3" t="e">
        <f t="shared" si="88"/>
        <v>#N/A</v>
      </c>
      <c r="F2799" s="3" t="e">
        <f t="shared" si="89"/>
        <v>#N/A</v>
      </c>
    </row>
    <row r="2800" spans="2:6" x14ac:dyDescent="0.25">
      <c r="B2800" s="3"/>
      <c r="C2800" s="3"/>
      <c r="D2800" s="3"/>
      <c r="E2800" s="3" t="e">
        <f t="shared" si="88"/>
        <v>#N/A</v>
      </c>
      <c r="F2800" s="3" t="e">
        <f t="shared" si="89"/>
        <v>#N/A</v>
      </c>
    </row>
    <row r="2801" spans="2:6" x14ac:dyDescent="0.25">
      <c r="B2801" s="3"/>
      <c r="C2801" s="3"/>
      <c r="D2801" s="3"/>
      <c r="E2801" s="3" t="e">
        <f t="shared" si="88"/>
        <v>#N/A</v>
      </c>
      <c r="F2801" s="3" t="e">
        <f t="shared" si="89"/>
        <v>#N/A</v>
      </c>
    </row>
    <row r="2802" spans="2:6" x14ac:dyDescent="0.25">
      <c r="B2802" s="3"/>
      <c r="C2802" s="3"/>
      <c r="D2802" s="3"/>
      <c r="E2802" s="3" t="e">
        <f t="shared" si="88"/>
        <v>#N/A</v>
      </c>
      <c r="F2802" s="3" t="e">
        <f t="shared" si="89"/>
        <v>#N/A</v>
      </c>
    </row>
    <row r="2803" spans="2:6" x14ac:dyDescent="0.25">
      <c r="B2803" s="3"/>
      <c r="C2803" s="3"/>
      <c r="D2803" s="3"/>
      <c r="E2803" s="3" t="e">
        <f t="shared" si="88"/>
        <v>#N/A</v>
      </c>
      <c r="F2803" s="3" t="e">
        <f t="shared" si="89"/>
        <v>#N/A</v>
      </c>
    </row>
    <row r="2804" spans="2:6" x14ac:dyDescent="0.25">
      <c r="B2804" s="3"/>
      <c r="C2804" s="3"/>
      <c r="D2804" s="3"/>
      <c r="E2804" s="3" t="e">
        <f t="shared" si="88"/>
        <v>#N/A</v>
      </c>
      <c r="F2804" s="3" t="e">
        <f t="shared" si="89"/>
        <v>#N/A</v>
      </c>
    </row>
    <row r="2805" spans="2:6" x14ac:dyDescent="0.25">
      <c r="B2805" s="3"/>
      <c r="C2805" s="3"/>
      <c r="D2805" s="3"/>
      <c r="E2805" s="3" t="e">
        <f t="shared" si="88"/>
        <v>#N/A</v>
      </c>
      <c r="F2805" s="3" t="e">
        <f t="shared" si="89"/>
        <v>#N/A</v>
      </c>
    </row>
    <row r="2806" spans="2:6" x14ac:dyDescent="0.25">
      <c r="B2806" s="3"/>
      <c r="C2806" s="3"/>
      <c r="D2806" s="3"/>
      <c r="E2806" s="3" t="e">
        <f t="shared" si="88"/>
        <v>#N/A</v>
      </c>
      <c r="F2806" s="3" t="e">
        <f t="shared" si="89"/>
        <v>#N/A</v>
      </c>
    </row>
    <row r="2807" spans="2:6" x14ac:dyDescent="0.25">
      <c r="B2807" s="3"/>
      <c r="C2807" s="3"/>
      <c r="D2807" s="3"/>
      <c r="E2807" s="3" t="e">
        <f t="shared" si="88"/>
        <v>#N/A</v>
      </c>
      <c r="F2807" s="3" t="e">
        <f t="shared" si="89"/>
        <v>#N/A</v>
      </c>
    </row>
    <row r="2808" spans="2:6" x14ac:dyDescent="0.25">
      <c r="B2808" s="3"/>
      <c r="C2808" s="3"/>
      <c r="D2808" s="3"/>
      <c r="E2808" s="3" t="e">
        <f t="shared" si="88"/>
        <v>#N/A</v>
      </c>
      <c r="F2808" s="3" t="e">
        <f t="shared" si="89"/>
        <v>#N/A</v>
      </c>
    </row>
    <row r="2809" spans="2:6" x14ac:dyDescent="0.25">
      <c r="B2809" s="3"/>
      <c r="C2809" s="3"/>
      <c r="D2809" s="3"/>
      <c r="E2809" s="3" t="e">
        <f t="shared" si="88"/>
        <v>#N/A</v>
      </c>
      <c r="F2809" s="3" t="e">
        <f t="shared" si="89"/>
        <v>#N/A</v>
      </c>
    </row>
    <row r="2810" spans="2:6" x14ac:dyDescent="0.25">
      <c r="B2810" s="3"/>
      <c r="C2810" s="3"/>
      <c r="D2810" s="3"/>
      <c r="E2810" s="3" t="e">
        <f t="shared" si="88"/>
        <v>#N/A</v>
      </c>
      <c r="F2810" s="3" t="e">
        <f t="shared" si="89"/>
        <v>#N/A</v>
      </c>
    </row>
    <row r="2811" spans="2:6" x14ac:dyDescent="0.25">
      <c r="B2811" s="3"/>
      <c r="C2811" s="3"/>
      <c r="D2811" s="3"/>
      <c r="E2811" s="3" t="e">
        <f t="shared" si="88"/>
        <v>#N/A</v>
      </c>
      <c r="F2811" s="3" t="e">
        <f t="shared" si="89"/>
        <v>#N/A</v>
      </c>
    </row>
    <row r="2812" spans="2:6" x14ac:dyDescent="0.25">
      <c r="B2812" s="3"/>
      <c r="C2812" s="3"/>
      <c r="D2812" s="3"/>
      <c r="E2812" s="3" t="e">
        <f t="shared" si="88"/>
        <v>#N/A</v>
      </c>
      <c r="F2812" s="3" t="e">
        <f t="shared" si="89"/>
        <v>#N/A</v>
      </c>
    </row>
    <row r="2813" spans="2:6" x14ac:dyDescent="0.25">
      <c r="B2813" s="3"/>
      <c r="C2813" s="3"/>
      <c r="D2813" s="3"/>
      <c r="E2813" s="3" t="e">
        <f t="shared" si="88"/>
        <v>#N/A</v>
      </c>
      <c r="F2813" s="3" t="e">
        <f t="shared" si="89"/>
        <v>#N/A</v>
      </c>
    </row>
    <row r="2814" spans="2:6" x14ac:dyDescent="0.25">
      <c r="B2814" s="3"/>
      <c r="C2814" s="3"/>
      <c r="D2814" s="3"/>
      <c r="E2814" s="3" t="e">
        <f t="shared" si="88"/>
        <v>#N/A</v>
      </c>
      <c r="F2814" s="3" t="e">
        <f t="shared" si="89"/>
        <v>#N/A</v>
      </c>
    </row>
    <row r="2815" spans="2:6" x14ac:dyDescent="0.25">
      <c r="B2815" s="3"/>
      <c r="C2815" s="3"/>
      <c r="D2815" s="3"/>
      <c r="E2815" s="3" t="e">
        <f t="shared" si="88"/>
        <v>#N/A</v>
      </c>
      <c r="F2815" s="3" t="e">
        <f t="shared" si="89"/>
        <v>#N/A</v>
      </c>
    </row>
    <row r="2816" spans="2:6" x14ac:dyDescent="0.25">
      <c r="B2816" s="3"/>
      <c r="C2816" s="3"/>
      <c r="D2816" s="3"/>
      <c r="E2816" s="3" t="e">
        <f t="shared" si="88"/>
        <v>#N/A</v>
      </c>
      <c r="F2816" s="3" t="e">
        <f t="shared" si="89"/>
        <v>#N/A</v>
      </c>
    </row>
    <row r="2817" spans="2:6" x14ac:dyDescent="0.25">
      <c r="B2817" s="3"/>
      <c r="C2817" s="3"/>
      <c r="D2817" s="3"/>
      <c r="E2817" s="3" t="e">
        <f t="shared" si="88"/>
        <v>#N/A</v>
      </c>
      <c r="F2817" s="3" t="e">
        <f t="shared" si="89"/>
        <v>#N/A</v>
      </c>
    </row>
    <row r="2818" spans="2:6" x14ac:dyDescent="0.25">
      <c r="B2818" s="3"/>
      <c r="C2818" s="3"/>
      <c r="D2818" s="3"/>
      <c r="E2818" s="3" t="e">
        <f t="shared" si="88"/>
        <v>#N/A</v>
      </c>
      <c r="F2818" s="3" t="e">
        <f t="shared" si="89"/>
        <v>#N/A</v>
      </c>
    </row>
    <row r="2819" spans="2:6" x14ac:dyDescent="0.25">
      <c r="B2819" s="3"/>
      <c r="C2819" s="3"/>
      <c r="D2819" s="3"/>
      <c r="E2819" s="3" t="e">
        <f t="shared" si="88"/>
        <v>#N/A</v>
      </c>
      <c r="F2819" s="3" t="e">
        <f t="shared" si="89"/>
        <v>#N/A</v>
      </c>
    </row>
    <row r="2820" spans="2:6" x14ac:dyDescent="0.25">
      <c r="B2820" s="3"/>
      <c r="C2820" s="3"/>
      <c r="D2820" s="3"/>
      <c r="E2820" s="3" t="e">
        <f t="shared" ref="E2820:E2883" si="90">VLOOKUP(C2820,I:J,2,0)</f>
        <v>#N/A</v>
      </c>
      <c r="F2820" s="3" t="e">
        <f t="shared" ref="F2820:F2883" si="91">E2820&amp;" "&amp;B2820</f>
        <v>#N/A</v>
      </c>
    </row>
    <row r="2821" spans="2:6" x14ac:dyDescent="0.25">
      <c r="B2821" s="3"/>
      <c r="C2821" s="3"/>
      <c r="D2821" s="3"/>
      <c r="E2821" s="3" t="e">
        <f t="shared" si="90"/>
        <v>#N/A</v>
      </c>
      <c r="F2821" s="3" t="e">
        <f t="shared" si="91"/>
        <v>#N/A</v>
      </c>
    </row>
    <row r="2822" spans="2:6" x14ac:dyDescent="0.25">
      <c r="B2822" s="3"/>
      <c r="C2822" s="3"/>
      <c r="D2822" s="3"/>
      <c r="E2822" s="3" t="e">
        <f t="shared" si="90"/>
        <v>#N/A</v>
      </c>
      <c r="F2822" s="3" t="e">
        <f t="shared" si="91"/>
        <v>#N/A</v>
      </c>
    </row>
    <row r="2823" spans="2:6" x14ac:dyDescent="0.25">
      <c r="B2823" s="3"/>
      <c r="C2823" s="3"/>
      <c r="D2823" s="3"/>
      <c r="E2823" s="3" t="e">
        <f t="shared" si="90"/>
        <v>#N/A</v>
      </c>
      <c r="F2823" s="3" t="e">
        <f t="shared" si="91"/>
        <v>#N/A</v>
      </c>
    </row>
    <row r="2824" spans="2:6" x14ac:dyDescent="0.25">
      <c r="B2824" s="3"/>
      <c r="C2824" s="3"/>
      <c r="D2824" s="3"/>
      <c r="E2824" s="3" t="e">
        <f t="shared" si="90"/>
        <v>#N/A</v>
      </c>
      <c r="F2824" s="3" t="e">
        <f t="shared" si="91"/>
        <v>#N/A</v>
      </c>
    </row>
    <row r="2825" spans="2:6" x14ac:dyDescent="0.25">
      <c r="B2825" s="3"/>
      <c r="C2825" s="3"/>
      <c r="D2825" s="3"/>
      <c r="E2825" s="3" t="e">
        <f t="shared" si="90"/>
        <v>#N/A</v>
      </c>
      <c r="F2825" s="3" t="e">
        <f t="shared" si="91"/>
        <v>#N/A</v>
      </c>
    </row>
    <row r="2826" spans="2:6" x14ac:dyDescent="0.25">
      <c r="B2826" s="3"/>
      <c r="C2826" s="3"/>
      <c r="D2826" s="3"/>
      <c r="E2826" s="3" t="e">
        <f t="shared" si="90"/>
        <v>#N/A</v>
      </c>
      <c r="F2826" s="3" t="e">
        <f t="shared" si="91"/>
        <v>#N/A</v>
      </c>
    </row>
    <row r="2827" spans="2:6" x14ac:dyDescent="0.25">
      <c r="B2827" s="3"/>
      <c r="C2827" s="3"/>
      <c r="D2827" s="3"/>
      <c r="E2827" s="3" t="e">
        <f t="shared" si="90"/>
        <v>#N/A</v>
      </c>
      <c r="F2827" s="3" t="e">
        <f t="shared" si="91"/>
        <v>#N/A</v>
      </c>
    </row>
    <row r="2828" spans="2:6" x14ac:dyDescent="0.25">
      <c r="B2828" s="3"/>
      <c r="C2828" s="3"/>
      <c r="D2828" s="3"/>
      <c r="E2828" s="3" t="e">
        <f t="shared" si="90"/>
        <v>#N/A</v>
      </c>
      <c r="F2828" s="3" t="e">
        <f t="shared" si="91"/>
        <v>#N/A</v>
      </c>
    </row>
    <row r="2829" spans="2:6" x14ac:dyDescent="0.25">
      <c r="B2829" s="3"/>
      <c r="C2829" s="3"/>
      <c r="D2829" s="3"/>
      <c r="E2829" s="3" t="e">
        <f t="shared" si="90"/>
        <v>#N/A</v>
      </c>
      <c r="F2829" s="3" t="e">
        <f t="shared" si="91"/>
        <v>#N/A</v>
      </c>
    </row>
    <row r="2830" spans="2:6" x14ac:dyDescent="0.25">
      <c r="B2830" s="3"/>
      <c r="C2830" s="3"/>
      <c r="D2830" s="3"/>
      <c r="E2830" s="3" t="e">
        <f t="shared" si="90"/>
        <v>#N/A</v>
      </c>
      <c r="F2830" s="3" t="e">
        <f t="shared" si="91"/>
        <v>#N/A</v>
      </c>
    </row>
    <row r="2831" spans="2:6" x14ac:dyDescent="0.25">
      <c r="B2831" s="3"/>
      <c r="C2831" s="3"/>
      <c r="D2831" s="3"/>
      <c r="E2831" s="3" t="e">
        <f t="shared" si="90"/>
        <v>#N/A</v>
      </c>
      <c r="F2831" s="3" t="e">
        <f t="shared" si="91"/>
        <v>#N/A</v>
      </c>
    </row>
    <row r="2832" spans="2:6" x14ac:dyDescent="0.25">
      <c r="B2832" s="3"/>
      <c r="C2832" s="3"/>
      <c r="D2832" s="3"/>
      <c r="E2832" s="3" t="e">
        <f t="shared" si="90"/>
        <v>#N/A</v>
      </c>
      <c r="F2832" s="3" t="e">
        <f t="shared" si="91"/>
        <v>#N/A</v>
      </c>
    </row>
    <row r="2833" spans="2:6" x14ac:dyDescent="0.25">
      <c r="B2833" s="3"/>
      <c r="C2833" s="3"/>
      <c r="D2833" s="3"/>
      <c r="E2833" s="3" t="e">
        <f t="shared" si="90"/>
        <v>#N/A</v>
      </c>
      <c r="F2833" s="3" t="e">
        <f t="shared" si="91"/>
        <v>#N/A</v>
      </c>
    </row>
    <row r="2834" spans="2:6" x14ac:dyDescent="0.25">
      <c r="B2834" s="3"/>
      <c r="C2834" s="3"/>
      <c r="D2834" s="3"/>
      <c r="E2834" s="3" t="e">
        <f t="shared" si="90"/>
        <v>#N/A</v>
      </c>
      <c r="F2834" s="3" t="e">
        <f t="shared" si="91"/>
        <v>#N/A</v>
      </c>
    </row>
    <row r="2835" spans="2:6" x14ac:dyDescent="0.25">
      <c r="B2835" s="3"/>
      <c r="C2835" s="3"/>
      <c r="D2835" s="3"/>
      <c r="E2835" s="3" t="e">
        <f t="shared" si="90"/>
        <v>#N/A</v>
      </c>
      <c r="F2835" s="3" t="e">
        <f t="shared" si="91"/>
        <v>#N/A</v>
      </c>
    </row>
    <row r="2836" spans="2:6" x14ac:dyDescent="0.25">
      <c r="B2836" s="3"/>
      <c r="C2836" s="3"/>
      <c r="D2836" s="3"/>
      <c r="E2836" s="3" t="e">
        <f t="shared" si="90"/>
        <v>#N/A</v>
      </c>
      <c r="F2836" s="3" t="e">
        <f t="shared" si="91"/>
        <v>#N/A</v>
      </c>
    </row>
    <row r="2837" spans="2:6" x14ac:dyDescent="0.25">
      <c r="B2837" s="3"/>
      <c r="C2837" s="3"/>
      <c r="D2837" s="3"/>
      <c r="E2837" s="3" t="e">
        <f t="shared" si="90"/>
        <v>#N/A</v>
      </c>
      <c r="F2837" s="3" t="e">
        <f t="shared" si="91"/>
        <v>#N/A</v>
      </c>
    </row>
    <row r="2838" spans="2:6" x14ac:dyDescent="0.25">
      <c r="B2838" s="3"/>
      <c r="C2838" s="3"/>
      <c r="D2838" s="3"/>
      <c r="E2838" s="3" t="e">
        <f t="shared" si="90"/>
        <v>#N/A</v>
      </c>
      <c r="F2838" s="3" t="e">
        <f t="shared" si="91"/>
        <v>#N/A</v>
      </c>
    </row>
    <row r="2839" spans="2:6" x14ac:dyDescent="0.25">
      <c r="B2839" s="3"/>
      <c r="C2839" s="3"/>
      <c r="D2839" s="3"/>
      <c r="E2839" s="3" t="e">
        <f t="shared" si="90"/>
        <v>#N/A</v>
      </c>
      <c r="F2839" s="3" t="e">
        <f t="shared" si="91"/>
        <v>#N/A</v>
      </c>
    </row>
    <row r="2840" spans="2:6" x14ac:dyDescent="0.25">
      <c r="B2840" s="3"/>
      <c r="C2840" s="3"/>
      <c r="D2840" s="3"/>
      <c r="E2840" s="3" t="e">
        <f t="shared" si="90"/>
        <v>#N/A</v>
      </c>
      <c r="F2840" s="3" t="e">
        <f t="shared" si="91"/>
        <v>#N/A</v>
      </c>
    </row>
    <row r="2841" spans="2:6" x14ac:dyDescent="0.25">
      <c r="B2841" s="3"/>
      <c r="C2841" s="3"/>
      <c r="D2841" s="3"/>
      <c r="E2841" s="3" t="e">
        <f t="shared" si="90"/>
        <v>#N/A</v>
      </c>
      <c r="F2841" s="3" t="e">
        <f t="shared" si="91"/>
        <v>#N/A</v>
      </c>
    </row>
    <row r="2842" spans="2:6" x14ac:dyDescent="0.25">
      <c r="B2842" s="3"/>
      <c r="C2842" s="3"/>
      <c r="D2842" s="3"/>
      <c r="E2842" s="3" t="e">
        <f t="shared" si="90"/>
        <v>#N/A</v>
      </c>
      <c r="F2842" s="3" t="e">
        <f t="shared" si="91"/>
        <v>#N/A</v>
      </c>
    </row>
    <row r="2843" spans="2:6" x14ac:dyDescent="0.25">
      <c r="B2843" s="3"/>
      <c r="C2843" s="3"/>
      <c r="D2843" s="3"/>
      <c r="E2843" s="3" t="e">
        <f t="shared" si="90"/>
        <v>#N/A</v>
      </c>
      <c r="F2843" s="3" t="e">
        <f t="shared" si="91"/>
        <v>#N/A</v>
      </c>
    </row>
    <row r="2844" spans="2:6" x14ac:dyDescent="0.25">
      <c r="B2844" s="3"/>
      <c r="C2844" s="3"/>
      <c r="D2844" s="3"/>
      <c r="E2844" s="3" t="e">
        <f t="shared" si="90"/>
        <v>#N/A</v>
      </c>
      <c r="F2844" s="3" t="e">
        <f t="shared" si="91"/>
        <v>#N/A</v>
      </c>
    </row>
    <row r="2845" spans="2:6" x14ac:dyDescent="0.25">
      <c r="B2845" s="3"/>
      <c r="C2845" s="3"/>
      <c r="D2845" s="3"/>
      <c r="E2845" s="3" t="e">
        <f t="shared" si="90"/>
        <v>#N/A</v>
      </c>
      <c r="F2845" s="3" t="e">
        <f t="shared" si="91"/>
        <v>#N/A</v>
      </c>
    </row>
    <row r="2846" spans="2:6" x14ac:dyDescent="0.25">
      <c r="B2846" s="3"/>
      <c r="C2846" s="3"/>
      <c r="D2846" s="3"/>
      <c r="E2846" s="3" t="e">
        <f t="shared" si="90"/>
        <v>#N/A</v>
      </c>
      <c r="F2846" s="3" t="e">
        <f t="shared" si="91"/>
        <v>#N/A</v>
      </c>
    </row>
    <row r="2847" spans="2:6" x14ac:dyDescent="0.25">
      <c r="B2847" s="3"/>
      <c r="C2847" s="3"/>
      <c r="D2847" s="3"/>
      <c r="E2847" s="3" t="e">
        <f t="shared" si="90"/>
        <v>#N/A</v>
      </c>
      <c r="F2847" s="3" t="e">
        <f t="shared" si="91"/>
        <v>#N/A</v>
      </c>
    </row>
    <row r="2848" spans="2:6" x14ac:dyDescent="0.25">
      <c r="B2848" s="3"/>
      <c r="C2848" s="3"/>
      <c r="D2848" s="3"/>
      <c r="E2848" s="3" t="e">
        <f t="shared" si="90"/>
        <v>#N/A</v>
      </c>
      <c r="F2848" s="3" t="e">
        <f t="shared" si="91"/>
        <v>#N/A</v>
      </c>
    </row>
    <row r="2849" spans="2:6" x14ac:dyDescent="0.25">
      <c r="B2849" s="3"/>
      <c r="C2849" s="3"/>
      <c r="D2849" s="3"/>
      <c r="E2849" s="3" t="e">
        <f t="shared" si="90"/>
        <v>#N/A</v>
      </c>
      <c r="F2849" s="3" t="e">
        <f t="shared" si="91"/>
        <v>#N/A</v>
      </c>
    </row>
    <row r="2850" spans="2:6" x14ac:dyDescent="0.25">
      <c r="B2850" s="3"/>
      <c r="C2850" s="3"/>
      <c r="D2850" s="3"/>
      <c r="E2850" s="3" t="e">
        <f t="shared" si="90"/>
        <v>#N/A</v>
      </c>
      <c r="F2850" s="3" t="e">
        <f t="shared" si="91"/>
        <v>#N/A</v>
      </c>
    </row>
    <row r="2851" spans="2:6" x14ac:dyDescent="0.25">
      <c r="B2851" s="3"/>
      <c r="C2851" s="3"/>
      <c r="D2851" s="3"/>
      <c r="E2851" s="3" t="e">
        <f t="shared" si="90"/>
        <v>#N/A</v>
      </c>
      <c r="F2851" s="3" t="e">
        <f t="shared" si="91"/>
        <v>#N/A</v>
      </c>
    </row>
    <row r="2852" spans="2:6" x14ac:dyDescent="0.25">
      <c r="B2852" s="3"/>
      <c r="C2852" s="3"/>
      <c r="D2852" s="3"/>
      <c r="E2852" s="3" t="e">
        <f t="shared" si="90"/>
        <v>#N/A</v>
      </c>
      <c r="F2852" s="3" t="e">
        <f t="shared" si="91"/>
        <v>#N/A</v>
      </c>
    </row>
    <row r="2853" spans="2:6" x14ac:dyDescent="0.25">
      <c r="B2853" s="3"/>
      <c r="C2853" s="3"/>
      <c r="D2853" s="3"/>
      <c r="E2853" s="3" t="e">
        <f t="shared" si="90"/>
        <v>#N/A</v>
      </c>
      <c r="F2853" s="3" t="e">
        <f t="shared" si="91"/>
        <v>#N/A</v>
      </c>
    </row>
    <row r="2854" spans="2:6" x14ac:dyDescent="0.25">
      <c r="B2854" s="3"/>
      <c r="C2854" s="3"/>
      <c r="D2854" s="3"/>
      <c r="E2854" s="3" t="e">
        <f t="shared" si="90"/>
        <v>#N/A</v>
      </c>
      <c r="F2854" s="3" t="e">
        <f t="shared" si="91"/>
        <v>#N/A</v>
      </c>
    </row>
    <row r="2855" spans="2:6" x14ac:dyDescent="0.25">
      <c r="B2855" s="3"/>
      <c r="C2855" s="3"/>
      <c r="D2855" s="3"/>
      <c r="E2855" s="3" t="e">
        <f t="shared" si="90"/>
        <v>#N/A</v>
      </c>
      <c r="F2855" s="3" t="e">
        <f t="shared" si="91"/>
        <v>#N/A</v>
      </c>
    </row>
    <row r="2856" spans="2:6" x14ac:dyDescent="0.25">
      <c r="B2856" s="3"/>
      <c r="C2856" s="3"/>
      <c r="D2856" s="3"/>
      <c r="E2856" s="3" t="e">
        <f t="shared" si="90"/>
        <v>#N/A</v>
      </c>
      <c r="F2856" s="3" t="e">
        <f t="shared" si="91"/>
        <v>#N/A</v>
      </c>
    </row>
    <row r="2857" spans="2:6" x14ac:dyDescent="0.25">
      <c r="B2857" s="3"/>
      <c r="C2857" s="3"/>
      <c r="D2857" s="3"/>
      <c r="E2857" s="3" t="e">
        <f t="shared" si="90"/>
        <v>#N/A</v>
      </c>
      <c r="F2857" s="3" t="e">
        <f t="shared" si="91"/>
        <v>#N/A</v>
      </c>
    </row>
    <row r="2858" spans="2:6" x14ac:dyDescent="0.25">
      <c r="B2858" s="3"/>
      <c r="C2858" s="3"/>
      <c r="D2858" s="3"/>
      <c r="E2858" s="3" t="e">
        <f t="shared" si="90"/>
        <v>#N/A</v>
      </c>
      <c r="F2858" s="3" t="e">
        <f t="shared" si="91"/>
        <v>#N/A</v>
      </c>
    </row>
    <row r="2859" spans="2:6" x14ac:dyDescent="0.25">
      <c r="B2859" s="3"/>
      <c r="C2859" s="3"/>
      <c r="D2859" s="3"/>
      <c r="E2859" s="3" t="e">
        <f t="shared" si="90"/>
        <v>#N/A</v>
      </c>
      <c r="F2859" s="3" t="e">
        <f t="shared" si="91"/>
        <v>#N/A</v>
      </c>
    </row>
    <row r="2860" spans="2:6" x14ac:dyDescent="0.25">
      <c r="B2860" s="3"/>
      <c r="C2860" s="3"/>
      <c r="D2860" s="3"/>
      <c r="E2860" s="3" t="e">
        <f t="shared" si="90"/>
        <v>#N/A</v>
      </c>
      <c r="F2860" s="3" t="e">
        <f t="shared" si="91"/>
        <v>#N/A</v>
      </c>
    </row>
    <row r="2861" spans="2:6" x14ac:dyDescent="0.25">
      <c r="B2861" s="3"/>
      <c r="C2861" s="3"/>
      <c r="D2861" s="3"/>
      <c r="E2861" s="3" t="e">
        <f t="shared" si="90"/>
        <v>#N/A</v>
      </c>
      <c r="F2861" s="3" t="e">
        <f t="shared" si="91"/>
        <v>#N/A</v>
      </c>
    </row>
    <row r="2862" spans="2:6" x14ac:dyDescent="0.25">
      <c r="B2862" s="3"/>
      <c r="C2862" s="3"/>
      <c r="D2862" s="3"/>
      <c r="E2862" s="3" t="e">
        <f t="shared" si="90"/>
        <v>#N/A</v>
      </c>
      <c r="F2862" s="3" t="e">
        <f t="shared" si="91"/>
        <v>#N/A</v>
      </c>
    </row>
    <row r="2863" spans="2:6" x14ac:dyDescent="0.25">
      <c r="B2863" s="3"/>
      <c r="C2863" s="3"/>
      <c r="D2863" s="3"/>
      <c r="E2863" s="3" t="e">
        <f t="shared" si="90"/>
        <v>#N/A</v>
      </c>
      <c r="F2863" s="3" t="e">
        <f t="shared" si="91"/>
        <v>#N/A</v>
      </c>
    </row>
    <row r="2864" spans="2:6" x14ac:dyDescent="0.25">
      <c r="B2864" s="3"/>
      <c r="C2864" s="3"/>
      <c r="D2864" s="3"/>
      <c r="E2864" s="3" t="e">
        <f t="shared" si="90"/>
        <v>#N/A</v>
      </c>
      <c r="F2864" s="3" t="e">
        <f t="shared" si="91"/>
        <v>#N/A</v>
      </c>
    </row>
    <row r="2865" spans="2:6" x14ac:dyDescent="0.25">
      <c r="B2865" s="3"/>
      <c r="C2865" s="3"/>
      <c r="D2865" s="3"/>
      <c r="E2865" s="3" t="e">
        <f t="shared" si="90"/>
        <v>#N/A</v>
      </c>
      <c r="F2865" s="3" t="e">
        <f t="shared" si="91"/>
        <v>#N/A</v>
      </c>
    </row>
    <row r="2866" spans="2:6" x14ac:dyDescent="0.25">
      <c r="B2866" s="3"/>
      <c r="C2866" s="3"/>
      <c r="D2866" s="3"/>
      <c r="E2866" s="3" t="e">
        <f t="shared" si="90"/>
        <v>#N/A</v>
      </c>
      <c r="F2866" s="3" t="e">
        <f t="shared" si="91"/>
        <v>#N/A</v>
      </c>
    </row>
    <row r="2867" spans="2:6" x14ac:dyDescent="0.25">
      <c r="B2867" s="3"/>
      <c r="C2867" s="3"/>
      <c r="D2867" s="3"/>
      <c r="E2867" s="3" t="e">
        <f t="shared" si="90"/>
        <v>#N/A</v>
      </c>
      <c r="F2867" s="3" t="e">
        <f t="shared" si="91"/>
        <v>#N/A</v>
      </c>
    </row>
    <row r="2868" spans="2:6" x14ac:dyDescent="0.25">
      <c r="B2868" s="3"/>
      <c r="C2868" s="3"/>
      <c r="D2868" s="3"/>
      <c r="E2868" s="3" t="e">
        <f t="shared" si="90"/>
        <v>#N/A</v>
      </c>
      <c r="F2868" s="3" t="e">
        <f t="shared" si="91"/>
        <v>#N/A</v>
      </c>
    </row>
    <row r="2869" spans="2:6" x14ac:dyDescent="0.25">
      <c r="B2869" s="3"/>
      <c r="C2869" s="3"/>
      <c r="D2869" s="3"/>
      <c r="E2869" s="3" t="e">
        <f t="shared" si="90"/>
        <v>#N/A</v>
      </c>
      <c r="F2869" s="3" t="e">
        <f t="shared" si="91"/>
        <v>#N/A</v>
      </c>
    </row>
    <row r="2870" spans="2:6" x14ac:dyDescent="0.25">
      <c r="B2870" s="3"/>
      <c r="C2870" s="3"/>
      <c r="D2870" s="3"/>
      <c r="E2870" s="3" t="e">
        <f t="shared" si="90"/>
        <v>#N/A</v>
      </c>
      <c r="F2870" s="3" t="e">
        <f t="shared" si="91"/>
        <v>#N/A</v>
      </c>
    </row>
    <row r="2871" spans="2:6" x14ac:dyDescent="0.25">
      <c r="B2871" s="3"/>
      <c r="C2871" s="3"/>
      <c r="D2871" s="3"/>
      <c r="E2871" s="3" t="e">
        <f t="shared" si="90"/>
        <v>#N/A</v>
      </c>
      <c r="F2871" s="3" t="e">
        <f t="shared" si="91"/>
        <v>#N/A</v>
      </c>
    </row>
    <row r="2872" spans="2:6" x14ac:dyDescent="0.25">
      <c r="B2872" s="3"/>
      <c r="C2872" s="3"/>
      <c r="D2872" s="3"/>
      <c r="E2872" s="3" t="e">
        <f t="shared" si="90"/>
        <v>#N/A</v>
      </c>
      <c r="F2872" s="3" t="e">
        <f t="shared" si="91"/>
        <v>#N/A</v>
      </c>
    </row>
    <row r="2873" spans="2:6" x14ac:dyDescent="0.25">
      <c r="B2873" s="3"/>
      <c r="C2873" s="3"/>
      <c r="D2873" s="3"/>
      <c r="E2873" s="3" t="e">
        <f t="shared" si="90"/>
        <v>#N/A</v>
      </c>
      <c r="F2873" s="3" t="e">
        <f t="shared" si="91"/>
        <v>#N/A</v>
      </c>
    </row>
    <row r="2874" spans="2:6" x14ac:dyDescent="0.25">
      <c r="B2874" s="3"/>
      <c r="C2874" s="3"/>
      <c r="D2874" s="3"/>
      <c r="E2874" s="3" t="e">
        <f t="shared" si="90"/>
        <v>#N/A</v>
      </c>
      <c r="F2874" s="3" t="e">
        <f t="shared" si="91"/>
        <v>#N/A</v>
      </c>
    </row>
    <row r="2875" spans="2:6" x14ac:dyDescent="0.25">
      <c r="B2875" s="3"/>
      <c r="C2875" s="3"/>
      <c r="D2875" s="3"/>
      <c r="E2875" s="3" t="e">
        <f t="shared" si="90"/>
        <v>#N/A</v>
      </c>
      <c r="F2875" s="3" t="e">
        <f t="shared" si="91"/>
        <v>#N/A</v>
      </c>
    </row>
    <row r="2876" spans="2:6" x14ac:dyDescent="0.25">
      <c r="B2876" s="3"/>
      <c r="C2876" s="3"/>
      <c r="D2876" s="3"/>
      <c r="E2876" s="3" t="e">
        <f t="shared" si="90"/>
        <v>#N/A</v>
      </c>
      <c r="F2876" s="3" t="e">
        <f t="shared" si="91"/>
        <v>#N/A</v>
      </c>
    </row>
    <row r="2877" spans="2:6" x14ac:dyDescent="0.25">
      <c r="B2877" s="3"/>
      <c r="C2877" s="3"/>
      <c r="D2877" s="3"/>
      <c r="E2877" s="3" t="e">
        <f t="shared" si="90"/>
        <v>#N/A</v>
      </c>
      <c r="F2877" s="3" t="e">
        <f t="shared" si="91"/>
        <v>#N/A</v>
      </c>
    </row>
    <row r="2878" spans="2:6" x14ac:dyDescent="0.25">
      <c r="B2878" s="3"/>
      <c r="C2878" s="3"/>
      <c r="D2878" s="3"/>
      <c r="E2878" s="3" t="e">
        <f t="shared" si="90"/>
        <v>#N/A</v>
      </c>
      <c r="F2878" s="3" t="e">
        <f t="shared" si="91"/>
        <v>#N/A</v>
      </c>
    </row>
    <row r="2879" spans="2:6" x14ac:dyDescent="0.25">
      <c r="B2879" s="3"/>
      <c r="C2879" s="3"/>
      <c r="D2879" s="3"/>
      <c r="E2879" s="3" t="e">
        <f t="shared" si="90"/>
        <v>#N/A</v>
      </c>
      <c r="F2879" s="3" t="e">
        <f t="shared" si="91"/>
        <v>#N/A</v>
      </c>
    </row>
    <row r="2880" spans="2:6" x14ac:dyDescent="0.25">
      <c r="B2880" s="3"/>
      <c r="C2880" s="3"/>
      <c r="D2880" s="3"/>
      <c r="E2880" s="3" t="e">
        <f t="shared" si="90"/>
        <v>#N/A</v>
      </c>
      <c r="F2880" s="3" t="e">
        <f t="shared" si="91"/>
        <v>#N/A</v>
      </c>
    </row>
    <row r="2881" spans="2:6" x14ac:dyDescent="0.25">
      <c r="B2881" s="3"/>
      <c r="C2881" s="3"/>
      <c r="D2881" s="3"/>
      <c r="E2881" s="3" t="e">
        <f t="shared" si="90"/>
        <v>#N/A</v>
      </c>
      <c r="F2881" s="3" t="e">
        <f t="shared" si="91"/>
        <v>#N/A</v>
      </c>
    </row>
    <row r="2882" spans="2:6" x14ac:dyDescent="0.25">
      <c r="B2882" s="3"/>
      <c r="C2882" s="3"/>
      <c r="D2882" s="3"/>
      <c r="E2882" s="3" t="e">
        <f t="shared" si="90"/>
        <v>#N/A</v>
      </c>
      <c r="F2882" s="3" t="e">
        <f t="shared" si="91"/>
        <v>#N/A</v>
      </c>
    </row>
    <row r="2883" spans="2:6" x14ac:dyDescent="0.25">
      <c r="B2883" s="3"/>
      <c r="C2883" s="3"/>
      <c r="D2883" s="3"/>
      <c r="E2883" s="3" t="e">
        <f t="shared" si="90"/>
        <v>#N/A</v>
      </c>
      <c r="F2883" s="3" t="e">
        <f t="shared" si="91"/>
        <v>#N/A</v>
      </c>
    </row>
    <row r="2884" spans="2:6" x14ac:dyDescent="0.25">
      <c r="B2884" s="3"/>
      <c r="C2884" s="3"/>
      <c r="D2884" s="3"/>
      <c r="E2884" s="3" t="e">
        <f t="shared" ref="E2884:E2947" si="92">VLOOKUP(C2884,I:J,2,0)</f>
        <v>#N/A</v>
      </c>
      <c r="F2884" s="3" t="e">
        <f t="shared" ref="F2884:F2947" si="93">E2884&amp;" "&amp;B2884</f>
        <v>#N/A</v>
      </c>
    </row>
    <row r="2885" spans="2:6" x14ac:dyDescent="0.25">
      <c r="B2885" s="3"/>
      <c r="C2885" s="3"/>
      <c r="D2885" s="3"/>
      <c r="E2885" s="3" t="e">
        <f t="shared" si="92"/>
        <v>#N/A</v>
      </c>
      <c r="F2885" s="3" t="e">
        <f t="shared" si="93"/>
        <v>#N/A</v>
      </c>
    </row>
    <row r="2886" spans="2:6" x14ac:dyDescent="0.25">
      <c r="B2886" s="3"/>
      <c r="C2886" s="3"/>
      <c r="D2886" s="3"/>
      <c r="E2886" s="3" t="e">
        <f t="shared" si="92"/>
        <v>#N/A</v>
      </c>
      <c r="F2886" s="3" t="e">
        <f t="shared" si="93"/>
        <v>#N/A</v>
      </c>
    </row>
    <row r="2887" spans="2:6" x14ac:dyDescent="0.25">
      <c r="B2887" s="3"/>
      <c r="C2887" s="3"/>
      <c r="D2887" s="3"/>
      <c r="E2887" s="3" t="e">
        <f t="shared" si="92"/>
        <v>#N/A</v>
      </c>
      <c r="F2887" s="3" t="e">
        <f t="shared" si="93"/>
        <v>#N/A</v>
      </c>
    </row>
    <row r="2888" spans="2:6" x14ac:dyDescent="0.25">
      <c r="B2888" s="3"/>
      <c r="C2888" s="3"/>
      <c r="D2888" s="3"/>
      <c r="E2888" s="3" t="e">
        <f t="shared" si="92"/>
        <v>#N/A</v>
      </c>
      <c r="F2888" s="3" t="e">
        <f t="shared" si="93"/>
        <v>#N/A</v>
      </c>
    </row>
    <row r="2889" spans="2:6" x14ac:dyDescent="0.25">
      <c r="B2889" s="3"/>
      <c r="C2889" s="3"/>
      <c r="D2889" s="3"/>
      <c r="E2889" s="3" t="e">
        <f t="shared" si="92"/>
        <v>#N/A</v>
      </c>
      <c r="F2889" s="3" t="e">
        <f t="shared" si="93"/>
        <v>#N/A</v>
      </c>
    </row>
    <row r="2890" spans="2:6" x14ac:dyDescent="0.25">
      <c r="B2890" s="3"/>
      <c r="C2890" s="3"/>
      <c r="D2890" s="3"/>
      <c r="E2890" s="3" t="e">
        <f t="shared" si="92"/>
        <v>#N/A</v>
      </c>
      <c r="F2890" s="3" t="e">
        <f t="shared" si="93"/>
        <v>#N/A</v>
      </c>
    </row>
    <row r="2891" spans="2:6" x14ac:dyDescent="0.25">
      <c r="B2891" s="3"/>
      <c r="C2891" s="3"/>
      <c r="D2891" s="3"/>
      <c r="E2891" s="3" t="e">
        <f t="shared" si="92"/>
        <v>#N/A</v>
      </c>
      <c r="F2891" s="3" t="e">
        <f t="shared" si="93"/>
        <v>#N/A</v>
      </c>
    </row>
    <row r="2892" spans="2:6" x14ac:dyDescent="0.25">
      <c r="B2892" s="3"/>
      <c r="C2892" s="3"/>
      <c r="D2892" s="3"/>
      <c r="E2892" s="3" t="e">
        <f t="shared" si="92"/>
        <v>#N/A</v>
      </c>
      <c r="F2892" s="3" t="e">
        <f t="shared" si="93"/>
        <v>#N/A</v>
      </c>
    </row>
    <row r="2893" spans="2:6" x14ac:dyDescent="0.25">
      <c r="B2893" s="3"/>
      <c r="C2893" s="3"/>
      <c r="D2893" s="3"/>
      <c r="E2893" s="3" t="e">
        <f t="shared" si="92"/>
        <v>#N/A</v>
      </c>
      <c r="F2893" s="3" t="e">
        <f t="shared" si="93"/>
        <v>#N/A</v>
      </c>
    </row>
    <row r="2894" spans="2:6" x14ac:dyDescent="0.25">
      <c r="B2894" s="3"/>
      <c r="C2894" s="3"/>
      <c r="D2894" s="3"/>
      <c r="E2894" s="3" t="e">
        <f t="shared" si="92"/>
        <v>#N/A</v>
      </c>
      <c r="F2894" s="3" t="e">
        <f t="shared" si="93"/>
        <v>#N/A</v>
      </c>
    </row>
    <row r="2895" spans="2:6" x14ac:dyDescent="0.25">
      <c r="B2895" s="3"/>
      <c r="C2895" s="3"/>
      <c r="D2895" s="3"/>
      <c r="E2895" s="3" t="e">
        <f t="shared" si="92"/>
        <v>#N/A</v>
      </c>
      <c r="F2895" s="3" t="e">
        <f t="shared" si="93"/>
        <v>#N/A</v>
      </c>
    </row>
    <row r="2896" spans="2:6" x14ac:dyDescent="0.25">
      <c r="B2896" s="3"/>
      <c r="C2896" s="3"/>
      <c r="D2896" s="3"/>
      <c r="E2896" s="3" t="e">
        <f t="shared" si="92"/>
        <v>#N/A</v>
      </c>
      <c r="F2896" s="3" t="e">
        <f t="shared" si="93"/>
        <v>#N/A</v>
      </c>
    </row>
    <row r="2897" spans="2:6" x14ac:dyDescent="0.25">
      <c r="B2897" s="3"/>
      <c r="C2897" s="3"/>
      <c r="D2897" s="3"/>
      <c r="E2897" s="3" t="e">
        <f t="shared" si="92"/>
        <v>#N/A</v>
      </c>
      <c r="F2897" s="3" t="e">
        <f t="shared" si="93"/>
        <v>#N/A</v>
      </c>
    </row>
    <row r="2898" spans="2:6" x14ac:dyDescent="0.25">
      <c r="B2898" s="3"/>
      <c r="C2898" s="3"/>
      <c r="D2898" s="3"/>
      <c r="E2898" s="3" t="e">
        <f t="shared" si="92"/>
        <v>#N/A</v>
      </c>
      <c r="F2898" s="3" t="e">
        <f t="shared" si="93"/>
        <v>#N/A</v>
      </c>
    </row>
    <row r="2899" spans="2:6" x14ac:dyDescent="0.25">
      <c r="B2899" s="3"/>
      <c r="C2899" s="3"/>
      <c r="D2899" s="3"/>
      <c r="E2899" s="3" t="e">
        <f t="shared" si="92"/>
        <v>#N/A</v>
      </c>
      <c r="F2899" s="3" t="e">
        <f t="shared" si="93"/>
        <v>#N/A</v>
      </c>
    </row>
    <row r="2900" spans="2:6" x14ac:dyDescent="0.25">
      <c r="B2900" s="3"/>
      <c r="C2900" s="3"/>
      <c r="D2900" s="3"/>
      <c r="E2900" s="3" t="e">
        <f t="shared" si="92"/>
        <v>#N/A</v>
      </c>
      <c r="F2900" s="3" t="e">
        <f t="shared" si="93"/>
        <v>#N/A</v>
      </c>
    </row>
    <row r="2901" spans="2:6" x14ac:dyDescent="0.25">
      <c r="B2901" s="3"/>
      <c r="C2901" s="3"/>
      <c r="D2901" s="3"/>
      <c r="E2901" s="3" t="e">
        <f t="shared" si="92"/>
        <v>#N/A</v>
      </c>
      <c r="F2901" s="3" t="e">
        <f t="shared" si="93"/>
        <v>#N/A</v>
      </c>
    </row>
    <row r="2902" spans="2:6" x14ac:dyDescent="0.25">
      <c r="B2902" s="3"/>
      <c r="C2902" s="3"/>
      <c r="D2902" s="3"/>
      <c r="E2902" s="3" t="e">
        <f t="shared" si="92"/>
        <v>#N/A</v>
      </c>
      <c r="F2902" s="3" t="e">
        <f t="shared" si="93"/>
        <v>#N/A</v>
      </c>
    </row>
    <row r="2903" spans="2:6" x14ac:dyDescent="0.25">
      <c r="B2903" s="3"/>
      <c r="C2903" s="3"/>
      <c r="D2903" s="3"/>
      <c r="E2903" s="3" t="e">
        <f t="shared" si="92"/>
        <v>#N/A</v>
      </c>
      <c r="F2903" s="3" t="e">
        <f t="shared" si="93"/>
        <v>#N/A</v>
      </c>
    </row>
    <row r="2904" spans="2:6" x14ac:dyDescent="0.25">
      <c r="B2904" s="3"/>
      <c r="C2904" s="3"/>
      <c r="D2904" s="3"/>
      <c r="E2904" s="3" t="e">
        <f t="shared" si="92"/>
        <v>#N/A</v>
      </c>
      <c r="F2904" s="3" t="e">
        <f t="shared" si="93"/>
        <v>#N/A</v>
      </c>
    </row>
    <row r="2905" spans="2:6" x14ac:dyDescent="0.25">
      <c r="B2905" s="3"/>
      <c r="C2905" s="3"/>
      <c r="D2905" s="3"/>
      <c r="E2905" s="3" t="e">
        <f t="shared" si="92"/>
        <v>#N/A</v>
      </c>
      <c r="F2905" s="3" t="e">
        <f t="shared" si="93"/>
        <v>#N/A</v>
      </c>
    </row>
    <row r="2906" spans="2:6" x14ac:dyDescent="0.25">
      <c r="B2906" s="3"/>
      <c r="C2906" s="3"/>
      <c r="D2906" s="3"/>
      <c r="E2906" s="3" t="e">
        <f t="shared" si="92"/>
        <v>#N/A</v>
      </c>
      <c r="F2906" s="3" t="e">
        <f t="shared" si="93"/>
        <v>#N/A</v>
      </c>
    </row>
    <row r="2907" spans="2:6" x14ac:dyDescent="0.25">
      <c r="B2907" s="3"/>
      <c r="C2907" s="3"/>
      <c r="D2907" s="3"/>
      <c r="E2907" s="3" t="e">
        <f t="shared" si="92"/>
        <v>#N/A</v>
      </c>
      <c r="F2907" s="3" t="e">
        <f t="shared" si="93"/>
        <v>#N/A</v>
      </c>
    </row>
    <row r="2908" spans="2:6" x14ac:dyDescent="0.25">
      <c r="B2908" s="3"/>
      <c r="C2908" s="3"/>
      <c r="D2908" s="3"/>
      <c r="E2908" s="3" t="e">
        <f t="shared" si="92"/>
        <v>#N/A</v>
      </c>
      <c r="F2908" s="3" t="e">
        <f t="shared" si="93"/>
        <v>#N/A</v>
      </c>
    </row>
    <row r="2909" spans="2:6" x14ac:dyDescent="0.25">
      <c r="B2909" s="3"/>
      <c r="C2909" s="3"/>
      <c r="D2909" s="3"/>
      <c r="E2909" s="3" t="e">
        <f t="shared" si="92"/>
        <v>#N/A</v>
      </c>
      <c r="F2909" s="3" t="e">
        <f t="shared" si="93"/>
        <v>#N/A</v>
      </c>
    </row>
    <row r="2910" spans="2:6" x14ac:dyDescent="0.25">
      <c r="B2910" s="3"/>
      <c r="C2910" s="3"/>
      <c r="D2910" s="3"/>
      <c r="E2910" s="3" t="e">
        <f t="shared" si="92"/>
        <v>#N/A</v>
      </c>
      <c r="F2910" s="3" t="e">
        <f t="shared" si="93"/>
        <v>#N/A</v>
      </c>
    </row>
    <row r="2911" spans="2:6" x14ac:dyDescent="0.25">
      <c r="B2911" s="3"/>
      <c r="C2911" s="3"/>
      <c r="D2911" s="3"/>
      <c r="E2911" s="3" t="e">
        <f t="shared" si="92"/>
        <v>#N/A</v>
      </c>
      <c r="F2911" s="3" t="e">
        <f t="shared" si="93"/>
        <v>#N/A</v>
      </c>
    </row>
    <row r="2912" spans="2:6" x14ac:dyDescent="0.25">
      <c r="B2912" s="3"/>
      <c r="C2912" s="3"/>
      <c r="D2912" s="3"/>
      <c r="E2912" s="3" t="e">
        <f t="shared" si="92"/>
        <v>#N/A</v>
      </c>
      <c r="F2912" s="3" t="e">
        <f t="shared" si="93"/>
        <v>#N/A</v>
      </c>
    </row>
    <row r="2913" spans="2:6" x14ac:dyDescent="0.25">
      <c r="B2913" s="3"/>
      <c r="C2913" s="3"/>
      <c r="D2913" s="3"/>
      <c r="E2913" s="3" t="e">
        <f t="shared" si="92"/>
        <v>#N/A</v>
      </c>
      <c r="F2913" s="3" t="e">
        <f t="shared" si="93"/>
        <v>#N/A</v>
      </c>
    </row>
    <row r="2914" spans="2:6" x14ac:dyDescent="0.25">
      <c r="B2914" s="3"/>
      <c r="C2914" s="3"/>
      <c r="D2914" s="3"/>
      <c r="E2914" s="3" t="e">
        <f t="shared" si="92"/>
        <v>#N/A</v>
      </c>
      <c r="F2914" s="3" t="e">
        <f t="shared" si="93"/>
        <v>#N/A</v>
      </c>
    </row>
    <row r="2915" spans="2:6" x14ac:dyDescent="0.25">
      <c r="B2915" s="3"/>
      <c r="C2915" s="3"/>
      <c r="D2915" s="3"/>
      <c r="E2915" s="3" t="e">
        <f t="shared" si="92"/>
        <v>#N/A</v>
      </c>
      <c r="F2915" s="3" t="e">
        <f t="shared" si="93"/>
        <v>#N/A</v>
      </c>
    </row>
    <row r="2916" spans="2:6" x14ac:dyDescent="0.25">
      <c r="B2916" s="3"/>
      <c r="C2916" s="3"/>
      <c r="D2916" s="3"/>
      <c r="E2916" s="3" t="e">
        <f t="shared" si="92"/>
        <v>#N/A</v>
      </c>
      <c r="F2916" s="3" t="e">
        <f t="shared" si="93"/>
        <v>#N/A</v>
      </c>
    </row>
    <row r="2917" spans="2:6" x14ac:dyDescent="0.25">
      <c r="B2917" s="3"/>
      <c r="C2917" s="3"/>
      <c r="D2917" s="3"/>
      <c r="E2917" s="3" t="e">
        <f t="shared" si="92"/>
        <v>#N/A</v>
      </c>
      <c r="F2917" s="3" t="e">
        <f t="shared" si="93"/>
        <v>#N/A</v>
      </c>
    </row>
    <row r="2918" spans="2:6" x14ac:dyDescent="0.25">
      <c r="B2918" s="3"/>
      <c r="C2918" s="3"/>
      <c r="D2918" s="3"/>
      <c r="E2918" s="3" t="e">
        <f t="shared" si="92"/>
        <v>#N/A</v>
      </c>
      <c r="F2918" s="3" t="e">
        <f t="shared" si="93"/>
        <v>#N/A</v>
      </c>
    </row>
    <row r="2919" spans="2:6" x14ac:dyDescent="0.25">
      <c r="B2919" s="3"/>
      <c r="C2919" s="3"/>
      <c r="D2919" s="3"/>
      <c r="E2919" s="3" t="e">
        <f t="shared" si="92"/>
        <v>#N/A</v>
      </c>
      <c r="F2919" s="3" t="e">
        <f t="shared" si="93"/>
        <v>#N/A</v>
      </c>
    </row>
    <row r="2920" spans="2:6" x14ac:dyDescent="0.25">
      <c r="B2920" s="3"/>
      <c r="C2920" s="3"/>
      <c r="D2920" s="3"/>
      <c r="E2920" s="3" t="e">
        <f t="shared" si="92"/>
        <v>#N/A</v>
      </c>
      <c r="F2920" s="3" t="e">
        <f t="shared" si="93"/>
        <v>#N/A</v>
      </c>
    </row>
    <row r="2921" spans="2:6" x14ac:dyDescent="0.25">
      <c r="B2921" s="3"/>
      <c r="C2921" s="3"/>
      <c r="D2921" s="3"/>
      <c r="E2921" s="3" t="e">
        <f t="shared" si="92"/>
        <v>#N/A</v>
      </c>
      <c r="F2921" s="3" t="e">
        <f t="shared" si="93"/>
        <v>#N/A</v>
      </c>
    </row>
    <row r="2922" spans="2:6" x14ac:dyDescent="0.25">
      <c r="B2922" s="3"/>
      <c r="C2922" s="3"/>
      <c r="D2922" s="3"/>
      <c r="E2922" s="3" t="e">
        <f t="shared" si="92"/>
        <v>#N/A</v>
      </c>
      <c r="F2922" s="3" t="e">
        <f t="shared" si="93"/>
        <v>#N/A</v>
      </c>
    </row>
    <row r="2923" spans="2:6" x14ac:dyDescent="0.25">
      <c r="B2923" s="3"/>
      <c r="C2923" s="3"/>
      <c r="D2923" s="3"/>
      <c r="E2923" s="3" t="e">
        <f t="shared" si="92"/>
        <v>#N/A</v>
      </c>
      <c r="F2923" s="3" t="e">
        <f t="shared" si="93"/>
        <v>#N/A</v>
      </c>
    </row>
    <row r="2924" spans="2:6" x14ac:dyDescent="0.25">
      <c r="B2924" s="3"/>
      <c r="C2924" s="3"/>
      <c r="D2924" s="3"/>
      <c r="E2924" s="3" t="e">
        <f t="shared" si="92"/>
        <v>#N/A</v>
      </c>
      <c r="F2924" s="3" t="e">
        <f t="shared" si="93"/>
        <v>#N/A</v>
      </c>
    </row>
    <row r="2925" spans="2:6" x14ac:dyDescent="0.25">
      <c r="B2925" s="3"/>
      <c r="C2925" s="3"/>
      <c r="D2925" s="3"/>
      <c r="E2925" s="3" t="e">
        <f t="shared" si="92"/>
        <v>#N/A</v>
      </c>
      <c r="F2925" s="3" t="e">
        <f t="shared" si="93"/>
        <v>#N/A</v>
      </c>
    </row>
    <row r="2926" spans="2:6" x14ac:dyDescent="0.25">
      <c r="B2926" s="3"/>
      <c r="C2926" s="3"/>
      <c r="D2926" s="3"/>
      <c r="E2926" s="3" t="e">
        <f t="shared" si="92"/>
        <v>#N/A</v>
      </c>
      <c r="F2926" s="3" t="e">
        <f t="shared" si="93"/>
        <v>#N/A</v>
      </c>
    </row>
    <row r="2927" spans="2:6" x14ac:dyDescent="0.25">
      <c r="B2927" s="3"/>
      <c r="C2927" s="3"/>
      <c r="D2927" s="3"/>
      <c r="E2927" s="3" t="e">
        <f t="shared" si="92"/>
        <v>#N/A</v>
      </c>
      <c r="F2927" s="3" t="e">
        <f t="shared" si="93"/>
        <v>#N/A</v>
      </c>
    </row>
    <row r="2928" spans="2:6" x14ac:dyDescent="0.25">
      <c r="B2928" s="3"/>
      <c r="C2928" s="3"/>
      <c r="D2928" s="3"/>
      <c r="E2928" s="3" t="e">
        <f t="shared" si="92"/>
        <v>#N/A</v>
      </c>
      <c r="F2928" s="3" t="e">
        <f t="shared" si="93"/>
        <v>#N/A</v>
      </c>
    </row>
    <row r="2929" spans="2:6" x14ac:dyDescent="0.25">
      <c r="B2929" s="3"/>
      <c r="C2929" s="3"/>
      <c r="D2929" s="3"/>
      <c r="E2929" s="3" t="e">
        <f t="shared" si="92"/>
        <v>#N/A</v>
      </c>
      <c r="F2929" s="3" t="e">
        <f t="shared" si="93"/>
        <v>#N/A</v>
      </c>
    </row>
    <row r="2930" spans="2:6" x14ac:dyDescent="0.25">
      <c r="B2930" s="3"/>
      <c r="C2930" s="3"/>
      <c r="D2930" s="3"/>
      <c r="E2930" s="3" t="e">
        <f t="shared" si="92"/>
        <v>#N/A</v>
      </c>
      <c r="F2930" s="3" t="e">
        <f t="shared" si="93"/>
        <v>#N/A</v>
      </c>
    </row>
    <row r="2931" spans="2:6" x14ac:dyDescent="0.25">
      <c r="B2931" s="3"/>
      <c r="C2931" s="3"/>
      <c r="D2931" s="3"/>
      <c r="E2931" s="3" t="e">
        <f t="shared" si="92"/>
        <v>#N/A</v>
      </c>
      <c r="F2931" s="3" t="e">
        <f t="shared" si="93"/>
        <v>#N/A</v>
      </c>
    </row>
    <row r="2932" spans="2:6" x14ac:dyDescent="0.25">
      <c r="B2932" s="3"/>
      <c r="C2932" s="3"/>
      <c r="D2932" s="3"/>
      <c r="E2932" s="3" t="e">
        <f t="shared" si="92"/>
        <v>#N/A</v>
      </c>
      <c r="F2932" s="3" t="e">
        <f t="shared" si="93"/>
        <v>#N/A</v>
      </c>
    </row>
    <row r="2933" spans="2:6" x14ac:dyDescent="0.25">
      <c r="B2933" s="3"/>
      <c r="C2933" s="3"/>
      <c r="D2933" s="3"/>
      <c r="E2933" s="3" t="e">
        <f t="shared" si="92"/>
        <v>#N/A</v>
      </c>
      <c r="F2933" s="3" t="e">
        <f t="shared" si="93"/>
        <v>#N/A</v>
      </c>
    </row>
    <row r="2934" spans="2:6" x14ac:dyDescent="0.25">
      <c r="B2934" s="3"/>
      <c r="C2934" s="3"/>
      <c r="D2934" s="3"/>
      <c r="E2934" s="3" t="e">
        <f t="shared" si="92"/>
        <v>#N/A</v>
      </c>
      <c r="F2934" s="3" t="e">
        <f t="shared" si="93"/>
        <v>#N/A</v>
      </c>
    </row>
    <row r="2935" spans="2:6" x14ac:dyDescent="0.25">
      <c r="B2935" s="3"/>
      <c r="C2935" s="3"/>
      <c r="D2935" s="3"/>
      <c r="E2935" s="3" t="e">
        <f t="shared" si="92"/>
        <v>#N/A</v>
      </c>
      <c r="F2935" s="3" t="e">
        <f t="shared" si="93"/>
        <v>#N/A</v>
      </c>
    </row>
    <row r="2936" spans="2:6" x14ac:dyDescent="0.25">
      <c r="B2936" s="3"/>
      <c r="C2936" s="3"/>
      <c r="D2936" s="3"/>
      <c r="E2936" s="3" t="e">
        <f t="shared" si="92"/>
        <v>#N/A</v>
      </c>
      <c r="F2936" s="3" t="e">
        <f t="shared" si="93"/>
        <v>#N/A</v>
      </c>
    </row>
    <row r="2937" spans="2:6" x14ac:dyDescent="0.25">
      <c r="B2937" s="3"/>
      <c r="C2937" s="3"/>
      <c r="D2937" s="3"/>
      <c r="E2937" s="3" t="e">
        <f t="shared" si="92"/>
        <v>#N/A</v>
      </c>
      <c r="F2937" s="3" t="e">
        <f t="shared" si="93"/>
        <v>#N/A</v>
      </c>
    </row>
    <row r="2938" spans="2:6" x14ac:dyDescent="0.25">
      <c r="B2938" s="3"/>
      <c r="C2938" s="3"/>
      <c r="D2938" s="3"/>
      <c r="E2938" s="3" t="e">
        <f t="shared" si="92"/>
        <v>#N/A</v>
      </c>
      <c r="F2938" s="3" t="e">
        <f t="shared" si="93"/>
        <v>#N/A</v>
      </c>
    </row>
    <row r="2939" spans="2:6" x14ac:dyDescent="0.25">
      <c r="B2939" s="3"/>
      <c r="C2939" s="3"/>
      <c r="D2939" s="3"/>
      <c r="E2939" s="3" t="e">
        <f t="shared" si="92"/>
        <v>#N/A</v>
      </c>
      <c r="F2939" s="3" t="e">
        <f t="shared" si="93"/>
        <v>#N/A</v>
      </c>
    </row>
    <row r="2940" spans="2:6" x14ac:dyDescent="0.25">
      <c r="B2940" s="3"/>
      <c r="C2940" s="3"/>
      <c r="D2940" s="3"/>
      <c r="E2940" s="3" t="e">
        <f t="shared" si="92"/>
        <v>#N/A</v>
      </c>
      <c r="F2940" s="3" t="e">
        <f t="shared" si="93"/>
        <v>#N/A</v>
      </c>
    </row>
    <row r="2941" spans="2:6" x14ac:dyDescent="0.25">
      <c r="B2941" s="3"/>
      <c r="C2941" s="3"/>
      <c r="D2941" s="3"/>
      <c r="E2941" s="3" t="e">
        <f t="shared" si="92"/>
        <v>#N/A</v>
      </c>
      <c r="F2941" s="3" t="e">
        <f t="shared" si="93"/>
        <v>#N/A</v>
      </c>
    </row>
    <row r="2942" spans="2:6" x14ac:dyDescent="0.25">
      <c r="B2942" s="3"/>
      <c r="C2942" s="3"/>
      <c r="D2942" s="3"/>
      <c r="E2942" s="3" t="e">
        <f t="shared" si="92"/>
        <v>#N/A</v>
      </c>
      <c r="F2942" s="3" t="e">
        <f t="shared" si="93"/>
        <v>#N/A</v>
      </c>
    </row>
    <row r="2943" spans="2:6" x14ac:dyDescent="0.25">
      <c r="B2943" s="3"/>
      <c r="C2943" s="3"/>
      <c r="D2943" s="3"/>
      <c r="E2943" s="3" t="e">
        <f t="shared" si="92"/>
        <v>#N/A</v>
      </c>
      <c r="F2943" s="3" t="e">
        <f t="shared" si="93"/>
        <v>#N/A</v>
      </c>
    </row>
    <row r="2944" spans="2:6" x14ac:dyDescent="0.25">
      <c r="B2944" s="3"/>
      <c r="C2944" s="3"/>
      <c r="D2944" s="3"/>
      <c r="E2944" s="3" t="e">
        <f t="shared" si="92"/>
        <v>#N/A</v>
      </c>
      <c r="F2944" s="3" t="e">
        <f t="shared" si="93"/>
        <v>#N/A</v>
      </c>
    </row>
    <row r="2945" spans="2:6" x14ac:dyDescent="0.25">
      <c r="B2945" s="3"/>
      <c r="C2945" s="3"/>
      <c r="D2945" s="3"/>
      <c r="E2945" s="3" t="e">
        <f t="shared" si="92"/>
        <v>#N/A</v>
      </c>
      <c r="F2945" s="3" t="e">
        <f t="shared" si="93"/>
        <v>#N/A</v>
      </c>
    </row>
    <row r="2946" spans="2:6" x14ac:dyDescent="0.25">
      <c r="B2946" s="3"/>
      <c r="C2946" s="3"/>
      <c r="D2946" s="3"/>
      <c r="E2946" s="3" t="e">
        <f t="shared" si="92"/>
        <v>#N/A</v>
      </c>
      <c r="F2946" s="3" t="e">
        <f t="shared" si="93"/>
        <v>#N/A</v>
      </c>
    </row>
    <row r="2947" spans="2:6" x14ac:dyDescent="0.25">
      <c r="B2947" s="3"/>
      <c r="C2947" s="3"/>
      <c r="D2947" s="3"/>
      <c r="E2947" s="3" t="e">
        <f t="shared" si="92"/>
        <v>#N/A</v>
      </c>
      <c r="F2947" s="3" t="e">
        <f t="shared" si="93"/>
        <v>#N/A</v>
      </c>
    </row>
    <row r="2948" spans="2:6" x14ac:dyDescent="0.25">
      <c r="B2948" s="3"/>
      <c r="C2948" s="3"/>
      <c r="D2948" s="3"/>
      <c r="E2948" s="3" t="e">
        <f t="shared" ref="E2948:E3011" si="94">VLOOKUP(C2948,I:J,2,0)</f>
        <v>#N/A</v>
      </c>
      <c r="F2948" s="3" t="e">
        <f t="shared" ref="F2948:F3011" si="95">E2948&amp;" "&amp;B2948</f>
        <v>#N/A</v>
      </c>
    </row>
    <row r="2949" spans="2:6" x14ac:dyDescent="0.25">
      <c r="B2949" s="3"/>
      <c r="C2949" s="3"/>
      <c r="D2949" s="3"/>
      <c r="E2949" s="3" t="e">
        <f t="shared" si="94"/>
        <v>#N/A</v>
      </c>
      <c r="F2949" s="3" t="e">
        <f t="shared" si="95"/>
        <v>#N/A</v>
      </c>
    </row>
    <row r="2950" spans="2:6" x14ac:dyDescent="0.25">
      <c r="B2950" s="3"/>
      <c r="C2950" s="3"/>
      <c r="D2950" s="3"/>
      <c r="E2950" s="3" t="e">
        <f t="shared" si="94"/>
        <v>#N/A</v>
      </c>
      <c r="F2950" s="3" t="e">
        <f t="shared" si="95"/>
        <v>#N/A</v>
      </c>
    </row>
    <row r="2951" spans="2:6" x14ac:dyDescent="0.25">
      <c r="B2951" s="3"/>
      <c r="C2951" s="3"/>
      <c r="D2951" s="3"/>
      <c r="E2951" s="3" t="e">
        <f t="shared" si="94"/>
        <v>#N/A</v>
      </c>
      <c r="F2951" s="3" t="e">
        <f t="shared" si="95"/>
        <v>#N/A</v>
      </c>
    </row>
    <row r="2952" spans="2:6" x14ac:dyDescent="0.25">
      <c r="B2952" s="3"/>
      <c r="C2952" s="3"/>
      <c r="D2952" s="3"/>
      <c r="E2952" s="3" t="e">
        <f t="shared" si="94"/>
        <v>#N/A</v>
      </c>
      <c r="F2952" s="3" t="e">
        <f t="shared" si="95"/>
        <v>#N/A</v>
      </c>
    </row>
    <row r="2953" spans="2:6" x14ac:dyDescent="0.25">
      <c r="B2953" s="3"/>
      <c r="C2953" s="3"/>
      <c r="D2953" s="3"/>
      <c r="E2953" s="3" t="e">
        <f t="shared" si="94"/>
        <v>#N/A</v>
      </c>
      <c r="F2953" s="3" t="e">
        <f t="shared" si="95"/>
        <v>#N/A</v>
      </c>
    </row>
    <row r="2954" spans="2:6" x14ac:dyDescent="0.25">
      <c r="B2954" s="3"/>
      <c r="C2954" s="3"/>
      <c r="D2954" s="3"/>
      <c r="E2954" s="3" t="e">
        <f t="shared" si="94"/>
        <v>#N/A</v>
      </c>
      <c r="F2954" s="3" t="e">
        <f t="shared" si="95"/>
        <v>#N/A</v>
      </c>
    </row>
    <row r="2955" spans="2:6" x14ac:dyDescent="0.25">
      <c r="B2955" s="3"/>
      <c r="C2955" s="3"/>
      <c r="D2955" s="3"/>
      <c r="E2955" s="3" t="e">
        <f t="shared" si="94"/>
        <v>#N/A</v>
      </c>
      <c r="F2955" s="3" t="e">
        <f t="shared" si="95"/>
        <v>#N/A</v>
      </c>
    </row>
    <row r="2956" spans="2:6" x14ac:dyDescent="0.25">
      <c r="B2956" s="3"/>
      <c r="C2956" s="3"/>
      <c r="D2956" s="3"/>
      <c r="E2956" s="3" t="e">
        <f t="shared" si="94"/>
        <v>#N/A</v>
      </c>
      <c r="F2956" s="3" t="e">
        <f t="shared" si="95"/>
        <v>#N/A</v>
      </c>
    </row>
    <row r="2957" spans="2:6" x14ac:dyDescent="0.25">
      <c r="B2957" s="3"/>
      <c r="C2957" s="3"/>
      <c r="D2957" s="3"/>
      <c r="E2957" s="3" t="e">
        <f t="shared" si="94"/>
        <v>#N/A</v>
      </c>
      <c r="F2957" s="3" t="e">
        <f t="shared" si="95"/>
        <v>#N/A</v>
      </c>
    </row>
    <row r="2958" spans="2:6" x14ac:dyDescent="0.25">
      <c r="B2958" s="3"/>
      <c r="C2958" s="3"/>
      <c r="D2958" s="3"/>
      <c r="E2958" s="3" t="e">
        <f t="shared" si="94"/>
        <v>#N/A</v>
      </c>
      <c r="F2958" s="3" t="e">
        <f t="shared" si="95"/>
        <v>#N/A</v>
      </c>
    </row>
    <row r="2959" spans="2:6" x14ac:dyDescent="0.25">
      <c r="B2959" s="3"/>
      <c r="C2959" s="3"/>
      <c r="D2959" s="3"/>
      <c r="E2959" s="3" t="e">
        <f t="shared" si="94"/>
        <v>#N/A</v>
      </c>
      <c r="F2959" s="3" t="e">
        <f t="shared" si="95"/>
        <v>#N/A</v>
      </c>
    </row>
    <row r="2960" spans="2:6" x14ac:dyDescent="0.25">
      <c r="B2960" s="3"/>
      <c r="C2960" s="3"/>
      <c r="D2960" s="3"/>
      <c r="E2960" s="3" t="e">
        <f t="shared" si="94"/>
        <v>#N/A</v>
      </c>
      <c r="F2960" s="3" t="e">
        <f t="shared" si="95"/>
        <v>#N/A</v>
      </c>
    </row>
    <row r="2961" spans="2:6" x14ac:dyDescent="0.25">
      <c r="B2961" s="3"/>
      <c r="C2961" s="3"/>
      <c r="D2961" s="3"/>
      <c r="E2961" s="3" t="e">
        <f t="shared" si="94"/>
        <v>#N/A</v>
      </c>
      <c r="F2961" s="3" t="e">
        <f t="shared" si="95"/>
        <v>#N/A</v>
      </c>
    </row>
    <row r="2962" spans="2:6" x14ac:dyDescent="0.25">
      <c r="B2962" s="3"/>
      <c r="C2962" s="3"/>
      <c r="D2962" s="3"/>
      <c r="E2962" s="3" t="e">
        <f t="shared" si="94"/>
        <v>#N/A</v>
      </c>
      <c r="F2962" s="3" t="e">
        <f t="shared" si="95"/>
        <v>#N/A</v>
      </c>
    </row>
    <row r="2963" spans="2:6" x14ac:dyDescent="0.25">
      <c r="B2963" s="3"/>
      <c r="C2963" s="3"/>
      <c r="D2963" s="3"/>
      <c r="E2963" s="3" t="e">
        <f t="shared" si="94"/>
        <v>#N/A</v>
      </c>
      <c r="F2963" s="3" t="e">
        <f t="shared" si="95"/>
        <v>#N/A</v>
      </c>
    </row>
    <row r="2964" spans="2:6" x14ac:dyDescent="0.25">
      <c r="B2964" s="3"/>
      <c r="C2964" s="3"/>
      <c r="D2964" s="3"/>
      <c r="E2964" s="3" t="e">
        <f t="shared" si="94"/>
        <v>#N/A</v>
      </c>
      <c r="F2964" s="3" t="e">
        <f t="shared" si="95"/>
        <v>#N/A</v>
      </c>
    </row>
    <row r="2965" spans="2:6" x14ac:dyDescent="0.25">
      <c r="B2965" s="3"/>
      <c r="C2965" s="3"/>
      <c r="D2965" s="3"/>
      <c r="E2965" s="3" t="e">
        <f t="shared" si="94"/>
        <v>#N/A</v>
      </c>
      <c r="F2965" s="3" t="e">
        <f t="shared" si="95"/>
        <v>#N/A</v>
      </c>
    </row>
    <row r="2966" spans="2:6" x14ac:dyDescent="0.25">
      <c r="B2966" s="3"/>
      <c r="C2966" s="3"/>
      <c r="D2966" s="3"/>
      <c r="E2966" s="3" t="e">
        <f t="shared" si="94"/>
        <v>#N/A</v>
      </c>
      <c r="F2966" s="3" t="e">
        <f t="shared" si="95"/>
        <v>#N/A</v>
      </c>
    </row>
    <row r="2967" spans="2:6" x14ac:dyDescent="0.25">
      <c r="B2967" s="3"/>
      <c r="C2967" s="3"/>
      <c r="D2967" s="3"/>
      <c r="E2967" s="3" t="e">
        <f t="shared" si="94"/>
        <v>#N/A</v>
      </c>
      <c r="F2967" s="3" t="e">
        <f t="shared" si="95"/>
        <v>#N/A</v>
      </c>
    </row>
    <row r="2968" spans="2:6" x14ac:dyDescent="0.25">
      <c r="B2968" s="3"/>
      <c r="C2968" s="3"/>
      <c r="D2968" s="3"/>
      <c r="E2968" s="3" t="e">
        <f t="shared" si="94"/>
        <v>#N/A</v>
      </c>
      <c r="F2968" s="3" t="e">
        <f t="shared" si="95"/>
        <v>#N/A</v>
      </c>
    </row>
    <row r="2969" spans="2:6" x14ac:dyDescent="0.25">
      <c r="B2969" s="3"/>
      <c r="C2969" s="3"/>
      <c r="D2969" s="3"/>
      <c r="E2969" s="3" t="e">
        <f t="shared" si="94"/>
        <v>#N/A</v>
      </c>
      <c r="F2969" s="3" t="e">
        <f t="shared" si="95"/>
        <v>#N/A</v>
      </c>
    </row>
    <row r="2970" spans="2:6" x14ac:dyDescent="0.25">
      <c r="B2970" s="3"/>
      <c r="C2970" s="3"/>
      <c r="D2970" s="3"/>
      <c r="E2970" s="3" t="e">
        <f t="shared" si="94"/>
        <v>#N/A</v>
      </c>
      <c r="F2970" s="3" t="e">
        <f t="shared" si="95"/>
        <v>#N/A</v>
      </c>
    </row>
    <row r="2971" spans="2:6" x14ac:dyDescent="0.25">
      <c r="B2971" s="3"/>
      <c r="C2971" s="3"/>
      <c r="D2971" s="3"/>
      <c r="E2971" s="3" t="e">
        <f t="shared" si="94"/>
        <v>#N/A</v>
      </c>
      <c r="F2971" s="3" t="e">
        <f t="shared" si="95"/>
        <v>#N/A</v>
      </c>
    </row>
    <row r="2972" spans="2:6" x14ac:dyDescent="0.25">
      <c r="B2972" s="3"/>
      <c r="C2972" s="3"/>
      <c r="D2972" s="3"/>
      <c r="E2972" s="3" t="e">
        <f t="shared" si="94"/>
        <v>#N/A</v>
      </c>
      <c r="F2972" s="3" t="e">
        <f t="shared" si="95"/>
        <v>#N/A</v>
      </c>
    </row>
    <row r="2973" spans="2:6" x14ac:dyDescent="0.25">
      <c r="B2973" s="3"/>
      <c r="C2973" s="3"/>
      <c r="D2973" s="3"/>
      <c r="E2973" s="3" t="e">
        <f t="shared" si="94"/>
        <v>#N/A</v>
      </c>
      <c r="F2973" s="3" t="e">
        <f t="shared" si="95"/>
        <v>#N/A</v>
      </c>
    </row>
    <row r="2974" spans="2:6" x14ac:dyDescent="0.25">
      <c r="B2974" s="3"/>
      <c r="C2974" s="3"/>
      <c r="D2974" s="3"/>
      <c r="E2974" s="3" t="e">
        <f t="shared" si="94"/>
        <v>#N/A</v>
      </c>
      <c r="F2974" s="3" t="e">
        <f t="shared" si="95"/>
        <v>#N/A</v>
      </c>
    </row>
    <row r="2975" spans="2:6" x14ac:dyDescent="0.25">
      <c r="B2975" s="3"/>
      <c r="C2975" s="3"/>
      <c r="D2975" s="3"/>
      <c r="E2975" s="3" t="e">
        <f t="shared" si="94"/>
        <v>#N/A</v>
      </c>
      <c r="F2975" s="3" t="e">
        <f t="shared" si="95"/>
        <v>#N/A</v>
      </c>
    </row>
    <row r="2976" spans="2:6" x14ac:dyDescent="0.25">
      <c r="B2976" s="3"/>
      <c r="C2976" s="3"/>
      <c r="D2976" s="3"/>
      <c r="E2976" s="3" t="e">
        <f t="shared" si="94"/>
        <v>#N/A</v>
      </c>
      <c r="F2976" s="3" t="e">
        <f t="shared" si="95"/>
        <v>#N/A</v>
      </c>
    </row>
    <row r="2977" spans="2:6" x14ac:dyDescent="0.25">
      <c r="B2977" s="3"/>
      <c r="C2977" s="3"/>
      <c r="D2977" s="3"/>
      <c r="E2977" s="3" t="e">
        <f t="shared" si="94"/>
        <v>#N/A</v>
      </c>
      <c r="F2977" s="3" t="e">
        <f t="shared" si="95"/>
        <v>#N/A</v>
      </c>
    </row>
    <row r="2978" spans="2:6" x14ac:dyDescent="0.25">
      <c r="B2978" s="3"/>
      <c r="C2978" s="3"/>
      <c r="D2978" s="3"/>
      <c r="E2978" s="3" t="e">
        <f t="shared" si="94"/>
        <v>#N/A</v>
      </c>
      <c r="F2978" s="3" t="e">
        <f t="shared" si="95"/>
        <v>#N/A</v>
      </c>
    </row>
    <row r="2979" spans="2:6" x14ac:dyDescent="0.25">
      <c r="B2979" s="3"/>
      <c r="C2979" s="3"/>
      <c r="D2979" s="3"/>
      <c r="E2979" s="3" t="e">
        <f t="shared" si="94"/>
        <v>#N/A</v>
      </c>
      <c r="F2979" s="3" t="e">
        <f t="shared" si="95"/>
        <v>#N/A</v>
      </c>
    </row>
    <row r="2980" spans="2:6" x14ac:dyDescent="0.25">
      <c r="B2980" s="3"/>
      <c r="C2980" s="3"/>
      <c r="D2980" s="3"/>
      <c r="E2980" s="3" t="e">
        <f t="shared" si="94"/>
        <v>#N/A</v>
      </c>
      <c r="F2980" s="3" t="e">
        <f t="shared" si="95"/>
        <v>#N/A</v>
      </c>
    </row>
    <row r="2981" spans="2:6" x14ac:dyDescent="0.25">
      <c r="B2981" s="3"/>
      <c r="C2981" s="3"/>
      <c r="D2981" s="3"/>
      <c r="E2981" s="3" t="e">
        <f t="shared" si="94"/>
        <v>#N/A</v>
      </c>
      <c r="F2981" s="3" t="e">
        <f t="shared" si="95"/>
        <v>#N/A</v>
      </c>
    </row>
    <row r="2982" spans="2:6" x14ac:dyDescent="0.25">
      <c r="B2982" s="3"/>
      <c r="C2982" s="3"/>
      <c r="D2982" s="3"/>
      <c r="E2982" s="3" t="e">
        <f t="shared" si="94"/>
        <v>#N/A</v>
      </c>
      <c r="F2982" s="3" t="e">
        <f t="shared" si="95"/>
        <v>#N/A</v>
      </c>
    </row>
    <row r="2983" spans="2:6" x14ac:dyDescent="0.25">
      <c r="B2983" s="3"/>
      <c r="C2983" s="3"/>
      <c r="D2983" s="3"/>
      <c r="E2983" s="3" t="e">
        <f t="shared" si="94"/>
        <v>#N/A</v>
      </c>
      <c r="F2983" s="3" t="e">
        <f t="shared" si="95"/>
        <v>#N/A</v>
      </c>
    </row>
    <row r="2984" spans="2:6" x14ac:dyDescent="0.25">
      <c r="B2984" s="3"/>
      <c r="C2984" s="3"/>
      <c r="D2984" s="3"/>
      <c r="E2984" s="3" t="e">
        <f t="shared" si="94"/>
        <v>#N/A</v>
      </c>
      <c r="F2984" s="3" t="e">
        <f t="shared" si="95"/>
        <v>#N/A</v>
      </c>
    </row>
    <row r="2985" spans="2:6" x14ac:dyDescent="0.25">
      <c r="B2985" s="3"/>
      <c r="C2985" s="3"/>
      <c r="D2985" s="3"/>
      <c r="E2985" s="3" t="e">
        <f t="shared" si="94"/>
        <v>#N/A</v>
      </c>
      <c r="F2985" s="3" t="e">
        <f t="shared" si="95"/>
        <v>#N/A</v>
      </c>
    </row>
    <row r="2986" spans="2:6" x14ac:dyDescent="0.25">
      <c r="B2986" s="3"/>
      <c r="C2986" s="3"/>
      <c r="D2986" s="3"/>
      <c r="E2986" s="3" t="e">
        <f t="shared" si="94"/>
        <v>#N/A</v>
      </c>
      <c r="F2986" s="3" t="e">
        <f t="shared" si="95"/>
        <v>#N/A</v>
      </c>
    </row>
    <row r="2987" spans="2:6" x14ac:dyDescent="0.25">
      <c r="B2987" s="3"/>
      <c r="C2987" s="3"/>
      <c r="D2987" s="3"/>
      <c r="E2987" s="3" t="e">
        <f t="shared" si="94"/>
        <v>#N/A</v>
      </c>
      <c r="F2987" s="3" t="e">
        <f t="shared" si="95"/>
        <v>#N/A</v>
      </c>
    </row>
    <row r="2988" spans="2:6" x14ac:dyDescent="0.25">
      <c r="B2988" s="3"/>
      <c r="C2988" s="3"/>
      <c r="D2988" s="3"/>
      <c r="E2988" s="3" t="e">
        <f t="shared" si="94"/>
        <v>#N/A</v>
      </c>
      <c r="F2988" s="3" t="e">
        <f t="shared" si="95"/>
        <v>#N/A</v>
      </c>
    </row>
    <row r="2989" spans="2:6" x14ac:dyDescent="0.25">
      <c r="B2989" s="3"/>
      <c r="C2989" s="3"/>
      <c r="D2989" s="3"/>
      <c r="E2989" s="3" t="e">
        <f t="shared" si="94"/>
        <v>#N/A</v>
      </c>
      <c r="F2989" s="3" t="e">
        <f t="shared" si="95"/>
        <v>#N/A</v>
      </c>
    </row>
    <row r="2990" spans="2:6" x14ac:dyDescent="0.25">
      <c r="B2990" s="3"/>
      <c r="C2990" s="3"/>
      <c r="D2990" s="3"/>
      <c r="E2990" s="3" t="e">
        <f t="shared" si="94"/>
        <v>#N/A</v>
      </c>
      <c r="F2990" s="3" t="e">
        <f t="shared" si="95"/>
        <v>#N/A</v>
      </c>
    </row>
    <row r="2991" spans="2:6" x14ac:dyDescent="0.25">
      <c r="B2991" s="3"/>
      <c r="C2991" s="3"/>
      <c r="D2991" s="3"/>
      <c r="E2991" s="3" t="e">
        <f t="shared" si="94"/>
        <v>#N/A</v>
      </c>
      <c r="F2991" s="3" t="e">
        <f t="shared" si="95"/>
        <v>#N/A</v>
      </c>
    </row>
    <row r="2992" spans="2:6" x14ac:dyDescent="0.25">
      <c r="B2992" s="3"/>
      <c r="C2992" s="3"/>
      <c r="D2992" s="3"/>
      <c r="E2992" s="3" t="e">
        <f t="shared" si="94"/>
        <v>#N/A</v>
      </c>
      <c r="F2992" s="3" t="e">
        <f t="shared" si="95"/>
        <v>#N/A</v>
      </c>
    </row>
    <row r="2993" spans="2:6" x14ac:dyDescent="0.25">
      <c r="B2993" s="3"/>
      <c r="C2993" s="3"/>
      <c r="D2993" s="3"/>
      <c r="E2993" s="3" t="e">
        <f t="shared" si="94"/>
        <v>#N/A</v>
      </c>
      <c r="F2993" s="3" t="e">
        <f t="shared" si="95"/>
        <v>#N/A</v>
      </c>
    </row>
    <row r="2994" spans="2:6" x14ac:dyDescent="0.25">
      <c r="B2994" s="3"/>
      <c r="C2994" s="3"/>
      <c r="D2994" s="3"/>
      <c r="E2994" s="3" t="e">
        <f t="shared" si="94"/>
        <v>#N/A</v>
      </c>
      <c r="F2994" s="3" t="e">
        <f t="shared" si="95"/>
        <v>#N/A</v>
      </c>
    </row>
    <row r="2995" spans="2:6" x14ac:dyDescent="0.25">
      <c r="B2995" s="3"/>
      <c r="C2995" s="3"/>
      <c r="D2995" s="3"/>
      <c r="E2995" s="3" t="e">
        <f t="shared" si="94"/>
        <v>#N/A</v>
      </c>
      <c r="F2995" s="3" t="e">
        <f t="shared" si="95"/>
        <v>#N/A</v>
      </c>
    </row>
    <row r="2996" spans="2:6" x14ac:dyDescent="0.25">
      <c r="B2996" s="3"/>
      <c r="C2996" s="3"/>
      <c r="D2996" s="3"/>
      <c r="E2996" s="3" t="e">
        <f t="shared" si="94"/>
        <v>#N/A</v>
      </c>
      <c r="F2996" s="3" t="e">
        <f t="shared" si="95"/>
        <v>#N/A</v>
      </c>
    </row>
    <row r="2997" spans="2:6" x14ac:dyDescent="0.25">
      <c r="B2997" s="3"/>
      <c r="C2997" s="3"/>
      <c r="D2997" s="3"/>
      <c r="E2997" s="3" t="e">
        <f t="shared" si="94"/>
        <v>#N/A</v>
      </c>
      <c r="F2997" s="3" t="e">
        <f t="shared" si="95"/>
        <v>#N/A</v>
      </c>
    </row>
    <row r="2998" spans="2:6" x14ac:dyDescent="0.25">
      <c r="B2998" s="3"/>
      <c r="C2998" s="3"/>
      <c r="D2998" s="3"/>
      <c r="E2998" s="3" t="e">
        <f t="shared" si="94"/>
        <v>#N/A</v>
      </c>
      <c r="F2998" s="3" t="e">
        <f t="shared" si="95"/>
        <v>#N/A</v>
      </c>
    </row>
    <row r="2999" spans="2:6" x14ac:dyDescent="0.25">
      <c r="B2999" s="3"/>
      <c r="C2999" s="3"/>
      <c r="D2999" s="3"/>
      <c r="E2999" s="3" t="e">
        <f t="shared" si="94"/>
        <v>#N/A</v>
      </c>
      <c r="F2999" s="3" t="e">
        <f t="shared" si="95"/>
        <v>#N/A</v>
      </c>
    </row>
    <row r="3000" spans="2:6" x14ac:dyDescent="0.25">
      <c r="B3000" s="3"/>
      <c r="C3000" s="3"/>
      <c r="D3000" s="3"/>
      <c r="E3000" s="3" t="e">
        <f t="shared" si="94"/>
        <v>#N/A</v>
      </c>
      <c r="F3000" s="3" t="e">
        <f t="shared" si="95"/>
        <v>#N/A</v>
      </c>
    </row>
    <row r="3001" spans="2:6" x14ac:dyDescent="0.25">
      <c r="B3001" s="3"/>
      <c r="C3001" s="3"/>
      <c r="D3001" s="3"/>
      <c r="E3001" s="3" t="e">
        <f t="shared" si="94"/>
        <v>#N/A</v>
      </c>
      <c r="F3001" s="3" t="e">
        <f t="shared" si="95"/>
        <v>#N/A</v>
      </c>
    </row>
    <row r="3002" spans="2:6" x14ac:dyDescent="0.25">
      <c r="B3002" s="3"/>
      <c r="C3002" s="3"/>
      <c r="D3002" s="3"/>
      <c r="E3002" s="3" t="e">
        <f t="shared" si="94"/>
        <v>#N/A</v>
      </c>
      <c r="F3002" s="3" t="e">
        <f t="shared" si="95"/>
        <v>#N/A</v>
      </c>
    </row>
    <row r="3003" spans="2:6" x14ac:dyDescent="0.25">
      <c r="B3003" s="3"/>
      <c r="C3003" s="3"/>
      <c r="D3003" s="3"/>
      <c r="E3003" s="3" t="e">
        <f t="shared" si="94"/>
        <v>#N/A</v>
      </c>
      <c r="F3003" s="3" t="e">
        <f t="shared" si="95"/>
        <v>#N/A</v>
      </c>
    </row>
    <row r="3004" spans="2:6" x14ac:dyDescent="0.25">
      <c r="B3004" s="3"/>
      <c r="C3004" s="3"/>
      <c r="D3004" s="3"/>
      <c r="E3004" s="3" t="e">
        <f t="shared" si="94"/>
        <v>#N/A</v>
      </c>
      <c r="F3004" s="3" t="e">
        <f t="shared" si="95"/>
        <v>#N/A</v>
      </c>
    </row>
    <row r="3005" spans="2:6" x14ac:dyDescent="0.25">
      <c r="B3005" s="3"/>
      <c r="C3005" s="3"/>
      <c r="D3005" s="3"/>
      <c r="E3005" s="3" t="e">
        <f t="shared" si="94"/>
        <v>#N/A</v>
      </c>
      <c r="F3005" s="3" t="e">
        <f t="shared" si="95"/>
        <v>#N/A</v>
      </c>
    </row>
    <row r="3006" spans="2:6" x14ac:dyDescent="0.25">
      <c r="B3006" s="3"/>
      <c r="C3006" s="3"/>
      <c r="D3006" s="3"/>
      <c r="E3006" s="3" t="e">
        <f t="shared" si="94"/>
        <v>#N/A</v>
      </c>
      <c r="F3006" s="3" t="e">
        <f t="shared" si="95"/>
        <v>#N/A</v>
      </c>
    </row>
    <row r="3007" spans="2:6" x14ac:dyDescent="0.25">
      <c r="B3007" s="3"/>
      <c r="C3007" s="3"/>
      <c r="D3007" s="3"/>
      <c r="E3007" s="3" t="e">
        <f t="shared" si="94"/>
        <v>#N/A</v>
      </c>
      <c r="F3007" s="3" t="e">
        <f t="shared" si="95"/>
        <v>#N/A</v>
      </c>
    </row>
    <row r="3008" spans="2:6" x14ac:dyDescent="0.25">
      <c r="B3008" s="3"/>
      <c r="C3008" s="3"/>
      <c r="D3008" s="3"/>
      <c r="E3008" s="3" t="e">
        <f t="shared" si="94"/>
        <v>#N/A</v>
      </c>
      <c r="F3008" s="3" t="e">
        <f t="shared" si="95"/>
        <v>#N/A</v>
      </c>
    </row>
    <row r="3009" spans="2:6" x14ac:dyDescent="0.25">
      <c r="B3009" s="3"/>
      <c r="C3009" s="3"/>
      <c r="D3009" s="3"/>
      <c r="E3009" s="3" t="e">
        <f t="shared" si="94"/>
        <v>#N/A</v>
      </c>
      <c r="F3009" s="3" t="e">
        <f t="shared" si="95"/>
        <v>#N/A</v>
      </c>
    </row>
    <row r="3010" spans="2:6" x14ac:dyDescent="0.25">
      <c r="B3010" s="3"/>
      <c r="C3010" s="3"/>
      <c r="D3010" s="3"/>
      <c r="E3010" s="3" t="e">
        <f t="shared" si="94"/>
        <v>#N/A</v>
      </c>
      <c r="F3010" s="3" t="e">
        <f t="shared" si="95"/>
        <v>#N/A</v>
      </c>
    </row>
    <row r="3011" spans="2:6" x14ac:dyDescent="0.25">
      <c r="B3011" s="3"/>
      <c r="C3011" s="3"/>
      <c r="D3011" s="3"/>
      <c r="E3011" s="3" t="e">
        <f t="shared" si="94"/>
        <v>#N/A</v>
      </c>
      <c r="F3011" s="3" t="e">
        <f t="shared" si="95"/>
        <v>#N/A</v>
      </c>
    </row>
    <row r="3012" spans="2:6" x14ac:dyDescent="0.25">
      <c r="B3012" s="3"/>
      <c r="C3012" s="3"/>
      <c r="D3012" s="3"/>
      <c r="E3012" s="3" t="e">
        <f t="shared" ref="E3012:E3075" si="96">VLOOKUP(C3012,I:J,2,0)</f>
        <v>#N/A</v>
      </c>
      <c r="F3012" s="3" t="e">
        <f t="shared" ref="F3012:F3075" si="97">E3012&amp;" "&amp;B3012</f>
        <v>#N/A</v>
      </c>
    </row>
    <row r="3013" spans="2:6" x14ac:dyDescent="0.25">
      <c r="B3013" s="3"/>
      <c r="C3013" s="3"/>
      <c r="D3013" s="3"/>
      <c r="E3013" s="3" t="e">
        <f t="shared" si="96"/>
        <v>#N/A</v>
      </c>
      <c r="F3013" s="3" t="e">
        <f t="shared" si="97"/>
        <v>#N/A</v>
      </c>
    </row>
    <row r="3014" spans="2:6" x14ac:dyDescent="0.25">
      <c r="B3014" s="3"/>
      <c r="C3014" s="3"/>
      <c r="D3014" s="3"/>
      <c r="E3014" s="3" t="e">
        <f t="shared" si="96"/>
        <v>#N/A</v>
      </c>
      <c r="F3014" s="3" t="e">
        <f t="shared" si="97"/>
        <v>#N/A</v>
      </c>
    </row>
    <row r="3015" spans="2:6" x14ac:dyDescent="0.25">
      <c r="B3015" s="3"/>
      <c r="C3015" s="3"/>
      <c r="D3015" s="3"/>
      <c r="E3015" s="3" t="e">
        <f t="shared" si="96"/>
        <v>#N/A</v>
      </c>
      <c r="F3015" s="3" t="e">
        <f t="shared" si="97"/>
        <v>#N/A</v>
      </c>
    </row>
    <row r="3016" spans="2:6" x14ac:dyDescent="0.25">
      <c r="B3016" s="3"/>
      <c r="C3016" s="3"/>
      <c r="D3016" s="3"/>
      <c r="E3016" s="3" t="e">
        <f t="shared" si="96"/>
        <v>#N/A</v>
      </c>
      <c r="F3016" s="3" t="e">
        <f t="shared" si="97"/>
        <v>#N/A</v>
      </c>
    </row>
    <row r="3017" spans="2:6" x14ac:dyDescent="0.25">
      <c r="B3017" s="3"/>
      <c r="C3017" s="3"/>
      <c r="D3017" s="3"/>
      <c r="E3017" s="3" t="e">
        <f t="shared" si="96"/>
        <v>#N/A</v>
      </c>
      <c r="F3017" s="3" t="e">
        <f t="shared" si="97"/>
        <v>#N/A</v>
      </c>
    </row>
    <row r="3018" spans="2:6" x14ac:dyDescent="0.25">
      <c r="B3018" s="3"/>
      <c r="C3018" s="3"/>
      <c r="D3018" s="3"/>
      <c r="E3018" s="3" t="e">
        <f t="shared" si="96"/>
        <v>#N/A</v>
      </c>
      <c r="F3018" s="3" t="e">
        <f t="shared" si="97"/>
        <v>#N/A</v>
      </c>
    </row>
    <row r="3019" spans="2:6" x14ac:dyDescent="0.25">
      <c r="B3019" s="3"/>
      <c r="C3019" s="3"/>
      <c r="D3019" s="3"/>
      <c r="E3019" s="3" t="e">
        <f t="shared" si="96"/>
        <v>#N/A</v>
      </c>
      <c r="F3019" s="3" t="e">
        <f t="shared" si="97"/>
        <v>#N/A</v>
      </c>
    </row>
    <row r="3020" spans="2:6" x14ac:dyDescent="0.25">
      <c r="B3020" s="3"/>
      <c r="C3020" s="3"/>
      <c r="D3020" s="3"/>
      <c r="E3020" s="3" t="e">
        <f t="shared" si="96"/>
        <v>#N/A</v>
      </c>
      <c r="F3020" s="3" t="e">
        <f t="shared" si="97"/>
        <v>#N/A</v>
      </c>
    </row>
    <row r="3021" spans="2:6" x14ac:dyDescent="0.25">
      <c r="B3021" s="3"/>
      <c r="C3021" s="3"/>
      <c r="D3021" s="3"/>
      <c r="E3021" s="3" t="e">
        <f t="shared" si="96"/>
        <v>#N/A</v>
      </c>
      <c r="F3021" s="3" t="e">
        <f t="shared" si="97"/>
        <v>#N/A</v>
      </c>
    </row>
    <row r="3022" spans="2:6" x14ac:dyDescent="0.25">
      <c r="B3022" s="3"/>
      <c r="C3022" s="3"/>
      <c r="D3022" s="3"/>
      <c r="E3022" s="3" t="e">
        <f t="shared" si="96"/>
        <v>#N/A</v>
      </c>
      <c r="F3022" s="3" t="e">
        <f t="shared" si="97"/>
        <v>#N/A</v>
      </c>
    </row>
    <row r="3023" spans="2:6" x14ac:dyDescent="0.25">
      <c r="B3023" s="3"/>
      <c r="C3023" s="3"/>
      <c r="D3023" s="3"/>
      <c r="E3023" s="3" t="e">
        <f t="shared" si="96"/>
        <v>#N/A</v>
      </c>
      <c r="F3023" s="3" t="e">
        <f t="shared" si="97"/>
        <v>#N/A</v>
      </c>
    </row>
    <row r="3024" spans="2:6" x14ac:dyDescent="0.25">
      <c r="B3024" s="3"/>
      <c r="C3024" s="3"/>
      <c r="D3024" s="3"/>
      <c r="E3024" s="3" t="e">
        <f t="shared" si="96"/>
        <v>#N/A</v>
      </c>
      <c r="F3024" s="3" t="e">
        <f t="shared" si="97"/>
        <v>#N/A</v>
      </c>
    </row>
    <row r="3025" spans="2:6" x14ac:dyDescent="0.25">
      <c r="B3025" s="3"/>
      <c r="C3025" s="3"/>
      <c r="D3025" s="3"/>
      <c r="E3025" s="3" t="e">
        <f t="shared" si="96"/>
        <v>#N/A</v>
      </c>
      <c r="F3025" s="3" t="e">
        <f t="shared" si="97"/>
        <v>#N/A</v>
      </c>
    </row>
    <row r="3026" spans="2:6" x14ac:dyDescent="0.25">
      <c r="B3026" s="3"/>
      <c r="C3026" s="3"/>
      <c r="D3026" s="3"/>
      <c r="E3026" s="3" t="e">
        <f t="shared" si="96"/>
        <v>#N/A</v>
      </c>
      <c r="F3026" s="3" t="e">
        <f t="shared" si="97"/>
        <v>#N/A</v>
      </c>
    </row>
    <row r="3027" spans="2:6" x14ac:dyDescent="0.25">
      <c r="B3027" s="3"/>
      <c r="C3027" s="3"/>
      <c r="D3027" s="3"/>
      <c r="E3027" s="3" t="e">
        <f t="shared" si="96"/>
        <v>#N/A</v>
      </c>
      <c r="F3027" s="3" t="e">
        <f t="shared" si="97"/>
        <v>#N/A</v>
      </c>
    </row>
    <row r="3028" spans="2:6" x14ac:dyDescent="0.25">
      <c r="B3028" s="3"/>
      <c r="C3028" s="3"/>
      <c r="D3028" s="3"/>
      <c r="E3028" s="3" t="e">
        <f t="shared" si="96"/>
        <v>#N/A</v>
      </c>
      <c r="F3028" s="3" t="e">
        <f t="shared" si="97"/>
        <v>#N/A</v>
      </c>
    </row>
    <row r="3029" spans="2:6" x14ac:dyDescent="0.25">
      <c r="B3029" s="3"/>
      <c r="C3029" s="3"/>
      <c r="D3029" s="3"/>
      <c r="E3029" s="3" t="e">
        <f t="shared" si="96"/>
        <v>#N/A</v>
      </c>
      <c r="F3029" s="3" t="e">
        <f t="shared" si="97"/>
        <v>#N/A</v>
      </c>
    </row>
    <row r="3030" spans="2:6" x14ac:dyDescent="0.25">
      <c r="B3030" s="3"/>
      <c r="C3030" s="3"/>
      <c r="D3030" s="3"/>
      <c r="E3030" s="3" t="e">
        <f t="shared" si="96"/>
        <v>#N/A</v>
      </c>
      <c r="F3030" s="3" t="e">
        <f t="shared" si="97"/>
        <v>#N/A</v>
      </c>
    </row>
    <row r="3031" spans="2:6" x14ac:dyDescent="0.25">
      <c r="B3031" s="3"/>
      <c r="C3031" s="3"/>
      <c r="D3031" s="3"/>
      <c r="E3031" s="3" t="e">
        <f t="shared" si="96"/>
        <v>#N/A</v>
      </c>
      <c r="F3031" s="3" t="e">
        <f t="shared" si="97"/>
        <v>#N/A</v>
      </c>
    </row>
    <row r="3032" spans="2:6" x14ac:dyDescent="0.25">
      <c r="B3032" s="3"/>
      <c r="C3032" s="3"/>
      <c r="D3032" s="3"/>
      <c r="E3032" s="3" t="e">
        <f t="shared" si="96"/>
        <v>#N/A</v>
      </c>
      <c r="F3032" s="3" t="e">
        <f t="shared" si="97"/>
        <v>#N/A</v>
      </c>
    </row>
    <row r="3033" spans="2:6" x14ac:dyDescent="0.25">
      <c r="B3033" s="3"/>
      <c r="C3033" s="3"/>
      <c r="D3033" s="3"/>
      <c r="E3033" s="3" t="e">
        <f t="shared" si="96"/>
        <v>#N/A</v>
      </c>
      <c r="F3033" s="3" t="e">
        <f t="shared" si="97"/>
        <v>#N/A</v>
      </c>
    </row>
    <row r="3034" spans="2:6" x14ac:dyDescent="0.25">
      <c r="B3034" s="3"/>
      <c r="C3034" s="3"/>
      <c r="D3034" s="3"/>
      <c r="E3034" s="3" t="e">
        <f t="shared" si="96"/>
        <v>#N/A</v>
      </c>
      <c r="F3034" s="3" t="e">
        <f t="shared" si="97"/>
        <v>#N/A</v>
      </c>
    </row>
    <row r="3035" spans="2:6" x14ac:dyDescent="0.25">
      <c r="B3035" s="3"/>
      <c r="C3035" s="3"/>
      <c r="D3035" s="3"/>
      <c r="E3035" s="3" t="e">
        <f t="shared" si="96"/>
        <v>#N/A</v>
      </c>
      <c r="F3035" s="3" t="e">
        <f t="shared" si="97"/>
        <v>#N/A</v>
      </c>
    </row>
    <row r="3036" spans="2:6" x14ac:dyDescent="0.25">
      <c r="B3036" s="3"/>
      <c r="C3036" s="3"/>
      <c r="D3036" s="3"/>
      <c r="E3036" s="3" t="e">
        <f t="shared" si="96"/>
        <v>#N/A</v>
      </c>
      <c r="F3036" s="3" t="e">
        <f t="shared" si="97"/>
        <v>#N/A</v>
      </c>
    </row>
    <row r="3037" spans="2:6" x14ac:dyDescent="0.25">
      <c r="B3037" s="3"/>
      <c r="C3037" s="3"/>
      <c r="D3037" s="3"/>
      <c r="E3037" s="3" t="e">
        <f t="shared" si="96"/>
        <v>#N/A</v>
      </c>
      <c r="F3037" s="3" t="e">
        <f t="shared" si="97"/>
        <v>#N/A</v>
      </c>
    </row>
    <row r="3038" spans="2:6" x14ac:dyDescent="0.25">
      <c r="B3038" s="3"/>
      <c r="C3038" s="3"/>
      <c r="D3038" s="3"/>
      <c r="E3038" s="3" t="e">
        <f t="shared" si="96"/>
        <v>#N/A</v>
      </c>
      <c r="F3038" s="3" t="e">
        <f t="shared" si="97"/>
        <v>#N/A</v>
      </c>
    </row>
    <row r="3039" spans="2:6" x14ac:dyDescent="0.25">
      <c r="B3039" s="3"/>
      <c r="C3039" s="3"/>
      <c r="D3039" s="3"/>
      <c r="E3039" s="3" t="e">
        <f t="shared" si="96"/>
        <v>#N/A</v>
      </c>
      <c r="F3039" s="3" t="e">
        <f t="shared" si="97"/>
        <v>#N/A</v>
      </c>
    </row>
    <row r="3040" spans="2:6" x14ac:dyDescent="0.25">
      <c r="B3040" s="3"/>
      <c r="C3040" s="3"/>
      <c r="D3040" s="3"/>
      <c r="E3040" s="3" t="e">
        <f t="shared" si="96"/>
        <v>#N/A</v>
      </c>
      <c r="F3040" s="3" t="e">
        <f t="shared" si="97"/>
        <v>#N/A</v>
      </c>
    </row>
    <row r="3041" spans="2:6" x14ac:dyDescent="0.25">
      <c r="B3041" s="3"/>
      <c r="C3041" s="3"/>
      <c r="D3041" s="3"/>
      <c r="E3041" s="3" t="e">
        <f t="shared" si="96"/>
        <v>#N/A</v>
      </c>
      <c r="F3041" s="3" t="e">
        <f t="shared" si="97"/>
        <v>#N/A</v>
      </c>
    </row>
    <row r="3042" spans="2:6" x14ac:dyDescent="0.25">
      <c r="B3042" s="3"/>
      <c r="C3042" s="3"/>
      <c r="D3042" s="3"/>
      <c r="E3042" s="3" t="e">
        <f t="shared" si="96"/>
        <v>#N/A</v>
      </c>
      <c r="F3042" s="3" t="e">
        <f t="shared" si="97"/>
        <v>#N/A</v>
      </c>
    </row>
    <row r="3043" spans="2:6" x14ac:dyDescent="0.25">
      <c r="B3043" s="3"/>
      <c r="C3043" s="3"/>
      <c r="D3043" s="3"/>
      <c r="E3043" s="3" t="e">
        <f t="shared" si="96"/>
        <v>#N/A</v>
      </c>
      <c r="F3043" s="3" t="e">
        <f t="shared" si="97"/>
        <v>#N/A</v>
      </c>
    </row>
    <row r="3044" spans="2:6" x14ac:dyDescent="0.25">
      <c r="B3044" s="3"/>
      <c r="C3044" s="3"/>
      <c r="D3044" s="3"/>
      <c r="E3044" s="3" t="e">
        <f t="shared" si="96"/>
        <v>#N/A</v>
      </c>
      <c r="F3044" s="3" t="e">
        <f t="shared" si="97"/>
        <v>#N/A</v>
      </c>
    </row>
    <row r="3045" spans="2:6" x14ac:dyDescent="0.25">
      <c r="B3045" s="3"/>
      <c r="C3045" s="3"/>
      <c r="D3045" s="3"/>
      <c r="E3045" s="3" t="e">
        <f t="shared" si="96"/>
        <v>#N/A</v>
      </c>
      <c r="F3045" s="3" t="e">
        <f t="shared" si="97"/>
        <v>#N/A</v>
      </c>
    </row>
    <row r="3046" spans="2:6" x14ac:dyDescent="0.25">
      <c r="B3046" s="3"/>
      <c r="C3046" s="3"/>
      <c r="D3046" s="3"/>
      <c r="E3046" s="3" t="e">
        <f t="shared" si="96"/>
        <v>#N/A</v>
      </c>
      <c r="F3046" s="3" t="e">
        <f t="shared" si="97"/>
        <v>#N/A</v>
      </c>
    </row>
    <row r="3047" spans="2:6" x14ac:dyDescent="0.25">
      <c r="B3047" s="3"/>
      <c r="C3047" s="3"/>
      <c r="D3047" s="3"/>
      <c r="E3047" s="3" t="e">
        <f t="shared" si="96"/>
        <v>#N/A</v>
      </c>
      <c r="F3047" s="3" t="e">
        <f t="shared" si="97"/>
        <v>#N/A</v>
      </c>
    </row>
    <row r="3048" spans="2:6" x14ac:dyDescent="0.25">
      <c r="B3048" s="3"/>
      <c r="C3048" s="3"/>
      <c r="D3048" s="3"/>
      <c r="E3048" s="3" t="e">
        <f t="shared" si="96"/>
        <v>#N/A</v>
      </c>
      <c r="F3048" s="3" t="e">
        <f t="shared" si="97"/>
        <v>#N/A</v>
      </c>
    </row>
    <row r="3049" spans="2:6" x14ac:dyDescent="0.25">
      <c r="B3049" s="3"/>
      <c r="C3049" s="3"/>
      <c r="D3049" s="3"/>
      <c r="E3049" s="3" t="e">
        <f t="shared" si="96"/>
        <v>#N/A</v>
      </c>
      <c r="F3049" s="3" t="e">
        <f t="shared" si="97"/>
        <v>#N/A</v>
      </c>
    </row>
    <row r="3050" spans="2:6" x14ac:dyDescent="0.25">
      <c r="B3050" s="3"/>
      <c r="C3050" s="3"/>
      <c r="D3050" s="3"/>
      <c r="E3050" s="3" t="e">
        <f t="shared" si="96"/>
        <v>#N/A</v>
      </c>
      <c r="F3050" s="3" t="e">
        <f t="shared" si="97"/>
        <v>#N/A</v>
      </c>
    </row>
    <row r="3051" spans="2:6" x14ac:dyDescent="0.25">
      <c r="B3051" s="3"/>
      <c r="C3051" s="3"/>
      <c r="D3051" s="3"/>
      <c r="E3051" s="3" t="e">
        <f t="shared" si="96"/>
        <v>#N/A</v>
      </c>
      <c r="F3051" s="3" t="e">
        <f t="shared" si="97"/>
        <v>#N/A</v>
      </c>
    </row>
    <row r="3052" spans="2:6" x14ac:dyDescent="0.25">
      <c r="B3052" s="3"/>
      <c r="C3052" s="3"/>
      <c r="D3052" s="3"/>
      <c r="E3052" s="3" t="e">
        <f t="shared" si="96"/>
        <v>#N/A</v>
      </c>
      <c r="F3052" s="3" t="e">
        <f t="shared" si="97"/>
        <v>#N/A</v>
      </c>
    </row>
    <row r="3053" spans="2:6" x14ac:dyDescent="0.25">
      <c r="B3053" s="3"/>
      <c r="C3053" s="3"/>
      <c r="D3053" s="3"/>
      <c r="E3053" s="3" t="e">
        <f t="shared" si="96"/>
        <v>#N/A</v>
      </c>
      <c r="F3053" s="3" t="e">
        <f t="shared" si="97"/>
        <v>#N/A</v>
      </c>
    </row>
    <row r="3054" spans="2:6" x14ac:dyDescent="0.25">
      <c r="B3054" s="3"/>
      <c r="C3054" s="3"/>
      <c r="D3054" s="3"/>
      <c r="E3054" s="3" t="e">
        <f t="shared" si="96"/>
        <v>#N/A</v>
      </c>
      <c r="F3054" s="3" t="e">
        <f t="shared" si="97"/>
        <v>#N/A</v>
      </c>
    </row>
    <row r="3055" spans="2:6" x14ac:dyDescent="0.25">
      <c r="B3055" s="3"/>
      <c r="C3055" s="3"/>
      <c r="D3055" s="3"/>
      <c r="E3055" s="3" t="e">
        <f t="shared" si="96"/>
        <v>#N/A</v>
      </c>
      <c r="F3055" s="3" t="e">
        <f t="shared" si="97"/>
        <v>#N/A</v>
      </c>
    </row>
    <row r="3056" spans="2:6" x14ac:dyDescent="0.25">
      <c r="B3056" s="3"/>
      <c r="C3056" s="3"/>
      <c r="D3056" s="3"/>
      <c r="E3056" s="3" t="e">
        <f t="shared" si="96"/>
        <v>#N/A</v>
      </c>
      <c r="F3056" s="3" t="e">
        <f t="shared" si="97"/>
        <v>#N/A</v>
      </c>
    </row>
    <row r="3057" spans="2:6" x14ac:dyDescent="0.25">
      <c r="B3057" s="3"/>
      <c r="C3057" s="3"/>
      <c r="D3057" s="3"/>
      <c r="E3057" s="3" t="e">
        <f t="shared" si="96"/>
        <v>#N/A</v>
      </c>
      <c r="F3057" s="3" t="e">
        <f t="shared" si="97"/>
        <v>#N/A</v>
      </c>
    </row>
    <row r="3058" spans="2:6" x14ac:dyDescent="0.25">
      <c r="B3058" s="3"/>
      <c r="C3058" s="3"/>
      <c r="D3058" s="3"/>
      <c r="E3058" s="3" t="e">
        <f t="shared" si="96"/>
        <v>#N/A</v>
      </c>
      <c r="F3058" s="3" t="e">
        <f t="shared" si="97"/>
        <v>#N/A</v>
      </c>
    </row>
    <row r="3059" spans="2:6" x14ac:dyDescent="0.25">
      <c r="B3059" s="3"/>
      <c r="C3059" s="3"/>
      <c r="D3059" s="3"/>
      <c r="E3059" s="3" t="e">
        <f t="shared" si="96"/>
        <v>#N/A</v>
      </c>
      <c r="F3059" s="3" t="e">
        <f t="shared" si="97"/>
        <v>#N/A</v>
      </c>
    </row>
    <row r="3060" spans="2:6" x14ac:dyDescent="0.25">
      <c r="B3060" s="3"/>
      <c r="C3060" s="3"/>
      <c r="D3060" s="3"/>
      <c r="E3060" s="3" t="e">
        <f t="shared" si="96"/>
        <v>#N/A</v>
      </c>
      <c r="F3060" s="3" t="e">
        <f t="shared" si="97"/>
        <v>#N/A</v>
      </c>
    </row>
    <row r="3061" spans="2:6" x14ac:dyDescent="0.25">
      <c r="B3061" s="3"/>
      <c r="C3061" s="3"/>
      <c r="D3061" s="3"/>
      <c r="E3061" s="3" t="e">
        <f t="shared" si="96"/>
        <v>#N/A</v>
      </c>
      <c r="F3061" s="3" t="e">
        <f t="shared" si="97"/>
        <v>#N/A</v>
      </c>
    </row>
    <row r="3062" spans="2:6" x14ac:dyDescent="0.25">
      <c r="B3062" s="3"/>
      <c r="C3062" s="3"/>
      <c r="D3062" s="3"/>
      <c r="E3062" s="3" t="e">
        <f t="shared" si="96"/>
        <v>#N/A</v>
      </c>
      <c r="F3062" s="3" t="e">
        <f t="shared" si="97"/>
        <v>#N/A</v>
      </c>
    </row>
    <row r="3063" spans="2:6" x14ac:dyDescent="0.25">
      <c r="B3063" s="3"/>
      <c r="C3063" s="3"/>
      <c r="D3063" s="3"/>
      <c r="E3063" s="3" t="e">
        <f t="shared" si="96"/>
        <v>#N/A</v>
      </c>
      <c r="F3063" s="3" t="e">
        <f t="shared" si="97"/>
        <v>#N/A</v>
      </c>
    </row>
    <row r="3064" spans="2:6" x14ac:dyDescent="0.25">
      <c r="B3064" s="3"/>
      <c r="C3064" s="3"/>
      <c r="D3064" s="3"/>
      <c r="E3064" s="3" t="e">
        <f t="shared" si="96"/>
        <v>#N/A</v>
      </c>
      <c r="F3064" s="3" t="e">
        <f t="shared" si="97"/>
        <v>#N/A</v>
      </c>
    </row>
    <row r="3065" spans="2:6" x14ac:dyDescent="0.25">
      <c r="B3065" s="3"/>
      <c r="C3065" s="3"/>
      <c r="D3065" s="3"/>
      <c r="E3065" s="3" t="e">
        <f t="shared" si="96"/>
        <v>#N/A</v>
      </c>
      <c r="F3065" s="3" t="e">
        <f t="shared" si="97"/>
        <v>#N/A</v>
      </c>
    </row>
    <row r="3066" spans="2:6" x14ac:dyDescent="0.25">
      <c r="B3066" s="3"/>
      <c r="C3066" s="3"/>
      <c r="D3066" s="3"/>
      <c r="E3066" s="3" t="e">
        <f t="shared" si="96"/>
        <v>#N/A</v>
      </c>
      <c r="F3066" s="3" t="e">
        <f t="shared" si="97"/>
        <v>#N/A</v>
      </c>
    </row>
    <row r="3067" spans="2:6" x14ac:dyDescent="0.25">
      <c r="B3067" s="3"/>
      <c r="C3067" s="3"/>
      <c r="D3067" s="3"/>
      <c r="E3067" s="3" t="e">
        <f t="shared" si="96"/>
        <v>#N/A</v>
      </c>
      <c r="F3067" s="3" t="e">
        <f t="shared" si="97"/>
        <v>#N/A</v>
      </c>
    </row>
    <row r="3068" spans="2:6" x14ac:dyDescent="0.25">
      <c r="B3068" s="3"/>
      <c r="C3068" s="3"/>
      <c r="D3068" s="3"/>
      <c r="E3068" s="3" t="e">
        <f t="shared" si="96"/>
        <v>#N/A</v>
      </c>
      <c r="F3068" s="3" t="e">
        <f t="shared" si="97"/>
        <v>#N/A</v>
      </c>
    </row>
    <row r="3069" spans="2:6" x14ac:dyDescent="0.25">
      <c r="B3069" s="3"/>
      <c r="C3069" s="3"/>
      <c r="D3069" s="3"/>
      <c r="E3069" s="3" t="e">
        <f t="shared" si="96"/>
        <v>#N/A</v>
      </c>
      <c r="F3069" s="3" t="e">
        <f t="shared" si="97"/>
        <v>#N/A</v>
      </c>
    </row>
    <row r="3070" spans="2:6" x14ac:dyDescent="0.25">
      <c r="B3070" s="3"/>
      <c r="C3070" s="3"/>
      <c r="D3070" s="3"/>
      <c r="E3070" s="3" t="e">
        <f t="shared" si="96"/>
        <v>#N/A</v>
      </c>
      <c r="F3070" s="3" t="e">
        <f t="shared" si="97"/>
        <v>#N/A</v>
      </c>
    </row>
    <row r="3071" spans="2:6" x14ac:dyDescent="0.25">
      <c r="B3071" s="3"/>
      <c r="C3071" s="3"/>
      <c r="D3071" s="3"/>
      <c r="E3071" s="3" t="e">
        <f t="shared" si="96"/>
        <v>#N/A</v>
      </c>
      <c r="F3071" s="3" t="e">
        <f t="shared" si="97"/>
        <v>#N/A</v>
      </c>
    </row>
    <row r="3072" spans="2:6" x14ac:dyDescent="0.25">
      <c r="B3072" s="3"/>
      <c r="C3072" s="3"/>
      <c r="D3072" s="3"/>
      <c r="E3072" s="3" t="e">
        <f t="shared" si="96"/>
        <v>#N/A</v>
      </c>
      <c r="F3072" s="3" t="e">
        <f t="shared" si="97"/>
        <v>#N/A</v>
      </c>
    </row>
    <row r="3073" spans="2:6" x14ac:dyDescent="0.25">
      <c r="B3073" s="3"/>
      <c r="C3073" s="3"/>
      <c r="D3073" s="3"/>
      <c r="E3073" s="3" t="e">
        <f t="shared" si="96"/>
        <v>#N/A</v>
      </c>
      <c r="F3073" s="3" t="e">
        <f t="shared" si="97"/>
        <v>#N/A</v>
      </c>
    </row>
    <row r="3074" spans="2:6" x14ac:dyDescent="0.25">
      <c r="B3074" s="3"/>
      <c r="C3074" s="3"/>
      <c r="D3074" s="3"/>
      <c r="E3074" s="3" t="e">
        <f t="shared" si="96"/>
        <v>#N/A</v>
      </c>
      <c r="F3074" s="3" t="e">
        <f t="shared" si="97"/>
        <v>#N/A</v>
      </c>
    </row>
    <row r="3075" spans="2:6" x14ac:dyDescent="0.25">
      <c r="B3075" s="3"/>
      <c r="C3075" s="3"/>
      <c r="D3075" s="3"/>
      <c r="E3075" s="3" t="e">
        <f t="shared" si="96"/>
        <v>#N/A</v>
      </c>
      <c r="F3075" s="3" t="e">
        <f t="shared" si="97"/>
        <v>#N/A</v>
      </c>
    </row>
    <row r="3076" spans="2:6" x14ac:dyDescent="0.25">
      <c r="B3076" s="3"/>
      <c r="C3076" s="3"/>
      <c r="D3076" s="3"/>
      <c r="E3076" s="3" t="e">
        <f t="shared" ref="E3076:E3139" si="98">VLOOKUP(C3076,I:J,2,0)</f>
        <v>#N/A</v>
      </c>
      <c r="F3076" s="3" t="e">
        <f t="shared" ref="F3076:F3139" si="99">E3076&amp;" "&amp;B3076</f>
        <v>#N/A</v>
      </c>
    </row>
    <row r="3077" spans="2:6" x14ac:dyDescent="0.25">
      <c r="B3077" s="3"/>
      <c r="C3077" s="3"/>
      <c r="D3077" s="3"/>
      <c r="E3077" s="3" t="e">
        <f t="shared" si="98"/>
        <v>#N/A</v>
      </c>
      <c r="F3077" s="3" t="e">
        <f t="shared" si="99"/>
        <v>#N/A</v>
      </c>
    </row>
    <row r="3078" spans="2:6" x14ac:dyDescent="0.25">
      <c r="B3078" s="3"/>
      <c r="C3078" s="3"/>
      <c r="D3078" s="3"/>
      <c r="E3078" s="3" t="e">
        <f t="shared" si="98"/>
        <v>#N/A</v>
      </c>
      <c r="F3078" s="3" t="e">
        <f t="shared" si="99"/>
        <v>#N/A</v>
      </c>
    </row>
    <row r="3079" spans="2:6" x14ac:dyDescent="0.25">
      <c r="B3079" s="3"/>
      <c r="C3079" s="3"/>
      <c r="D3079" s="3"/>
      <c r="E3079" s="3" t="e">
        <f t="shared" si="98"/>
        <v>#N/A</v>
      </c>
      <c r="F3079" s="3" t="e">
        <f t="shared" si="99"/>
        <v>#N/A</v>
      </c>
    </row>
    <row r="3080" spans="2:6" x14ac:dyDescent="0.25">
      <c r="B3080" s="3"/>
      <c r="C3080" s="3"/>
      <c r="D3080" s="3"/>
      <c r="E3080" s="3" t="e">
        <f t="shared" si="98"/>
        <v>#N/A</v>
      </c>
      <c r="F3080" s="3" t="e">
        <f t="shared" si="99"/>
        <v>#N/A</v>
      </c>
    </row>
    <row r="3081" spans="2:6" x14ac:dyDescent="0.25">
      <c r="B3081" s="3"/>
      <c r="C3081" s="3"/>
      <c r="D3081" s="3"/>
      <c r="E3081" s="3" t="e">
        <f t="shared" si="98"/>
        <v>#N/A</v>
      </c>
      <c r="F3081" s="3" t="e">
        <f t="shared" si="99"/>
        <v>#N/A</v>
      </c>
    </row>
    <row r="3082" spans="2:6" x14ac:dyDescent="0.25">
      <c r="B3082" s="3"/>
      <c r="C3082" s="3"/>
      <c r="D3082" s="3"/>
      <c r="E3082" s="3" t="e">
        <f t="shared" si="98"/>
        <v>#N/A</v>
      </c>
      <c r="F3082" s="3" t="e">
        <f t="shared" si="99"/>
        <v>#N/A</v>
      </c>
    </row>
    <row r="3083" spans="2:6" x14ac:dyDescent="0.25">
      <c r="B3083" s="3"/>
      <c r="C3083" s="3"/>
      <c r="D3083" s="3"/>
      <c r="E3083" s="3" t="e">
        <f t="shared" si="98"/>
        <v>#N/A</v>
      </c>
      <c r="F3083" s="3" t="e">
        <f t="shared" si="99"/>
        <v>#N/A</v>
      </c>
    </row>
    <row r="3084" spans="2:6" x14ac:dyDescent="0.25">
      <c r="B3084" s="3"/>
      <c r="C3084" s="3"/>
      <c r="D3084" s="3"/>
      <c r="E3084" s="3" t="e">
        <f t="shared" si="98"/>
        <v>#N/A</v>
      </c>
      <c r="F3084" s="3" t="e">
        <f t="shared" si="99"/>
        <v>#N/A</v>
      </c>
    </row>
    <row r="3085" spans="2:6" x14ac:dyDescent="0.25">
      <c r="B3085" s="3"/>
      <c r="C3085" s="3"/>
      <c r="D3085" s="3"/>
      <c r="E3085" s="3" t="e">
        <f t="shared" si="98"/>
        <v>#N/A</v>
      </c>
      <c r="F3085" s="3" t="e">
        <f t="shared" si="99"/>
        <v>#N/A</v>
      </c>
    </row>
    <row r="3086" spans="2:6" x14ac:dyDescent="0.25">
      <c r="B3086" s="3"/>
      <c r="C3086" s="3"/>
      <c r="D3086" s="3"/>
      <c r="E3086" s="3" t="e">
        <f t="shared" si="98"/>
        <v>#N/A</v>
      </c>
      <c r="F3086" s="3" t="e">
        <f t="shared" si="99"/>
        <v>#N/A</v>
      </c>
    </row>
    <row r="3087" spans="2:6" x14ac:dyDescent="0.25">
      <c r="B3087" s="3"/>
      <c r="C3087" s="3"/>
      <c r="D3087" s="3"/>
      <c r="E3087" s="3" t="e">
        <f t="shared" si="98"/>
        <v>#N/A</v>
      </c>
      <c r="F3087" s="3" t="e">
        <f t="shared" si="99"/>
        <v>#N/A</v>
      </c>
    </row>
    <row r="3088" spans="2:6" x14ac:dyDescent="0.25">
      <c r="B3088" s="3"/>
      <c r="C3088" s="3"/>
      <c r="D3088" s="3"/>
      <c r="E3088" s="3" t="e">
        <f t="shared" si="98"/>
        <v>#N/A</v>
      </c>
      <c r="F3088" s="3" t="e">
        <f t="shared" si="99"/>
        <v>#N/A</v>
      </c>
    </row>
    <row r="3089" spans="2:6" x14ac:dyDescent="0.25">
      <c r="B3089" s="3"/>
      <c r="C3089" s="3"/>
      <c r="D3089" s="3"/>
      <c r="E3089" s="3" t="e">
        <f t="shared" si="98"/>
        <v>#N/A</v>
      </c>
      <c r="F3089" s="3" t="e">
        <f t="shared" si="99"/>
        <v>#N/A</v>
      </c>
    </row>
    <row r="3090" spans="2:6" x14ac:dyDescent="0.25">
      <c r="B3090" s="3"/>
      <c r="C3090" s="3"/>
      <c r="D3090" s="3"/>
      <c r="E3090" s="3" t="e">
        <f t="shared" si="98"/>
        <v>#N/A</v>
      </c>
      <c r="F3090" s="3" t="e">
        <f t="shared" si="99"/>
        <v>#N/A</v>
      </c>
    </row>
    <row r="3091" spans="2:6" x14ac:dyDescent="0.25">
      <c r="B3091" s="3"/>
      <c r="C3091" s="3"/>
      <c r="D3091" s="3"/>
      <c r="E3091" s="3" t="e">
        <f t="shared" si="98"/>
        <v>#N/A</v>
      </c>
      <c r="F3091" s="3" t="e">
        <f t="shared" si="99"/>
        <v>#N/A</v>
      </c>
    </row>
    <row r="3092" spans="2:6" x14ac:dyDescent="0.25">
      <c r="B3092" s="3"/>
      <c r="C3092" s="3"/>
      <c r="D3092" s="3"/>
      <c r="E3092" s="3" t="e">
        <f t="shared" si="98"/>
        <v>#N/A</v>
      </c>
      <c r="F3092" s="3" t="e">
        <f t="shared" si="99"/>
        <v>#N/A</v>
      </c>
    </row>
    <row r="3093" spans="2:6" x14ac:dyDescent="0.25">
      <c r="B3093" s="3"/>
      <c r="C3093" s="3"/>
      <c r="D3093" s="3"/>
      <c r="E3093" s="3" t="e">
        <f t="shared" si="98"/>
        <v>#N/A</v>
      </c>
      <c r="F3093" s="3" t="e">
        <f t="shared" si="99"/>
        <v>#N/A</v>
      </c>
    </row>
    <row r="3094" spans="2:6" x14ac:dyDescent="0.25">
      <c r="B3094" s="3"/>
      <c r="C3094" s="3"/>
      <c r="D3094" s="3"/>
      <c r="E3094" s="3" t="e">
        <f t="shared" si="98"/>
        <v>#N/A</v>
      </c>
      <c r="F3094" s="3" t="e">
        <f t="shared" si="99"/>
        <v>#N/A</v>
      </c>
    </row>
    <row r="3095" spans="2:6" x14ac:dyDescent="0.25">
      <c r="B3095" s="3"/>
      <c r="C3095" s="3"/>
      <c r="D3095" s="3"/>
      <c r="E3095" s="3" t="e">
        <f t="shared" si="98"/>
        <v>#N/A</v>
      </c>
      <c r="F3095" s="3" t="e">
        <f t="shared" si="99"/>
        <v>#N/A</v>
      </c>
    </row>
    <row r="3096" spans="2:6" x14ac:dyDescent="0.25">
      <c r="B3096" s="3"/>
      <c r="C3096" s="3"/>
      <c r="D3096" s="3"/>
      <c r="E3096" s="3" t="e">
        <f t="shared" si="98"/>
        <v>#N/A</v>
      </c>
      <c r="F3096" s="3" t="e">
        <f t="shared" si="99"/>
        <v>#N/A</v>
      </c>
    </row>
    <row r="3097" spans="2:6" x14ac:dyDescent="0.25">
      <c r="B3097" s="3"/>
      <c r="C3097" s="3"/>
      <c r="D3097" s="3"/>
      <c r="E3097" s="3" t="e">
        <f t="shared" si="98"/>
        <v>#N/A</v>
      </c>
      <c r="F3097" s="3" t="e">
        <f t="shared" si="99"/>
        <v>#N/A</v>
      </c>
    </row>
    <row r="3098" spans="2:6" x14ac:dyDescent="0.25">
      <c r="B3098" s="3"/>
      <c r="C3098" s="3"/>
      <c r="D3098" s="3"/>
      <c r="E3098" s="3" t="e">
        <f t="shared" si="98"/>
        <v>#N/A</v>
      </c>
      <c r="F3098" s="3" t="e">
        <f t="shared" si="99"/>
        <v>#N/A</v>
      </c>
    </row>
    <row r="3099" spans="2:6" x14ac:dyDescent="0.25">
      <c r="B3099" s="3"/>
      <c r="C3099" s="3"/>
      <c r="D3099" s="3"/>
      <c r="E3099" s="3" t="e">
        <f t="shared" si="98"/>
        <v>#N/A</v>
      </c>
      <c r="F3099" s="3" t="e">
        <f t="shared" si="99"/>
        <v>#N/A</v>
      </c>
    </row>
    <row r="3100" spans="2:6" x14ac:dyDescent="0.25">
      <c r="B3100" s="3"/>
      <c r="C3100" s="3"/>
      <c r="D3100" s="3"/>
      <c r="E3100" s="3" t="e">
        <f t="shared" si="98"/>
        <v>#N/A</v>
      </c>
      <c r="F3100" s="3" t="e">
        <f t="shared" si="99"/>
        <v>#N/A</v>
      </c>
    </row>
    <row r="3101" spans="2:6" x14ac:dyDescent="0.25">
      <c r="B3101" s="3"/>
      <c r="C3101" s="3"/>
      <c r="D3101" s="3"/>
      <c r="E3101" s="3" t="e">
        <f t="shared" si="98"/>
        <v>#N/A</v>
      </c>
      <c r="F3101" s="3" t="e">
        <f t="shared" si="99"/>
        <v>#N/A</v>
      </c>
    </row>
    <row r="3102" spans="2:6" x14ac:dyDescent="0.25">
      <c r="B3102" s="3"/>
      <c r="C3102" s="3"/>
      <c r="D3102" s="3"/>
      <c r="E3102" s="3" t="e">
        <f t="shared" si="98"/>
        <v>#N/A</v>
      </c>
      <c r="F3102" s="3" t="e">
        <f t="shared" si="99"/>
        <v>#N/A</v>
      </c>
    </row>
    <row r="3103" spans="2:6" x14ac:dyDescent="0.25">
      <c r="B3103" s="3"/>
      <c r="C3103" s="3"/>
      <c r="D3103" s="3"/>
      <c r="E3103" s="3" t="e">
        <f t="shared" si="98"/>
        <v>#N/A</v>
      </c>
      <c r="F3103" s="3" t="e">
        <f t="shared" si="99"/>
        <v>#N/A</v>
      </c>
    </row>
    <row r="3104" spans="2:6" x14ac:dyDescent="0.25">
      <c r="B3104" s="3"/>
      <c r="C3104" s="3"/>
      <c r="D3104" s="3"/>
      <c r="E3104" s="3" t="e">
        <f t="shared" si="98"/>
        <v>#N/A</v>
      </c>
      <c r="F3104" s="3" t="e">
        <f t="shared" si="99"/>
        <v>#N/A</v>
      </c>
    </row>
    <row r="3105" spans="2:6" x14ac:dyDescent="0.25">
      <c r="B3105" s="3"/>
      <c r="C3105" s="3"/>
      <c r="D3105" s="3"/>
      <c r="E3105" s="3" t="e">
        <f t="shared" si="98"/>
        <v>#N/A</v>
      </c>
      <c r="F3105" s="3" t="e">
        <f t="shared" si="99"/>
        <v>#N/A</v>
      </c>
    </row>
    <row r="3106" spans="2:6" x14ac:dyDescent="0.25">
      <c r="B3106" s="3"/>
      <c r="C3106" s="3"/>
      <c r="D3106" s="3"/>
      <c r="E3106" s="3" t="e">
        <f t="shared" si="98"/>
        <v>#N/A</v>
      </c>
      <c r="F3106" s="3" t="e">
        <f t="shared" si="99"/>
        <v>#N/A</v>
      </c>
    </row>
    <row r="3107" spans="2:6" x14ac:dyDescent="0.25">
      <c r="B3107" s="3"/>
      <c r="C3107" s="3"/>
      <c r="D3107" s="3"/>
      <c r="E3107" s="3" t="e">
        <f t="shared" si="98"/>
        <v>#N/A</v>
      </c>
      <c r="F3107" s="3" t="e">
        <f t="shared" si="99"/>
        <v>#N/A</v>
      </c>
    </row>
    <row r="3108" spans="2:6" x14ac:dyDescent="0.25">
      <c r="B3108" s="3"/>
      <c r="C3108" s="3"/>
      <c r="D3108" s="3"/>
      <c r="E3108" s="3" t="e">
        <f t="shared" si="98"/>
        <v>#N/A</v>
      </c>
      <c r="F3108" s="3" t="e">
        <f t="shared" si="99"/>
        <v>#N/A</v>
      </c>
    </row>
    <row r="3109" spans="2:6" x14ac:dyDescent="0.25">
      <c r="B3109" s="3"/>
      <c r="C3109" s="3"/>
      <c r="D3109" s="3"/>
      <c r="E3109" s="3" t="e">
        <f t="shared" si="98"/>
        <v>#N/A</v>
      </c>
      <c r="F3109" s="3" t="e">
        <f t="shared" si="99"/>
        <v>#N/A</v>
      </c>
    </row>
    <row r="3110" spans="2:6" x14ac:dyDescent="0.25">
      <c r="B3110" s="3"/>
      <c r="C3110" s="3"/>
      <c r="D3110" s="3"/>
      <c r="E3110" s="3" t="e">
        <f t="shared" si="98"/>
        <v>#N/A</v>
      </c>
      <c r="F3110" s="3" t="e">
        <f t="shared" si="99"/>
        <v>#N/A</v>
      </c>
    </row>
    <row r="3111" spans="2:6" x14ac:dyDescent="0.25">
      <c r="B3111" s="3"/>
      <c r="C3111" s="3"/>
      <c r="D3111" s="3"/>
      <c r="E3111" s="3" t="e">
        <f t="shared" si="98"/>
        <v>#N/A</v>
      </c>
      <c r="F3111" s="3" t="e">
        <f t="shared" si="99"/>
        <v>#N/A</v>
      </c>
    </row>
    <row r="3112" spans="2:6" x14ac:dyDescent="0.25">
      <c r="B3112" s="3"/>
      <c r="C3112" s="3"/>
      <c r="D3112" s="3"/>
      <c r="E3112" s="3" t="e">
        <f t="shared" si="98"/>
        <v>#N/A</v>
      </c>
      <c r="F3112" s="3" t="e">
        <f t="shared" si="99"/>
        <v>#N/A</v>
      </c>
    </row>
    <row r="3113" spans="2:6" x14ac:dyDescent="0.25">
      <c r="B3113" s="3"/>
      <c r="C3113" s="3"/>
      <c r="D3113" s="3"/>
      <c r="E3113" s="3" t="e">
        <f t="shared" si="98"/>
        <v>#N/A</v>
      </c>
      <c r="F3113" s="3" t="e">
        <f t="shared" si="99"/>
        <v>#N/A</v>
      </c>
    </row>
    <row r="3114" spans="2:6" x14ac:dyDescent="0.25">
      <c r="B3114" s="3"/>
      <c r="C3114" s="3"/>
      <c r="D3114" s="3"/>
      <c r="E3114" s="3" t="e">
        <f t="shared" si="98"/>
        <v>#N/A</v>
      </c>
      <c r="F3114" s="3" t="e">
        <f t="shared" si="99"/>
        <v>#N/A</v>
      </c>
    </row>
    <row r="3115" spans="2:6" x14ac:dyDescent="0.25">
      <c r="B3115" s="3"/>
      <c r="C3115" s="3"/>
      <c r="D3115" s="3"/>
      <c r="E3115" s="3" t="e">
        <f t="shared" si="98"/>
        <v>#N/A</v>
      </c>
      <c r="F3115" s="3" t="e">
        <f t="shared" si="99"/>
        <v>#N/A</v>
      </c>
    </row>
    <row r="3116" spans="2:6" x14ac:dyDescent="0.25">
      <c r="B3116" s="3"/>
      <c r="C3116" s="3"/>
      <c r="D3116" s="3"/>
      <c r="E3116" s="3" t="e">
        <f t="shared" si="98"/>
        <v>#N/A</v>
      </c>
      <c r="F3116" s="3" t="e">
        <f t="shared" si="99"/>
        <v>#N/A</v>
      </c>
    </row>
    <row r="3117" spans="2:6" x14ac:dyDescent="0.25">
      <c r="B3117" s="3"/>
      <c r="C3117" s="3"/>
      <c r="D3117" s="3"/>
      <c r="E3117" s="3" t="e">
        <f t="shared" si="98"/>
        <v>#N/A</v>
      </c>
      <c r="F3117" s="3" t="e">
        <f t="shared" si="99"/>
        <v>#N/A</v>
      </c>
    </row>
    <row r="3118" spans="2:6" x14ac:dyDescent="0.25">
      <c r="B3118" s="3"/>
      <c r="C3118" s="3"/>
      <c r="D3118" s="3"/>
      <c r="E3118" s="3" t="e">
        <f t="shared" si="98"/>
        <v>#N/A</v>
      </c>
      <c r="F3118" s="3" t="e">
        <f t="shared" si="99"/>
        <v>#N/A</v>
      </c>
    </row>
    <row r="3119" spans="2:6" x14ac:dyDescent="0.25">
      <c r="B3119" s="3"/>
      <c r="C3119" s="3"/>
      <c r="D3119" s="3"/>
      <c r="E3119" s="3" t="e">
        <f t="shared" si="98"/>
        <v>#N/A</v>
      </c>
      <c r="F3119" s="3" t="e">
        <f t="shared" si="99"/>
        <v>#N/A</v>
      </c>
    </row>
    <row r="3120" spans="2:6" x14ac:dyDescent="0.25">
      <c r="B3120" s="3"/>
      <c r="C3120" s="3"/>
      <c r="D3120" s="3"/>
      <c r="E3120" s="3" t="e">
        <f t="shared" si="98"/>
        <v>#N/A</v>
      </c>
      <c r="F3120" s="3" t="e">
        <f t="shared" si="99"/>
        <v>#N/A</v>
      </c>
    </row>
    <row r="3121" spans="2:6" x14ac:dyDescent="0.25">
      <c r="B3121" s="3"/>
      <c r="C3121" s="3"/>
      <c r="D3121" s="3"/>
      <c r="E3121" s="3" t="e">
        <f t="shared" si="98"/>
        <v>#N/A</v>
      </c>
      <c r="F3121" s="3" t="e">
        <f t="shared" si="99"/>
        <v>#N/A</v>
      </c>
    </row>
    <row r="3122" spans="2:6" x14ac:dyDescent="0.25">
      <c r="B3122" s="3"/>
      <c r="C3122" s="3"/>
      <c r="D3122" s="3"/>
      <c r="E3122" s="3" t="e">
        <f t="shared" si="98"/>
        <v>#N/A</v>
      </c>
      <c r="F3122" s="3" t="e">
        <f t="shared" si="99"/>
        <v>#N/A</v>
      </c>
    </row>
    <row r="3123" spans="2:6" x14ac:dyDescent="0.25">
      <c r="B3123" s="3"/>
      <c r="C3123" s="3"/>
      <c r="D3123" s="3"/>
      <c r="E3123" s="3" t="e">
        <f t="shared" si="98"/>
        <v>#N/A</v>
      </c>
      <c r="F3123" s="3" t="e">
        <f t="shared" si="99"/>
        <v>#N/A</v>
      </c>
    </row>
    <row r="3124" spans="2:6" x14ac:dyDescent="0.25">
      <c r="B3124" s="3"/>
      <c r="C3124" s="3"/>
      <c r="D3124" s="3"/>
      <c r="E3124" s="3" t="e">
        <f t="shared" si="98"/>
        <v>#N/A</v>
      </c>
      <c r="F3124" s="3" t="e">
        <f t="shared" si="99"/>
        <v>#N/A</v>
      </c>
    </row>
    <row r="3125" spans="2:6" x14ac:dyDescent="0.25">
      <c r="B3125" s="3"/>
      <c r="C3125" s="3"/>
      <c r="D3125" s="3"/>
      <c r="E3125" s="3" t="e">
        <f t="shared" si="98"/>
        <v>#N/A</v>
      </c>
      <c r="F3125" s="3" t="e">
        <f t="shared" si="99"/>
        <v>#N/A</v>
      </c>
    </row>
    <row r="3126" spans="2:6" x14ac:dyDescent="0.25">
      <c r="B3126" s="3"/>
      <c r="C3126" s="3"/>
      <c r="D3126" s="3"/>
      <c r="E3126" s="3" t="e">
        <f t="shared" si="98"/>
        <v>#N/A</v>
      </c>
      <c r="F3126" s="3" t="e">
        <f t="shared" si="99"/>
        <v>#N/A</v>
      </c>
    </row>
    <row r="3127" spans="2:6" x14ac:dyDescent="0.25">
      <c r="B3127" s="3"/>
      <c r="C3127" s="3"/>
      <c r="D3127" s="3"/>
      <c r="E3127" s="3" t="e">
        <f t="shared" si="98"/>
        <v>#N/A</v>
      </c>
      <c r="F3127" s="3" t="e">
        <f t="shared" si="99"/>
        <v>#N/A</v>
      </c>
    </row>
    <row r="3128" spans="2:6" x14ac:dyDescent="0.25">
      <c r="B3128" s="3"/>
      <c r="C3128" s="3"/>
      <c r="D3128" s="3"/>
      <c r="E3128" s="3" t="e">
        <f t="shared" si="98"/>
        <v>#N/A</v>
      </c>
      <c r="F3128" s="3" t="e">
        <f t="shared" si="99"/>
        <v>#N/A</v>
      </c>
    </row>
    <row r="3129" spans="2:6" x14ac:dyDescent="0.25">
      <c r="B3129" s="3"/>
      <c r="C3129" s="3"/>
      <c r="D3129" s="3"/>
      <c r="E3129" s="3" t="e">
        <f t="shared" si="98"/>
        <v>#N/A</v>
      </c>
      <c r="F3129" s="3" t="e">
        <f t="shared" si="99"/>
        <v>#N/A</v>
      </c>
    </row>
    <row r="3130" spans="2:6" x14ac:dyDescent="0.25">
      <c r="B3130" s="3"/>
      <c r="C3130" s="3"/>
      <c r="D3130" s="3"/>
      <c r="E3130" s="3" t="e">
        <f t="shared" si="98"/>
        <v>#N/A</v>
      </c>
      <c r="F3130" s="3" t="e">
        <f t="shared" si="99"/>
        <v>#N/A</v>
      </c>
    </row>
    <row r="3131" spans="2:6" x14ac:dyDescent="0.25">
      <c r="B3131" s="3"/>
      <c r="C3131" s="3"/>
      <c r="D3131" s="3"/>
      <c r="E3131" s="3" t="e">
        <f t="shared" si="98"/>
        <v>#N/A</v>
      </c>
      <c r="F3131" s="3" t="e">
        <f t="shared" si="99"/>
        <v>#N/A</v>
      </c>
    </row>
    <row r="3132" spans="2:6" x14ac:dyDescent="0.25">
      <c r="B3132" s="3"/>
      <c r="C3132" s="3"/>
      <c r="D3132" s="3"/>
      <c r="E3132" s="3" t="e">
        <f t="shared" si="98"/>
        <v>#N/A</v>
      </c>
      <c r="F3132" s="3" t="e">
        <f t="shared" si="99"/>
        <v>#N/A</v>
      </c>
    </row>
    <row r="3133" spans="2:6" x14ac:dyDescent="0.25">
      <c r="B3133" s="3"/>
      <c r="C3133" s="3"/>
      <c r="D3133" s="3"/>
      <c r="E3133" s="3" t="e">
        <f t="shared" si="98"/>
        <v>#N/A</v>
      </c>
      <c r="F3133" s="3" t="e">
        <f t="shared" si="99"/>
        <v>#N/A</v>
      </c>
    </row>
    <row r="3134" spans="2:6" x14ac:dyDescent="0.25">
      <c r="B3134" s="3"/>
      <c r="C3134" s="3"/>
      <c r="D3134" s="3"/>
      <c r="E3134" s="3" t="e">
        <f t="shared" si="98"/>
        <v>#N/A</v>
      </c>
      <c r="F3134" s="3" t="e">
        <f t="shared" si="99"/>
        <v>#N/A</v>
      </c>
    </row>
    <row r="3135" spans="2:6" x14ac:dyDescent="0.25">
      <c r="B3135" s="3"/>
      <c r="C3135" s="3"/>
      <c r="D3135" s="3"/>
      <c r="E3135" s="3" t="e">
        <f t="shared" si="98"/>
        <v>#N/A</v>
      </c>
      <c r="F3135" s="3" t="e">
        <f t="shared" si="99"/>
        <v>#N/A</v>
      </c>
    </row>
    <row r="3136" spans="2:6" x14ac:dyDescent="0.25">
      <c r="B3136" s="3"/>
      <c r="C3136" s="3"/>
      <c r="D3136" s="3"/>
      <c r="E3136" s="3" t="e">
        <f t="shared" si="98"/>
        <v>#N/A</v>
      </c>
      <c r="F3136" s="3" t="e">
        <f t="shared" si="99"/>
        <v>#N/A</v>
      </c>
    </row>
    <row r="3137" spans="2:6" x14ac:dyDescent="0.25">
      <c r="B3137" s="3"/>
      <c r="C3137" s="3"/>
      <c r="D3137" s="3"/>
      <c r="E3137" s="3" t="e">
        <f t="shared" si="98"/>
        <v>#N/A</v>
      </c>
      <c r="F3137" s="3" t="e">
        <f t="shared" si="99"/>
        <v>#N/A</v>
      </c>
    </row>
    <row r="3138" spans="2:6" x14ac:dyDescent="0.25">
      <c r="B3138" s="3"/>
      <c r="C3138" s="3"/>
      <c r="D3138" s="3"/>
      <c r="E3138" s="3" t="e">
        <f t="shared" si="98"/>
        <v>#N/A</v>
      </c>
      <c r="F3138" s="3" t="e">
        <f t="shared" si="99"/>
        <v>#N/A</v>
      </c>
    </row>
    <row r="3139" spans="2:6" x14ac:dyDescent="0.25">
      <c r="B3139" s="3"/>
      <c r="C3139" s="3"/>
      <c r="D3139" s="3"/>
      <c r="E3139" s="3" t="e">
        <f t="shared" si="98"/>
        <v>#N/A</v>
      </c>
      <c r="F3139" s="3" t="e">
        <f t="shared" si="99"/>
        <v>#N/A</v>
      </c>
    </row>
    <row r="3140" spans="2:6" x14ac:dyDescent="0.25">
      <c r="B3140" s="3"/>
      <c r="C3140" s="3"/>
      <c r="D3140" s="3"/>
      <c r="E3140" s="3" t="e">
        <f t="shared" ref="E3140:E3203" si="100">VLOOKUP(C3140,I:J,2,0)</f>
        <v>#N/A</v>
      </c>
      <c r="F3140" s="3" t="e">
        <f t="shared" ref="F3140:F3203" si="101">E3140&amp;" "&amp;B3140</f>
        <v>#N/A</v>
      </c>
    </row>
    <row r="3141" spans="2:6" x14ac:dyDescent="0.25">
      <c r="B3141" s="3"/>
      <c r="C3141" s="3"/>
      <c r="D3141" s="3"/>
      <c r="E3141" s="3" t="e">
        <f t="shared" si="100"/>
        <v>#N/A</v>
      </c>
      <c r="F3141" s="3" t="e">
        <f t="shared" si="101"/>
        <v>#N/A</v>
      </c>
    </row>
    <row r="3142" spans="2:6" x14ac:dyDescent="0.25">
      <c r="B3142" s="3"/>
      <c r="C3142" s="3"/>
      <c r="D3142" s="3"/>
      <c r="E3142" s="3" t="e">
        <f t="shared" si="100"/>
        <v>#N/A</v>
      </c>
      <c r="F3142" s="3" t="e">
        <f t="shared" si="101"/>
        <v>#N/A</v>
      </c>
    </row>
    <row r="3143" spans="2:6" x14ac:dyDescent="0.25">
      <c r="B3143" s="3"/>
      <c r="C3143" s="3"/>
      <c r="D3143" s="3"/>
      <c r="E3143" s="3" t="e">
        <f t="shared" si="100"/>
        <v>#N/A</v>
      </c>
      <c r="F3143" s="3" t="e">
        <f t="shared" si="101"/>
        <v>#N/A</v>
      </c>
    </row>
    <row r="3144" spans="2:6" x14ac:dyDescent="0.25">
      <c r="B3144" s="3"/>
      <c r="C3144" s="3"/>
      <c r="D3144" s="3"/>
      <c r="E3144" s="3" t="e">
        <f t="shared" si="100"/>
        <v>#N/A</v>
      </c>
      <c r="F3144" s="3" t="e">
        <f t="shared" si="101"/>
        <v>#N/A</v>
      </c>
    </row>
    <row r="3145" spans="2:6" x14ac:dyDescent="0.25">
      <c r="B3145" s="3"/>
      <c r="C3145" s="3"/>
      <c r="D3145" s="3"/>
      <c r="E3145" s="3" t="e">
        <f t="shared" si="100"/>
        <v>#N/A</v>
      </c>
      <c r="F3145" s="3" t="e">
        <f t="shared" si="101"/>
        <v>#N/A</v>
      </c>
    </row>
    <row r="3146" spans="2:6" x14ac:dyDescent="0.25">
      <c r="B3146" s="3"/>
      <c r="C3146" s="3"/>
      <c r="D3146" s="3"/>
      <c r="E3146" s="3" t="e">
        <f t="shared" si="100"/>
        <v>#N/A</v>
      </c>
      <c r="F3146" s="3" t="e">
        <f t="shared" si="101"/>
        <v>#N/A</v>
      </c>
    </row>
    <row r="3147" spans="2:6" x14ac:dyDescent="0.25">
      <c r="B3147" s="3"/>
      <c r="C3147" s="3"/>
      <c r="D3147" s="3"/>
      <c r="E3147" s="3" t="e">
        <f t="shared" si="100"/>
        <v>#N/A</v>
      </c>
      <c r="F3147" s="3" t="e">
        <f t="shared" si="101"/>
        <v>#N/A</v>
      </c>
    </row>
    <row r="3148" spans="2:6" x14ac:dyDescent="0.25">
      <c r="B3148" s="3"/>
      <c r="C3148" s="3"/>
      <c r="D3148" s="3"/>
      <c r="E3148" s="3" t="e">
        <f t="shared" si="100"/>
        <v>#N/A</v>
      </c>
      <c r="F3148" s="3" t="e">
        <f t="shared" si="101"/>
        <v>#N/A</v>
      </c>
    </row>
    <row r="3149" spans="2:6" x14ac:dyDescent="0.25">
      <c r="B3149" s="3"/>
      <c r="C3149" s="3"/>
      <c r="D3149" s="3"/>
      <c r="E3149" s="3" t="e">
        <f t="shared" si="100"/>
        <v>#N/A</v>
      </c>
      <c r="F3149" s="3" t="e">
        <f t="shared" si="101"/>
        <v>#N/A</v>
      </c>
    </row>
    <row r="3150" spans="2:6" x14ac:dyDescent="0.25">
      <c r="B3150" s="3"/>
      <c r="C3150" s="3"/>
      <c r="D3150" s="3"/>
      <c r="E3150" s="3" t="e">
        <f t="shared" si="100"/>
        <v>#N/A</v>
      </c>
      <c r="F3150" s="3" t="e">
        <f t="shared" si="101"/>
        <v>#N/A</v>
      </c>
    </row>
    <row r="3151" spans="2:6" x14ac:dyDescent="0.25">
      <c r="B3151" s="3"/>
      <c r="C3151" s="3"/>
      <c r="D3151" s="3"/>
      <c r="E3151" s="3" t="e">
        <f t="shared" si="100"/>
        <v>#N/A</v>
      </c>
      <c r="F3151" s="3" t="e">
        <f t="shared" si="101"/>
        <v>#N/A</v>
      </c>
    </row>
    <row r="3152" spans="2:6" x14ac:dyDescent="0.25">
      <c r="B3152" s="3"/>
      <c r="C3152" s="3"/>
      <c r="D3152" s="3"/>
      <c r="E3152" s="3" t="e">
        <f t="shared" si="100"/>
        <v>#N/A</v>
      </c>
      <c r="F3152" s="3" t="e">
        <f t="shared" si="101"/>
        <v>#N/A</v>
      </c>
    </row>
    <row r="3153" spans="2:6" x14ac:dyDescent="0.25">
      <c r="B3153" s="3"/>
      <c r="C3153" s="3"/>
      <c r="D3153" s="3"/>
      <c r="E3153" s="3" t="e">
        <f t="shared" si="100"/>
        <v>#N/A</v>
      </c>
      <c r="F3153" s="3" t="e">
        <f t="shared" si="101"/>
        <v>#N/A</v>
      </c>
    </row>
    <row r="3154" spans="2:6" x14ac:dyDescent="0.25">
      <c r="B3154" s="3"/>
      <c r="C3154" s="3"/>
      <c r="D3154" s="3"/>
      <c r="E3154" s="3" t="e">
        <f t="shared" si="100"/>
        <v>#N/A</v>
      </c>
      <c r="F3154" s="3" t="e">
        <f t="shared" si="101"/>
        <v>#N/A</v>
      </c>
    </row>
    <row r="3155" spans="2:6" x14ac:dyDescent="0.25">
      <c r="B3155" s="3"/>
      <c r="C3155" s="3"/>
      <c r="D3155" s="3"/>
      <c r="E3155" s="3" t="e">
        <f t="shared" si="100"/>
        <v>#N/A</v>
      </c>
      <c r="F3155" s="3" t="e">
        <f t="shared" si="101"/>
        <v>#N/A</v>
      </c>
    </row>
    <row r="3156" spans="2:6" x14ac:dyDescent="0.25">
      <c r="B3156" s="3"/>
      <c r="C3156" s="3"/>
      <c r="D3156" s="3"/>
      <c r="E3156" s="3" t="e">
        <f t="shared" si="100"/>
        <v>#N/A</v>
      </c>
      <c r="F3156" s="3" t="e">
        <f t="shared" si="101"/>
        <v>#N/A</v>
      </c>
    </row>
    <row r="3157" spans="2:6" x14ac:dyDescent="0.25">
      <c r="B3157" s="3"/>
      <c r="C3157" s="3"/>
      <c r="D3157" s="3"/>
      <c r="E3157" s="3" t="e">
        <f t="shared" si="100"/>
        <v>#N/A</v>
      </c>
      <c r="F3157" s="3" t="e">
        <f t="shared" si="101"/>
        <v>#N/A</v>
      </c>
    </row>
    <row r="3158" spans="2:6" x14ac:dyDescent="0.25">
      <c r="B3158" s="3"/>
      <c r="C3158" s="3"/>
      <c r="D3158" s="3"/>
      <c r="E3158" s="3" t="e">
        <f t="shared" si="100"/>
        <v>#N/A</v>
      </c>
      <c r="F3158" s="3" t="e">
        <f t="shared" si="101"/>
        <v>#N/A</v>
      </c>
    </row>
    <row r="3159" spans="2:6" x14ac:dyDescent="0.25">
      <c r="B3159" s="3"/>
      <c r="C3159" s="3"/>
      <c r="D3159" s="3"/>
      <c r="E3159" s="3" t="e">
        <f t="shared" si="100"/>
        <v>#N/A</v>
      </c>
      <c r="F3159" s="3" t="e">
        <f t="shared" si="101"/>
        <v>#N/A</v>
      </c>
    </row>
    <row r="3160" spans="2:6" x14ac:dyDescent="0.25">
      <c r="B3160" s="3"/>
      <c r="C3160" s="3"/>
      <c r="D3160" s="3"/>
      <c r="E3160" s="3" t="e">
        <f t="shared" si="100"/>
        <v>#N/A</v>
      </c>
      <c r="F3160" s="3" t="e">
        <f t="shared" si="101"/>
        <v>#N/A</v>
      </c>
    </row>
    <row r="3161" spans="2:6" x14ac:dyDescent="0.25">
      <c r="B3161" s="3"/>
      <c r="C3161" s="3"/>
      <c r="D3161" s="3"/>
      <c r="E3161" s="3" t="e">
        <f t="shared" si="100"/>
        <v>#N/A</v>
      </c>
      <c r="F3161" s="3" t="e">
        <f t="shared" si="101"/>
        <v>#N/A</v>
      </c>
    </row>
    <row r="3162" spans="2:6" x14ac:dyDescent="0.25">
      <c r="B3162" s="3"/>
      <c r="C3162" s="3"/>
      <c r="D3162" s="3"/>
      <c r="E3162" s="3" t="e">
        <f t="shared" si="100"/>
        <v>#N/A</v>
      </c>
      <c r="F3162" s="3" t="e">
        <f t="shared" si="101"/>
        <v>#N/A</v>
      </c>
    </row>
    <row r="3163" spans="2:6" x14ac:dyDescent="0.25">
      <c r="B3163" s="3"/>
      <c r="C3163" s="3"/>
      <c r="D3163" s="3"/>
      <c r="E3163" s="3" t="e">
        <f t="shared" si="100"/>
        <v>#N/A</v>
      </c>
      <c r="F3163" s="3" t="e">
        <f t="shared" si="101"/>
        <v>#N/A</v>
      </c>
    </row>
    <row r="3164" spans="2:6" x14ac:dyDescent="0.25">
      <c r="B3164" s="3"/>
      <c r="C3164" s="3"/>
      <c r="D3164" s="3"/>
      <c r="E3164" s="3" t="e">
        <f t="shared" si="100"/>
        <v>#N/A</v>
      </c>
      <c r="F3164" s="3" t="e">
        <f t="shared" si="101"/>
        <v>#N/A</v>
      </c>
    </row>
    <row r="3165" spans="2:6" x14ac:dyDescent="0.25">
      <c r="B3165" s="3"/>
      <c r="C3165" s="3"/>
      <c r="D3165" s="3"/>
      <c r="E3165" s="3" t="e">
        <f t="shared" si="100"/>
        <v>#N/A</v>
      </c>
      <c r="F3165" s="3" t="e">
        <f t="shared" si="101"/>
        <v>#N/A</v>
      </c>
    </row>
    <row r="3166" spans="2:6" x14ac:dyDescent="0.25">
      <c r="B3166" s="3"/>
      <c r="C3166" s="3"/>
      <c r="D3166" s="3"/>
      <c r="E3166" s="3" t="e">
        <f t="shared" si="100"/>
        <v>#N/A</v>
      </c>
      <c r="F3166" s="3" t="e">
        <f t="shared" si="101"/>
        <v>#N/A</v>
      </c>
    </row>
    <row r="3167" spans="2:6" x14ac:dyDescent="0.25">
      <c r="B3167" s="3"/>
      <c r="C3167" s="3"/>
      <c r="D3167" s="3"/>
      <c r="E3167" s="3" t="e">
        <f t="shared" si="100"/>
        <v>#N/A</v>
      </c>
      <c r="F3167" s="3" t="e">
        <f t="shared" si="101"/>
        <v>#N/A</v>
      </c>
    </row>
    <row r="3168" spans="2:6" x14ac:dyDescent="0.25">
      <c r="B3168" s="3"/>
      <c r="C3168" s="3"/>
      <c r="D3168" s="3"/>
      <c r="E3168" s="3" t="e">
        <f t="shared" si="100"/>
        <v>#N/A</v>
      </c>
      <c r="F3168" s="3" t="e">
        <f t="shared" si="101"/>
        <v>#N/A</v>
      </c>
    </row>
    <row r="3169" spans="2:6" x14ac:dyDescent="0.25">
      <c r="B3169" s="3"/>
      <c r="C3169" s="3"/>
      <c r="D3169" s="3"/>
      <c r="E3169" s="3" t="e">
        <f t="shared" si="100"/>
        <v>#N/A</v>
      </c>
      <c r="F3169" s="3" t="e">
        <f t="shared" si="101"/>
        <v>#N/A</v>
      </c>
    </row>
    <row r="3170" spans="2:6" x14ac:dyDescent="0.25">
      <c r="B3170" s="3"/>
      <c r="C3170" s="3"/>
      <c r="D3170" s="3"/>
      <c r="E3170" s="3" t="e">
        <f t="shared" si="100"/>
        <v>#N/A</v>
      </c>
      <c r="F3170" s="3" t="e">
        <f t="shared" si="101"/>
        <v>#N/A</v>
      </c>
    </row>
    <row r="3171" spans="2:6" x14ac:dyDescent="0.25">
      <c r="B3171" s="3"/>
      <c r="C3171" s="3"/>
      <c r="D3171" s="3"/>
      <c r="E3171" s="3" t="e">
        <f t="shared" si="100"/>
        <v>#N/A</v>
      </c>
      <c r="F3171" s="3" t="e">
        <f t="shared" si="101"/>
        <v>#N/A</v>
      </c>
    </row>
    <row r="3172" spans="2:6" x14ac:dyDescent="0.25">
      <c r="B3172" s="3"/>
      <c r="C3172" s="3"/>
      <c r="D3172" s="3"/>
      <c r="E3172" s="3" t="e">
        <f t="shared" si="100"/>
        <v>#N/A</v>
      </c>
      <c r="F3172" s="3" t="e">
        <f t="shared" si="101"/>
        <v>#N/A</v>
      </c>
    </row>
    <row r="3173" spans="2:6" x14ac:dyDescent="0.25">
      <c r="B3173" s="3"/>
      <c r="C3173" s="3"/>
      <c r="D3173" s="3"/>
      <c r="E3173" s="3" t="e">
        <f t="shared" si="100"/>
        <v>#N/A</v>
      </c>
      <c r="F3173" s="3" t="e">
        <f t="shared" si="101"/>
        <v>#N/A</v>
      </c>
    </row>
    <row r="3174" spans="2:6" x14ac:dyDescent="0.25">
      <c r="B3174" s="3"/>
      <c r="C3174" s="3"/>
      <c r="D3174" s="3"/>
      <c r="E3174" s="3" t="e">
        <f t="shared" si="100"/>
        <v>#N/A</v>
      </c>
      <c r="F3174" s="3" t="e">
        <f t="shared" si="101"/>
        <v>#N/A</v>
      </c>
    </row>
    <row r="3175" spans="2:6" x14ac:dyDescent="0.25">
      <c r="B3175" s="3"/>
      <c r="C3175" s="3"/>
      <c r="D3175" s="3"/>
      <c r="E3175" s="3" t="e">
        <f t="shared" si="100"/>
        <v>#N/A</v>
      </c>
      <c r="F3175" s="3" t="e">
        <f t="shared" si="101"/>
        <v>#N/A</v>
      </c>
    </row>
    <row r="3176" spans="2:6" x14ac:dyDescent="0.25">
      <c r="B3176" s="3"/>
      <c r="C3176" s="3"/>
      <c r="D3176" s="3"/>
      <c r="E3176" s="3" t="e">
        <f t="shared" si="100"/>
        <v>#N/A</v>
      </c>
      <c r="F3176" s="3" t="e">
        <f t="shared" si="101"/>
        <v>#N/A</v>
      </c>
    </row>
    <row r="3177" spans="2:6" x14ac:dyDescent="0.25">
      <c r="B3177" s="3"/>
      <c r="C3177" s="3"/>
      <c r="D3177" s="3"/>
      <c r="E3177" s="3" t="e">
        <f t="shared" si="100"/>
        <v>#N/A</v>
      </c>
      <c r="F3177" s="3" t="e">
        <f t="shared" si="101"/>
        <v>#N/A</v>
      </c>
    </row>
    <row r="3178" spans="2:6" x14ac:dyDescent="0.25">
      <c r="B3178" s="3"/>
      <c r="C3178" s="3"/>
      <c r="D3178" s="3"/>
      <c r="E3178" s="3" t="e">
        <f t="shared" si="100"/>
        <v>#N/A</v>
      </c>
      <c r="F3178" s="3" t="e">
        <f t="shared" si="101"/>
        <v>#N/A</v>
      </c>
    </row>
    <row r="3179" spans="2:6" x14ac:dyDescent="0.25">
      <c r="B3179" s="3"/>
      <c r="C3179" s="3"/>
      <c r="D3179" s="3"/>
      <c r="E3179" s="3" t="e">
        <f t="shared" si="100"/>
        <v>#N/A</v>
      </c>
      <c r="F3179" s="3" t="e">
        <f t="shared" si="101"/>
        <v>#N/A</v>
      </c>
    </row>
    <row r="3180" spans="2:6" x14ac:dyDescent="0.25">
      <c r="B3180" s="3"/>
      <c r="C3180" s="3"/>
      <c r="D3180" s="3"/>
      <c r="E3180" s="3" t="e">
        <f t="shared" si="100"/>
        <v>#N/A</v>
      </c>
      <c r="F3180" s="3" t="e">
        <f t="shared" si="101"/>
        <v>#N/A</v>
      </c>
    </row>
    <row r="3181" spans="2:6" x14ac:dyDescent="0.25">
      <c r="B3181" s="3"/>
      <c r="C3181" s="3"/>
      <c r="D3181" s="3"/>
      <c r="E3181" s="3" t="e">
        <f t="shared" si="100"/>
        <v>#N/A</v>
      </c>
      <c r="F3181" s="3" t="e">
        <f t="shared" si="101"/>
        <v>#N/A</v>
      </c>
    </row>
    <row r="3182" spans="2:6" x14ac:dyDescent="0.25">
      <c r="B3182" s="3"/>
      <c r="C3182" s="3"/>
      <c r="D3182" s="3"/>
      <c r="E3182" s="3" t="e">
        <f t="shared" si="100"/>
        <v>#N/A</v>
      </c>
      <c r="F3182" s="3" t="e">
        <f t="shared" si="101"/>
        <v>#N/A</v>
      </c>
    </row>
    <row r="3183" spans="2:6" x14ac:dyDescent="0.25">
      <c r="B3183" s="3"/>
      <c r="C3183" s="3"/>
      <c r="D3183" s="3"/>
      <c r="E3183" s="3" t="e">
        <f t="shared" si="100"/>
        <v>#N/A</v>
      </c>
      <c r="F3183" s="3" t="e">
        <f t="shared" si="101"/>
        <v>#N/A</v>
      </c>
    </row>
    <row r="3184" spans="2:6" x14ac:dyDescent="0.25">
      <c r="B3184" s="3"/>
      <c r="C3184" s="3"/>
      <c r="D3184" s="3"/>
      <c r="E3184" s="3" t="e">
        <f t="shared" si="100"/>
        <v>#N/A</v>
      </c>
      <c r="F3184" s="3" t="e">
        <f t="shared" si="101"/>
        <v>#N/A</v>
      </c>
    </row>
    <row r="3185" spans="2:6" x14ac:dyDescent="0.25">
      <c r="B3185" s="3"/>
      <c r="C3185" s="3"/>
      <c r="D3185" s="3"/>
      <c r="E3185" s="3" t="e">
        <f t="shared" si="100"/>
        <v>#N/A</v>
      </c>
      <c r="F3185" s="3" t="e">
        <f t="shared" si="101"/>
        <v>#N/A</v>
      </c>
    </row>
    <row r="3186" spans="2:6" x14ac:dyDescent="0.25">
      <c r="B3186" s="3"/>
      <c r="C3186" s="3"/>
      <c r="D3186" s="3"/>
      <c r="E3186" s="3" t="e">
        <f t="shared" si="100"/>
        <v>#N/A</v>
      </c>
      <c r="F3186" s="3" t="e">
        <f t="shared" si="101"/>
        <v>#N/A</v>
      </c>
    </row>
    <row r="3187" spans="2:6" x14ac:dyDescent="0.25">
      <c r="B3187" s="3"/>
      <c r="C3187" s="3"/>
      <c r="D3187" s="3"/>
      <c r="E3187" s="3" t="e">
        <f t="shared" si="100"/>
        <v>#N/A</v>
      </c>
      <c r="F3187" s="3" t="e">
        <f t="shared" si="101"/>
        <v>#N/A</v>
      </c>
    </row>
    <row r="3188" spans="2:6" x14ac:dyDescent="0.25">
      <c r="B3188" s="3"/>
      <c r="C3188" s="3"/>
      <c r="D3188" s="3"/>
      <c r="E3188" s="3" t="e">
        <f t="shared" si="100"/>
        <v>#N/A</v>
      </c>
      <c r="F3188" s="3" t="e">
        <f t="shared" si="101"/>
        <v>#N/A</v>
      </c>
    </row>
    <row r="3189" spans="2:6" x14ac:dyDescent="0.25">
      <c r="B3189" s="3"/>
      <c r="C3189" s="3"/>
      <c r="D3189" s="3"/>
      <c r="E3189" s="3" t="e">
        <f t="shared" si="100"/>
        <v>#N/A</v>
      </c>
      <c r="F3189" s="3" t="e">
        <f t="shared" si="101"/>
        <v>#N/A</v>
      </c>
    </row>
    <row r="3190" spans="2:6" x14ac:dyDescent="0.25">
      <c r="B3190" s="3"/>
      <c r="C3190" s="3"/>
      <c r="D3190" s="3"/>
      <c r="E3190" s="3" t="e">
        <f t="shared" si="100"/>
        <v>#N/A</v>
      </c>
      <c r="F3190" s="3" t="e">
        <f t="shared" si="101"/>
        <v>#N/A</v>
      </c>
    </row>
    <row r="3191" spans="2:6" x14ac:dyDescent="0.25">
      <c r="B3191" s="3"/>
      <c r="C3191" s="3"/>
      <c r="D3191" s="3"/>
      <c r="E3191" s="3" t="e">
        <f t="shared" si="100"/>
        <v>#N/A</v>
      </c>
      <c r="F3191" s="3" t="e">
        <f t="shared" si="101"/>
        <v>#N/A</v>
      </c>
    </row>
    <row r="3192" spans="2:6" x14ac:dyDescent="0.25">
      <c r="B3192" s="3"/>
      <c r="C3192" s="3"/>
      <c r="D3192" s="3"/>
      <c r="E3192" s="3" t="e">
        <f t="shared" si="100"/>
        <v>#N/A</v>
      </c>
      <c r="F3192" s="3" t="e">
        <f t="shared" si="101"/>
        <v>#N/A</v>
      </c>
    </row>
    <row r="3193" spans="2:6" x14ac:dyDescent="0.25">
      <c r="B3193" s="3"/>
      <c r="C3193" s="3"/>
      <c r="D3193" s="3"/>
      <c r="E3193" s="3" t="e">
        <f t="shared" si="100"/>
        <v>#N/A</v>
      </c>
      <c r="F3193" s="3" t="e">
        <f t="shared" si="101"/>
        <v>#N/A</v>
      </c>
    </row>
    <row r="3194" spans="2:6" x14ac:dyDescent="0.25">
      <c r="B3194" s="3"/>
      <c r="C3194" s="3"/>
      <c r="D3194" s="3"/>
      <c r="E3194" s="3" t="e">
        <f t="shared" si="100"/>
        <v>#N/A</v>
      </c>
      <c r="F3194" s="3" t="e">
        <f t="shared" si="101"/>
        <v>#N/A</v>
      </c>
    </row>
    <row r="3195" spans="2:6" x14ac:dyDescent="0.25">
      <c r="B3195" s="3"/>
      <c r="C3195" s="3"/>
      <c r="D3195" s="3"/>
      <c r="E3195" s="3" t="e">
        <f t="shared" si="100"/>
        <v>#N/A</v>
      </c>
      <c r="F3195" s="3" t="e">
        <f t="shared" si="101"/>
        <v>#N/A</v>
      </c>
    </row>
    <row r="3196" spans="2:6" x14ac:dyDescent="0.25">
      <c r="B3196" s="3"/>
      <c r="C3196" s="3"/>
      <c r="D3196" s="3"/>
      <c r="E3196" s="3" t="e">
        <f t="shared" si="100"/>
        <v>#N/A</v>
      </c>
      <c r="F3196" s="3" t="e">
        <f t="shared" si="101"/>
        <v>#N/A</v>
      </c>
    </row>
    <row r="3197" spans="2:6" x14ac:dyDescent="0.25">
      <c r="B3197" s="3"/>
      <c r="C3197" s="3"/>
      <c r="D3197" s="3"/>
      <c r="E3197" s="3" t="e">
        <f t="shared" si="100"/>
        <v>#N/A</v>
      </c>
      <c r="F3197" s="3" t="e">
        <f t="shared" si="101"/>
        <v>#N/A</v>
      </c>
    </row>
    <row r="3198" spans="2:6" x14ac:dyDescent="0.25">
      <c r="B3198" s="3"/>
      <c r="C3198" s="3"/>
      <c r="D3198" s="3"/>
      <c r="E3198" s="3" t="e">
        <f t="shared" si="100"/>
        <v>#N/A</v>
      </c>
      <c r="F3198" s="3" t="e">
        <f t="shared" si="101"/>
        <v>#N/A</v>
      </c>
    </row>
    <row r="3199" spans="2:6" x14ac:dyDescent="0.25">
      <c r="B3199" s="3"/>
      <c r="C3199" s="3"/>
      <c r="D3199" s="3"/>
      <c r="E3199" s="3" t="e">
        <f t="shared" si="100"/>
        <v>#N/A</v>
      </c>
      <c r="F3199" s="3" t="e">
        <f t="shared" si="101"/>
        <v>#N/A</v>
      </c>
    </row>
    <row r="3200" spans="2:6" x14ac:dyDescent="0.25">
      <c r="B3200" s="3"/>
      <c r="C3200" s="3"/>
      <c r="D3200" s="3"/>
      <c r="E3200" s="3" t="e">
        <f t="shared" si="100"/>
        <v>#N/A</v>
      </c>
      <c r="F3200" s="3" t="e">
        <f t="shared" si="101"/>
        <v>#N/A</v>
      </c>
    </row>
    <row r="3201" spans="2:6" x14ac:dyDescent="0.25">
      <c r="B3201" s="3"/>
      <c r="C3201" s="3"/>
      <c r="D3201" s="3"/>
      <c r="E3201" s="3" t="e">
        <f t="shared" si="100"/>
        <v>#N/A</v>
      </c>
      <c r="F3201" s="3" t="e">
        <f t="shared" si="101"/>
        <v>#N/A</v>
      </c>
    </row>
    <row r="3202" spans="2:6" x14ac:dyDescent="0.25">
      <c r="B3202" s="3"/>
      <c r="C3202" s="3"/>
      <c r="D3202" s="3"/>
      <c r="E3202" s="3" t="e">
        <f t="shared" si="100"/>
        <v>#N/A</v>
      </c>
      <c r="F3202" s="3" t="e">
        <f t="shared" si="101"/>
        <v>#N/A</v>
      </c>
    </row>
    <row r="3203" spans="2:6" x14ac:dyDescent="0.25">
      <c r="B3203" s="3"/>
      <c r="C3203" s="3"/>
      <c r="D3203" s="3"/>
      <c r="E3203" s="3" t="e">
        <f t="shared" si="100"/>
        <v>#N/A</v>
      </c>
      <c r="F3203" s="3" t="e">
        <f t="shared" si="101"/>
        <v>#N/A</v>
      </c>
    </row>
    <row r="3204" spans="2:6" x14ac:dyDescent="0.25">
      <c r="B3204" s="3"/>
      <c r="C3204" s="3"/>
      <c r="D3204" s="3"/>
      <c r="E3204" s="3" t="e">
        <f t="shared" ref="E3204:E3267" si="102">VLOOKUP(C3204,I:J,2,0)</f>
        <v>#N/A</v>
      </c>
      <c r="F3204" s="3" t="e">
        <f t="shared" ref="F3204:F3267" si="103">E3204&amp;" "&amp;B3204</f>
        <v>#N/A</v>
      </c>
    </row>
    <row r="3205" spans="2:6" x14ac:dyDescent="0.25">
      <c r="B3205" s="3"/>
      <c r="C3205" s="3"/>
      <c r="D3205" s="3"/>
      <c r="E3205" s="3" t="e">
        <f t="shared" si="102"/>
        <v>#N/A</v>
      </c>
      <c r="F3205" s="3" t="e">
        <f t="shared" si="103"/>
        <v>#N/A</v>
      </c>
    </row>
    <row r="3206" spans="2:6" x14ac:dyDescent="0.25">
      <c r="B3206" s="3"/>
      <c r="C3206" s="3"/>
      <c r="D3206" s="3"/>
      <c r="E3206" s="3" t="e">
        <f t="shared" si="102"/>
        <v>#N/A</v>
      </c>
      <c r="F3206" s="3" t="e">
        <f t="shared" si="103"/>
        <v>#N/A</v>
      </c>
    </row>
    <row r="3207" spans="2:6" x14ac:dyDescent="0.25">
      <c r="B3207" s="3"/>
      <c r="C3207" s="3"/>
      <c r="D3207" s="3"/>
      <c r="E3207" s="3" t="e">
        <f t="shared" si="102"/>
        <v>#N/A</v>
      </c>
      <c r="F3207" s="3" t="e">
        <f t="shared" si="103"/>
        <v>#N/A</v>
      </c>
    </row>
    <row r="3208" spans="2:6" x14ac:dyDescent="0.25">
      <c r="B3208" s="3"/>
      <c r="C3208" s="3"/>
      <c r="D3208" s="3"/>
      <c r="E3208" s="3" t="e">
        <f t="shared" si="102"/>
        <v>#N/A</v>
      </c>
      <c r="F3208" s="3" t="e">
        <f t="shared" si="103"/>
        <v>#N/A</v>
      </c>
    </row>
    <row r="3209" spans="2:6" x14ac:dyDescent="0.25">
      <c r="B3209" s="3"/>
      <c r="C3209" s="3"/>
      <c r="D3209" s="3"/>
      <c r="E3209" s="3" t="e">
        <f t="shared" si="102"/>
        <v>#N/A</v>
      </c>
      <c r="F3209" s="3" t="e">
        <f t="shared" si="103"/>
        <v>#N/A</v>
      </c>
    </row>
    <row r="3210" spans="2:6" x14ac:dyDescent="0.25">
      <c r="B3210" s="3"/>
      <c r="C3210" s="3"/>
      <c r="D3210" s="3"/>
      <c r="E3210" s="3" t="e">
        <f t="shared" si="102"/>
        <v>#N/A</v>
      </c>
      <c r="F3210" s="3" t="e">
        <f t="shared" si="103"/>
        <v>#N/A</v>
      </c>
    </row>
    <row r="3211" spans="2:6" x14ac:dyDescent="0.25">
      <c r="B3211" s="3"/>
      <c r="C3211" s="3"/>
      <c r="D3211" s="3"/>
      <c r="E3211" s="3" t="e">
        <f t="shared" si="102"/>
        <v>#N/A</v>
      </c>
      <c r="F3211" s="3" t="e">
        <f t="shared" si="103"/>
        <v>#N/A</v>
      </c>
    </row>
    <row r="3212" spans="2:6" x14ac:dyDescent="0.25">
      <c r="B3212" s="3"/>
      <c r="C3212" s="3"/>
      <c r="D3212" s="3"/>
      <c r="E3212" s="3" t="e">
        <f t="shared" si="102"/>
        <v>#N/A</v>
      </c>
      <c r="F3212" s="3" t="e">
        <f t="shared" si="103"/>
        <v>#N/A</v>
      </c>
    </row>
    <row r="3213" spans="2:6" x14ac:dyDescent="0.25">
      <c r="B3213" s="3"/>
      <c r="C3213" s="3"/>
      <c r="D3213" s="3"/>
      <c r="E3213" s="3" t="e">
        <f t="shared" si="102"/>
        <v>#N/A</v>
      </c>
      <c r="F3213" s="3" t="e">
        <f t="shared" si="103"/>
        <v>#N/A</v>
      </c>
    </row>
    <row r="3214" spans="2:6" x14ac:dyDescent="0.25">
      <c r="B3214" s="3"/>
      <c r="C3214" s="3"/>
      <c r="D3214" s="3"/>
      <c r="E3214" s="3" t="e">
        <f t="shared" si="102"/>
        <v>#N/A</v>
      </c>
      <c r="F3214" s="3" t="e">
        <f t="shared" si="103"/>
        <v>#N/A</v>
      </c>
    </row>
    <row r="3215" spans="2:6" x14ac:dyDescent="0.25">
      <c r="B3215" s="3"/>
      <c r="C3215" s="3"/>
      <c r="D3215" s="3"/>
      <c r="E3215" s="3" t="e">
        <f t="shared" si="102"/>
        <v>#N/A</v>
      </c>
      <c r="F3215" s="3" t="e">
        <f t="shared" si="103"/>
        <v>#N/A</v>
      </c>
    </row>
    <row r="3216" spans="2:6" x14ac:dyDescent="0.25">
      <c r="B3216" s="3"/>
      <c r="C3216" s="3"/>
      <c r="D3216" s="3"/>
      <c r="E3216" s="3" t="e">
        <f t="shared" si="102"/>
        <v>#N/A</v>
      </c>
      <c r="F3216" s="3" t="e">
        <f t="shared" si="103"/>
        <v>#N/A</v>
      </c>
    </row>
    <row r="3217" spans="2:6" x14ac:dyDescent="0.25">
      <c r="B3217" s="3"/>
      <c r="C3217" s="3"/>
      <c r="D3217" s="3"/>
      <c r="E3217" s="3" t="e">
        <f t="shared" si="102"/>
        <v>#N/A</v>
      </c>
      <c r="F3217" s="3" t="e">
        <f t="shared" si="103"/>
        <v>#N/A</v>
      </c>
    </row>
    <row r="3218" spans="2:6" x14ac:dyDescent="0.25">
      <c r="B3218" s="3"/>
      <c r="C3218" s="3"/>
      <c r="D3218" s="3"/>
      <c r="E3218" s="3" t="e">
        <f t="shared" si="102"/>
        <v>#N/A</v>
      </c>
      <c r="F3218" s="3" t="e">
        <f t="shared" si="103"/>
        <v>#N/A</v>
      </c>
    </row>
    <row r="3219" spans="2:6" x14ac:dyDescent="0.25">
      <c r="B3219" s="3"/>
      <c r="C3219" s="3"/>
      <c r="D3219" s="3"/>
      <c r="E3219" s="3" t="e">
        <f t="shared" si="102"/>
        <v>#N/A</v>
      </c>
      <c r="F3219" s="3" t="e">
        <f t="shared" si="103"/>
        <v>#N/A</v>
      </c>
    </row>
    <row r="3220" spans="2:6" x14ac:dyDescent="0.25">
      <c r="B3220" s="3"/>
      <c r="C3220" s="3"/>
      <c r="D3220" s="3"/>
      <c r="E3220" s="3" t="e">
        <f t="shared" si="102"/>
        <v>#N/A</v>
      </c>
      <c r="F3220" s="3" t="e">
        <f t="shared" si="103"/>
        <v>#N/A</v>
      </c>
    </row>
    <row r="3221" spans="2:6" x14ac:dyDescent="0.25">
      <c r="B3221" s="3"/>
      <c r="C3221" s="3"/>
      <c r="D3221" s="3"/>
      <c r="E3221" s="3" t="e">
        <f t="shared" si="102"/>
        <v>#N/A</v>
      </c>
      <c r="F3221" s="3" t="e">
        <f t="shared" si="103"/>
        <v>#N/A</v>
      </c>
    </row>
    <row r="3222" spans="2:6" x14ac:dyDescent="0.25">
      <c r="B3222" s="3"/>
      <c r="C3222" s="3"/>
      <c r="D3222" s="3"/>
      <c r="E3222" s="3" t="e">
        <f t="shared" si="102"/>
        <v>#N/A</v>
      </c>
      <c r="F3222" s="3" t="e">
        <f t="shared" si="103"/>
        <v>#N/A</v>
      </c>
    </row>
    <row r="3223" spans="2:6" x14ac:dyDescent="0.25">
      <c r="B3223" s="3"/>
      <c r="C3223" s="3"/>
      <c r="D3223" s="3"/>
      <c r="E3223" s="3" t="e">
        <f t="shared" si="102"/>
        <v>#N/A</v>
      </c>
      <c r="F3223" s="3" t="e">
        <f t="shared" si="103"/>
        <v>#N/A</v>
      </c>
    </row>
    <row r="3224" spans="2:6" x14ac:dyDescent="0.25">
      <c r="B3224" s="3"/>
      <c r="C3224" s="3"/>
      <c r="D3224" s="3"/>
      <c r="E3224" s="3" t="e">
        <f t="shared" si="102"/>
        <v>#N/A</v>
      </c>
      <c r="F3224" s="3" t="e">
        <f t="shared" si="103"/>
        <v>#N/A</v>
      </c>
    </row>
    <row r="3225" spans="2:6" x14ac:dyDescent="0.25">
      <c r="B3225" s="3"/>
      <c r="C3225" s="3"/>
      <c r="D3225" s="3"/>
      <c r="E3225" s="3" t="e">
        <f t="shared" si="102"/>
        <v>#N/A</v>
      </c>
      <c r="F3225" s="3" t="e">
        <f t="shared" si="103"/>
        <v>#N/A</v>
      </c>
    </row>
    <row r="3226" spans="2:6" x14ac:dyDescent="0.25">
      <c r="B3226" s="3"/>
      <c r="C3226" s="3"/>
      <c r="D3226" s="3"/>
      <c r="E3226" s="3" t="e">
        <f t="shared" si="102"/>
        <v>#N/A</v>
      </c>
      <c r="F3226" s="3" t="e">
        <f t="shared" si="103"/>
        <v>#N/A</v>
      </c>
    </row>
    <row r="3227" spans="2:6" x14ac:dyDescent="0.25">
      <c r="B3227" s="3"/>
      <c r="C3227" s="3"/>
      <c r="D3227" s="3"/>
      <c r="E3227" s="3" t="e">
        <f t="shared" si="102"/>
        <v>#N/A</v>
      </c>
      <c r="F3227" s="3" t="e">
        <f t="shared" si="103"/>
        <v>#N/A</v>
      </c>
    </row>
    <row r="3228" spans="2:6" x14ac:dyDescent="0.25">
      <c r="B3228" s="3"/>
      <c r="C3228" s="3"/>
      <c r="D3228" s="3"/>
      <c r="E3228" s="3" t="e">
        <f t="shared" si="102"/>
        <v>#N/A</v>
      </c>
      <c r="F3228" s="3" t="e">
        <f t="shared" si="103"/>
        <v>#N/A</v>
      </c>
    </row>
    <row r="3229" spans="2:6" x14ac:dyDescent="0.25">
      <c r="B3229" s="3"/>
      <c r="C3229" s="3"/>
      <c r="D3229" s="3"/>
      <c r="E3229" s="3" t="e">
        <f t="shared" si="102"/>
        <v>#N/A</v>
      </c>
      <c r="F3229" s="3" t="e">
        <f t="shared" si="103"/>
        <v>#N/A</v>
      </c>
    </row>
    <row r="3230" spans="2:6" x14ac:dyDescent="0.25">
      <c r="B3230" s="3"/>
      <c r="C3230" s="3"/>
      <c r="D3230" s="3"/>
      <c r="E3230" s="3" t="e">
        <f t="shared" si="102"/>
        <v>#N/A</v>
      </c>
      <c r="F3230" s="3" t="e">
        <f t="shared" si="103"/>
        <v>#N/A</v>
      </c>
    </row>
    <row r="3231" spans="2:6" x14ac:dyDescent="0.25">
      <c r="B3231" s="3"/>
      <c r="C3231" s="3"/>
      <c r="D3231" s="3"/>
      <c r="E3231" s="3" t="e">
        <f t="shared" si="102"/>
        <v>#N/A</v>
      </c>
      <c r="F3231" s="3" t="e">
        <f t="shared" si="103"/>
        <v>#N/A</v>
      </c>
    </row>
    <row r="3232" spans="2:6" x14ac:dyDescent="0.25">
      <c r="B3232" s="3"/>
      <c r="C3232" s="3"/>
      <c r="D3232" s="3"/>
      <c r="E3232" s="3" t="e">
        <f t="shared" si="102"/>
        <v>#N/A</v>
      </c>
      <c r="F3232" s="3" t="e">
        <f t="shared" si="103"/>
        <v>#N/A</v>
      </c>
    </row>
    <row r="3233" spans="2:6" x14ac:dyDescent="0.25">
      <c r="B3233" s="3"/>
      <c r="C3233" s="3"/>
      <c r="D3233" s="3"/>
      <c r="E3233" s="3" t="e">
        <f t="shared" si="102"/>
        <v>#N/A</v>
      </c>
      <c r="F3233" s="3" t="e">
        <f t="shared" si="103"/>
        <v>#N/A</v>
      </c>
    </row>
    <row r="3234" spans="2:6" x14ac:dyDescent="0.25">
      <c r="B3234" s="3"/>
      <c r="C3234" s="3"/>
      <c r="D3234" s="3"/>
      <c r="E3234" s="3" t="e">
        <f t="shared" si="102"/>
        <v>#N/A</v>
      </c>
      <c r="F3234" s="3" t="e">
        <f t="shared" si="103"/>
        <v>#N/A</v>
      </c>
    </row>
    <row r="3235" spans="2:6" x14ac:dyDescent="0.25">
      <c r="B3235" s="3"/>
      <c r="C3235" s="3"/>
      <c r="D3235" s="3"/>
      <c r="E3235" s="3" t="e">
        <f t="shared" si="102"/>
        <v>#N/A</v>
      </c>
      <c r="F3235" s="3" t="e">
        <f t="shared" si="103"/>
        <v>#N/A</v>
      </c>
    </row>
    <row r="3236" spans="2:6" x14ac:dyDescent="0.25">
      <c r="B3236" s="3"/>
      <c r="C3236" s="3"/>
      <c r="D3236" s="3"/>
      <c r="E3236" s="3" t="e">
        <f t="shared" si="102"/>
        <v>#N/A</v>
      </c>
      <c r="F3236" s="3" t="e">
        <f t="shared" si="103"/>
        <v>#N/A</v>
      </c>
    </row>
    <row r="3237" spans="2:6" x14ac:dyDescent="0.25">
      <c r="B3237" s="3"/>
      <c r="C3237" s="3"/>
      <c r="D3237" s="3"/>
      <c r="E3237" s="3" t="e">
        <f t="shared" si="102"/>
        <v>#N/A</v>
      </c>
      <c r="F3237" s="3" t="e">
        <f t="shared" si="103"/>
        <v>#N/A</v>
      </c>
    </row>
    <row r="3238" spans="2:6" x14ac:dyDescent="0.25">
      <c r="B3238" s="3"/>
      <c r="C3238" s="3"/>
      <c r="D3238" s="3"/>
      <c r="E3238" s="3" t="e">
        <f t="shared" si="102"/>
        <v>#N/A</v>
      </c>
      <c r="F3238" s="3" t="e">
        <f t="shared" si="103"/>
        <v>#N/A</v>
      </c>
    </row>
    <row r="3239" spans="2:6" x14ac:dyDescent="0.25">
      <c r="B3239" s="3"/>
      <c r="C3239" s="3"/>
      <c r="D3239" s="3"/>
      <c r="E3239" s="3" t="e">
        <f t="shared" si="102"/>
        <v>#N/A</v>
      </c>
      <c r="F3239" s="3" t="e">
        <f t="shared" si="103"/>
        <v>#N/A</v>
      </c>
    </row>
    <row r="3240" spans="2:6" x14ac:dyDescent="0.25">
      <c r="B3240" s="3"/>
      <c r="C3240" s="3"/>
      <c r="D3240" s="3"/>
      <c r="E3240" s="3" t="e">
        <f t="shared" si="102"/>
        <v>#N/A</v>
      </c>
      <c r="F3240" s="3" t="e">
        <f t="shared" si="103"/>
        <v>#N/A</v>
      </c>
    </row>
    <row r="3241" spans="2:6" x14ac:dyDescent="0.25">
      <c r="B3241" s="3"/>
      <c r="C3241" s="3"/>
      <c r="D3241" s="3"/>
      <c r="E3241" s="3" t="e">
        <f t="shared" si="102"/>
        <v>#N/A</v>
      </c>
      <c r="F3241" s="3" t="e">
        <f t="shared" si="103"/>
        <v>#N/A</v>
      </c>
    </row>
    <row r="3242" spans="2:6" x14ac:dyDescent="0.25">
      <c r="B3242" s="3"/>
      <c r="C3242" s="3"/>
      <c r="D3242" s="3"/>
      <c r="E3242" s="3" t="e">
        <f t="shared" si="102"/>
        <v>#N/A</v>
      </c>
      <c r="F3242" s="3" t="e">
        <f t="shared" si="103"/>
        <v>#N/A</v>
      </c>
    </row>
    <row r="3243" spans="2:6" x14ac:dyDescent="0.25">
      <c r="B3243" s="3"/>
      <c r="C3243" s="3"/>
      <c r="D3243" s="3"/>
      <c r="E3243" s="3" t="e">
        <f t="shared" si="102"/>
        <v>#N/A</v>
      </c>
      <c r="F3243" s="3" t="e">
        <f t="shared" si="103"/>
        <v>#N/A</v>
      </c>
    </row>
    <row r="3244" spans="2:6" x14ac:dyDescent="0.25">
      <c r="B3244" s="3"/>
      <c r="C3244" s="3"/>
      <c r="D3244" s="3"/>
      <c r="E3244" s="3" t="e">
        <f t="shared" si="102"/>
        <v>#N/A</v>
      </c>
      <c r="F3244" s="3" t="e">
        <f t="shared" si="103"/>
        <v>#N/A</v>
      </c>
    </row>
    <row r="3245" spans="2:6" x14ac:dyDescent="0.25">
      <c r="B3245" s="3"/>
      <c r="C3245" s="3"/>
      <c r="D3245" s="3"/>
      <c r="E3245" s="3" t="e">
        <f t="shared" si="102"/>
        <v>#N/A</v>
      </c>
      <c r="F3245" s="3" t="e">
        <f t="shared" si="103"/>
        <v>#N/A</v>
      </c>
    </row>
    <row r="3246" spans="2:6" x14ac:dyDescent="0.25">
      <c r="B3246" s="3"/>
      <c r="C3246" s="3"/>
      <c r="D3246" s="3"/>
      <c r="E3246" s="3" t="e">
        <f t="shared" si="102"/>
        <v>#N/A</v>
      </c>
      <c r="F3246" s="3" t="e">
        <f t="shared" si="103"/>
        <v>#N/A</v>
      </c>
    </row>
    <row r="3247" spans="2:6" x14ac:dyDescent="0.25">
      <c r="B3247" s="3"/>
      <c r="C3247" s="3"/>
      <c r="D3247" s="3"/>
      <c r="E3247" s="3" t="e">
        <f t="shared" si="102"/>
        <v>#N/A</v>
      </c>
      <c r="F3247" s="3" t="e">
        <f t="shared" si="103"/>
        <v>#N/A</v>
      </c>
    </row>
    <row r="3248" spans="2:6" x14ac:dyDescent="0.25">
      <c r="B3248" s="3"/>
      <c r="C3248" s="3"/>
      <c r="D3248" s="3"/>
      <c r="E3248" s="3" t="e">
        <f t="shared" si="102"/>
        <v>#N/A</v>
      </c>
      <c r="F3248" s="3" t="e">
        <f t="shared" si="103"/>
        <v>#N/A</v>
      </c>
    </row>
    <row r="3249" spans="2:6" x14ac:dyDescent="0.25">
      <c r="B3249" s="3"/>
      <c r="C3249" s="3"/>
      <c r="D3249" s="3"/>
      <c r="E3249" s="3" t="e">
        <f t="shared" si="102"/>
        <v>#N/A</v>
      </c>
      <c r="F3249" s="3" t="e">
        <f t="shared" si="103"/>
        <v>#N/A</v>
      </c>
    </row>
    <row r="3250" spans="2:6" x14ac:dyDescent="0.25">
      <c r="B3250" s="3"/>
      <c r="C3250" s="3"/>
      <c r="D3250" s="3"/>
      <c r="E3250" s="3" t="e">
        <f t="shared" si="102"/>
        <v>#N/A</v>
      </c>
      <c r="F3250" s="3" t="e">
        <f t="shared" si="103"/>
        <v>#N/A</v>
      </c>
    </row>
    <row r="3251" spans="2:6" x14ac:dyDescent="0.25">
      <c r="B3251" s="3"/>
      <c r="C3251" s="3"/>
      <c r="D3251" s="3"/>
      <c r="E3251" s="3" t="e">
        <f t="shared" si="102"/>
        <v>#N/A</v>
      </c>
      <c r="F3251" s="3" t="e">
        <f t="shared" si="103"/>
        <v>#N/A</v>
      </c>
    </row>
    <row r="3252" spans="2:6" x14ac:dyDescent="0.25">
      <c r="B3252" s="3"/>
      <c r="C3252" s="3"/>
      <c r="D3252" s="3"/>
      <c r="E3252" s="3" t="e">
        <f t="shared" si="102"/>
        <v>#N/A</v>
      </c>
      <c r="F3252" s="3" t="e">
        <f t="shared" si="103"/>
        <v>#N/A</v>
      </c>
    </row>
    <row r="3253" spans="2:6" x14ac:dyDescent="0.25">
      <c r="B3253" s="3"/>
      <c r="C3253" s="3"/>
      <c r="D3253" s="3"/>
      <c r="E3253" s="3" t="e">
        <f t="shared" si="102"/>
        <v>#N/A</v>
      </c>
      <c r="F3253" s="3" t="e">
        <f t="shared" si="103"/>
        <v>#N/A</v>
      </c>
    </row>
    <row r="3254" spans="2:6" x14ac:dyDescent="0.25">
      <c r="B3254" s="3"/>
      <c r="C3254" s="3"/>
      <c r="D3254" s="3"/>
      <c r="E3254" s="3" t="e">
        <f t="shared" si="102"/>
        <v>#N/A</v>
      </c>
      <c r="F3254" s="3" t="e">
        <f t="shared" si="103"/>
        <v>#N/A</v>
      </c>
    </row>
    <row r="3255" spans="2:6" x14ac:dyDescent="0.25">
      <c r="B3255" s="3"/>
      <c r="C3255" s="3"/>
      <c r="D3255" s="3"/>
      <c r="E3255" s="3" t="e">
        <f t="shared" si="102"/>
        <v>#N/A</v>
      </c>
      <c r="F3255" s="3" t="e">
        <f t="shared" si="103"/>
        <v>#N/A</v>
      </c>
    </row>
    <row r="3256" spans="2:6" x14ac:dyDescent="0.25">
      <c r="B3256" s="3"/>
      <c r="C3256" s="3"/>
      <c r="D3256" s="3"/>
      <c r="E3256" s="3" t="e">
        <f t="shared" si="102"/>
        <v>#N/A</v>
      </c>
      <c r="F3256" s="3" t="e">
        <f t="shared" si="103"/>
        <v>#N/A</v>
      </c>
    </row>
    <row r="3257" spans="2:6" x14ac:dyDescent="0.25">
      <c r="B3257" s="3"/>
      <c r="C3257" s="3"/>
      <c r="D3257" s="3"/>
      <c r="E3257" s="3" t="e">
        <f t="shared" si="102"/>
        <v>#N/A</v>
      </c>
      <c r="F3257" s="3" t="e">
        <f t="shared" si="103"/>
        <v>#N/A</v>
      </c>
    </row>
    <row r="3258" spans="2:6" x14ac:dyDescent="0.25">
      <c r="B3258" s="3"/>
      <c r="C3258" s="3"/>
      <c r="D3258" s="3"/>
      <c r="E3258" s="3" t="e">
        <f t="shared" si="102"/>
        <v>#N/A</v>
      </c>
      <c r="F3258" s="3" t="e">
        <f t="shared" si="103"/>
        <v>#N/A</v>
      </c>
    </row>
    <row r="3259" spans="2:6" x14ac:dyDescent="0.25">
      <c r="B3259" s="3"/>
      <c r="C3259" s="3"/>
      <c r="D3259" s="3"/>
      <c r="E3259" s="3" t="e">
        <f t="shared" si="102"/>
        <v>#N/A</v>
      </c>
      <c r="F3259" s="3" t="e">
        <f t="shared" si="103"/>
        <v>#N/A</v>
      </c>
    </row>
    <row r="3260" spans="2:6" x14ac:dyDescent="0.25">
      <c r="B3260" s="3"/>
      <c r="C3260" s="3"/>
      <c r="D3260" s="3"/>
      <c r="E3260" s="3" t="e">
        <f t="shared" si="102"/>
        <v>#N/A</v>
      </c>
      <c r="F3260" s="3" t="e">
        <f t="shared" si="103"/>
        <v>#N/A</v>
      </c>
    </row>
    <row r="3261" spans="2:6" x14ac:dyDescent="0.25">
      <c r="B3261" s="3"/>
      <c r="C3261" s="3"/>
      <c r="D3261" s="3"/>
      <c r="E3261" s="3" t="e">
        <f t="shared" si="102"/>
        <v>#N/A</v>
      </c>
      <c r="F3261" s="3" t="e">
        <f t="shared" si="103"/>
        <v>#N/A</v>
      </c>
    </row>
    <row r="3262" spans="2:6" x14ac:dyDescent="0.25">
      <c r="B3262" s="3"/>
      <c r="C3262" s="3"/>
      <c r="D3262" s="3"/>
      <c r="E3262" s="3" t="e">
        <f t="shared" si="102"/>
        <v>#N/A</v>
      </c>
      <c r="F3262" s="3" t="e">
        <f t="shared" si="103"/>
        <v>#N/A</v>
      </c>
    </row>
    <row r="3263" spans="2:6" x14ac:dyDescent="0.25">
      <c r="B3263" s="3"/>
      <c r="C3263" s="3"/>
      <c r="D3263" s="3"/>
      <c r="E3263" s="3" t="e">
        <f t="shared" si="102"/>
        <v>#N/A</v>
      </c>
      <c r="F3263" s="3" t="e">
        <f t="shared" si="103"/>
        <v>#N/A</v>
      </c>
    </row>
    <row r="3264" spans="2:6" x14ac:dyDescent="0.25">
      <c r="B3264" s="3"/>
      <c r="C3264" s="3"/>
      <c r="D3264" s="3"/>
      <c r="E3264" s="3" t="e">
        <f t="shared" si="102"/>
        <v>#N/A</v>
      </c>
      <c r="F3264" s="3" t="e">
        <f t="shared" si="103"/>
        <v>#N/A</v>
      </c>
    </row>
    <row r="3265" spans="2:6" x14ac:dyDescent="0.25">
      <c r="B3265" s="3"/>
      <c r="C3265" s="3"/>
      <c r="D3265" s="3"/>
      <c r="E3265" s="3" t="e">
        <f t="shared" si="102"/>
        <v>#N/A</v>
      </c>
      <c r="F3265" s="3" t="e">
        <f t="shared" si="103"/>
        <v>#N/A</v>
      </c>
    </row>
    <row r="3266" spans="2:6" x14ac:dyDescent="0.25">
      <c r="B3266" s="3"/>
      <c r="C3266" s="3"/>
      <c r="D3266" s="3"/>
      <c r="E3266" s="3" t="e">
        <f t="shared" si="102"/>
        <v>#N/A</v>
      </c>
      <c r="F3266" s="3" t="e">
        <f t="shared" si="103"/>
        <v>#N/A</v>
      </c>
    </row>
    <row r="3267" spans="2:6" x14ac:dyDescent="0.25">
      <c r="B3267" s="3"/>
      <c r="C3267" s="3"/>
      <c r="D3267" s="3"/>
      <c r="E3267" s="3" t="e">
        <f t="shared" si="102"/>
        <v>#N/A</v>
      </c>
      <c r="F3267" s="3" t="e">
        <f t="shared" si="103"/>
        <v>#N/A</v>
      </c>
    </row>
    <row r="3268" spans="2:6" x14ac:dyDescent="0.25">
      <c r="B3268" s="3"/>
      <c r="C3268" s="3"/>
      <c r="D3268" s="3"/>
      <c r="E3268" s="3" t="e">
        <f t="shared" ref="E3268:E3331" si="104">VLOOKUP(C3268,I:J,2,0)</f>
        <v>#N/A</v>
      </c>
      <c r="F3268" s="3" t="e">
        <f t="shared" ref="F3268:F3331" si="105">E3268&amp;" "&amp;B3268</f>
        <v>#N/A</v>
      </c>
    </row>
    <row r="3269" spans="2:6" x14ac:dyDescent="0.25">
      <c r="B3269" s="3"/>
      <c r="C3269" s="3"/>
      <c r="D3269" s="3"/>
      <c r="E3269" s="3" t="e">
        <f t="shared" si="104"/>
        <v>#N/A</v>
      </c>
      <c r="F3269" s="3" t="e">
        <f t="shared" si="105"/>
        <v>#N/A</v>
      </c>
    </row>
    <row r="3270" spans="2:6" x14ac:dyDescent="0.25">
      <c r="B3270" s="3"/>
      <c r="C3270" s="3"/>
      <c r="D3270" s="3"/>
      <c r="E3270" s="3" t="e">
        <f t="shared" si="104"/>
        <v>#N/A</v>
      </c>
      <c r="F3270" s="3" t="e">
        <f t="shared" si="105"/>
        <v>#N/A</v>
      </c>
    </row>
    <row r="3271" spans="2:6" x14ac:dyDescent="0.25">
      <c r="B3271" s="3"/>
      <c r="C3271" s="3"/>
      <c r="D3271" s="3"/>
      <c r="E3271" s="3" t="e">
        <f t="shared" si="104"/>
        <v>#N/A</v>
      </c>
      <c r="F3271" s="3" t="e">
        <f t="shared" si="105"/>
        <v>#N/A</v>
      </c>
    </row>
    <row r="3272" spans="2:6" x14ac:dyDescent="0.25">
      <c r="B3272" s="3"/>
      <c r="C3272" s="3"/>
      <c r="D3272" s="3"/>
      <c r="E3272" s="3" t="e">
        <f t="shared" si="104"/>
        <v>#N/A</v>
      </c>
      <c r="F3272" s="3" t="e">
        <f t="shared" si="105"/>
        <v>#N/A</v>
      </c>
    </row>
    <row r="3273" spans="2:6" x14ac:dyDescent="0.25">
      <c r="B3273" s="3"/>
      <c r="C3273" s="3"/>
      <c r="D3273" s="3"/>
      <c r="E3273" s="3" t="e">
        <f t="shared" si="104"/>
        <v>#N/A</v>
      </c>
      <c r="F3273" s="3" t="e">
        <f t="shared" si="105"/>
        <v>#N/A</v>
      </c>
    </row>
    <row r="3274" spans="2:6" x14ac:dyDescent="0.25">
      <c r="B3274" s="3"/>
      <c r="C3274" s="3"/>
      <c r="D3274" s="3"/>
      <c r="E3274" s="3" t="e">
        <f t="shared" si="104"/>
        <v>#N/A</v>
      </c>
      <c r="F3274" s="3" t="e">
        <f t="shared" si="105"/>
        <v>#N/A</v>
      </c>
    </row>
    <row r="3275" spans="2:6" x14ac:dyDescent="0.25">
      <c r="B3275" s="3"/>
      <c r="C3275" s="3"/>
      <c r="D3275" s="3"/>
      <c r="E3275" s="3" t="e">
        <f t="shared" si="104"/>
        <v>#N/A</v>
      </c>
      <c r="F3275" s="3" t="e">
        <f t="shared" si="105"/>
        <v>#N/A</v>
      </c>
    </row>
    <row r="3276" spans="2:6" x14ac:dyDescent="0.25">
      <c r="B3276" s="3"/>
      <c r="C3276" s="3"/>
      <c r="D3276" s="3"/>
      <c r="E3276" s="3" t="e">
        <f t="shared" si="104"/>
        <v>#N/A</v>
      </c>
      <c r="F3276" s="3" t="e">
        <f t="shared" si="105"/>
        <v>#N/A</v>
      </c>
    </row>
    <row r="3277" spans="2:6" x14ac:dyDescent="0.25">
      <c r="B3277" s="3"/>
      <c r="C3277" s="3"/>
      <c r="D3277" s="3"/>
      <c r="E3277" s="3" t="e">
        <f t="shared" si="104"/>
        <v>#N/A</v>
      </c>
      <c r="F3277" s="3" t="e">
        <f t="shared" si="105"/>
        <v>#N/A</v>
      </c>
    </row>
    <row r="3278" spans="2:6" x14ac:dyDescent="0.25">
      <c r="B3278" s="3"/>
      <c r="C3278" s="3"/>
      <c r="D3278" s="3"/>
      <c r="E3278" s="3" t="e">
        <f t="shared" si="104"/>
        <v>#N/A</v>
      </c>
      <c r="F3278" s="3" t="e">
        <f t="shared" si="105"/>
        <v>#N/A</v>
      </c>
    </row>
    <row r="3279" spans="2:6" x14ac:dyDescent="0.25">
      <c r="B3279" s="3"/>
      <c r="C3279" s="3"/>
      <c r="D3279" s="3"/>
      <c r="E3279" s="3" t="e">
        <f t="shared" si="104"/>
        <v>#N/A</v>
      </c>
      <c r="F3279" s="3" t="e">
        <f t="shared" si="105"/>
        <v>#N/A</v>
      </c>
    </row>
    <row r="3280" spans="2:6" x14ac:dyDescent="0.25">
      <c r="B3280" s="3"/>
      <c r="C3280" s="3"/>
      <c r="D3280" s="3"/>
      <c r="E3280" s="3" t="e">
        <f t="shared" si="104"/>
        <v>#N/A</v>
      </c>
      <c r="F3280" s="3" t="e">
        <f t="shared" si="105"/>
        <v>#N/A</v>
      </c>
    </row>
    <row r="3281" spans="2:6" x14ac:dyDescent="0.25">
      <c r="B3281" s="3"/>
      <c r="C3281" s="3"/>
      <c r="D3281" s="3"/>
      <c r="E3281" s="3" t="e">
        <f t="shared" si="104"/>
        <v>#N/A</v>
      </c>
      <c r="F3281" s="3" t="e">
        <f t="shared" si="105"/>
        <v>#N/A</v>
      </c>
    </row>
    <row r="3282" spans="2:6" x14ac:dyDescent="0.25">
      <c r="B3282" s="3"/>
      <c r="C3282" s="3"/>
      <c r="D3282" s="3"/>
      <c r="E3282" s="3" t="e">
        <f t="shared" si="104"/>
        <v>#N/A</v>
      </c>
      <c r="F3282" s="3" t="e">
        <f t="shared" si="105"/>
        <v>#N/A</v>
      </c>
    </row>
    <row r="3283" spans="2:6" x14ac:dyDescent="0.25">
      <c r="B3283" s="3"/>
      <c r="C3283" s="3"/>
      <c r="D3283" s="3"/>
      <c r="E3283" s="3" t="e">
        <f t="shared" si="104"/>
        <v>#N/A</v>
      </c>
      <c r="F3283" s="3" t="e">
        <f t="shared" si="105"/>
        <v>#N/A</v>
      </c>
    </row>
    <row r="3284" spans="2:6" x14ac:dyDescent="0.25">
      <c r="B3284" s="3"/>
      <c r="C3284" s="3"/>
      <c r="D3284" s="3"/>
      <c r="E3284" s="3" t="e">
        <f t="shared" si="104"/>
        <v>#N/A</v>
      </c>
      <c r="F3284" s="3" t="e">
        <f t="shared" si="105"/>
        <v>#N/A</v>
      </c>
    </row>
    <row r="3285" spans="2:6" x14ac:dyDescent="0.25">
      <c r="B3285" s="3"/>
      <c r="C3285" s="3"/>
      <c r="D3285" s="3"/>
      <c r="E3285" s="3" t="e">
        <f t="shared" si="104"/>
        <v>#N/A</v>
      </c>
      <c r="F3285" s="3" t="e">
        <f t="shared" si="105"/>
        <v>#N/A</v>
      </c>
    </row>
    <row r="3286" spans="2:6" x14ac:dyDescent="0.25">
      <c r="B3286" s="3"/>
      <c r="C3286" s="3"/>
      <c r="D3286" s="3"/>
      <c r="E3286" s="3" t="e">
        <f t="shared" si="104"/>
        <v>#N/A</v>
      </c>
      <c r="F3286" s="3" t="e">
        <f t="shared" si="105"/>
        <v>#N/A</v>
      </c>
    </row>
    <row r="3287" spans="2:6" x14ac:dyDescent="0.25">
      <c r="B3287" s="3"/>
      <c r="C3287" s="3"/>
      <c r="D3287" s="3"/>
      <c r="E3287" s="3" t="e">
        <f t="shared" si="104"/>
        <v>#N/A</v>
      </c>
      <c r="F3287" s="3" t="e">
        <f t="shared" si="105"/>
        <v>#N/A</v>
      </c>
    </row>
    <row r="3288" spans="2:6" x14ac:dyDescent="0.25">
      <c r="B3288" s="3"/>
      <c r="C3288" s="3"/>
      <c r="D3288" s="3"/>
      <c r="E3288" s="3" t="e">
        <f t="shared" si="104"/>
        <v>#N/A</v>
      </c>
      <c r="F3288" s="3" t="e">
        <f t="shared" si="105"/>
        <v>#N/A</v>
      </c>
    </row>
    <row r="3289" spans="2:6" x14ac:dyDescent="0.25">
      <c r="B3289" s="3"/>
      <c r="C3289" s="3"/>
      <c r="D3289" s="3"/>
      <c r="E3289" s="3" t="e">
        <f t="shared" si="104"/>
        <v>#N/A</v>
      </c>
      <c r="F3289" s="3" t="e">
        <f t="shared" si="105"/>
        <v>#N/A</v>
      </c>
    </row>
    <row r="3290" spans="2:6" x14ac:dyDescent="0.25">
      <c r="B3290" s="3"/>
      <c r="C3290" s="3"/>
      <c r="D3290" s="3"/>
      <c r="E3290" s="3" t="e">
        <f t="shared" si="104"/>
        <v>#N/A</v>
      </c>
      <c r="F3290" s="3" t="e">
        <f t="shared" si="105"/>
        <v>#N/A</v>
      </c>
    </row>
    <row r="3291" spans="2:6" x14ac:dyDescent="0.25">
      <c r="B3291" s="3"/>
      <c r="C3291" s="3"/>
      <c r="D3291" s="3"/>
      <c r="E3291" s="3" t="e">
        <f t="shared" si="104"/>
        <v>#N/A</v>
      </c>
      <c r="F3291" s="3" t="e">
        <f t="shared" si="105"/>
        <v>#N/A</v>
      </c>
    </row>
    <row r="3292" spans="2:6" x14ac:dyDescent="0.25">
      <c r="B3292" s="3"/>
      <c r="C3292" s="3"/>
      <c r="D3292" s="3"/>
      <c r="E3292" s="3" t="e">
        <f t="shared" si="104"/>
        <v>#N/A</v>
      </c>
      <c r="F3292" s="3" t="e">
        <f t="shared" si="105"/>
        <v>#N/A</v>
      </c>
    </row>
    <row r="3293" spans="2:6" x14ac:dyDescent="0.25">
      <c r="B3293" s="3"/>
      <c r="C3293" s="3"/>
      <c r="D3293" s="3"/>
      <c r="E3293" s="3" t="e">
        <f t="shared" si="104"/>
        <v>#N/A</v>
      </c>
      <c r="F3293" s="3" t="e">
        <f t="shared" si="105"/>
        <v>#N/A</v>
      </c>
    </row>
    <row r="3294" spans="2:6" x14ac:dyDescent="0.25">
      <c r="B3294" s="3"/>
      <c r="C3294" s="3"/>
      <c r="D3294" s="3"/>
      <c r="E3294" s="3" t="e">
        <f t="shared" si="104"/>
        <v>#N/A</v>
      </c>
      <c r="F3294" s="3" t="e">
        <f t="shared" si="105"/>
        <v>#N/A</v>
      </c>
    </row>
    <row r="3295" spans="2:6" x14ac:dyDescent="0.25">
      <c r="B3295" s="3"/>
      <c r="C3295" s="3"/>
      <c r="D3295" s="3"/>
      <c r="E3295" s="3" t="e">
        <f t="shared" si="104"/>
        <v>#N/A</v>
      </c>
      <c r="F3295" s="3" t="e">
        <f t="shared" si="105"/>
        <v>#N/A</v>
      </c>
    </row>
    <row r="3296" spans="2:6" x14ac:dyDescent="0.25">
      <c r="B3296" s="3"/>
      <c r="C3296" s="3"/>
      <c r="D3296" s="3"/>
      <c r="E3296" s="3" t="e">
        <f t="shared" si="104"/>
        <v>#N/A</v>
      </c>
      <c r="F3296" s="3" t="e">
        <f t="shared" si="105"/>
        <v>#N/A</v>
      </c>
    </row>
    <row r="3297" spans="2:6" x14ac:dyDescent="0.25">
      <c r="B3297" s="3"/>
      <c r="C3297" s="3"/>
      <c r="D3297" s="3"/>
      <c r="E3297" s="3" t="e">
        <f t="shared" si="104"/>
        <v>#N/A</v>
      </c>
      <c r="F3297" s="3" t="e">
        <f t="shared" si="105"/>
        <v>#N/A</v>
      </c>
    </row>
    <row r="3298" spans="2:6" x14ac:dyDescent="0.25">
      <c r="B3298" s="3"/>
      <c r="C3298" s="3"/>
      <c r="D3298" s="3"/>
      <c r="E3298" s="3" t="e">
        <f t="shared" si="104"/>
        <v>#N/A</v>
      </c>
      <c r="F3298" s="3" t="e">
        <f t="shared" si="105"/>
        <v>#N/A</v>
      </c>
    </row>
    <row r="3299" spans="2:6" x14ac:dyDescent="0.25">
      <c r="B3299" s="3"/>
      <c r="C3299" s="3"/>
      <c r="D3299" s="3"/>
      <c r="E3299" s="3" t="e">
        <f t="shared" si="104"/>
        <v>#N/A</v>
      </c>
      <c r="F3299" s="3" t="e">
        <f t="shared" si="105"/>
        <v>#N/A</v>
      </c>
    </row>
    <row r="3300" spans="2:6" x14ac:dyDescent="0.25">
      <c r="B3300" s="3"/>
      <c r="C3300" s="3"/>
      <c r="D3300" s="3"/>
      <c r="E3300" s="3" t="e">
        <f t="shared" si="104"/>
        <v>#N/A</v>
      </c>
      <c r="F3300" s="3" t="e">
        <f t="shared" si="105"/>
        <v>#N/A</v>
      </c>
    </row>
    <row r="3301" spans="2:6" x14ac:dyDescent="0.25">
      <c r="B3301" s="3"/>
      <c r="C3301" s="3"/>
      <c r="D3301" s="3"/>
      <c r="E3301" s="3" t="e">
        <f t="shared" si="104"/>
        <v>#N/A</v>
      </c>
      <c r="F3301" s="3" t="e">
        <f t="shared" si="105"/>
        <v>#N/A</v>
      </c>
    </row>
    <row r="3302" spans="2:6" x14ac:dyDescent="0.25">
      <c r="B3302" s="3"/>
      <c r="C3302" s="3"/>
      <c r="D3302" s="3"/>
      <c r="E3302" s="3" t="e">
        <f t="shared" si="104"/>
        <v>#N/A</v>
      </c>
      <c r="F3302" s="3" t="e">
        <f t="shared" si="105"/>
        <v>#N/A</v>
      </c>
    </row>
    <row r="3303" spans="2:6" x14ac:dyDescent="0.25">
      <c r="B3303" s="3"/>
      <c r="C3303" s="3"/>
      <c r="D3303" s="3"/>
      <c r="E3303" s="3" t="e">
        <f t="shared" si="104"/>
        <v>#N/A</v>
      </c>
      <c r="F3303" s="3" t="e">
        <f t="shared" si="105"/>
        <v>#N/A</v>
      </c>
    </row>
    <row r="3304" spans="2:6" x14ac:dyDescent="0.25">
      <c r="B3304" s="3"/>
      <c r="C3304" s="3"/>
      <c r="D3304" s="3"/>
      <c r="E3304" s="3" t="e">
        <f t="shared" si="104"/>
        <v>#N/A</v>
      </c>
      <c r="F3304" s="3" t="e">
        <f t="shared" si="105"/>
        <v>#N/A</v>
      </c>
    </row>
    <row r="3305" spans="2:6" x14ac:dyDescent="0.25">
      <c r="B3305" s="3"/>
      <c r="C3305" s="3"/>
      <c r="D3305" s="3"/>
      <c r="E3305" s="3" t="e">
        <f t="shared" si="104"/>
        <v>#N/A</v>
      </c>
      <c r="F3305" s="3" t="e">
        <f t="shared" si="105"/>
        <v>#N/A</v>
      </c>
    </row>
    <row r="3306" spans="2:6" x14ac:dyDescent="0.25">
      <c r="B3306" s="3"/>
      <c r="C3306" s="3"/>
      <c r="D3306" s="3"/>
      <c r="E3306" s="3" t="e">
        <f t="shared" si="104"/>
        <v>#N/A</v>
      </c>
      <c r="F3306" s="3" t="e">
        <f t="shared" si="105"/>
        <v>#N/A</v>
      </c>
    </row>
    <row r="3307" spans="2:6" x14ac:dyDescent="0.25">
      <c r="B3307" s="3"/>
      <c r="C3307" s="3"/>
      <c r="D3307" s="3"/>
      <c r="E3307" s="3" t="e">
        <f t="shared" si="104"/>
        <v>#N/A</v>
      </c>
      <c r="F3307" s="3" t="e">
        <f t="shared" si="105"/>
        <v>#N/A</v>
      </c>
    </row>
    <row r="3308" spans="2:6" x14ac:dyDescent="0.25">
      <c r="B3308" s="3"/>
      <c r="C3308" s="3"/>
      <c r="D3308" s="3"/>
      <c r="E3308" s="3" t="e">
        <f t="shared" si="104"/>
        <v>#N/A</v>
      </c>
      <c r="F3308" s="3" t="e">
        <f t="shared" si="105"/>
        <v>#N/A</v>
      </c>
    </row>
    <row r="3309" spans="2:6" x14ac:dyDescent="0.25">
      <c r="B3309" s="3"/>
      <c r="C3309" s="3"/>
      <c r="D3309" s="3"/>
      <c r="E3309" s="3" t="e">
        <f t="shared" si="104"/>
        <v>#N/A</v>
      </c>
      <c r="F3309" s="3" t="e">
        <f t="shared" si="105"/>
        <v>#N/A</v>
      </c>
    </row>
    <row r="3310" spans="2:6" x14ac:dyDescent="0.25">
      <c r="B3310" s="3"/>
      <c r="C3310" s="3"/>
      <c r="D3310" s="3"/>
      <c r="E3310" s="3" t="e">
        <f t="shared" si="104"/>
        <v>#N/A</v>
      </c>
      <c r="F3310" s="3" t="e">
        <f t="shared" si="105"/>
        <v>#N/A</v>
      </c>
    </row>
    <row r="3311" spans="2:6" x14ac:dyDescent="0.25">
      <c r="B3311" s="3"/>
      <c r="C3311" s="3"/>
      <c r="D3311" s="3"/>
      <c r="E3311" s="3" t="e">
        <f t="shared" si="104"/>
        <v>#N/A</v>
      </c>
      <c r="F3311" s="3" t="e">
        <f t="shared" si="105"/>
        <v>#N/A</v>
      </c>
    </row>
    <row r="3312" spans="2:6" x14ac:dyDescent="0.25">
      <c r="B3312" s="3"/>
      <c r="C3312" s="3"/>
      <c r="D3312" s="3"/>
      <c r="E3312" s="3" t="e">
        <f t="shared" si="104"/>
        <v>#N/A</v>
      </c>
      <c r="F3312" s="3" t="e">
        <f t="shared" si="105"/>
        <v>#N/A</v>
      </c>
    </row>
    <row r="3313" spans="2:6" x14ac:dyDescent="0.25">
      <c r="B3313" s="3"/>
      <c r="C3313" s="3"/>
      <c r="D3313" s="3"/>
      <c r="E3313" s="3" t="e">
        <f t="shared" si="104"/>
        <v>#N/A</v>
      </c>
      <c r="F3313" s="3" t="e">
        <f t="shared" si="105"/>
        <v>#N/A</v>
      </c>
    </row>
    <row r="3314" spans="2:6" x14ac:dyDescent="0.25">
      <c r="B3314" s="3"/>
      <c r="C3314" s="3"/>
      <c r="D3314" s="3"/>
      <c r="E3314" s="3" t="e">
        <f t="shared" si="104"/>
        <v>#N/A</v>
      </c>
      <c r="F3314" s="3" t="e">
        <f t="shared" si="105"/>
        <v>#N/A</v>
      </c>
    </row>
    <row r="3315" spans="2:6" x14ac:dyDescent="0.25">
      <c r="B3315" s="3"/>
      <c r="C3315" s="3"/>
      <c r="D3315" s="3"/>
      <c r="E3315" s="3" t="e">
        <f t="shared" si="104"/>
        <v>#N/A</v>
      </c>
      <c r="F3315" s="3" t="e">
        <f t="shared" si="105"/>
        <v>#N/A</v>
      </c>
    </row>
    <row r="3316" spans="2:6" x14ac:dyDescent="0.25">
      <c r="B3316" s="3"/>
      <c r="C3316" s="3"/>
      <c r="D3316" s="3"/>
      <c r="E3316" s="3" t="e">
        <f t="shared" si="104"/>
        <v>#N/A</v>
      </c>
      <c r="F3316" s="3" t="e">
        <f t="shared" si="105"/>
        <v>#N/A</v>
      </c>
    </row>
    <row r="3317" spans="2:6" x14ac:dyDescent="0.25">
      <c r="B3317" s="3"/>
      <c r="C3317" s="3"/>
      <c r="D3317" s="3"/>
      <c r="E3317" s="3" t="e">
        <f t="shared" si="104"/>
        <v>#N/A</v>
      </c>
      <c r="F3317" s="3" t="e">
        <f t="shared" si="105"/>
        <v>#N/A</v>
      </c>
    </row>
    <row r="3318" spans="2:6" x14ac:dyDescent="0.25">
      <c r="B3318" s="3"/>
      <c r="C3318" s="3"/>
      <c r="D3318" s="3"/>
      <c r="E3318" s="3" t="e">
        <f t="shared" si="104"/>
        <v>#N/A</v>
      </c>
      <c r="F3318" s="3" t="e">
        <f t="shared" si="105"/>
        <v>#N/A</v>
      </c>
    </row>
    <row r="3319" spans="2:6" x14ac:dyDescent="0.25">
      <c r="B3319" s="3"/>
      <c r="C3319" s="3"/>
      <c r="D3319" s="3"/>
      <c r="E3319" s="3" t="e">
        <f t="shared" si="104"/>
        <v>#N/A</v>
      </c>
      <c r="F3319" s="3" t="e">
        <f t="shared" si="105"/>
        <v>#N/A</v>
      </c>
    </row>
    <row r="3320" spans="2:6" x14ac:dyDescent="0.25">
      <c r="B3320" s="3"/>
      <c r="C3320" s="3"/>
      <c r="D3320" s="3"/>
      <c r="E3320" s="3" t="e">
        <f t="shared" si="104"/>
        <v>#N/A</v>
      </c>
      <c r="F3320" s="3" t="e">
        <f t="shared" si="105"/>
        <v>#N/A</v>
      </c>
    </row>
    <row r="3321" spans="2:6" x14ac:dyDescent="0.25">
      <c r="B3321" s="3"/>
      <c r="C3321" s="3"/>
      <c r="D3321" s="3"/>
      <c r="E3321" s="3" t="e">
        <f t="shared" si="104"/>
        <v>#N/A</v>
      </c>
      <c r="F3321" s="3" t="e">
        <f t="shared" si="105"/>
        <v>#N/A</v>
      </c>
    </row>
    <row r="3322" spans="2:6" x14ac:dyDescent="0.25">
      <c r="B3322" s="3"/>
      <c r="C3322" s="3"/>
      <c r="D3322" s="3"/>
      <c r="E3322" s="3" t="e">
        <f t="shared" si="104"/>
        <v>#N/A</v>
      </c>
      <c r="F3322" s="3" t="e">
        <f t="shared" si="105"/>
        <v>#N/A</v>
      </c>
    </row>
    <row r="3323" spans="2:6" x14ac:dyDescent="0.25">
      <c r="B3323" s="3"/>
      <c r="C3323" s="3"/>
      <c r="D3323" s="3"/>
      <c r="E3323" s="3" t="e">
        <f t="shared" si="104"/>
        <v>#N/A</v>
      </c>
      <c r="F3323" s="3" t="e">
        <f t="shared" si="105"/>
        <v>#N/A</v>
      </c>
    </row>
    <row r="3324" spans="2:6" x14ac:dyDescent="0.25">
      <c r="B3324" s="3"/>
      <c r="C3324" s="3"/>
      <c r="D3324" s="3"/>
      <c r="E3324" s="3" t="e">
        <f t="shared" si="104"/>
        <v>#N/A</v>
      </c>
      <c r="F3324" s="3" t="e">
        <f t="shared" si="105"/>
        <v>#N/A</v>
      </c>
    </row>
    <row r="3325" spans="2:6" x14ac:dyDescent="0.25">
      <c r="B3325" s="3"/>
      <c r="C3325" s="3"/>
      <c r="D3325" s="3"/>
      <c r="E3325" s="3" t="e">
        <f t="shared" si="104"/>
        <v>#N/A</v>
      </c>
      <c r="F3325" s="3" t="e">
        <f t="shared" si="105"/>
        <v>#N/A</v>
      </c>
    </row>
    <row r="3326" spans="2:6" x14ac:dyDescent="0.25">
      <c r="B3326" s="3"/>
      <c r="C3326" s="3"/>
      <c r="D3326" s="3"/>
      <c r="E3326" s="3" t="e">
        <f t="shared" si="104"/>
        <v>#N/A</v>
      </c>
      <c r="F3326" s="3" t="e">
        <f t="shared" si="105"/>
        <v>#N/A</v>
      </c>
    </row>
    <row r="3327" spans="2:6" x14ac:dyDescent="0.25">
      <c r="B3327" s="3"/>
      <c r="C3327" s="3"/>
      <c r="D3327" s="3"/>
      <c r="E3327" s="3" t="e">
        <f t="shared" si="104"/>
        <v>#N/A</v>
      </c>
      <c r="F3327" s="3" t="e">
        <f t="shared" si="105"/>
        <v>#N/A</v>
      </c>
    </row>
    <row r="3328" spans="2:6" x14ac:dyDescent="0.25">
      <c r="B3328" s="3"/>
      <c r="C3328" s="3"/>
      <c r="D3328" s="3"/>
      <c r="E3328" s="3" t="e">
        <f t="shared" si="104"/>
        <v>#N/A</v>
      </c>
      <c r="F3328" s="3" t="e">
        <f t="shared" si="105"/>
        <v>#N/A</v>
      </c>
    </row>
    <row r="3329" spans="2:6" x14ac:dyDescent="0.25">
      <c r="B3329" s="3"/>
      <c r="C3329" s="3"/>
      <c r="D3329" s="3"/>
      <c r="E3329" s="3" t="e">
        <f t="shared" si="104"/>
        <v>#N/A</v>
      </c>
      <c r="F3329" s="3" t="e">
        <f t="shared" si="105"/>
        <v>#N/A</v>
      </c>
    </row>
    <row r="3330" spans="2:6" x14ac:dyDescent="0.25">
      <c r="B3330" s="3"/>
      <c r="C3330" s="3"/>
      <c r="D3330" s="3"/>
      <c r="E3330" s="3" t="e">
        <f t="shared" si="104"/>
        <v>#N/A</v>
      </c>
      <c r="F3330" s="3" t="e">
        <f t="shared" si="105"/>
        <v>#N/A</v>
      </c>
    </row>
    <row r="3331" spans="2:6" x14ac:dyDescent="0.25">
      <c r="B3331" s="3"/>
      <c r="C3331" s="3"/>
      <c r="D3331" s="3"/>
      <c r="E3331" s="3" t="e">
        <f t="shared" si="104"/>
        <v>#N/A</v>
      </c>
      <c r="F3331" s="3" t="e">
        <f t="shared" si="105"/>
        <v>#N/A</v>
      </c>
    </row>
    <row r="3332" spans="2:6" x14ac:dyDescent="0.25">
      <c r="B3332" s="3"/>
      <c r="C3332" s="3"/>
      <c r="D3332" s="3"/>
      <c r="E3332" s="3" t="e">
        <f t="shared" ref="E3332:E3395" si="106">VLOOKUP(C3332,I:J,2,0)</f>
        <v>#N/A</v>
      </c>
      <c r="F3332" s="3" t="e">
        <f t="shared" ref="F3332:F3395" si="107">E3332&amp;" "&amp;B3332</f>
        <v>#N/A</v>
      </c>
    </row>
    <row r="3333" spans="2:6" x14ac:dyDescent="0.25">
      <c r="B3333" s="3"/>
      <c r="C3333" s="3"/>
      <c r="D3333" s="3"/>
      <c r="E3333" s="3" t="e">
        <f t="shared" si="106"/>
        <v>#N/A</v>
      </c>
      <c r="F3333" s="3" t="e">
        <f t="shared" si="107"/>
        <v>#N/A</v>
      </c>
    </row>
    <row r="3334" spans="2:6" x14ac:dyDescent="0.25">
      <c r="B3334" s="3"/>
      <c r="C3334" s="3"/>
      <c r="D3334" s="3"/>
      <c r="E3334" s="3" t="e">
        <f t="shared" si="106"/>
        <v>#N/A</v>
      </c>
      <c r="F3334" s="3" t="e">
        <f t="shared" si="107"/>
        <v>#N/A</v>
      </c>
    </row>
    <row r="3335" spans="2:6" x14ac:dyDescent="0.25">
      <c r="B3335" s="3"/>
      <c r="C3335" s="3"/>
      <c r="D3335" s="3"/>
      <c r="E3335" s="3" t="e">
        <f t="shared" si="106"/>
        <v>#N/A</v>
      </c>
      <c r="F3335" s="3" t="e">
        <f t="shared" si="107"/>
        <v>#N/A</v>
      </c>
    </row>
    <row r="3336" spans="2:6" x14ac:dyDescent="0.25">
      <c r="B3336" s="3"/>
      <c r="C3336" s="3"/>
      <c r="D3336" s="3"/>
      <c r="E3336" s="3" t="e">
        <f t="shared" si="106"/>
        <v>#N/A</v>
      </c>
      <c r="F3336" s="3" t="e">
        <f t="shared" si="107"/>
        <v>#N/A</v>
      </c>
    </row>
    <row r="3337" spans="2:6" x14ac:dyDescent="0.25">
      <c r="B3337" s="3"/>
      <c r="C3337" s="3"/>
      <c r="D3337" s="3"/>
      <c r="E3337" s="3" t="e">
        <f t="shared" si="106"/>
        <v>#N/A</v>
      </c>
      <c r="F3337" s="3" t="e">
        <f t="shared" si="107"/>
        <v>#N/A</v>
      </c>
    </row>
    <row r="3338" spans="2:6" x14ac:dyDescent="0.25">
      <c r="B3338" s="3"/>
      <c r="C3338" s="3"/>
      <c r="D3338" s="3"/>
      <c r="E3338" s="3" t="e">
        <f t="shared" si="106"/>
        <v>#N/A</v>
      </c>
      <c r="F3338" s="3" t="e">
        <f t="shared" si="107"/>
        <v>#N/A</v>
      </c>
    </row>
    <row r="3339" spans="2:6" x14ac:dyDescent="0.25">
      <c r="B3339" s="3"/>
      <c r="C3339" s="3"/>
      <c r="D3339" s="3"/>
      <c r="E3339" s="3" t="e">
        <f t="shared" si="106"/>
        <v>#N/A</v>
      </c>
      <c r="F3339" s="3" t="e">
        <f t="shared" si="107"/>
        <v>#N/A</v>
      </c>
    </row>
    <row r="3340" spans="2:6" x14ac:dyDescent="0.25">
      <c r="B3340" s="3"/>
      <c r="C3340" s="3"/>
      <c r="D3340" s="3"/>
      <c r="E3340" s="3" t="e">
        <f t="shared" si="106"/>
        <v>#N/A</v>
      </c>
      <c r="F3340" s="3" t="e">
        <f t="shared" si="107"/>
        <v>#N/A</v>
      </c>
    </row>
    <row r="3341" spans="2:6" x14ac:dyDescent="0.25">
      <c r="B3341" s="3"/>
      <c r="C3341" s="3"/>
      <c r="D3341" s="3"/>
      <c r="E3341" s="3" t="e">
        <f t="shared" si="106"/>
        <v>#N/A</v>
      </c>
      <c r="F3341" s="3" t="e">
        <f t="shared" si="107"/>
        <v>#N/A</v>
      </c>
    </row>
    <row r="3342" spans="2:6" x14ac:dyDescent="0.25">
      <c r="B3342" s="3"/>
      <c r="C3342" s="3"/>
      <c r="D3342" s="3"/>
      <c r="E3342" s="3" t="e">
        <f t="shared" si="106"/>
        <v>#N/A</v>
      </c>
      <c r="F3342" s="3" t="e">
        <f t="shared" si="107"/>
        <v>#N/A</v>
      </c>
    </row>
    <row r="3343" spans="2:6" x14ac:dyDescent="0.25">
      <c r="B3343" s="3"/>
      <c r="C3343" s="3"/>
      <c r="D3343" s="3"/>
      <c r="E3343" s="3" t="e">
        <f t="shared" si="106"/>
        <v>#N/A</v>
      </c>
      <c r="F3343" s="3" t="e">
        <f t="shared" si="107"/>
        <v>#N/A</v>
      </c>
    </row>
    <row r="3344" spans="2:6" x14ac:dyDescent="0.25">
      <c r="B3344" s="3"/>
      <c r="C3344" s="3"/>
      <c r="D3344" s="3"/>
      <c r="E3344" s="3" t="e">
        <f t="shared" si="106"/>
        <v>#N/A</v>
      </c>
      <c r="F3344" s="3" t="e">
        <f t="shared" si="107"/>
        <v>#N/A</v>
      </c>
    </row>
    <row r="3345" spans="2:6" x14ac:dyDescent="0.25">
      <c r="B3345" s="3"/>
      <c r="C3345" s="3"/>
      <c r="D3345" s="3"/>
      <c r="E3345" s="3" t="e">
        <f t="shared" si="106"/>
        <v>#N/A</v>
      </c>
      <c r="F3345" s="3" t="e">
        <f t="shared" si="107"/>
        <v>#N/A</v>
      </c>
    </row>
    <row r="3346" spans="2:6" x14ac:dyDescent="0.25">
      <c r="B3346" s="3"/>
      <c r="C3346" s="3"/>
      <c r="D3346" s="3"/>
      <c r="E3346" s="3" t="e">
        <f t="shared" si="106"/>
        <v>#N/A</v>
      </c>
      <c r="F3346" s="3" t="e">
        <f t="shared" si="107"/>
        <v>#N/A</v>
      </c>
    </row>
    <row r="3347" spans="2:6" x14ac:dyDescent="0.25">
      <c r="B3347" s="3"/>
      <c r="C3347" s="3"/>
      <c r="D3347" s="3"/>
      <c r="E3347" s="3" t="e">
        <f t="shared" si="106"/>
        <v>#N/A</v>
      </c>
      <c r="F3347" s="3" t="e">
        <f t="shared" si="107"/>
        <v>#N/A</v>
      </c>
    </row>
    <row r="3348" spans="2:6" x14ac:dyDescent="0.25">
      <c r="B3348" s="3"/>
      <c r="C3348" s="3"/>
      <c r="D3348" s="3"/>
      <c r="E3348" s="3" t="e">
        <f t="shared" si="106"/>
        <v>#N/A</v>
      </c>
      <c r="F3348" s="3" t="e">
        <f t="shared" si="107"/>
        <v>#N/A</v>
      </c>
    </row>
    <row r="3349" spans="2:6" x14ac:dyDescent="0.25">
      <c r="B3349" s="3"/>
      <c r="C3349" s="3"/>
      <c r="D3349" s="3"/>
      <c r="E3349" s="3" t="e">
        <f t="shared" si="106"/>
        <v>#N/A</v>
      </c>
      <c r="F3349" s="3" t="e">
        <f t="shared" si="107"/>
        <v>#N/A</v>
      </c>
    </row>
    <row r="3350" spans="2:6" x14ac:dyDescent="0.25">
      <c r="B3350" s="3"/>
      <c r="C3350" s="3"/>
      <c r="D3350" s="3"/>
      <c r="E3350" s="3" t="e">
        <f t="shared" si="106"/>
        <v>#N/A</v>
      </c>
      <c r="F3350" s="3" t="e">
        <f t="shared" si="107"/>
        <v>#N/A</v>
      </c>
    </row>
    <row r="3351" spans="2:6" x14ac:dyDescent="0.25">
      <c r="B3351" s="3"/>
      <c r="C3351" s="3"/>
      <c r="D3351" s="3"/>
      <c r="E3351" s="3" t="e">
        <f t="shared" si="106"/>
        <v>#N/A</v>
      </c>
      <c r="F3351" s="3" t="e">
        <f t="shared" si="107"/>
        <v>#N/A</v>
      </c>
    </row>
    <row r="3352" spans="2:6" x14ac:dyDescent="0.25">
      <c r="B3352" s="3"/>
      <c r="C3352" s="3"/>
      <c r="D3352" s="3"/>
      <c r="E3352" s="3" t="e">
        <f t="shared" si="106"/>
        <v>#N/A</v>
      </c>
      <c r="F3352" s="3" t="e">
        <f t="shared" si="107"/>
        <v>#N/A</v>
      </c>
    </row>
    <row r="3353" spans="2:6" x14ac:dyDescent="0.25">
      <c r="B3353" s="3"/>
      <c r="C3353" s="3"/>
      <c r="D3353" s="3"/>
      <c r="E3353" s="3" t="e">
        <f t="shared" si="106"/>
        <v>#N/A</v>
      </c>
      <c r="F3353" s="3" t="e">
        <f t="shared" si="107"/>
        <v>#N/A</v>
      </c>
    </row>
    <row r="3354" spans="2:6" x14ac:dyDescent="0.25">
      <c r="B3354" s="3"/>
      <c r="C3354" s="3"/>
      <c r="D3354" s="3"/>
      <c r="E3354" s="3" t="e">
        <f t="shared" si="106"/>
        <v>#N/A</v>
      </c>
      <c r="F3354" s="3" t="e">
        <f t="shared" si="107"/>
        <v>#N/A</v>
      </c>
    </row>
    <row r="3355" spans="2:6" x14ac:dyDescent="0.25">
      <c r="B3355" s="3"/>
      <c r="C3355" s="3"/>
      <c r="D3355" s="3"/>
      <c r="E3355" s="3" t="e">
        <f t="shared" si="106"/>
        <v>#N/A</v>
      </c>
      <c r="F3355" s="3" t="e">
        <f t="shared" si="107"/>
        <v>#N/A</v>
      </c>
    </row>
    <row r="3356" spans="2:6" x14ac:dyDescent="0.25">
      <c r="B3356" s="3"/>
      <c r="C3356" s="3"/>
      <c r="D3356" s="3"/>
      <c r="E3356" s="3" t="e">
        <f t="shared" si="106"/>
        <v>#N/A</v>
      </c>
      <c r="F3356" s="3" t="e">
        <f t="shared" si="107"/>
        <v>#N/A</v>
      </c>
    </row>
    <row r="3357" spans="2:6" x14ac:dyDescent="0.25">
      <c r="B3357" s="3"/>
      <c r="C3357" s="3"/>
      <c r="D3357" s="3"/>
      <c r="E3357" s="3" t="e">
        <f t="shared" si="106"/>
        <v>#N/A</v>
      </c>
      <c r="F3357" s="3" t="e">
        <f t="shared" si="107"/>
        <v>#N/A</v>
      </c>
    </row>
    <row r="3358" spans="2:6" x14ac:dyDescent="0.25">
      <c r="B3358" s="3"/>
      <c r="C3358" s="3"/>
      <c r="D3358" s="3"/>
      <c r="E3358" s="3" t="e">
        <f t="shared" si="106"/>
        <v>#N/A</v>
      </c>
      <c r="F3358" s="3" t="e">
        <f t="shared" si="107"/>
        <v>#N/A</v>
      </c>
    </row>
    <row r="3359" spans="2:6" x14ac:dyDescent="0.25">
      <c r="B3359" s="3"/>
      <c r="C3359" s="3"/>
      <c r="D3359" s="3"/>
      <c r="E3359" s="3" t="e">
        <f t="shared" si="106"/>
        <v>#N/A</v>
      </c>
      <c r="F3359" s="3" t="e">
        <f t="shared" si="107"/>
        <v>#N/A</v>
      </c>
    </row>
    <row r="3360" spans="2:6" x14ac:dyDescent="0.25">
      <c r="B3360" s="3"/>
      <c r="C3360" s="3"/>
      <c r="D3360" s="3"/>
      <c r="E3360" s="3" t="e">
        <f t="shared" si="106"/>
        <v>#N/A</v>
      </c>
      <c r="F3360" s="3" t="e">
        <f t="shared" si="107"/>
        <v>#N/A</v>
      </c>
    </row>
    <row r="3361" spans="2:6" x14ac:dyDescent="0.25">
      <c r="B3361" s="3"/>
      <c r="C3361" s="3"/>
      <c r="D3361" s="3"/>
      <c r="E3361" s="3" t="e">
        <f t="shared" si="106"/>
        <v>#N/A</v>
      </c>
      <c r="F3361" s="3" t="e">
        <f t="shared" si="107"/>
        <v>#N/A</v>
      </c>
    </row>
    <row r="3362" spans="2:6" x14ac:dyDescent="0.25">
      <c r="B3362" s="3"/>
      <c r="C3362" s="3"/>
      <c r="D3362" s="3"/>
      <c r="E3362" s="3" t="e">
        <f t="shared" si="106"/>
        <v>#N/A</v>
      </c>
      <c r="F3362" s="3" t="e">
        <f t="shared" si="107"/>
        <v>#N/A</v>
      </c>
    </row>
    <row r="3363" spans="2:6" x14ac:dyDescent="0.25">
      <c r="B3363" s="3"/>
      <c r="C3363" s="3"/>
      <c r="D3363" s="3"/>
      <c r="E3363" s="3" t="e">
        <f t="shared" si="106"/>
        <v>#N/A</v>
      </c>
      <c r="F3363" s="3" t="e">
        <f t="shared" si="107"/>
        <v>#N/A</v>
      </c>
    </row>
    <row r="3364" spans="2:6" x14ac:dyDescent="0.25">
      <c r="B3364" s="3"/>
      <c r="C3364" s="3"/>
      <c r="D3364" s="3"/>
      <c r="E3364" s="3" t="e">
        <f t="shared" si="106"/>
        <v>#N/A</v>
      </c>
      <c r="F3364" s="3" t="e">
        <f t="shared" si="107"/>
        <v>#N/A</v>
      </c>
    </row>
    <row r="3365" spans="2:6" x14ac:dyDescent="0.25">
      <c r="B3365" s="3"/>
      <c r="C3365" s="3"/>
      <c r="D3365" s="3"/>
      <c r="E3365" s="3" t="e">
        <f t="shared" si="106"/>
        <v>#N/A</v>
      </c>
      <c r="F3365" s="3" t="e">
        <f t="shared" si="107"/>
        <v>#N/A</v>
      </c>
    </row>
    <row r="3366" spans="2:6" x14ac:dyDescent="0.25">
      <c r="B3366" s="3"/>
      <c r="C3366" s="3"/>
      <c r="D3366" s="3"/>
      <c r="E3366" s="3" t="e">
        <f t="shared" si="106"/>
        <v>#N/A</v>
      </c>
      <c r="F3366" s="3" t="e">
        <f t="shared" si="107"/>
        <v>#N/A</v>
      </c>
    </row>
    <row r="3367" spans="2:6" x14ac:dyDescent="0.25">
      <c r="B3367" s="3"/>
      <c r="C3367" s="3"/>
      <c r="D3367" s="3"/>
      <c r="E3367" s="3" t="e">
        <f t="shared" si="106"/>
        <v>#N/A</v>
      </c>
      <c r="F3367" s="3" t="e">
        <f t="shared" si="107"/>
        <v>#N/A</v>
      </c>
    </row>
    <row r="3368" spans="2:6" x14ac:dyDescent="0.25">
      <c r="B3368" s="3"/>
      <c r="C3368" s="3"/>
      <c r="D3368" s="3"/>
      <c r="E3368" s="3" t="e">
        <f t="shared" si="106"/>
        <v>#N/A</v>
      </c>
      <c r="F3368" s="3" t="e">
        <f t="shared" si="107"/>
        <v>#N/A</v>
      </c>
    </row>
    <row r="3369" spans="2:6" x14ac:dyDescent="0.25">
      <c r="B3369" s="3"/>
      <c r="C3369" s="3"/>
      <c r="D3369" s="3"/>
      <c r="E3369" s="3" t="e">
        <f t="shared" si="106"/>
        <v>#N/A</v>
      </c>
      <c r="F3369" s="3" t="e">
        <f t="shared" si="107"/>
        <v>#N/A</v>
      </c>
    </row>
    <row r="3370" spans="2:6" x14ac:dyDescent="0.25">
      <c r="B3370" s="3"/>
      <c r="C3370" s="3"/>
      <c r="D3370" s="3"/>
      <c r="E3370" s="3" t="e">
        <f t="shared" si="106"/>
        <v>#N/A</v>
      </c>
      <c r="F3370" s="3" t="e">
        <f t="shared" si="107"/>
        <v>#N/A</v>
      </c>
    </row>
    <row r="3371" spans="2:6" x14ac:dyDescent="0.25">
      <c r="B3371" s="3"/>
      <c r="C3371" s="3"/>
      <c r="D3371" s="3"/>
      <c r="E3371" s="3" t="e">
        <f t="shared" si="106"/>
        <v>#N/A</v>
      </c>
      <c r="F3371" s="3" t="e">
        <f t="shared" si="107"/>
        <v>#N/A</v>
      </c>
    </row>
    <row r="3372" spans="2:6" x14ac:dyDescent="0.25">
      <c r="B3372" s="3"/>
      <c r="C3372" s="3"/>
      <c r="D3372" s="3"/>
      <c r="E3372" s="3" t="e">
        <f t="shared" si="106"/>
        <v>#N/A</v>
      </c>
      <c r="F3372" s="3" t="e">
        <f t="shared" si="107"/>
        <v>#N/A</v>
      </c>
    </row>
    <row r="3373" spans="2:6" x14ac:dyDescent="0.25">
      <c r="B3373" s="3"/>
      <c r="C3373" s="3"/>
      <c r="D3373" s="3"/>
      <c r="E3373" s="3" t="e">
        <f t="shared" si="106"/>
        <v>#N/A</v>
      </c>
      <c r="F3373" s="3" t="e">
        <f t="shared" si="107"/>
        <v>#N/A</v>
      </c>
    </row>
    <row r="3374" spans="2:6" x14ac:dyDescent="0.25">
      <c r="B3374" s="3"/>
      <c r="C3374" s="3"/>
      <c r="D3374" s="3"/>
      <c r="E3374" s="3" t="e">
        <f t="shared" si="106"/>
        <v>#N/A</v>
      </c>
      <c r="F3374" s="3" t="e">
        <f t="shared" si="107"/>
        <v>#N/A</v>
      </c>
    </row>
    <row r="3375" spans="2:6" x14ac:dyDescent="0.25">
      <c r="B3375" s="3"/>
      <c r="C3375" s="3"/>
      <c r="D3375" s="3"/>
      <c r="E3375" s="3" t="e">
        <f t="shared" si="106"/>
        <v>#N/A</v>
      </c>
      <c r="F3375" s="3" t="e">
        <f t="shared" si="107"/>
        <v>#N/A</v>
      </c>
    </row>
    <row r="3376" spans="2:6" x14ac:dyDescent="0.25">
      <c r="B3376" s="3"/>
      <c r="C3376" s="3"/>
      <c r="D3376" s="3"/>
      <c r="E3376" s="3" t="e">
        <f t="shared" si="106"/>
        <v>#N/A</v>
      </c>
      <c r="F3376" s="3" t="e">
        <f t="shared" si="107"/>
        <v>#N/A</v>
      </c>
    </row>
    <row r="3377" spans="2:6" x14ac:dyDescent="0.25">
      <c r="B3377" s="3"/>
      <c r="C3377" s="3"/>
      <c r="D3377" s="3"/>
      <c r="E3377" s="3" t="e">
        <f t="shared" si="106"/>
        <v>#N/A</v>
      </c>
      <c r="F3377" s="3" t="e">
        <f t="shared" si="107"/>
        <v>#N/A</v>
      </c>
    </row>
    <row r="3378" spans="2:6" x14ac:dyDescent="0.25">
      <c r="B3378" s="3"/>
      <c r="C3378" s="3"/>
      <c r="D3378" s="3"/>
      <c r="E3378" s="3" t="e">
        <f t="shared" si="106"/>
        <v>#N/A</v>
      </c>
      <c r="F3378" s="3" t="e">
        <f t="shared" si="107"/>
        <v>#N/A</v>
      </c>
    </row>
    <row r="3379" spans="2:6" x14ac:dyDescent="0.25">
      <c r="B3379" s="3"/>
      <c r="C3379" s="3"/>
      <c r="D3379" s="3"/>
      <c r="E3379" s="3" t="e">
        <f t="shared" si="106"/>
        <v>#N/A</v>
      </c>
      <c r="F3379" s="3" t="e">
        <f t="shared" si="107"/>
        <v>#N/A</v>
      </c>
    </row>
    <row r="3380" spans="2:6" x14ac:dyDescent="0.25">
      <c r="B3380" s="3"/>
      <c r="C3380" s="3"/>
      <c r="D3380" s="3"/>
      <c r="E3380" s="3" t="e">
        <f t="shared" si="106"/>
        <v>#N/A</v>
      </c>
      <c r="F3380" s="3" t="e">
        <f t="shared" si="107"/>
        <v>#N/A</v>
      </c>
    </row>
    <row r="3381" spans="2:6" x14ac:dyDescent="0.25">
      <c r="B3381" s="3"/>
      <c r="C3381" s="3"/>
      <c r="D3381" s="3"/>
      <c r="E3381" s="3" t="e">
        <f t="shared" si="106"/>
        <v>#N/A</v>
      </c>
      <c r="F3381" s="3" t="e">
        <f t="shared" si="107"/>
        <v>#N/A</v>
      </c>
    </row>
    <row r="3382" spans="2:6" x14ac:dyDescent="0.25">
      <c r="B3382" s="3"/>
      <c r="C3382" s="3"/>
      <c r="D3382" s="3"/>
      <c r="E3382" s="3" t="e">
        <f t="shared" si="106"/>
        <v>#N/A</v>
      </c>
      <c r="F3382" s="3" t="e">
        <f t="shared" si="107"/>
        <v>#N/A</v>
      </c>
    </row>
    <row r="3383" spans="2:6" x14ac:dyDescent="0.25">
      <c r="B3383" s="3"/>
      <c r="C3383" s="3"/>
      <c r="D3383" s="3"/>
      <c r="E3383" s="3" t="e">
        <f t="shared" si="106"/>
        <v>#N/A</v>
      </c>
      <c r="F3383" s="3" t="e">
        <f t="shared" si="107"/>
        <v>#N/A</v>
      </c>
    </row>
    <row r="3384" spans="2:6" x14ac:dyDescent="0.25">
      <c r="B3384" s="3"/>
      <c r="C3384" s="3"/>
      <c r="D3384" s="3"/>
      <c r="E3384" s="3" t="e">
        <f t="shared" si="106"/>
        <v>#N/A</v>
      </c>
      <c r="F3384" s="3" t="e">
        <f t="shared" si="107"/>
        <v>#N/A</v>
      </c>
    </row>
    <row r="3385" spans="2:6" x14ac:dyDescent="0.25">
      <c r="B3385" s="3"/>
      <c r="C3385" s="3"/>
      <c r="D3385" s="3"/>
      <c r="E3385" s="3" t="e">
        <f t="shared" si="106"/>
        <v>#N/A</v>
      </c>
      <c r="F3385" s="3" t="e">
        <f t="shared" si="107"/>
        <v>#N/A</v>
      </c>
    </row>
    <row r="3386" spans="2:6" x14ac:dyDescent="0.25">
      <c r="B3386" s="3"/>
      <c r="C3386" s="3"/>
      <c r="D3386" s="3"/>
      <c r="E3386" s="3" t="e">
        <f t="shared" si="106"/>
        <v>#N/A</v>
      </c>
      <c r="F3386" s="3" t="e">
        <f t="shared" si="107"/>
        <v>#N/A</v>
      </c>
    </row>
    <row r="3387" spans="2:6" x14ac:dyDescent="0.25">
      <c r="B3387" s="3"/>
      <c r="C3387" s="3"/>
      <c r="D3387" s="3"/>
      <c r="E3387" s="3" t="e">
        <f t="shared" si="106"/>
        <v>#N/A</v>
      </c>
      <c r="F3387" s="3" t="e">
        <f t="shared" si="107"/>
        <v>#N/A</v>
      </c>
    </row>
    <row r="3388" spans="2:6" x14ac:dyDescent="0.25">
      <c r="B3388" s="3"/>
      <c r="C3388" s="3"/>
      <c r="D3388" s="3"/>
      <c r="E3388" s="3" t="e">
        <f t="shared" si="106"/>
        <v>#N/A</v>
      </c>
      <c r="F3388" s="3" t="e">
        <f t="shared" si="107"/>
        <v>#N/A</v>
      </c>
    </row>
    <row r="3389" spans="2:6" x14ac:dyDescent="0.25">
      <c r="B3389" s="3"/>
      <c r="C3389" s="3"/>
      <c r="D3389" s="3"/>
      <c r="E3389" s="3" t="e">
        <f t="shared" si="106"/>
        <v>#N/A</v>
      </c>
      <c r="F3389" s="3" t="e">
        <f t="shared" si="107"/>
        <v>#N/A</v>
      </c>
    </row>
    <row r="3390" spans="2:6" x14ac:dyDescent="0.25">
      <c r="B3390" s="3"/>
      <c r="C3390" s="3"/>
      <c r="D3390" s="3"/>
      <c r="E3390" s="3" t="e">
        <f t="shared" si="106"/>
        <v>#N/A</v>
      </c>
      <c r="F3390" s="3" t="e">
        <f t="shared" si="107"/>
        <v>#N/A</v>
      </c>
    </row>
    <row r="3391" spans="2:6" x14ac:dyDescent="0.25">
      <c r="B3391" s="3"/>
      <c r="C3391" s="3"/>
      <c r="D3391" s="3"/>
      <c r="E3391" s="3" t="e">
        <f t="shared" si="106"/>
        <v>#N/A</v>
      </c>
      <c r="F3391" s="3" t="e">
        <f t="shared" si="107"/>
        <v>#N/A</v>
      </c>
    </row>
    <row r="3392" spans="2:6" x14ac:dyDescent="0.25">
      <c r="B3392" s="3"/>
      <c r="C3392" s="3"/>
      <c r="D3392" s="3"/>
      <c r="E3392" s="3" t="e">
        <f t="shared" si="106"/>
        <v>#N/A</v>
      </c>
      <c r="F3392" s="3" t="e">
        <f t="shared" si="107"/>
        <v>#N/A</v>
      </c>
    </row>
    <row r="3393" spans="2:6" x14ac:dyDescent="0.25">
      <c r="B3393" s="3"/>
      <c r="C3393" s="3"/>
      <c r="D3393" s="3"/>
      <c r="E3393" s="3" t="e">
        <f t="shared" si="106"/>
        <v>#N/A</v>
      </c>
      <c r="F3393" s="3" t="e">
        <f t="shared" si="107"/>
        <v>#N/A</v>
      </c>
    </row>
    <row r="3394" spans="2:6" x14ac:dyDescent="0.25">
      <c r="B3394" s="3"/>
      <c r="C3394" s="3"/>
      <c r="D3394" s="3"/>
      <c r="E3394" s="3" t="e">
        <f t="shared" si="106"/>
        <v>#N/A</v>
      </c>
      <c r="F3394" s="3" t="e">
        <f t="shared" si="107"/>
        <v>#N/A</v>
      </c>
    </row>
    <row r="3395" spans="2:6" x14ac:dyDescent="0.25">
      <c r="B3395" s="3"/>
      <c r="C3395" s="3"/>
      <c r="D3395" s="3"/>
      <c r="E3395" s="3" t="e">
        <f t="shared" si="106"/>
        <v>#N/A</v>
      </c>
      <c r="F3395" s="3" t="e">
        <f t="shared" si="107"/>
        <v>#N/A</v>
      </c>
    </row>
    <row r="3396" spans="2:6" x14ac:dyDescent="0.25">
      <c r="B3396" s="3"/>
      <c r="C3396" s="3"/>
      <c r="D3396" s="3"/>
      <c r="E3396" s="3" t="e">
        <f t="shared" ref="E3396:E3459" si="108">VLOOKUP(C3396,I:J,2,0)</f>
        <v>#N/A</v>
      </c>
      <c r="F3396" s="3" t="e">
        <f t="shared" ref="F3396:F3459" si="109">E3396&amp;" "&amp;B3396</f>
        <v>#N/A</v>
      </c>
    </row>
    <row r="3397" spans="2:6" x14ac:dyDescent="0.25">
      <c r="B3397" s="3"/>
      <c r="C3397" s="3"/>
      <c r="D3397" s="3"/>
      <c r="E3397" s="3" t="e">
        <f t="shared" si="108"/>
        <v>#N/A</v>
      </c>
      <c r="F3397" s="3" t="e">
        <f t="shared" si="109"/>
        <v>#N/A</v>
      </c>
    </row>
    <row r="3398" spans="2:6" x14ac:dyDescent="0.25">
      <c r="B3398" s="3"/>
      <c r="C3398" s="3"/>
      <c r="D3398" s="3"/>
      <c r="E3398" s="3" t="e">
        <f t="shared" si="108"/>
        <v>#N/A</v>
      </c>
      <c r="F3398" s="3" t="e">
        <f t="shared" si="109"/>
        <v>#N/A</v>
      </c>
    </row>
    <row r="3399" spans="2:6" x14ac:dyDescent="0.25">
      <c r="B3399" s="3"/>
      <c r="C3399" s="3"/>
      <c r="D3399" s="3"/>
      <c r="E3399" s="3" t="e">
        <f t="shared" si="108"/>
        <v>#N/A</v>
      </c>
      <c r="F3399" s="3" t="e">
        <f t="shared" si="109"/>
        <v>#N/A</v>
      </c>
    </row>
    <row r="3400" spans="2:6" x14ac:dyDescent="0.25">
      <c r="B3400" s="3"/>
      <c r="C3400" s="3"/>
      <c r="D3400" s="3"/>
      <c r="E3400" s="3" t="e">
        <f t="shared" si="108"/>
        <v>#N/A</v>
      </c>
      <c r="F3400" s="3" t="e">
        <f t="shared" si="109"/>
        <v>#N/A</v>
      </c>
    </row>
    <row r="3401" spans="2:6" x14ac:dyDescent="0.25">
      <c r="B3401" s="3"/>
      <c r="C3401" s="3"/>
      <c r="D3401" s="3"/>
      <c r="E3401" s="3" t="e">
        <f t="shared" si="108"/>
        <v>#N/A</v>
      </c>
      <c r="F3401" s="3" t="e">
        <f t="shared" si="109"/>
        <v>#N/A</v>
      </c>
    </row>
    <row r="3402" spans="2:6" x14ac:dyDescent="0.25">
      <c r="B3402" s="3"/>
      <c r="C3402" s="3"/>
      <c r="D3402" s="3"/>
      <c r="E3402" s="3" t="e">
        <f t="shared" si="108"/>
        <v>#N/A</v>
      </c>
      <c r="F3402" s="3" t="e">
        <f t="shared" si="109"/>
        <v>#N/A</v>
      </c>
    </row>
    <row r="3403" spans="2:6" x14ac:dyDescent="0.25">
      <c r="B3403" s="3"/>
      <c r="C3403" s="3"/>
      <c r="D3403" s="3"/>
      <c r="E3403" s="3" t="e">
        <f t="shared" si="108"/>
        <v>#N/A</v>
      </c>
      <c r="F3403" s="3" t="e">
        <f t="shared" si="109"/>
        <v>#N/A</v>
      </c>
    </row>
    <row r="3404" spans="2:6" x14ac:dyDescent="0.25">
      <c r="B3404" s="3"/>
      <c r="C3404" s="3"/>
      <c r="D3404" s="3"/>
      <c r="E3404" s="3" t="e">
        <f t="shared" si="108"/>
        <v>#N/A</v>
      </c>
      <c r="F3404" s="3" t="e">
        <f t="shared" si="109"/>
        <v>#N/A</v>
      </c>
    </row>
    <row r="3405" spans="2:6" x14ac:dyDescent="0.25">
      <c r="B3405" s="3"/>
      <c r="C3405" s="3"/>
      <c r="D3405" s="3"/>
      <c r="E3405" s="3" t="e">
        <f t="shared" si="108"/>
        <v>#N/A</v>
      </c>
      <c r="F3405" s="3" t="e">
        <f t="shared" si="109"/>
        <v>#N/A</v>
      </c>
    </row>
    <row r="3406" spans="2:6" x14ac:dyDescent="0.25">
      <c r="B3406" s="3"/>
      <c r="C3406" s="3"/>
      <c r="D3406" s="3"/>
      <c r="E3406" s="3" t="e">
        <f t="shared" si="108"/>
        <v>#N/A</v>
      </c>
      <c r="F3406" s="3" t="e">
        <f t="shared" si="109"/>
        <v>#N/A</v>
      </c>
    </row>
    <row r="3407" spans="2:6" x14ac:dyDescent="0.25">
      <c r="B3407" s="3"/>
      <c r="C3407" s="3"/>
      <c r="D3407" s="3"/>
      <c r="E3407" s="3" t="e">
        <f t="shared" si="108"/>
        <v>#N/A</v>
      </c>
      <c r="F3407" s="3" t="e">
        <f t="shared" si="109"/>
        <v>#N/A</v>
      </c>
    </row>
    <row r="3408" spans="2:6" x14ac:dyDescent="0.25">
      <c r="B3408" s="3"/>
      <c r="C3408" s="3"/>
      <c r="D3408" s="3"/>
      <c r="E3408" s="3" t="e">
        <f t="shared" si="108"/>
        <v>#N/A</v>
      </c>
      <c r="F3408" s="3" t="e">
        <f t="shared" si="109"/>
        <v>#N/A</v>
      </c>
    </row>
    <row r="3409" spans="2:6" x14ac:dyDescent="0.25">
      <c r="B3409" s="3"/>
      <c r="C3409" s="3"/>
      <c r="D3409" s="3"/>
      <c r="E3409" s="3" t="e">
        <f t="shared" si="108"/>
        <v>#N/A</v>
      </c>
      <c r="F3409" s="3" t="e">
        <f t="shared" si="109"/>
        <v>#N/A</v>
      </c>
    </row>
    <row r="3410" spans="2:6" x14ac:dyDescent="0.25">
      <c r="B3410" s="3"/>
      <c r="C3410" s="3"/>
      <c r="D3410" s="3"/>
      <c r="E3410" s="3" t="e">
        <f t="shared" si="108"/>
        <v>#N/A</v>
      </c>
      <c r="F3410" s="3" t="e">
        <f t="shared" si="109"/>
        <v>#N/A</v>
      </c>
    </row>
    <row r="3411" spans="2:6" x14ac:dyDescent="0.25">
      <c r="B3411" s="3"/>
      <c r="C3411" s="3"/>
      <c r="D3411" s="3"/>
      <c r="E3411" s="3" t="e">
        <f t="shared" si="108"/>
        <v>#N/A</v>
      </c>
      <c r="F3411" s="3" t="e">
        <f t="shared" si="109"/>
        <v>#N/A</v>
      </c>
    </row>
    <row r="3412" spans="2:6" x14ac:dyDescent="0.25">
      <c r="B3412" s="3"/>
      <c r="C3412" s="3"/>
      <c r="D3412" s="3"/>
      <c r="E3412" s="3" t="e">
        <f t="shared" si="108"/>
        <v>#N/A</v>
      </c>
      <c r="F3412" s="3" t="e">
        <f t="shared" si="109"/>
        <v>#N/A</v>
      </c>
    </row>
    <row r="3413" spans="2:6" x14ac:dyDescent="0.25">
      <c r="B3413" s="3"/>
      <c r="C3413" s="3"/>
      <c r="D3413" s="3"/>
      <c r="E3413" s="3" t="e">
        <f t="shared" si="108"/>
        <v>#N/A</v>
      </c>
      <c r="F3413" s="3" t="e">
        <f t="shared" si="109"/>
        <v>#N/A</v>
      </c>
    </row>
    <row r="3414" spans="2:6" x14ac:dyDescent="0.25">
      <c r="B3414" s="3"/>
      <c r="C3414" s="3"/>
      <c r="D3414" s="3"/>
      <c r="E3414" s="3" t="e">
        <f t="shared" si="108"/>
        <v>#N/A</v>
      </c>
      <c r="F3414" s="3" t="e">
        <f t="shared" si="109"/>
        <v>#N/A</v>
      </c>
    </row>
    <row r="3415" spans="2:6" x14ac:dyDescent="0.25">
      <c r="B3415" s="3"/>
      <c r="C3415" s="3"/>
      <c r="D3415" s="3"/>
      <c r="E3415" s="3" t="e">
        <f t="shared" si="108"/>
        <v>#N/A</v>
      </c>
      <c r="F3415" s="3" t="e">
        <f t="shared" si="109"/>
        <v>#N/A</v>
      </c>
    </row>
    <row r="3416" spans="2:6" x14ac:dyDescent="0.25">
      <c r="B3416" s="3"/>
      <c r="C3416" s="3"/>
      <c r="D3416" s="3"/>
      <c r="E3416" s="3" t="e">
        <f t="shared" si="108"/>
        <v>#N/A</v>
      </c>
      <c r="F3416" s="3" t="e">
        <f t="shared" si="109"/>
        <v>#N/A</v>
      </c>
    </row>
    <row r="3417" spans="2:6" x14ac:dyDescent="0.25">
      <c r="B3417" s="3"/>
      <c r="C3417" s="3"/>
      <c r="D3417" s="3"/>
      <c r="E3417" s="3" t="e">
        <f t="shared" si="108"/>
        <v>#N/A</v>
      </c>
      <c r="F3417" s="3" t="e">
        <f t="shared" si="109"/>
        <v>#N/A</v>
      </c>
    </row>
    <row r="3418" spans="2:6" x14ac:dyDescent="0.25">
      <c r="B3418" s="3"/>
      <c r="C3418" s="3"/>
      <c r="D3418" s="3"/>
      <c r="E3418" s="3" t="e">
        <f t="shared" si="108"/>
        <v>#N/A</v>
      </c>
      <c r="F3418" s="3" t="e">
        <f t="shared" si="109"/>
        <v>#N/A</v>
      </c>
    </row>
    <row r="3419" spans="2:6" x14ac:dyDescent="0.25">
      <c r="B3419" s="3"/>
      <c r="C3419" s="3"/>
      <c r="D3419" s="3"/>
      <c r="E3419" s="3" t="e">
        <f t="shared" si="108"/>
        <v>#N/A</v>
      </c>
      <c r="F3419" s="3" t="e">
        <f t="shared" si="109"/>
        <v>#N/A</v>
      </c>
    </row>
    <row r="3420" spans="2:6" x14ac:dyDescent="0.25">
      <c r="B3420" s="3"/>
      <c r="C3420" s="3"/>
      <c r="D3420" s="3"/>
      <c r="E3420" s="3" t="e">
        <f t="shared" si="108"/>
        <v>#N/A</v>
      </c>
      <c r="F3420" s="3" t="e">
        <f t="shared" si="109"/>
        <v>#N/A</v>
      </c>
    </row>
    <row r="3421" spans="2:6" x14ac:dyDescent="0.25">
      <c r="B3421" s="3"/>
      <c r="C3421" s="3"/>
      <c r="D3421" s="3"/>
      <c r="E3421" s="3" t="e">
        <f t="shared" si="108"/>
        <v>#N/A</v>
      </c>
      <c r="F3421" s="3" t="e">
        <f t="shared" si="109"/>
        <v>#N/A</v>
      </c>
    </row>
    <row r="3422" spans="2:6" x14ac:dyDescent="0.25">
      <c r="B3422" s="3"/>
      <c r="C3422" s="3"/>
      <c r="D3422" s="3"/>
      <c r="E3422" s="3" t="e">
        <f t="shared" si="108"/>
        <v>#N/A</v>
      </c>
      <c r="F3422" s="3" t="e">
        <f t="shared" si="109"/>
        <v>#N/A</v>
      </c>
    </row>
    <row r="3423" spans="2:6" x14ac:dyDescent="0.25">
      <c r="B3423" s="3"/>
      <c r="C3423" s="3"/>
      <c r="D3423" s="3"/>
      <c r="E3423" s="3" t="e">
        <f t="shared" si="108"/>
        <v>#N/A</v>
      </c>
      <c r="F3423" s="3" t="e">
        <f t="shared" si="109"/>
        <v>#N/A</v>
      </c>
    </row>
    <row r="3424" spans="2:6" x14ac:dyDescent="0.25">
      <c r="B3424" s="3"/>
      <c r="C3424" s="3"/>
      <c r="D3424" s="3"/>
      <c r="E3424" s="3" t="e">
        <f t="shared" si="108"/>
        <v>#N/A</v>
      </c>
      <c r="F3424" s="3" t="e">
        <f t="shared" si="109"/>
        <v>#N/A</v>
      </c>
    </row>
    <row r="3425" spans="2:6" x14ac:dyDescent="0.25">
      <c r="B3425" s="3"/>
      <c r="C3425" s="3"/>
      <c r="D3425" s="3"/>
      <c r="E3425" s="3" t="e">
        <f t="shared" si="108"/>
        <v>#N/A</v>
      </c>
      <c r="F3425" s="3" t="e">
        <f t="shared" si="109"/>
        <v>#N/A</v>
      </c>
    </row>
    <row r="3426" spans="2:6" x14ac:dyDescent="0.25">
      <c r="B3426" s="3"/>
      <c r="C3426" s="3"/>
      <c r="D3426" s="3"/>
      <c r="E3426" s="3" t="e">
        <f t="shared" si="108"/>
        <v>#N/A</v>
      </c>
      <c r="F3426" s="3" t="e">
        <f t="shared" si="109"/>
        <v>#N/A</v>
      </c>
    </row>
    <row r="3427" spans="2:6" x14ac:dyDescent="0.25">
      <c r="B3427" s="3"/>
      <c r="C3427" s="3"/>
      <c r="D3427" s="3"/>
      <c r="E3427" s="3" t="e">
        <f t="shared" si="108"/>
        <v>#N/A</v>
      </c>
      <c r="F3427" s="3" t="e">
        <f t="shared" si="109"/>
        <v>#N/A</v>
      </c>
    </row>
    <row r="3428" spans="2:6" x14ac:dyDescent="0.25">
      <c r="B3428" s="3"/>
      <c r="C3428" s="3"/>
      <c r="D3428" s="3"/>
      <c r="E3428" s="3" t="e">
        <f t="shared" si="108"/>
        <v>#N/A</v>
      </c>
      <c r="F3428" s="3" t="e">
        <f t="shared" si="109"/>
        <v>#N/A</v>
      </c>
    </row>
    <row r="3429" spans="2:6" x14ac:dyDescent="0.25">
      <c r="B3429" s="3"/>
      <c r="C3429" s="3"/>
      <c r="D3429" s="3"/>
      <c r="E3429" s="3" t="e">
        <f t="shared" si="108"/>
        <v>#N/A</v>
      </c>
      <c r="F3429" s="3" t="e">
        <f t="shared" si="109"/>
        <v>#N/A</v>
      </c>
    </row>
    <row r="3430" spans="2:6" x14ac:dyDescent="0.25">
      <c r="B3430" s="3"/>
      <c r="C3430" s="3"/>
      <c r="D3430" s="3"/>
      <c r="E3430" s="3" t="e">
        <f t="shared" si="108"/>
        <v>#N/A</v>
      </c>
      <c r="F3430" s="3" t="e">
        <f t="shared" si="109"/>
        <v>#N/A</v>
      </c>
    </row>
    <row r="3431" spans="2:6" x14ac:dyDescent="0.25">
      <c r="B3431" s="3"/>
      <c r="C3431" s="3"/>
      <c r="D3431" s="3"/>
      <c r="E3431" s="3" t="e">
        <f t="shared" si="108"/>
        <v>#N/A</v>
      </c>
      <c r="F3431" s="3" t="e">
        <f t="shared" si="109"/>
        <v>#N/A</v>
      </c>
    </row>
    <row r="3432" spans="2:6" x14ac:dyDescent="0.25">
      <c r="B3432" s="3"/>
      <c r="C3432" s="3"/>
      <c r="D3432" s="3"/>
      <c r="E3432" s="3" t="e">
        <f t="shared" si="108"/>
        <v>#N/A</v>
      </c>
      <c r="F3432" s="3" t="e">
        <f t="shared" si="109"/>
        <v>#N/A</v>
      </c>
    </row>
    <row r="3433" spans="2:6" x14ac:dyDescent="0.25">
      <c r="B3433" s="3"/>
      <c r="C3433" s="3"/>
      <c r="D3433" s="3"/>
      <c r="E3433" s="3" t="e">
        <f t="shared" si="108"/>
        <v>#N/A</v>
      </c>
      <c r="F3433" s="3" t="e">
        <f t="shared" si="109"/>
        <v>#N/A</v>
      </c>
    </row>
    <row r="3434" spans="2:6" x14ac:dyDescent="0.25">
      <c r="B3434" s="3"/>
      <c r="C3434" s="3"/>
      <c r="D3434" s="3"/>
      <c r="E3434" s="3" t="e">
        <f t="shared" si="108"/>
        <v>#N/A</v>
      </c>
      <c r="F3434" s="3" t="e">
        <f t="shared" si="109"/>
        <v>#N/A</v>
      </c>
    </row>
    <row r="3435" spans="2:6" x14ac:dyDescent="0.25">
      <c r="B3435" s="3"/>
      <c r="C3435" s="3"/>
      <c r="D3435" s="3"/>
      <c r="E3435" s="3" t="e">
        <f t="shared" si="108"/>
        <v>#N/A</v>
      </c>
      <c r="F3435" s="3" t="e">
        <f t="shared" si="109"/>
        <v>#N/A</v>
      </c>
    </row>
    <row r="3436" spans="2:6" x14ac:dyDescent="0.25">
      <c r="B3436" s="3"/>
      <c r="C3436" s="3"/>
      <c r="D3436" s="3"/>
      <c r="E3436" s="3" t="e">
        <f t="shared" si="108"/>
        <v>#N/A</v>
      </c>
      <c r="F3436" s="3" t="e">
        <f t="shared" si="109"/>
        <v>#N/A</v>
      </c>
    </row>
    <row r="3437" spans="2:6" x14ac:dyDescent="0.25">
      <c r="B3437" s="3"/>
      <c r="C3437" s="3"/>
      <c r="D3437" s="3"/>
      <c r="E3437" s="3" t="e">
        <f t="shared" si="108"/>
        <v>#N/A</v>
      </c>
      <c r="F3437" s="3" t="e">
        <f t="shared" si="109"/>
        <v>#N/A</v>
      </c>
    </row>
    <row r="3438" spans="2:6" x14ac:dyDescent="0.25">
      <c r="B3438" s="3"/>
      <c r="C3438" s="3"/>
      <c r="D3438" s="3"/>
      <c r="E3438" s="3" t="e">
        <f t="shared" si="108"/>
        <v>#N/A</v>
      </c>
      <c r="F3438" s="3" t="e">
        <f t="shared" si="109"/>
        <v>#N/A</v>
      </c>
    </row>
    <row r="3439" spans="2:6" x14ac:dyDescent="0.25">
      <c r="B3439" s="3"/>
      <c r="C3439" s="3"/>
      <c r="D3439" s="3"/>
      <c r="E3439" s="3" t="e">
        <f t="shared" si="108"/>
        <v>#N/A</v>
      </c>
      <c r="F3439" s="3" t="e">
        <f t="shared" si="109"/>
        <v>#N/A</v>
      </c>
    </row>
    <row r="3440" spans="2:6" x14ac:dyDescent="0.25">
      <c r="B3440" s="3"/>
      <c r="C3440" s="3"/>
      <c r="D3440" s="3"/>
      <c r="E3440" s="3" t="e">
        <f t="shared" si="108"/>
        <v>#N/A</v>
      </c>
      <c r="F3440" s="3" t="e">
        <f t="shared" si="109"/>
        <v>#N/A</v>
      </c>
    </row>
    <row r="3441" spans="2:6" x14ac:dyDescent="0.25">
      <c r="B3441" s="3"/>
      <c r="C3441" s="3"/>
      <c r="D3441" s="3"/>
      <c r="E3441" s="3" t="e">
        <f t="shared" si="108"/>
        <v>#N/A</v>
      </c>
      <c r="F3441" s="3" t="e">
        <f t="shared" si="109"/>
        <v>#N/A</v>
      </c>
    </row>
    <row r="3442" spans="2:6" x14ac:dyDescent="0.25">
      <c r="B3442" s="3"/>
      <c r="C3442" s="3"/>
      <c r="D3442" s="3"/>
      <c r="E3442" s="3" t="e">
        <f t="shared" si="108"/>
        <v>#N/A</v>
      </c>
      <c r="F3442" s="3" t="e">
        <f t="shared" si="109"/>
        <v>#N/A</v>
      </c>
    </row>
    <row r="3443" spans="2:6" x14ac:dyDescent="0.25">
      <c r="B3443" s="3"/>
      <c r="C3443" s="3"/>
      <c r="D3443" s="3"/>
      <c r="E3443" s="3" t="e">
        <f t="shared" si="108"/>
        <v>#N/A</v>
      </c>
      <c r="F3443" s="3" t="e">
        <f t="shared" si="109"/>
        <v>#N/A</v>
      </c>
    </row>
    <row r="3444" spans="2:6" x14ac:dyDescent="0.25">
      <c r="B3444" s="3"/>
      <c r="C3444" s="3"/>
      <c r="D3444" s="3"/>
      <c r="E3444" s="3" t="e">
        <f t="shared" si="108"/>
        <v>#N/A</v>
      </c>
      <c r="F3444" s="3" t="e">
        <f t="shared" si="109"/>
        <v>#N/A</v>
      </c>
    </row>
    <row r="3445" spans="2:6" x14ac:dyDescent="0.25">
      <c r="B3445" s="3"/>
      <c r="C3445" s="3"/>
      <c r="D3445" s="3"/>
      <c r="E3445" s="3" t="e">
        <f t="shared" si="108"/>
        <v>#N/A</v>
      </c>
      <c r="F3445" s="3" t="e">
        <f t="shared" si="109"/>
        <v>#N/A</v>
      </c>
    </row>
    <row r="3446" spans="2:6" x14ac:dyDescent="0.25">
      <c r="B3446" s="3"/>
      <c r="C3446" s="3"/>
      <c r="D3446" s="3"/>
      <c r="E3446" s="3" t="e">
        <f t="shared" si="108"/>
        <v>#N/A</v>
      </c>
      <c r="F3446" s="3" t="e">
        <f t="shared" si="109"/>
        <v>#N/A</v>
      </c>
    </row>
    <row r="3447" spans="2:6" x14ac:dyDescent="0.25">
      <c r="B3447" s="3"/>
      <c r="C3447" s="3"/>
      <c r="D3447" s="3"/>
      <c r="E3447" s="3" t="e">
        <f t="shared" si="108"/>
        <v>#N/A</v>
      </c>
      <c r="F3447" s="3" t="e">
        <f t="shared" si="109"/>
        <v>#N/A</v>
      </c>
    </row>
    <row r="3448" spans="2:6" x14ac:dyDescent="0.25">
      <c r="B3448" s="3"/>
      <c r="C3448" s="3"/>
      <c r="D3448" s="3"/>
      <c r="E3448" s="3" t="e">
        <f t="shared" si="108"/>
        <v>#N/A</v>
      </c>
      <c r="F3448" s="3" t="e">
        <f t="shared" si="109"/>
        <v>#N/A</v>
      </c>
    </row>
    <row r="3449" spans="2:6" x14ac:dyDescent="0.25">
      <c r="B3449" s="3"/>
      <c r="C3449" s="3"/>
      <c r="D3449" s="3"/>
      <c r="E3449" s="3" t="e">
        <f t="shared" si="108"/>
        <v>#N/A</v>
      </c>
      <c r="F3449" s="3" t="e">
        <f t="shared" si="109"/>
        <v>#N/A</v>
      </c>
    </row>
    <row r="3450" spans="2:6" x14ac:dyDescent="0.25">
      <c r="B3450" s="3"/>
      <c r="C3450" s="3"/>
      <c r="D3450" s="3"/>
      <c r="E3450" s="3" t="e">
        <f t="shared" si="108"/>
        <v>#N/A</v>
      </c>
      <c r="F3450" s="3" t="e">
        <f t="shared" si="109"/>
        <v>#N/A</v>
      </c>
    </row>
    <row r="3451" spans="2:6" x14ac:dyDescent="0.25">
      <c r="B3451" s="3"/>
      <c r="C3451" s="3"/>
      <c r="D3451" s="3"/>
      <c r="E3451" s="3" t="e">
        <f t="shared" si="108"/>
        <v>#N/A</v>
      </c>
      <c r="F3451" s="3" t="e">
        <f t="shared" si="109"/>
        <v>#N/A</v>
      </c>
    </row>
    <row r="3452" spans="2:6" x14ac:dyDescent="0.25">
      <c r="B3452" s="3"/>
      <c r="C3452" s="3"/>
      <c r="D3452" s="3"/>
      <c r="E3452" s="3" t="e">
        <f t="shared" si="108"/>
        <v>#N/A</v>
      </c>
      <c r="F3452" s="3" t="e">
        <f t="shared" si="109"/>
        <v>#N/A</v>
      </c>
    </row>
    <row r="3453" spans="2:6" x14ac:dyDescent="0.25">
      <c r="B3453" s="3"/>
      <c r="C3453" s="3"/>
      <c r="D3453" s="3"/>
      <c r="E3453" s="3" t="e">
        <f t="shared" si="108"/>
        <v>#N/A</v>
      </c>
      <c r="F3453" s="3" t="e">
        <f t="shared" si="109"/>
        <v>#N/A</v>
      </c>
    </row>
    <row r="3454" spans="2:6" x14ac:dyDescent="0.25">
      <c r="B3454" s="3"/>
      <c r="C3454" s="3"/>
      <c r="D3454" s="3"/>
      <c r="E3454" s="3" t="e">
        <f t="shared" si="108"/>
        <v>#N/A</v>
      </c>
      <c r="F3454" s="3" t="e">
        <f t="shared" si="109"/>
        <v>#N/A</v>
      </c>
    </row>
    <row r="3455" spans="2:6" x14ac:dyDescent="0.25">
      <c r="B3455" s="3"/>
      <c r="C3455" s="3"/>
      <c r="D3455" s="3"/>
      <c r="E3455" s="3" t="e">
        <f t="shared" si="108"/>
        <v>#N/A</v>
      </c>
      <c r="F3455" s="3" t="e">
        <f t="shared" si="109"/>
        <v>#N/A</v>
      </c>
    </row>
    <row r="3456" spans="2:6" x14ac:dyDescent="0.25">
      <c r="B3456" s="3"/>
      <c r="C3456" s="3"/>
      <c r="D3456" s="3"/>
      <c r="E3456" s="3" t="e">
        <f t="shared" si="108"/>
        <v>#N/A</v>
      </c>
      <c r="F3456" s="3" t="e">
        <f t="shared" si="109"/>
        <v>#N/A</v>
      </c>
    </row>
    <row r="3457" spans="2:6" x14ac:dyDescent="0.25">
      <c r="B3457" s="3"/>
      <c r="C3457" s="3"/>
      <c r="D3457" s="3"/>
      <c r="E3457" s="3" t="e">
        <f t="shared" si="108"/>
        <v>#N/A</v>
      </c>
      <c r="F3457" s="3" t="e">
        <f t="shared" si="109"/>
        <v>#N/A</v>
      </c>
    </row>
    <row r="3458" spans="2:6" x14ac:dyDescent="0.25">
      <c r="B3458" s="3"/>
      <c r="C3458" s="3"/>
      <c r="D3458" s="3"/>
      <c r="E3458" s="3" t="e">
        <f t="shared" si="108"/>
        <v>#N/A</v>
      </c>
      <c r="F3458" s="3" t="e">
        <f t="shared" si="109"/>
        <v>#N/A</v>
      </c>
    </row>
    <row r="3459" spans="2:6" x14ac:dyDescent="0.25">
      <c r="B3459" s="3"/>
      <c r="C3459" s="3"/>
      <c r="D3459" s="3"/>
      <c r="E3459" s="3" t="e">
        <f t="shared" si="108"/>
        <v>#N/A</v>
      </c>
      <c r="F3459" s="3" t="e">
        <f t="shared" si="109"/>
        <v>#N/A</v>
      </c>
    </row>
    <row r="3460" spans="2:6" x14ac:dyDescent="0.25">
      <c r="B3460" s="3"/>
      <c r="C3460" s="3"/>
      <c r="D3460" s="3"/>
      <c r="E3460" s="3" t="e">
        <f t="shared" ref="E3460:E3523" si="110">VLOOKUP(C3460,I:J,2,0)</f>
        <v>#N/A</v>
      </c>
      <c r="F3460" s="3" t="e">
        <f t="shared" ref="F3460:F3523" si="111">E3460&amp;" "&amp;B3460</f>
        <v>#N/A</v>
      </c>
    </row>
    <row r="3461" spans="2:6" x14ac:dyDescent="0.25">
      <c r="B3461" s="3"/>
      <c r="C3461" s="3"/>
      <c r="D3461" s="3"/>
      <c r="E3461" s="3" t="e">
        <f t="shared" si="110"/>
        <v>#N/A</v>
      </c>
      <c r="F3461" s="3" t="e">
        <f t="shared" si="111"/>
        <v>#N/A</v>
      </c>
    </row>
    <row r="3462" spans="2:6" x14ac:dyDescent="0.25">
      <c r="B3462" s="3"/>
      <c r="C3462" s="3"/>
      <c r="D3462" s="3"/>
      <c r="E3462" s="3" t="e">
        <f t="shared" si="110"/>
        <v>#N/A</v>
      </c>
      <c r="F3462" s="3" t="e">
        <f t="shared" si="111"/>
        <v>#N/A</v>
      </c>
    </row>
    <row r="3463" spans="2:6" x14ac:dyDescent="0.25">
      <c r="B3463" s="3"/>
      <c r="C3463" s="3"/>
      <c r="D3463" s="3"/>
      <c r="E3463" s="3" t="e">
        <f t="shared" si="110"/>
        <v>#N/A</v>
      </c>
      <c r="F3463" s="3" t="e">
        <f t="shared" si="111"/>
        <v>#N/A</v>
      </c>
    </row>
    <row r="3464" spans="2:6" x14ac:dyDescent="0.25">
      <c r="B3464" s="3"/>
      <c r="C3464" s="3"/>
      <c r="D3464" s="3"/>
      <c r="E3464" s="3" t="e">
        <f t="shared" si="110"/>
        <v>#N/A</v>
      </c>
      <c r="F3464" s="3" t="e">
        <f t="shared" si="111"/>
        <v>#N/A</v>
      </c>
    </row>
    <row r="3465" spans="2:6" x14ac:dyDescent="0.25">
      <c r="B3465" s="3"/>
      <c r="C3465" s="3"/>
      <c r="D3465" s="3"/>
      <c r="E3465" s="3" t="e">
        <f t="shared" si="110"/>
        <v>#N/A</v>
      </c>
      <c r="F3465" s="3" t="e">
        <f t="shared" si="111"/>
        <v>#N/A</v>
      </c>
    </row>
    <row r="3466" spans="2:6" x14ac:dyDescent="0.25">
      <c r="B3466" s="3"/>
      <c r="C3466" s="3"/>
      <c r="D3466" s="3"/>
      <c r="E3466" s="3" t="e">
        <f t="shared" si="110"/>
        <v>#N/A</v>
      </c>
      <c r="F3466" s="3" t="e">
        <f t="shared" si="111"/>
        <v>#N/A</v>
      </c>
    </row>
    <row r="3467" spans="2:6" x14ac:dyDescent="0.25">
      <c r="B3467" s="3"/>
      <c r="C3467" s="3"/>
      <c r="D3467" s="3"/>
      <c r="E3467" s="3" t="e">
        <f t="shared" si="110"/>
        <v>#N/A</v>
      </c>
      <c r="F3467" s="3" t="e">
        <f t="shared" si="111"/>
        <v>#N/A</v>
      </c>
    </row>
    <row r="3468" spans="2:6" x14ac:dyDescent="0.25">
      <c r="B3468" s="3"/>
      <c r="C3468" s="3"/>
      <c r="D3468" s="3"/>
      <c r="E3468" s="3" t="e">
        <f t="shared" si="110"/>
        <v>#N/A</v>
      </c>
      <c r="F3468" s="3" t="e">
        <f t="shared" si="111"/>
        <v>#N/A</v>
      </c>
    </row>
    <row r="3469" spans="2:6" x14ac:dyDescent="0.25">
      <c r="B3469" s="3"/>
      <c r="C3469" s="3"/>
      <c r="D3469" s="3"/>
      <c r="E3469" s="3" t="e">
        <f t="shared" si="110"/>
        <v>#N/A</v>
      </c>
      <c r="F3469" s="3" t="e">
        <f t="shared" si="111"/>
        <v>#N/A</v>
      </c>
    </row>
    <row r="3470" spans="2:6" x14ac:dyDescent="0.25">
      <c r="B3470" s="3"/>
      <c r="C3470" s="3"/>
      <c r="D3470" s="3"/>
      <c r="E3470" s="3" t="e">
        <f t="shared" si="110"/>
        <v>#N/A</v>
      </c>
      <c r="F3470" s="3" t="e">
        <f t="shared" si="111"/>
        <v>#N/A</v>
      </c>
    </row>
    <row r="3471" spans="2:6" x14ac:dyDescent="0.25">
      <c r="B3471" s="3"/>
      <c r="C3471" s="3"/>
      <c r="D3471" s="3"/>
      <c r="E3471" s="3" t="e">
        <f t="shared" si="110"/>
        <v>#N/A</v>
      </c>
      <c r="F3471" s="3" t="e">
        <f t="shared" si="111"/>
        <v>#N/A</v>
      </c>
    </row>
    <row r="3472" spans="2:6" x14ac:dyDescent="0.25">
      <c r="B3472" s="3"/>
      <c r="C3472" s="3"/>
      <c r="D3472" s="3"/>
      <c r="E3472" s="3" t="e">
        <f t="shared" si="110"/>
        <v>#N/A</v>
      </c>
      <c r="F3472" s="3" t="e">
        <f t="shared" si="111"/>
        <v>#N/A</v>
      </c>
    </row>
    <row r="3473" spans="2:6" x14ac:dyDescent="0.25">
      <c r="B3473" s="3"/>
      <c r="C3473" s="3"/>
      <c r="D3473" s="3"/>
      <c r="E3473" s="3" t="e">
        <f t="shared" si="110"/>
        <v>#N/A</v>
      </c>
      <c r="F3473" s="3" t="e">
        <f t="shared" si="111"/>
        <v>#N/A</v>
      </c>
    </row>
    <row r="3474" spans="2:6" x14ac:dyDescent="0.25">
      <c r="B3474" s="3"/>
      <c r="C3474" s="3"/>
      <c r="D3474" s="3"/>
      <c r="E3474" s="3" t="e">
        <f t="shared" si="110"/>
        <v>#N/A</v>
      </c>
      <c r="F3474" s="3" t="e">
        <f t="shared" si="111"/>
        <v>#N/A</v>
      </c>
    </row>
    <row r="3475" spans="2:6" x14ac:dyDescent="0.25">
      <c r="B3475" s="3"/>
      <c r="C3475" s="3"/>
      <c r="D3475" s="3"/>
      <c r="E3475" s="3" t="e">
        <f t="shared" si="110"/>
        <v>#N/A</v>
      </c>
      <c r="F3475" s="3" t="e">
        <f t="shared" si="111"/>
        <v>#N/A</v>
      </c>
    </row>
    <row r="3476" spans="2:6" x14ac:dyDescent="0.25">
      <c r="B3476" s="3"/>
      <c r="C3476" s="3"/>
      <c r="D3476" s="3"/>
      <c r="E3476" s="3" t="e">
        <f t="shared" si="110"/>
        <v>#N/A</v>
      </c>
      <c r="F3476" s="3" t="e">
        <f t="shared" si="111"/>
        <v>#N/A</v>
      </c>
    </row>
    <row r="3477" spans="2:6" x14ac:dyDescent="0.25">
      <c r="B3477" s="3"/>
      <c r="C3477" s="3"/>
      <c r="D3477" s="3"/>
      <c r="E3477" s="3" t="e">
        <f t="shared" si="110"/>
        <v>#N/A</v>
      </c>
      <c r="F3477" s="3" t="e">
        <f t="shared" si="111"/>
        <v>#N/A</v>
      </c>
    </row>
    <row r="3478" spans="2:6" x14ac:dyDescent="0.25">
      <c r="B3478" s="3"/>
      <c r="C3478" s="3"/>
      <c r="D3478" s="3"/>
      <c r="E3478" s="3" t="e">
        <f t="shared" si="110"/>
        <v>#N/A</v>
      </c>
      <c r="F3478" s="3" t="e">
        <f t="shared" si="111"/>
        <v>#N/A</v>
      </c>
    </row>
    <row r="3479" spans="2:6" x14ac:dyDescent="0.25">
      <c r="B3479" s="3"/>
      <c r="C3479" s="3"/>
      <c r="D3479" s="3"/>
      <c r="E3479" s="3" t="e">
        <f t="shared" si="110"/>
        <v>#N/A</v>
      </c>
      <c r="F3479" s="3" t="e">
        <f t="shared" si="111"/>
        <v>#N/A</v>
      </c>
    </row>
    <row r="3480" spans="2:6" x14ac:dyDescent="0.25">
      <c r="B3480" s="3"/>
      <c r="C3480" s="3"/>
      <c r="D3480" s="3"/>
      <c r="E3480" s="3" t="e">
        <f t="shared" si="110"/>
        <v>#N/A</v>
      </c>
      <c r="F3480" s="3" t="e">
        <f t="shared" si="111"/>
        <v>#N/A</v>
      </c>
    </row>
    <row r="3481" spans="2:6" x14ac:dyDescent="0.25">
      <c r="B3481" s="3"/>
      <c r="C3481" s="3"/>
      <c r="D3481" s="3"/>
      <c r="E3481" s="3" t="e">
        <f t="shared" si="110"/>
        <v>#N/A</v>
      </c>
      <c r="F3481" s="3" t="e">
        <f t="shared" si="111"/>
        <v>#N/A</v>
      </c>
    </row>
    <row r="3482" spans="2:6" x14ac:dyDescent="0.25">
      <c r="B3482" s="3"/>
      <c r="C3482" s="3"/>
      <c r="D3482" s="3"/>
      <c r="E3482" s="3" t="e">
        <f t="shared" si="110"/>
        <v>#N/A</v>
      </c>
      <c r="F3482" s="3" t="e">
        <f t="shared" si="111"/>
        <v>#N/A</v>
      </c>
    </row>
    <row r="3483" spans="2:6" x14ac:dyDescent="0.25">
      <c r="B3483" s="3"/>
      <c r="C3483" s="3"/>
      <c r="D3483" s="3"/>
      <c r="E3483" s="3" t="e">
        <f t="shared" si="110"/>
        <v>#N/A</v>
      </c>
      <c r="F3483" s="3" t="e">
        <f t="shared" si="111"/>
        <v>#N/A</v>
      </c>
    </row>
    <row r="3484" spans="2:6" x14ac:dyDescent="0.25">
      <c r="B3484" s="3"/>
      <c r="C3484" s="3"/>
      <c r="D3484" s="3"/>
      <c r="E3484" s="3" t="e">
        <f t="shared" si="110"/>
        <v>#N/A</v>
      </c>
      <c r="F3484" s="3" t="e">
        <f t="shared" si="111"/>
        <v>#N/A</v>
      </c>
    </row>
    <row r="3485" spans="2:6" x14ac:dyDescent="0.25">
      <c r="B3485" s="3"/>
      <c r="C3485" s="3"/>
      <c r="D3485" s="3"/>
      <c r="E3485" s="3" t="e">
        <f t="shared" si="110"/>
        <v>#N/A</v>
      </c>
      <c r="F3485" s="3" t="e">
        <f t="shared" si="111"/>
        <v>#N/A</v>
      </c>
    </row>
    <row r="3486" spans="2:6" x14ac:dyDescent="0.25">
      <c r="B3486" s="3"/>
      <c r="C3486" s="3"/>
      <c r="D3486" s="3"/>
      <c r="E3486" s="3" t="e">
        <f t="shared" si="110"/>
        <v>#N/A</v>
      </c>
      <c r="F3486" s="3" t="e">
        <f t="shared" si="111"/>
        <v>#N/A</v>
      </c>
    </row>
    <row r="3487" spans="2:6" x14ac:dyDescent="0.25">
      <c r="B3487" s="3"/>
      <c r="C3487" s="3"/>
      <c r="D3487" s="3"/>
      <c r="E3487" s="3" t="e">
        <f t="shared" si="110"/>
        <v>#N/A</v>
      </c>
      <c r="F3487" s="3" t="e">
        <f t="shared" si="111"/>
        <v>#N/A</v>
      </c>
    </row>
    <row r="3488" spans="2:6" x14ac:dyDescent="0.25">
      <c r="B3488" s="3"/>
      <c r="C3488" s="3"/>
      <c r="D3488" s="3"/>
      <c r="E3488" s="3" t="e">
        <f t="shared" si="110"/>
        <v>#N/A</v>
      </c>
      <c r="F3488" s="3" t="e">
        <f t="shared" si="111"/>
        <v>#N/A</v>
      </c>
    </row>
    <row r="3489" spans="2:6" x14ac:dyDescent="0.25">
      <c r="B3489" s="3"/>
      <c r="C3489" s="3"/>
      <c r="D3489" s="3"/>
      <c r="E3489" s="3" t="e">
        <f t="shared" si="110"/>
        <v>#N/A</v>
      </c>
      <c r="F3489" s="3" t="e">
        <f t="shared" si="111"/>
        <v>#N/A</v>
      </c>
    </row>
    <row r="3490" spans="2:6" x14ac:dyDescent="0.25">
      <c r="B3490" s="3"/>
      <c r="C3490" s="3"/>
      <c r="D3490" s="3"/>
      <c r="E3490" s="3" t="e">
        <f t="shared" si="110"/>
        <v>#N/A</v>
      </c>
      <c r="F3490" s="3" t="e">
        <f t="shared" si="111"/>
        <v>#N/A</v>
      </c>
    </row>
    <row r="3491" spans="2:6" x14ac:dyDescent="0.25">
      <c r="B3491" s="3"/>
      <c r="C3491" s="3"/>
      <c r="D3491" s="3"/>
      <c r="E3491" s="3" t="e">
        <f t="shared" si="110"/>
        <v>#N/A</v>
      </c>
      <c r="F3491" s="3" t="e">
        <f t="shared" si="111"/>
        <v>#N/A</v>
      </c>
    </row>
    <row r="3492" spans="2:6" x14ac:dyDescent="0.25">
      <c r="B3492" s="3"/>
      <c r="C3492" s="3"/>
      <c r="D3492" s="3"/>
      <c r="E3492" s="3" t="e">
        <f t="shared" si="110"/>
        <v>#N/A</v>
      </c>
      <c r="F3492" s="3" t="e">
        <f t="shared" si="111"/>
        <v>#N/A</v>
      </c>
    </row>
    <row r="3493" spans="2:6" x14ac:dyDescent="0.25">
      <c r="B3493" s="3"/>
      <c r="C3493" s="3"/>
      <c r="D3493" s="3"/>
      <c r="E3493" s="3" t="e">
        <f t="shared" si="110"/>
        <v>#N/A</v>
      </c>
      <c r="F3493" s="3" t="e">
        <f t="shared" si="111"/>
        <v>#N/A</v>
      </c>
    </row>
    <row r="3494" spans="2:6" x14ac:dyDescent="0.25">
      <c r="B3494" s="3"/>
      <c r="C3494" s="3"/>
      <c r="D3494" s="3"/>
      <c r="E3494" s="3" t="e">
        <f t="shared" si="110"/>
        <v>#N/A</v>
      </c>
      <c r="F3494" s="3" t="e">
        <f t="shared" si="111"/>
        <v>#N/A</v>
      </c>
    </row>
    <row r="3495" spans="2:6" x14ac:dyDescent="0.25">
      <c r="B3495" s="3"/>
      <c r="C3495" s="3"/>
      <c r="D3495" s="3"/>
      <c r="E3495" s="3" t="e">
        <f t="shared" si="110"/>
        <v>#N/A</v>
      </c>
      <c r="F3495" s="3" t="e">
        <f t="shared" si="111"/>
        <v>#N/A</v>
      </c>
    </row>
    <row r="3496" spans="2:6" x14ac:dyDescent="0.25">
      <c r="B3496" s="3"/>
      <c r="C3496" s="3"/>
      <c r="D3496" s="3"/>
      <c r="E3496" s="3" t="e">
        <f t="shared" si="110"/>
        <v>#N/A</v>
      </c>
      <c r="F3496" s="3" t="e">
        <f t="shared" si="111"/>
        <v>#N/A</v>
      </c>
    </row>
    <row r="3497" spans="2:6" x14ac:dyDescent="0.25">
      <c r="B3497" s="3"/>
      <c r="C3497" s="3"/>
      <c r="D3497" s="3"/>
      <c r="E3497" s="3" t="e">
        <f t="shared" si="110"/>
        <v>#N/A</v>
      </c>
      <c r="F3497" s="3" t="e">
        <f t="shared" si="111"/>
        <v>#N/A</v>
      </c>
    </row>
    <row r="3498" spans="2:6" x14ac:dyDescent="0.25">
      <c r="B3498" s="3"/>
      <c r="C3498" s="3"/>
      <c r="D3498" s="3"/>
      <c r="E3498" s="3" t="e">
        <f t="shared" si="110"/>
        <v>#N/A</v>
      </c>
      <c r="F3498" s="3" t="e">
        <f t="shared" si="111"/>
        <v>#N/A</v>
      </c>
    </row>
    <row r="3499" spans="2:6" x14ac:dyDescent="0.25">
      <c r="B3499" s="3"/>
      <c r="C3499" s="3"/>
      <c r="D3499" s="3"/>
      <c r="E3499" s="3" t="e">
        <f t="shared" si="110"/>
        <v>#N/A</v>
      </c>
      <c r="F3499" s="3" t="e">
        <f t="shared" si="111"/>
        <v>#N/A</v>
      </c>
    </row>
    <row r="3500" spans="2:6" x14ac:dyDescent="0.25">
      <c r="B3500" s="3"/>
      <c r="C3500" s="3"/>
      <c r="D3500" s="3"/>
      <c r="E3500" s="3" t="e">
        <f t="shared" si="110"/>
        <v>#N/A</v>
      </c>
      <c r="F3500" s="3" t="e">
        <f t="shared" si="111"/>
        <v>#N/A</v>
      </c>
    </row>
    <row r="3501" spans="2:6" x14ac:dyDescent="0.25">
      <c r="B3501" s="3"/>
      <c r="C3501" s="3"/>
      <c r="D3501" s="3"/>
      <c r="E3501" s="3" t="e">
        <f t="shared" si="110"/>
        <v>#N/A</v>
      </c>
      <c r="F3501" s="3" t="e">
        <f t="shared" si="111"/>
        <v>#N/A</v>
      </c>
    </row>
    <row r="3502" spans="2:6" x14ac:dyDescent="0.25">
      <c r="B3502" s="3"/>
      <c r="C3502" s="3"/>
      <c r="D3502" s="3"/>
      <c r="E3502" s="3" t="e">
        <f t="shared" si="110"/>
        <v>#N/A</v>
      </c>
      <c r="F3502" s="3" t="e">
        <f t="shared" si="111"/>
        <v>#N/A</v>
      </c>
    </row>
    <row r="3503" spans="2:6" x14ac:dyDescent="0.25">
      <c r="B3503" s="3"/>
      <c r="C3503" s="3"/>
      <c r="D3503" s="3"/>
      <c r="E3503" s="3" t="e">
        <f t="shared" si="110"/>
        <v>#N/A</v>
      </c>
      <c r="F3503" s="3" t="e">
        <f t="shared" si="111"/>
        <v>#N/A</v>
      </c>
    </row>
    <row r="3504" spans="2:6" x14ac:dyDescent="0.25">
      <c r="B3504" s="3"/>
      <c r="C3504" s="3"/>
      <c r="D3504" s="3"/>
      <c r="E3504" s="3" t="e">
        <f t="shared" si="110"/>
        <v>#N/A</v>
      </c>
      <c r="F3504" s="3" t="e">
        <f t="shared" si="111"/>
        <v>#N/A</v>
      </c>
    </row>
    <row r="3505" spans="2:6" x14ac:dyDescent="0.25">
      <c r="B3505" s="3"/>
      <c r="C3505" s="3"/>
      <c r="D3505" s="3"/>
      <c r="E3505" s="3" t="e">
        <f t="shared" si="110"/>
        <v>#N/A</v>
      </c>
      <c r="F3505" s="3" t="e">
        <f t="shared" si="111"/>
        <v>#N/A</v>
      </c>
    </row>
    <row r="3506" spans="2:6" x14ac:dyDescent="0.25">
      <c r="B3506" s="3"/>
      <c r="C3506" s="3"/>
      <c r="D3506" s="3"/>
      <c r="E3506" s="3" t="e">
        <f t="shared" si="110"/>
        <v>#N/A</v>
      </c>
      <c r="F3506" s="3" t="e">
        <f t="shared" si="111"/>
        <v>#N/A</v>
      </c>
    </row>
    <row r="3507" spans="2:6" x14ac:dyDescent="0.25">
      <c r="B3507" s="3"/>
      <c r="C3507" s="3"/>
      <c r="D3507" s="3"/>
      <c r="E3507" s="3" t="e">
        <f t="shared" si="110"/>
        <v>#N/A</v>
      </c>
      <c r="F3507" s="3" t="e">
        <f t="shared" si="111"/>
        <v>#N/A</v>
      </c>
    </row>
    <row r="3508" spans="2:6" x14ac:dyDescent="0.25">
      <c r="B3508" s="3"/>
      <c r="C3508" s="3"/>
      <c r="D3508" s="3"/>
      <c r="E3508" s="3" t="e">
        <f t="shared" si="110"/>
        <v>#N/A</v>
      </c>
      <c r="F3508" s="3" t="e">
        <f t="shared" si="111"/>
        <v>#N/A</v>
      </c>
    </row>
    <row r="3509" spans="2:6" x14ac:dyDescent="0.25">
      <c r="B3509" s="3"/>
      <c r="C3509" s="3"/>
      <c r="D3509" s="3"/>
      <c r="E3509" s="3" t="e">
        <f t="shared" si="110"/>
        <v>#N/A</v>
      </c>
      <c r="F3509" s="3" t="e">
        <f t="shared" si="111"/>
        <v>#N/A</v>
      </c>
    </row>
    <row r="3510" spans="2:6" x14ac:dyDescent="0.25">
      <c r="B3510" s="3"/>
      <c r="C3510" s="3"/>
      <c r="D3510" s="3"/>
      <c r="E3510" s="3" t="e">
        <f t="shared" si="110"/>
        <v>#N/A</v>
      </c>
      <c r="F3510" s="3" t="e">
        <f t="shared" si="111"/>
        <v>#N/A</v>
      </c>
    </row>
    <row r="3511" spans="2:6" x14ac:dyDescent="0.25">
      <c r="B3511" s="3"/>
      <c r="C3511" s="3"/>
      <c r="D3511" s="3"/>
      <c r="E3511" s="3" t="e">
        <f t="shared" si="110"/>
        <v>#N/A</v>
      </c>
      <c r="F3511" s="3" t="e">
        <f t="shared" si="111"/>
        <v>#N/A</v>
      </c>
    </row>
    <row r="3512" spans="2:6" x14ac:dyDescent="0.25">
      <c r="B3512" s="3"/>
      <c r="C3512" s="3"/>
      <c r="D3512" s="3"/>
      <c r="E3512" s="3" t="e">
        <f t="shared" si="110"/>
        <v>#N/A</v>
      </c>
      <c r="F3512" s="3" t="e">
        <f t="shared" si="111"/>
        <v>#N/A</v>
      </c>
    </row>
    <row r="3513" spans="2:6" x14ac:dyDescent="0.25">
      <c r="B3513" s="3"/>
      <c r="C3513" s="3"/>
      <c r="D3513" s="3"/>
      <c r="E3513" s="3" t="e">
        <f t="shared" si="110"/>
        <v>#N/A</v>
      </c>
      <c r="F3513" s="3" t="e">
        <f t="shared" si="111"/>
        <v>#N/A</v>
      </c>
    </row>
    <row r="3514" spans="2:6" x14ac:dyDescent="0.25">
      <c r="B3514" s="3"/>
      <c r="C3514" s="3"/>
      <c r="D3514" s="3"/>
      <c r="E3514" s="3" t="e">
        <f t="shared" si="110"/>
        <v>#N/A</v>
      </c>
      <c r="F3514" s="3" t="e">
        <f t="shared" si="111"/>
        <v>#N/A</v>
      </c>
    </row>
    <row r="3515" spans="2:6" x14ac:dyDescent="0.25">
      <c r="B3515" s="3"/>
      <c r="C3515" s="3"/>
      <c r="D3515" s="3"/>
      <c r="E3515" s="3" t="e">
        <f t="shared" si="110"/>
        <v>#N/A</v>
      </c>
      <c r="F3515" s="3" t="e">
        <f t="shared" si="111"/>
        <v>#N/A</v>
      </c>
    </row>
    <row r="3516" spans="2:6" x14ac:dyDescent="0.25">
      <c r="B3516" s="3"/>
      <c r="C3516" s="3"/>
      <c r="D3516" s="3"/>
      <c r="E3516" s="3" t="e">
        <f t="shared" si="110"/>
        <v>#N/A</v>
      </c>
      <c r="F3516" s="3" t="e">
        <f t="shared" si="111"/>
        <v>#N/A</v>
      </c>
    </row>
    <row r="3517" spans="2:6" x14ac:dyDescent="0.25">
      <c r="B3517" s="3"/>
      <c r="C3517" s="3"/>
      <c r="D3517" s="3"/>
      <c r="E3517" s="3" t="e">
        <f t="shared" si="110"/>
        <v>#N/A</v>
      </c>
      <c r="F3517" s="3" t="e">
        <f t="shared" si="111"/>
        <v>#N/A</v>
      </c>
    </row>
    <row r="3518" spans="2:6" x14ac:dyDescent="0.25">
      <c r="B3518" s="3"/>
      <c r="C3518" s="3"/>
      <c r="D3518" s="3"/>
      <c r="E3518" s="3" t="e">
        <f t="shared" si="110"/>
        <v>#N/A</v>
      </c>
      <c r="F3518" s="3" t="e">
        <f t="shared" si="111"/>
        <v>#N/A</v>
      </c>
    </row>
    <row r="3519" spans="2:6" x14ac:dyDescent="0.25">
      <c r="B3519" s="3"/>
      <c r="C3519" s="3"/>
      <c r="D3519" s="3"/>
      <c r="E3519" s="3" t="e">
        <f t="shared" si="110"/>
        <v>#N/A</v>
      </c>
      <c r="F3519" s="3" t="e">
        <f t="shared" si="111"/>
        <v>#N/A</v>
      </c>
    </row>
    <row r="3520" spans="2:6" x14ac:dyDescent="0.25">
      <c r="B3520" s="3"/>
      <c r="C3520" s="3"/>
      <c r="D3520" s="3"/>
      <c r="E3520" s="3" t="e">
        <f t="shared" si="110"/>
        <v>#N/A</v>
      </c>
      <c r="F3520" s="3" t="e">
        <f t="shared" si="111"/>
        <v>#N/A</v>
      </c>
    </row>
    <row r="3521" spans="2:6" x14ac:dyDescent="0.25">
      <c r="B3521" s="3"/>
      <c r="C3521" s="3"/>
      <c r="D3521" s="3"/>
      <c r="E3521" s="3" t="e">
        <f t="shared" si="110"/>
        <v>#N/A</v>
      </c>
      <c r="F3521" s="3" t="e">
        <f t="shared" si="111"/>
        <v>#N/A</v>
      </c>
    </row>
    <row r="3522" spans="2:6" x14ac:dyDescent="0.25">
      <c r="B3522" s="3"/>
      <c r="C3522" s="3"/>
      <c r="D3522" s="3"/>
      <c r="E3522" s="3" t="e">
        <f t="shared" si="110"/>
        <v>#N/A</v>
      </c>
      <c r="F3522" s="3" t="e">
        <f t="shared" si="111"/>
        <v>#N/A</v>
      </c>
    </row>
    <row r="3523" spans="2:6" x14ac:dyDescent="0.25">
      <c r="B3523" s="3"/>
      <c r="C3523" s="3"/>
      <c r="D3523" s="3"/>
      <c r="E3523" s="3" t="e">
        <f t="shared" si="110"/>
        <v>#N/A</v>
      </c>
      <c r="F3523" s="3" t="e">
        <f t="shared" si="111"/>
        <v>#N/A</v>
      </c>
    </row>
    <row r="3524" spans="2:6" x14ac:dyDescent="0.25">
      <c r="B3524" s="3"/>
      <c r="C3524" s="3"/>
      <c r="D3524" s="3"/>
      <c r="E3524" s="3" t="e">
        <f t="shared" ref="E3524:E3587" si="112">VLOOKUP(C3524,I:J,2,0)</f>
        <v>#N/A</v>
      </c>
      <c r="F3524" s="3" t="e">
        <f t="shared" ref="F3524:F3587" si="113">E3524&amp;" "&amp;B3524</f>
        <v>#N/A</v>
      </c>
    </row>
    <row r="3525" spans="2:6" x14ac:dyDescent="0.25">
      <c r="B3525" s="3"/>
      <c r="C3525" s="3"/>
      <c r="D3525" s="3"/>
      <c r="E3525" s="3" t="e">
        <f t="shared" si="112"/>
        <v>#N/A</v>
      </c>
      <c r="F3525" s="3" t="e">
        <f t="shared" si="113"/>
        <v>#N/A</v>
      </c>
    </row>
    <row r="3526" spans="2:6" x14ac:dyDescent="0.25">
      <c r="B3526" s="3"/>
      <c r="C3526" s="3"/>
      <c r="D3526" s="3"/>
      <c r="E3526" s="3" t="e">
        <f t="shared" si="112"/>
        <v>#N/A</v>
      </c>
      <c r="F3526" s="3" t="e">
        <f t="shared" si="113"/>
        <v>#N/A</v>
      </c>
    </row>
    <row r="3527" spans="2:6" x14ac:dyDescent="0.25">
      <c r="B3527" s="3"/>
      <c r="C3527" s="3"/>
      <c r="D3527" s="3"/>
      <c r="E3527" s="3" t="e">
        <f t="shared" si="112"/>
        <v>#N/A</v>
      </c>
      <c r="F3527" s="3" t="e">
        <f t="shared" si="113"/>
        <v>#N/A</v>
      </c>
    </row>
    <row r="3528" spans="2:6" x14ac:dyDescent="0.25">
      <c r="B3528" s="3"/>
      <c r="C3528" s="3"/>
      <c r="D3528" s="3"/>
      <c r="E3528" s="3" t="e">
        <f t="shared" si="112"/>
        <v>#N/A</v>
      </c>
      <c r="F3528" s="3" t="e">
        <f t="shared" si="113"/>
        <v>#N/A</v>
      </c>
    </row>
    <row r="3529" spans="2:6" x14ac:dyDescent="0.25">
      <c r="B3529" s="3"/>
      <c r="C3529" s="3"/>
      <c r="D3529" s="3"/>
      <c r="E3529" s="3" t="e">
        <f t="shared" si="112"/>
        <v>#N/A</v>
      </c>
      <c r="F3529" s="3" t="e">
        <f t="shared" si="113"/>
        <v>#N/A</v>
      </c>
    </row>
    <row r="3530" spans="2:6" x14ac:dyDescent="0.25">
      <c r="B3530" s="3"/>
      <c r="C3530" s="3"/>
      <c r="D3530" s="3"/>
      <c r="E3530" s="3" t="e">
        <f t="shared" si="112"/>
        <v>#N/A</v>
      </c>
      <c r="F3530" s="3" t="e">
        <f t="shared" si="113"/>
        <v>#N/A</v>
      </c>
    </row>
    <row r="3531" spans="2:6" x14ac:dyDescent="0.25">
      <c r="B3531" s="3"/>
      <c r="C3531" s="3"/>
      <c r="D3531" s="3"/>
      <c r="E3531" s="3" t="e">
        <f t="shared" si="112"/>
        <v>#N/A</v>
      </c>
      <c r="F3531" s="3" t="e">
        <f t="shared" si="113"/>
        <v>#N/A</v>
      </c>
    </row>
    <row r="3532" spans="2:6" x14ac:dyDescent="0.25">
      <c r="B3532" s="3"/>
      <c r="C3532" s="3"/>
      <c r="D3532" s="3"/>
      <c r="E3532" s="3" t="e">
        <f t="shared" si="112"/>
        <v>#N/A</v>
      </c>
      <c r="F3532" s="3" t="e">
        <f t="shared" si="113"/>
        <v>#N/A</v>
      </c>
    </row>
    <row r="3533" spans="2:6" x14ac:dyDescent="0.25">
      <c r="B3533" s="3"/>
      <c r="C3533" s="3"/>
      <c r="D3533" s="3"/>
      <c r="E3533" s="3" t="e">
        <f t="shared" si="112"/>
        <v>#N/A</v>
      </c>
      <c r="F3533" s="3" t="e">
        <f t="shared" si="113"/>
        <v>#N/A</v>
      </c>
    </row>
    <row r="3534" spans="2:6" x14ac:dyDescent="0.25">
      <c r="B3534" s="3"/>
      <c r="C3534" s="3"/>
      <c r="D3534" s="3"/>
      <c r="E3534" s="3" t="e">
        <f t="shared" si="112"/>
        <v>#N/A</v>
      </c>
      <c r="F3534" s="3" t="e">
        <f t="shared" si="113"/>
        <v>#N/A</v>
      </c>
    </row>
    <row r="3535" spans="2:6" x14ac:dyDescent="0.25">
      <c r="B3535" s="3"/>
      <c r="C3535" s="3"/>
      <c r="D3535" s="3"/>
      <c r="E3535" s="3" t="e">
        <f t="shared" si="112"/>
        <v>#N/A</v>
      </c>
      <c r="F3535" s="3" t="e">
        <f t="shared" si="113"/>
        <v>#N/A</v>
      </c>
    </row>
    <row r="3536" spans="2:6" x14ac:dyDescent="0.25">
      <c r="B3536" s="3"/>
      <c r="C3536" s="3"/>
      <c r="D3536" s="3"/>
      <c r="E3536" s="3" t="e">
        <f t="shared" si="112"/>
        <v>#N/A</v>
      </c>
      <c r="F3536" s="3" t="e">
        <f t="shared" si="113"/>
        <v>#N/A</v>
      </c>
    </row>
    <row r="3537" spans="2:6" x14ac:dyDescent="0.25">
      <c r="B3537" s="3"/>
      <c r="C3537" s="3"/>
      <c r="D3537" s="3"/>
      <c r="E3537" s="3" t="e">
        <f t="shared" si="112"/>
        <v>#N/A</v>
      </c>
      <c r="F3537" s="3" t="e">
        <f t="shared" si="113"/>
        <v>#N/A</v>
      </c>
    </row>
    <row r="3538" spans="2:6" x14ac:dyDescent="0.25">
      <c r="B3538" s="3"/>
      <c r="C3538" s="3"/>
      <c r="D3538" s="3"/>
      <c r="E3538" s="3" t="e">
        <f t="shared" si="112"/>
        <v>#N/A</v>
      </c>
      <c r="F3538" s="3" t="e">
        <f t="shared" si="113"/>
        <v>#N/A</v>
      </c>
    </row>
    <row r="3539" spans="2:6" x14ac:dyDescent="0.25">
      <c r="B3539" s="3"/>
      <c r="C3539" s="3"/>
      <c r="D3539" s="3"/>
      <c r="E3539" s="3" t="e">
        <f t="shared" si="112"/>
        <v>#N/A</v>
      </c>
      <c r="F3539" s="3" t="e">
        <f t="shared" si="113"/>
        <v>#N/A</v>
      </c>
    </row>
    <row r="3540" spans="2:6" x14ac:dyDescent="0.25">
      <c r="B3540" s="3"/>
      <c r="C3540" s="3"/>
      <c r="D3540" s="3"/>
      <c r="E3540" s="3" t="e">
        <f t="shared" si="112"/>
        <v>#N/A</v>
      </c>
      <c r="F3540" s="3" t="e">
        <f t="shared" si="113"/>
        <v>#N/A</v>
      </c>
    </row>
    <row r="3541" spans="2:6" x14ac:dyDescent="0.25">
      <c r="B3541" s="3"/>
      <c r="C3541" s="3"/>
      <c r="D3541" s="3"/>
      <c r="E3541" s="3" t="e">
        <f t="shared" si="112"/>
        <v>#N/A</v>
      </c>
      <c r="F3541" s="3" t="e">
        <f t="shared" si="113"/>
        <v>#N/A</v>
      </c>
    </row>
    <row r="3542" spans="2:6" x14ac:dyDescent="0.25">
      <c r="B3542" s="3"/>
      <c r="C3542" s="3"/>
      <c r="D3542" s="3"/>
      <c r="E3542" s="3" t="e">
        <f t="shared" si="112"/>
        <v>#N/A</v>
      </c>
      <c r="F3542" s="3" t="e">
        <f t="shared" si="113"/>
        <v>#N/A</v>
      </c>
    </row>
    <row r="3543" spans="2:6" x14ac:dyDescent="0.25">
      <c r="B3543" s="3"/>
      <c r="C3543" s="3"/>
      <c r="D3543" s="3"/>
      <c r="E3543" s="3" t="e">
        <f t="shared" si="112"/>
        <v>#N/A</v>
      </c>
      <c r="F3543" s="3" t="e">
        <f t="shared" si="113"/>
        <v>#N/A</v>
      </c>
    </row>
    <row r="3544" spans="2:6" x14ac:dyDescent="0.25">
      <c r="B3544" s="3"/>
      <c r="C3544" s="3"/>
      <c r="D3544" s="3"/>
      <c r="E3544" s="3" t="e">
        <f t="shared" si="112"/>
        <v>#N/A</v>
      </c>
      <c r="F3544" s="3" t="e">
        <f t="shared" si="113"/>
        <v>#N/A</v>
      </c>
    </row>
    <row r="3545" spans="2:6" x14ac:dyDescent="0.25">
      <c r="B3545" s="3"/>
      <c r="C3545" s="3"/>
      <c r="D3545" s="3"/>
      <c r="E3545" s="3" t="e">
        <f t="shared" si="112"/>
        <v>#N/A</v>
      </c>
      <c r="F3545" s="3" t="e">
        <f t="shared" si="113"/>
        <v>#N/A</v>
      </c>
    </row>
    <row r="3546" spans="2:6" x14ac:dyDescent="0.25">
      <c r="B3546" s="3"/>
      <c r="C3546" s="3"/>
      <c r="D3546" s="3"/>
      <c r="E3546" s="3" t="e">
        <f t="shared" si="112"/>
        <v>#N/A</v>
      </c>
      <c r="F3546" s="3" t="e">
        <f t="shared" si="113"/>
        <v>#N/A</v>
      </c>
    </row>
    <row r="3547" spans="2:6" x14ac:dyDescent="0.25">
      <c r="B3547" s="3"/>
      <c r="C3547" s="3"/>
      <c r="D3547" s="3"/>
      <c r="E3547" s="3" t="e">
        <f t="shared" si="112"/>
        <v>#N/A</v>
      </c>
      <c r="F3547" s="3" t="e">
        <f t="shared" si="113"/>
        <v>#N/A</v>
      </c>
    </row>
    <row r="3548" spans="2:6" x14ac:dyDescent="0.25">
      <c r="B3548" s="3"/>
      <c r="C3548" s="3"/>
      <c r="D3548" s="3"/>
      <c r="E3548" s="3" t="e">
        <f t="shared" si="112"/>
        <v>#N/A</v>
      </c>
      <c r="F3548" s="3" t="e">
        <f t="shared" si="113"/>
        <v>#N/A</v>
      </c>
    </row>
    <row r="3549" spans="2:6" x14ac:dyDescent="0.25">
      <c r="B3549" s="3"/>
      <c r="C3549" s="3"/>
      <c r="D3549" s="3"/>
      <c r="E3549" s="3" t="e">
        <f t="shared" si="112"/>
        <v>#N/A</v>
      </c>
      <c r="F3549" s="3" t="e">
        <f t="shared" si="113"/>
        <v>#N/A</v>
      </c>
    </row>
    <row r="3550" spans="2:6" x14ac:dyDescent="0.25">
      <c r="B3550" s="3"/>
      <c r="C3550" s="3"/>
      <c r="D3550" s="3"/>
      <c r="E3550" s="3" t="e">
        <f t="shared" si="112"/>
        <v>#N/A</v>
      </c>
      <c r="F3550" s="3" t="e">
        <f t="shared" si="113"/>
        <v>#N/A</v>
      </c>
    </row>
    <row r="3551" spans="2:6" x14ac:dyDescent="0.25">
      <c r="B3551" s="3"/>
      <c r="C3551" s="3"/>
      <c r="D3551" s="3"/>
      <c r="E3551" s="3" t="e">
        <f t="shared" si="112"/>
        <v>#N/A</v>
      </c>
      <c r="F3551" s="3" t="e">
        <f t="shared" si="113"/>
        <v>#N/A</v>
      </c>
    </row>
    <row r="3552" spans="2:6" x14ac:dyDescent="0.25">
      <c r="B3552" s="3"/>
      <c r="C3552" s="3"/>
      <c r="D3552" s="3"/>
      <c r="E3552" s="3" t="e">
        <f t="shared" si="112"/>
        <v>#N/A</v>
      </c>
      <c r="F3552" s="3" t="e">
        <f t="shared" si="113"/>
        <v>#N/A</v>
      </c>
    </row>
    <row r="3553" spans="2:6" x14ac:dyDescent="0.25">
      <c r="B3553" s="3"/>
      <c r="C3553" s="3"/>
      <c r="D3553" s="3"/>
      <c r="E3553" s="3" t="e">
        <f t="shared" si="112"/>
        <v>#N/A</v>
      </c>
      <c r="F3553" s="3" t="e">
        <f t="shared" si="113"/>
        <v>#N/A</v>
      </c>
    </row>
    <row r="3554" spans="2:6" x14ac:dyDescent="0.25">
      <c r="B3554" s="3"/>
      <c r="C3554" s="3"/>
      <c r="D3554" s="3"/>
      <c r="E3554" s="3" t="e">
        <f t="shared" si="112"/>
        <v>#N/A</v>
      </c>
      <c r="F3554" s="3" t="e">
        <f t="shared" si="113"/>
        <v>#N/A</v>
      </c>
    </row>
    <row r="3555" spans="2:6" x14ac:dyDescent="0.25">
      <c r="B3555" s="3"/>
      <c r="C3555" s="3"/>
      <c r="D3555" s="3"/>
      <c r="E3555" s="3" t="e">
        <f t="shared" si="112"/>
        <v>#N/A</v>
      </c>
      <c r="F3555" s="3" t="e">
        <f t="shared" si="113"/>
        <v>#N/A</v>
      </c>
    </row>
    <row r="3556" spans="2:6" x14ac:dyDescent="0.25">
      <c r="B3556" s="3"/>
      <c r="C3556" s="3"/>
      <c r="D3556" s="3"/>
      <c r="E3556" s="3" t="e">
        <f t="shared" si="112"/>
        <v>#N/A</v>
      </c>
      <c r="F3556" s="3" t="e">
        <f t="shared" si="113"/>
        <v>#N/A</v>
      </c>
    </row>
    <row r="3557" spans="2:6" x14ac:dyDescent="0.25">
      <c r="B3557" s="3"/>
      <c r="C3557" s="3"/>
      <c r="D3557" s="3"/>
      <c r="E3557" s="3" t="e">
        <f t="shared" si="112"/>
        <v>#N/A</v>
      </c>
      <c r="F3557" s="3" t="e">
        <f t="shared" si="113"/>
        <v>#N/A</v>
      </c>
    </row>
    <row r="3558" spans="2:6" x14ac:dyDescent="0.25">
      <c r="B3558" s="3"/>
      <c r="C3558" s="3"/>
      <c r="D3558" s="3"/>
      <c r="E3558" s="3" t="e">
        <f t="shared" si="112"/>
        <v>#N/A</v>
      </c>
      <c r="F3558" s="3" t="e">
        <f t="shared" si="113"/>
        <v>#N/A</v>
      </c>
    </row>
    <row r="3559" spans="2:6" x14ac:dyDescent="0.25">
      <c r="B3559" s="3"/>
      <c r="C3559" s="3"/>
      <c r="D3559" s="3"/>
      <c r="E3559" s="3" t="e">
        <f t="shared" si="112"/>
        <v>#N/A</v>
      </c>
      <c r="F3559" s="3" t="e">
        <f t="shared" si="113"/>
        <v>#N/A</v>
      </c>
    </row>
    <row r="3560" spans="2:6" x14ac:dyDescent="0.25">
      <c r="B3560" s="3"/>
      <c r="C3560" s="3"/>
      <c r="D3560" s="3"/>
      <c r="E3560" s="3" t="e">
        <f t="shared" si="112"/>
        <v>#N/A</v>
      </c>
      <c r="F3560" s="3" t="e">
        <f t="shared" si="113"/>
        <v>#N/A</v>
      </c>
    </row>
    <row r="3561" spans="2:6" x14ac:dyDescent="0.25">
      <c r="B3561" s="3"/>
      <c r="C3561" s="3"/>
      <c r="D3561" s="3"/>
      <c r="E3561" s="3" t="e">
        <f t="shared" si="112"/>
        <v>#N/A</v>
      </c>
      <c r="F3561" s="3" t="e">
        <f t="shared" si="113"/>
        <v>#N/A</v>
      </c>
    </row>
    <row r="3562" spans="2:6" x14ac:dyDescent="0.25">
      <c r="B3562" s="3"/>
      <c r="C3562" s="3"/>
      <c r="D3562" s="3"/>
      <c r="E3562" s="3" t="e">
        <f t="shared" si="112"/>
        <v>#N/A</v>
      </c>
      <c r="F3562" s="3" t="e">
        <f t="shared" si="113"/>
        <v>#N/A</v>
      </c>
    </row>
    <row r="3563" spans="2:6" x14ac:dyDescent="0.25">
      <c r="B3563" s="3"/>
      <c r="C3563" s="3"/>
      <c r="D3563" s="3"/>
      <c r="E3563" s="3" t="e">
        <f t="shared" si="112"/>
        <v>#N/A</v>
      </c>
      <c r="F3563" s="3" t="e">
        <f t="shared" si="113"/>
        <v>#N/A</v>
      </c>
    </row>
    <row r="3564" spans="2:6" x14ac:dyDescent="0.25">
      <c r="B3564" s="3"/>
      <c r="C3564" s="3"/>
      <c r="D3564" s="3"/>
      <c r="E3564" s="3" t="e">
        <f t="shared" si="112"/>
        <v>#N/A</v>
      </c>
      <c r="F3564" s="3" t="e">
        <f t="shared" si="113"/>
        <v>#N/A</v>
      </c>
    </row>
    <row r="3565" spans="2:6" x14ac:dyDescent="0.25">
      <c r="B3565" s="3"/>
      <c r="C3565" s="3"/>
      <c r="D3565" s="3"/>
      <c r="E3565" s="3" t="e">
        <f t="shared" si="112"/>
        <v>#N/A</v>
      </c>
      <c r="F3565" s="3" t="e">
        <f t="shared" si="113"/>
        <v>#N/A</v>
      </c>
    </row>
    <row r="3566" spans="2:6" x14ac:dyDescent="0.25">
      <c r="B3566" s="3"/>
      <c r="C3566" s="3"/>
      <c r="D3566" s="3"/>
      <c r="E3566" s="3" t="e">
        <f t="shared" si="112"/>
        <v>#N/A</v>
      </c>
      <c r="F3566" s="3" t="e">
        <f t="shared" si="113"/>
        <v>#N/A</v>
      </c>
    </row>
    <row r="3567" spans="2:6" x14ac:dyDescent="0.25">
      <c r="B3567" s="3"/>
      <c r="C3567" s="3"/>
      <c r="D3567" s="3"/>
      <c r="E3567" s="3" t="e">
        <f t="shared" si="112"/>
        <v>#N/A</v>
      </c>
      <c r="F3567" s="3" t="e">
        <f t="shared" si="113"/>
        <v>#N/A</v>
      </c>
    </row>
    <row r="3568" spans="2:6" x14ac:dyDescent="0.25">
      <c r="B3568" s="3"/>
      <c r="C3568" s="3"/>
      <c r="D3568" s="3"/>
      <c r="E3568" s="3" t="e">
        <f t="shared" si="112"/>
        <v>#N/A</v>
      </c>
      <c r="F3568" s="3" t="e">
        <f t="shared" si="113"/>
        <v>#N/A</v>
      </c>
    </row>
    <row r="3569" spans="2:6" x14ac:dyDescent="0.25">
      <c r="B3569" s="3"/>
      <c r="C3569" s="3"/>
      <c r="D3569" s="3"/>
      <c r="E3569" s="3" t="e">
        <f t="shared" si="112"/>
        <v>#N/A</v>
      </c>
      <c r="F3569" s="3" t="e">
        <f t="shared" si="113"/>
        <v>#N/A</v>
      </c>
    </row>
    <row r="3570" spans="2:6" x14ac:dyDescent="0.25">
      <c r="B3570" s="3"/>
      <c r="C3570" s="3"/>
      <c r="D3570" s="3"/>
      <c r="E3570" s="3" t="e">
        <f t="shared" si="112"/>
        <v>#N/A</v>
      </c>
      <c r="F3570" s="3" t="e">
        <f t="shared" si="113"/>
        <v>#N/A</v>
      </c>
    </row>
    <row r="3571" spans="2:6" x14ac:dyDescent="0.25">
      <c r="B3571" s="3"/>
      <c r="C3571" s="3"/>
      <c r="D3571" s="3"/>
      <c r="E3571" s="3" t="e">
        <f t="shared" si="112"/>
        <v>#N/A</v>
      </c>
      <c r="F3571" s="3" t="e">
        <f t="shared" si="113"/>
        <v>#N/A</v>
      </c>
    </row>
    <row r="3572" spans="2:6" x14ac:dyDescent="0.25">
      <c r="B3572" s="3"/>
      <c r="C3572" s="3"/>
      <c r="D3572" s="3"/>
      <c r="E3572" s="3" t="e">
        <f t="shared" si="112"/>
        <v>#N/A</v>
      </c>
      <c r="F3572" s="3" t="e">
        <f t="shared" si="113"/>
        <v>#N/A</v>
      </c>
    </row>
    <row r="3573" spans="2:6" x14ac:dyDescent="0.25">
      <c r="B3573" s="3"/>
      <c r="C3573" s="3"/>
      <c r="D3573" s="3"/>
      <c r="E3573" s="3" t="e">
        <f t="shared" si="112"/>
        <v>#N/A</v>
      </c>
      <c r="F3573" s="3" t="e">
        <f t="shared" si="113"/>
        <v>#N/A</v>
      </c>
    </row>
    <row r="3574" spans="2:6" x14ac:dyDescent="0.25">
      <c r="B3574" s="3"/>
      <c r="C3574" s="3"/>
      <c r="D3574" s="3"/>
      <c r="E3574" s="3" t="e">
        <f t="shared" si="112"/>
        <v>#N/A</v>
      </c>
      <c r="F3574" s="3" t="e">
        <f t="shared" si="113"/>
        <v>#N/A</v>
      </c>
    </row>
    <row r="3575" spans="2:6" x14ac:dyDescent="0.25">
      <c r="B3575" s="3"/>
      <c r="C3575" s="3"/>
      <c r="D3575" s="3"/>
      <c r="E3575" s="3" t="e">
        <f t="shared" si="112"/>
        <v>#N/A</v>
      </c>
      <c r="F3575" s="3" t="e">
        <f t="shared" si="113"/>
        <v>#N/A</v>
      </c>
    </row>
    <row r="3576" spans="2:6" x14ac:dyDescent="0.25">
      <c r="B3576" s="3"/>
      <c r="C3576" s="3"/>
      <c r="D3576" s="3"/>
      <c r="E3576" s="3" t="e">
        <f t="shared" si="112"/>
        <v>#N/A</v>
      </c>
      <c r="F3576" s="3" t="e">
        <f t="shared" si="113"/>
        <v>#N/A</v>
      </c>
    </row>
    <row r="3577" spans="2:6" x14ac:dyDescent="0.25">
      <c r="B3577" s="3"/>
      <c r="C3577" s="3"/>
      <c r="D3577" s="3"/>
      <c r="E3577" s="3" t="e">
        <f t="shared" si="112"/>
        <v>#N/A</v>
      </c>
      <c r="F3577" s="3" t="e">
        <f t="shared" si="113"/>
        <v>#N/A</v>
      </c>
    </row>
    <row r="3578" spans="2:6" x14ac:dyDescent="0.25">
      <c r="B3578" s="3"/>
      <c r="C3578" s="3"/>
      <c r="D3578" s="3"/>
      <c r="E3578" s="3" t="e">
        <f t="shared" si="112"/>
        <v>#N/A</v>
      </c>
      <c r="F3578" s="3" t="e">
        <f t="shared" si="113"/>
        <v>#N/A</v>
      </c>
    </row>
    <row r="3579" spans="2:6" x14ac:dyDescent="0.25">
      <c r="B3579" s="3"/>
      <c r="C3579" s="3"/>
      <c r="D3579" s="3"/>
      <c r="E3579" s="3" t="e">
        <f t="shared" si="112"/>
        <v>#N/A</v>
      </c>
      <c r="F3579" s="3" t="e">
        <f t="shared" si="113"/>
        <v>#N/A</v>
      </c>
    </row>
    <row r="3580" spans="2:6" x14ac:dyDescent="0.25">
      <c r="B3580" s="3"/>
      <c r="C3580" s="3"/>
      <c r="D3580" s="3"/>
      <c r="E3580" s="3" t="e">
        <f t="shared" si="112"/>
        <v>#N/A</v>
      </c>
      <c r="F3580" s="3" t="e">
        <f t="shared" si="113"/>
        <v>#N/A</v>
      </c>
    </row>
    <row r="3581" spans="2:6" x14ac:dyDescent="0.25">
      <c r="B3581" s="3"/>
      <c r="C3581" s="3"/>
      <c r="D3581" s="3"/>
      <c r="E3581" s="3" t="e">
        <f t="shared" si="112"/>
        <v>#N/A</v>
      </c>
      <c r="F3581" s="3" t="e">
        <f t="shared" si="113"/>
        <v>#N/A</v>
      </c>
    </row>
    <row r="3582" spans="2:6" x14ac:dyDescent="0.25">
      <c r="B3582" s="3"/>
      <c r="C3582" s="3"/>
      <c r="D3582" s="3"/>
      <c r="E3582" s="3" t="e">
        <f t="shared" si="112"/>
        <v>#N/A</v>
      </c>
      <c r="F3582" s="3" t="e">
        <f t="shared" si="113"/>
        <v>#N/A</v>
      </c>
    </row>
    <row r="3583" spans="2:6" x14ac:dyDescent="0.25">
      <c r="B3583" s="3"/>
      <c r="C3583" s="3"/>
      <c r="D3583" s="3"/>
      <c r="E3583" s="3" t="e">
        <f t="shared" si="112"/>
        <v>#N/A</v>
      </c>
      <c r="F3583" s="3" t="e">
        <f t="shared" si="113"/>
        <v>#N/A</v>
      </c>
    </row>
    <row r="3584" spans="2:6" x14ac:dyDescent="0.25">
      <c r="B3584" s="3"/>
      <c r="C3584" s="3"/>
      <c r="D3584" s="3"/>
      <c r="E3584" s="3" t="e">
        <f t="shared" si="112"/>
        <v>#N/A</v>
      </c>
      <c r="F3584" s="3" t="e">
        <f t="shared" si="113"/>
        <v>#N/A</v>
      </c>
    </row>
    <row r="3585" spans="2:6" x14ac:dyDescent="0.25">
      <c r="B3585" s="3"/>
      <c r="C3585" s="3"/>
      <c r="D3585" s="3"/>
      <c r="E3585" s="3" t="e">
        <f t="shared" si="112"/>
        <v>#N/A</v>
      </c>
      <c r="F3585" s="3" t="e">
        <f t="shared" si="113"/>
        <v>#N/A</v>
      </c>
    </row>
    <row r="3586" spans="2:6" x14ac:dyDescent="0.25">
      <c r="B3586" s="3"/>
      <c r="C3586" s="3"/>
      <c r="D3586" s="3"/>
      <c r="E3586" s="3" t="e">
        <f t="shared" si="112"/>
        <v>#N/A</v>
      </c>
      <c r="F3586" s="3" t="e">
        <f t="shared" si="113"/>
        <v>#N/A</v>
      </c>
    </row>
    <row r="3587" spans="2:6" x14ac:dyDescent="0.25">
      <c r="B3587" s="3"/>
      <c r="C3587" s="3"/>
      <c r="D3587" s="3"/>
      <c r="E3587" s="3" t="e">
        <f t="shared" si="112"/>
        <v>#N/A</v>
      </c>
      <c r="F3587" s="3" t="e">
        <f t="shared" si="113"/>
        <v>#N/A</v>
      </c>
    </row>
    <row r="3588" spans="2:6" x14ac:dyDescent="0.25">
      <c r="B3588" s="3"/>
      <c r="C3588" s="3"/>
      <c r="D3588" s="3"/>
      <c r="E3588" s="3" t="e">
        <f t="shared" ref="E3588:E3651" si="114">VLOOKUP(C3588,I:J,2,0)</f>
        <v>#N/A</v>
      </c>
      <c r="F3588" s="3" t="e">
        <f t="shared" ref="F3588:F3651" si="115">E3588&amp;" "&amp;B3588</f>
        <v>#N/A</v>
      </c>
    </row>
    <row r="3589" spans="2:6" x14ac:dyDescent="0.25">
      <c r="B3589" s="3"/>
      <c r="C3589" s="3"/>
      <c r="D3589" s="3"/>
      <c r="E3589" s="3" t="e">
        <f t="shared" si="114"/>
        <v>#N/A</v>
      </c>
      <c r="F3589" s="3" t="e">
        <f t="shared" si="115"/>
        <v>#N/A</v>
      </c>
    </row>
    <row r="3590" spans="2:6" x14ac:dyDescent="0.25">
      <c r="B3590" s="3"/>
      <c r="C3590" s="3"/>
      <c r="D3590" s="3"/>
      <c r="E3590" s="3" t="e">
        <f t="shared" si="114"/>
        <v>#N/A</v>
      </c>
      <c r="F3590" s="3" t="e">
        <f t="shared" si="115"/>
        <v>#N/A</v>
      </c>
    </row>
    <row r="3591" spans="2:6" x14ac:dyDescent="0.25">
      <c r="B3591" s="3"/>
      <c r="C3591" s="3"/>
      <c r="D3591" s="3"/>
      <c r="E3591" s="3" t="e">
        <f t="shared" si="114"/>
        <v>#N/A</v>
      </c>
      <c r="F3591" s="3" t="e">
        <f t="shared" si="115"/>
        <v>#N/A</v>
      </c>
    </row>
    <row r="3592" spans="2:6" x14ac:dyDescent="0.25">
      <c r="B3592" s="3"/>
      <c r="C3592" s="3"/>
      <c r="D3592" s="3"/>
      <c r="E3592" s="3" t="e">
        <f t="shared" si="114"/>
        <v>#N/A</v>
      </c>
      <c r="F3592" s="3" t="e">
        <f t="shared" si="115"/>
        <v>#N/A</v>
      </c>
    </row>
    <row r="3593" spans="2:6" x14ac:dyDescent="0.25">
      <c r="B3593" s="3"/>
      <c r="C3593" s="3"/>
      <c r="D3593" s="3"/>
      <c r="E3593" s="3" t="e">
        <f t="shared" si="114"/>
        <v>#N/A</v>
      </c>
      <c r="F3593" s="3" t="e">
        <f t="shared" si="115"/>
        <v>#N/A</v>
      </c>
    </row>
    <row r="3594" spans="2:6" x14ac:dyDescent="0.25">
      <c r="B3594" s="3"/>
      <c r="C3594" s="3"/>
      <c r="D3594" s="3"/>
      <c r="E3594" s="3" t="e">
        <f t="shared" si="114"/>
        <v>#N/A</v>
      </c>
      <c r="F3594" s="3" t="e">
        <f t="shared" si="115"/>
        <v>#N/A</v>
      </c>
    </row>
    <row r="3595" spans="2:6" x14ac:dyDescent="0.25">
      <c r="B3595" s="3"/>
      <c r="C3595" s="3"/>
      <c r="D3595" s="3"/>
      <c r="E3595" s="3" t="e">
        <f t="shared" si="114"/>
        <v>#N/A</v>
      </c>
      <c r="F3595" s="3" t="e">
        <f t="shared" si="115"/>
        <v>#N/A</v>
      </c>
    </row>
    <row r="3596" spans="2:6" x14ac:dyDescent="0.25">
      <c r="B3596" s="3"/>
      <c r="C3596" s="3"/>
      <c r="D3596" s="3"/>
      <c r="E3596" s="3" t="e">
        <f t="shared" si="114"/>
        <v>#N/A</v>
      </c>
      <c r="F3596" s="3" t="e">
        <f t="shared" si="115"/>
        <v>#N/A</v>
      </c>
    </row>
    <row r="3597" spans="2:6" x14ac:dyDescent="0.25">
      <c r="B3597" s="3"/>
      <c r="C3597" s="3"/>
      <c r="D3597" s="3"/>
      <c r="E3597" s="3" t="e">
        <f t="shared" si="114"/>
        <v>#N/A</v>
      </c>
      <c r="F3597" s="3" t="e">
        <f t="shared" si="115"/>
        <v>#N/A</v>
      </c>
    </row>
    <row r="3598" spans="2:6" x14ac:dyDescent="0.25">
      <c r="B3598" s="3"/>
      <c r="C3598" s="3"/>
      <c r="D3598" s="3"/>
      <c r="E3598" s="3" t="e">
        <f t="shared" si="114"/>
        <v>#N/A</v>
      </c>
      <c r="F3598" s="3" t="e">
        <f t="shared" si="115"/>
        <v>#N/A</v>
      </c>
    </row>
    <row r="3599" spans="2:6" x14ac:dyDescent="0.25">
      <c r="B3599" s="3"/>
      <c r="C3599" s="3"/>
      <c r="D3599" s="3"/>
      <c r="E3599" s="3" t="e">
        <f t="shared" si="114"/>
        <v>#N/A</v>
      </c>
      <c r="F3599" s="3" t="e">
        <f t="shared" si="115"/>
        <v>#N/A</v>
      </c>
    </row>
    <row r="3600" spans="2:6" x14ac:dyDescent="0.25">
      <c r="B3600" s="3"/>
      <c r="C3600" s="3"/>
      <c r="D3600" s="3"/>
      <c r="E3600" s="3" t="e">
        <f t="shared" si="114"/>
        <v>#N/A</v>
      </c>
      <c r="F3600" s="3" t="e">
        <f t="shared" si="115"/>
        <v>#N/A</v>
      </c>
    </row>
    <row r="3601" spans="2:6" x14ac:dyDescent="0.25">
      <c r="B3601" s="3"/>
      <c r="C3601" s="3"/>
      <c r="D3601" s="3"/>
      <c r="E3601" s="3" t="e">
        <f t="shared" si="114"/>
        <v>#N/A</v>
      </c>
      <c r="F3601" s="3" t="e">
        <f t="shared" si="115"/>
        <v>#N/A</v>
      </c>
    </row>
    <row r="3602" spans="2:6" x14ac:dyDescent="0.25">
      <c r="B3602" s="3"/>
      <c r="C3602" s="3"/>
      <c r="D3602" s="3"/>
      <c r="E3602" s="3" t="e">
        <f t="shared" si="114"/>
        <v>#N/A</v>
      </c>
      <c r="F3602" s="3" t="e">
        <f t="shared" si="115"/>
        <v>#N/A</v>
      </c>
    </row>
    <row r="3603" spans="2:6" x14ac:dyDescent="0.25">
      <c r="B3603" s="3"/>
      <c r="C3603" s="3"/>
      <c r="D3603" s="3"/>
      <c r="E3603" s="3" t="e">
        <f t="shared" si="114"/>
        <v>#N/A</v>
      </c>
      <c r="F3603" s="3" t="e">
        <f t="shared" si="115"/>
        <v>#N/A</v>
      </c>
    </row>
    <row r="3604" spans="2:6" x14ac:dyDescent="0.25">
      <c r="B3604" s="3"/>
      <c r="C3604" s="3"/>
      <c r="D3604" s="3"/>
      <c r="E3604" s="3" t="e">
        <f t="shared" si="114"/>
        <v>#N/A</v>
      </c>
      <c r="F3604" s="3" t="e">
        <f t="shared" si="115"/>
        <v>#N/A</v>
      </c>
    </row>
    <row r="3605" spans="2:6" x14ac:dyDescent="0.25">
      <c r="B3605" s="3"/>
      <c r="C3605" s="3"/>
      <c r="D3605" s="3"/>
      <c r="E3605" s="3" t="e">
        <f t="shared" si="114"/>
        <v>#N/A</v>
      </c>
      <c r="F3605" s="3" t="e">
        <f t="shared" si="115"/>
        <v>#N/A</v>
      </c>
    </row>
    <row r="3606" spans="2:6" x14ac:dyDescent="0.25">
      <c r="B3606" s="3"/>
      <c r="C3606" s="3"/>
      <c r="D3606" s="3"/>
      <c r="E3606" s="3" t="e">
        <f t="shared" si="114"/>
        <v>#N/A</v>
      </c>
      <c r="F3606" s="3" t="e">
        <f t="shared" si="115"/>
        <v>#N/A</v>
      </c>
    </row>
    <row r="3607" spans="2:6" x14ac:dyDescent="0.25">
      <c r="B3607" s="3"/>
      <c r="C3607" s="3"/>
      <c r="D3607" s="3"/>
      <c r="E3607" s="3" t="e">
        <f t="shared" si="114"/>
        <v>#N/A</v>
      </c>
      <c r="F3607" s="3" t="e">
        <f t="shared" si="115"/>
        <v>#N/A</v>
      </c>
    </row>
    <row r="3608" spans="2:6" x14ac:dyDescent="0.25">
      <c r="B3608" s="3"/>
      <c r="C3608" s="3"/>
      <c r="D3608" s="3"/>
      <c r="E3608" s="3" t="e">
        <f t="shared" si="114"/>
        <v>#N/A</v>
      </c>
      <c r="F3608" s="3" t="e">
        <f t="shared" si="115"/>
        <v>#N/A</v>
      </c>
    </row>
    <row r="3609" spans="2:6" x14ac:dyDescent="0.25">
      <c r="B3609" s="3"/>
      <c r="C3609" s="3"/>
      <c r="D3609" s="3"/>
      <c r="E3609" s="3" t="e">
        <f t="shared" si="114"/>
        <v>#N/A</v>
      </c>
      <c r="F3609" s="3" t="e">
        <f t="shared" si="115"/>
        <v>#N/A</v>
      </c>
    </row>
    <row r="3610" spans="2:6" x14ac:dyDescent="0.25">
      <c r="B3610" s="3"/>
      <c r="C3610" s="3"/>
      <c r="D3610" s="3"/>
      <c r="E3610" s="3" t="e">
        <f t="shared" si="114"/>
        <v>#N/A</v>
      </c>
      <c r="F3610" s="3" t="e">
        <f t="shared" si="115"/>
        <v>#N/A</v>
      </c>
    </row>
    <row r="3611" spans="2:6" x14ac:dyDescent="0.25">
      <c r="B3611" s="3"/>
      <c r="C3611" s="3"/>
      <c r="D3611" s="3"/>
      <c r="E3611" s="3" t="e">
        <f t="shared" si="114"/>
        <v>#N/A</v>
      </c>
      <c r="F3611" s="3" t="e">
        <f t="shared" si="115"/>
        <v>#N/A</v>
      </c>
    </row>
    <row r="3612" spans="2:6" x14ac:dyDescent="0.25">
      <c r="B3612" s="3"/>
      <c r="C3612" s="3"/>
      <c r="D3612" s="3"/>
      <c r="E3612" s="3" t="e">
        <f t="shared" si="114"/>
        <v>#N/A</v>
      </c>
      <c r="F3612" s="3" t="e">
        <f t="shared" si="115"/>
        <v>#N/A</v>
      </c>
    </row>
    <row r="3613" spans="2:6" x14ac:dyDescent="0.25">
      <c r="B3613" s="3"/>
      <c r="C3613" s="3"/>
      <c r="D3613" s="3"/>
      <c r="E3613" s="3" t="e">
        <f t="shared" si="114"/>
        <v>#N/A</v>
      </c>
      <c r="F3613" s="3" t="e">
        <f t="shared" si="115"/>
        <v>#N/A</v>
      </c>
    </row>
    <row r="3614" spans="2:6" x14ac:dyDescent="0.25">
      <c r="B3614" s="3"/>
      <c r="C3614" s="3"/>
      <c r="D3614" s="3"/>
      <c r="E3614" s="3" t="e">
        <f t="shared" si="114"/>
        <v>#N/A</v>
      </c>
      <c r="F3614" s="3" t="e">
        <f t="shared" si="115"/>
        <v>#N/A</v>
      </c>
    </row>
    <row r="3615" spans="2:6" x14ac:dyDescent="0.25">
      <c r="B3615" s="3"/>
      <c r="C3615" s="3"/>
      <c r="D3615" s="3"/>
      <c r="E3615" s="3" t="e">
        <f t="shared" si="114"/>
        <v>#N/A</v>
      </c>
      <c r="F3615" s="3" t="e">
        <f t="shared" si="115"/>
        <v>#N/A</v>
      </c>
    </row>
    <row r="3616" spans="2:6" x14ac:dyDescent="0.25">
      <c r="B3616" s="3"/>
      <c r="C3616" s="3"/>
      <c r="D3616" s="3"/>
      <c r="E3616" s="3" t="e">
        <f t="shared" si="114"/>
        <v>#N/A</v>
      </c>
      <c r="F3616" s="3" t="e">
        <f t="shared" si="115"/>
        <v>#N/A</v>
      </c>
    </row>
    <row r="3617" spans="2:6" x14ac:dyDescent="0.25">
      <c r="B3617" s="3"/>
      <c r="C3617" s="3"/>
      <c r="D3617" s="3"/>
      <c r="E3617" s="3" t="e">
        <f t="shared" si="114"/>
        <v>#N/A</v>
      </c>
      <c r="F3617" s="3" t="e">
        <f t="shared" si="115"/>
        <v>#N/A</v>
      </c>
    </row>
    <row r="3618" spans="2:6" x14ac:dyDescent="0.25">
      <c r="B3618" s="3"/>
      <c r="C3618" s="3"/>
      <c r="D3618" s="3"/>
      <c r="E3618" s="3" t="e">
        <f t="shared" si="114"/>
        <v>#N/A</v>
      </c>
      <c r="F3618" s="3" t="e">
        <f t="shared" si="115"/>
        <v>#N/A</v>
      </c>
    </row>
    <row r="3619" spans="2:6" x14ac:dyDescent="0.25">
      <c r="B3619" s="3"/>
      <c r="C3619" s="3"/>
      <c r="D3619" s="3"/>
      <c r="E3619" s="3" t="e">
        <f t="shared" si="114"/>
        <v>#N/A</v>
      </c>
      <c r="F3619" s="3" t="e">
        <f t="shared" si="115"/>
        <v>#N/A</v>
      </c>
    </row>
    <row r="3620" spans="2:6" x14ac:dyDescent="0.25">
      <c r="B3620" s="3"/>
      <c r="C3620" s="3"/>
      <c r="D3620" s="3"/>
      <c r="E3620" s="3" t="e">
        <f t="shared" si="114"/>
        <v>#N/A</v>
      </c>
      <c r="F3620" s="3" t="e">
        <f t="shared" si="115"/>
        <v>#N/A</v>
      </c>
    </row>
    <row r="3621" spans="2:6" x14ac:dyDescent="0.25">
      <c r="B3621" s="3"/>
      <c r="C3621" s="3"/>
      <c r="D3621" s="3"/>
      <c r="E3621" s="3" t="e">
        <f t="shared" si="114"/>
        <v>#N/A</v>
      </c>
      <c r="F3621" s="3" t="e">
        <f t="shared" si="115"/>
        <v>#N/A</v>
      </c>
    </row>
    <row r="3622" spans="2:6" x14ac:dyDescent="0.25">
      <c r="B3622" s="3"/>
      <c r="C3622" s="3"/>
      <c r="D3622" s="3"/>
      <c r="E3622" s="3" t="e">
        <f t="shared" si="114"/>
        <v>#N/A</v>
      </c>
      <c r="F3622" s="3" t="e">
        <f t="shared" si="115"/>
        <v>#N/A</v>
      </c>
    </row>
    <row r="3623" spans="2:6" x14ac:dyDescent="0.25">
      <c r="B3623" s="3"/>
      <c r="C3623" s="3"/>
      <c r="D3623" s="3"/>
      <c r="E3623" s="3" t="e">
        <f t="shared" si="114"/>
        <v>#N/A</v>
      </c>
      <c r="F3623" s="3" t="e">
        <f t="shared" si="115"/>
        <v>#N/A</v>
      </c>
    </row>
    <row r="3624" spans="2:6" x14ac:dyDescent="0.25">
      <c r="B3624" s="3"/>
      <c r="C3624" s="3"/>
      <c r="D3624" s="3"/>
      <c r="E3624" s="3" t="e">
        <f t="shared" si="114"/>
        <v>#N/A</v>
      </c>
      <c r="F3624" s="3" t="e">
        <f t="shared" si="115"/>
        <v>#N/A</v>
      </c>
    </row>
    <row r="3625" spans="2:6" x14ac:dyDescent="0.25">
      <c r="B3625" s="3"/>
      <c r="C3625" s="3"/>
      <c r="D3625" s="3"/>
      <c r="E3625" s="3" t="e">
        <f t="shared" si="114"/>
        <v>#N/A</v>
      </c>
      <c r="F3625" s="3" t="e">
        <f t="shared" si="115"/>
        <v>#N/A</v>
      </c>
    </row>
    <row r="3626" spans="2:6" x14ac:dyDescent="0.25">
      <c r="B3626" s="3"/>
      <c r="C3626" s="3"/>
      <c r="D3626" s="3"/>
      <c r="E3626" s="3" t="e">
        <f t="shared" si="114"/>
        <v>#N/A</v>
      </c>
      <c r="F3626" s="3" t="e">
        <f t="shared" si="115"/>
        <v>#N/A</v>
      </c>
    </row>
    <row r="3627" spans="2:6" x14ac:dyDescent="0.25">
      <c r="B3627" s="3"/>
      <c r="C3627" s="3"/>
      <c r="D3627" s="3"/>
      <c r="E3627" s="3" t="e">
        <f t="shared" si="114"/>
        <v>#N/A</v>
      </c>
      <c r="F3627" s="3" t="e">
        <f t="shared" si="115"/>
        <v>#N/A</v>
      </c>
    </row>
    <row r="3628" spans="2:6" x14ac:dyDescent="0.25">
      <c r="B3628" s="3"/>
      <c r="C3628" s="3"/>
      <c r="D3628" s="3"/>
      <c r="E3628" s="3" t="e">
        <f t="shared" si="114"/>
        <v>#N/A</v>
      </c>
      <c r="F3628" s="3" t="e">
        <f t="shared" si="115"/>
        <v>#N/A</v>
      </c>
    </row>
    <row r="3629" spans="2:6" x14ac:dyDescent="0.25">
      <c r="B3629" s="3"/>
      <c r="C3629" s="3"/>
      <c r="D3629" s="3"/>
      <c r="E3629" s="3" t="e">
        <f t="shared" si="114"/>
        <v>#N/A</v>
      </c>
      <c r="F3629" s="3" t="e">
        <f t="shared" si="115"/>
        <v>#N/A</v>
      </c>
    </row>
    <row r="3630" spans="2:6" x14ac:dyDescent="0.25">
      <c r="B3630" s="3"/>
      <c r="C3630" s="3"/>
      <c r="D3630" s="3"/>
      <c r="E3630" s="3" t="e">
        <f t="shared" si="114"/>
        <v>#N/A</v>
      </c>
      <c r="F3630" s="3" t="e">
        <f t="shared" si="115"/>
        <v>#N/A</v>
      </c>
    </row>
    <row r="3631" spans="2:6" x14ac:dyDescent="0.25">
      <c r="B3631" s="3"/>
      <c r="C3631" s="3"/>
      <c r="D3631" s="3"/>
      <c r="E3631" s="3" t="e">
        <f t="shared" si="114"/>
        <v>#N/A</v>
      </c>
      <c r="F3631" s="3" t="e">
        <f t="shared" si="115"/>
        <v>#N/A</v>
      </c>
    </row>
    <row r="3632" spans="2:6" x14ac:dyDescent="0.25">
      <c r="B3632" s="3"/>
      <c r="C3632" s="3"/>
      <c r="D3632" s="3"/>
      <c r="E3632" s="3" t="e">
        <f t="shared" si="114"/>
        <v>#N/A</v>
      </c>
      <c r="F3632" s="3" t="e">
        <f t="shared" si="115"/>
        <v>#N/A</v>
      </c>
    </row>
    <row r="3633" spans="2:6" x14ac:dyDescent="0.25">
      <c r="B3633" s="3"/>
      <c r="C3633" s="3"/>
      <c r="D3633" s="3"/>
      <c r="E3633" s="3" t="e">
        <f t="shared" si="114"/>
        <v>#N/A</v>
      </c>
      <c r="F3633" s="3" t="e">
        <f t="shared" si="115"/>
        <v>#N/A</v>
      </c>
    </row>
    <row r="3634" spans="2:6" x14ac:dyDescent="0.25">
      <c r="B3634" s="3"/>
      <c r="C3634" s="3"/>
      <c r="D3634" s="3"/>
      <c r="E3634" s="3" t="e">
        <f t="shared" si="114"/>
        <v>#N/A</v>
      </c>
      <c r="F3634" s="3" t="e">
        <f t="shared" si="115"/>
        <v>#N/A</v>
      </c>
    </row>
    <row r="3635" spans="2:6" x14ac:dyDescent="0.25">
      <c r="B3635" s="3"/>
      <c r="C3635" s="3"/>
      <c r="D3635" s="3"/>
      <c r="E3635" s="3" t="e">
        <f t="shared" si="114"/>
        <v>#N/A</v>
      </c>
      <c r="F3635" s="3" t="e">
        <f t="shared" si="115"/>
        <v>#N/A</v>
      </c>
    </row>
    <row r="3636" spans="2:6" x14ac:dyDescent="0.25">
      <c r="B3636" s="3"/>
      <c r="C3636" s="3"/>
      <c r="D3636" s="3"/>
      <c r="E3636" s="3" t="e">
        <f t="shared" si="114"/>
        <v>#N/A</v>
      </c>
      <c r="F3636" s="3" t="e">
        <f t="shared" si="115"/>
        <v>#N/A</v>
      </c>
    </row>
    <row r="3637" spans="2:6" x14ac:dyDescent="0.25">
      <c r="B3637" s="3"/>
      <c r="C3637" s="3"/>
      <c r="D3637" s="3"/>
      <c r="E3637" s="3" t="e">
        <f t="shared" si="114"/>
        <v>#N/A</v>
      </c>
      <c r="F3637" s="3" t="e">
        <f t="shared" si="115"/>
        <v>#N/A</v>
      </c>
    </row>
    <row r="3638" spans="2:6" x14ac:dyDescent="0.25">
      <c r="B3638" s="3"/>
      <c r="C3638" s="3"/>
      <c r="D3638" s="3"/>
      <c r="E3638" s="3" t="e">
        <f t="shared" si="114"/>
        <v>#N/A</v>
      </c>
      <c r="F3638" s="3" t="e">
        <f t="shared" si="115"/>
        <v>#N/A</v>
      </c>
    </row>
    <row r="3639" spans="2:6" x14ac:dyDescent="0.25">
      <c r="B3639" s="3"/>
      <c r="C3639" s="3"/>
      <c r="D3639" s="3"/>
      <c r="E3639" s="3" t="e">
        <f t="shared" si="114"/>
        <v>#N/A</v>
      </c>
      <c r="F3639" s="3" t="e">
        <f t="shared" si="115"/>
        <v>#N/A</v>
      </c>
    </row>
    <row r="3640" spans="2:6" x14ac:dyDescent="0.25">
      <c r="B3640" s="3"/>
      <c r="C3640" s="3"/>
      <c r="D3640" s="3"/>
      <c r="E3640" s="3" t="e">
        <f t="shared" si="114"/>
        <v>#N/A</v>
      </c>
      <c r="F3640" s="3" t="e">
        <f t="shared" si="115"/>
        <v>#N/A</v>
      </c>
    </row>
    <row r="3641" spans="2:6" x14ac:dyDescent="0.25">
      <c r="B3641" s="3"/>
      <c r="C3641" s="3"/>
      <c r="D3641" s="3"/>
      <c r="E3641" s="3" t="e">
        <f t="shared" si="114"/>
        <v>#N/A</v>
      </c>
      <c r="F3641" s="3" t="e">
        <f t="shared" si="115"/>
        <v>#N/A</v>
      </c>
    </row>
    <row r="3642" spans="2:6" x14ac:dyDescent="0.25">
      <c r="B3642" s="3"/>
      <c r="C3642" s="3"/>
      <c r="D3642" s="3"/>
      <c r="E3642" s="3" t="e">
        <f t="shared" si="114"/>
        <v>#N/A</v>
      </c>
      <c r="F3642" s="3" t="e">
        <f t="shared" si="115"/>
        <v>#N/A</v>
      </c>
    </row>
    <row r="3643" spans="2:6" x14ac:dyDescent="0.25">
      <c r="B3643" s="3"/>
      <c r="C3643" s="3"/>
      <c r="D3643" s="3"/>
      <c r="E3643" s="3" t="e">
        <f t="shared" si="114"/>
        <v>#N/A</v>
      </c>
      <c r="F3643" s="3" t="e">
        <f t="shared" si="115"/>
        <v>#N/A</v>
      </c>
    </row>
    <row r="3644" spans="2:6" x14ac:dyDescent="0.25">
      <c r="B3644" s="3"/>
      <c r="C3644" s="3"/>
      <c r="D3644" s="3"/>
      <c r="E3644" s="3" t="e">
        <f t="shared" si="114"/>
        <v>#N/A</v>
      </c>
      <c r="F3644" s="3" t="e">
        <f t="shared" si="115"/>
        <v>#N/A</v>
      </c>
    </row>
    <row r="3645" spans="2:6" x14ac:dyDescent="0.25">
      <c r="B3645" s="3"/>
      <c r="C3645" s="3"/>
      <c r="D3645" s="3"/>
      <c r="E3645" s="3" t="e">
        <f t="shared" si="114"/>
        <v>#N/A</v>
      </c>
      <c r="F3645" s="3" t="e">
        <f t="shared" si="115"/>
        <v>#N/A</v>
      </c>
    </row>
    <row r="3646" spans="2:6" x14ac:dyDescent="0.25">
      <c r="B3646" s="3"/>
      <c r="C3646" s="3"/>
      <c r="D3646" s="3"/>
      <c r="E3646" s="3" t="e">
        <f t="shared" si="114"/>
        <v>#N/A</v>
      </c>
      <c r="F3646" s="3" t="e">
        <f t="shared" si="115"/>
        <v>#N/A</v>
      </c>
    </row>
    <row r="3647" spans="2:6" x14ac:dyDescent="0.25">
      <c r="B3647" s="3"/>
      <c r="C3647" s="3"/>
      <c r="D3647" s="3"/>
      <c r="E3647" s="3" t="e">
        <f t="shared" si="114"/>
        <v>#N/A</v>
      </c>
      <c r="F3647" s="3" t="e">
        <f t="shared" si="115"/>
        <v>#N/A</v>
      </c>
    </row>
    <row r="3648" spans="2:6" x14ac:dyDescent="0.25">
      <c r="B3648" s="3"/>
      <c r="C3648" s="3"/>
      <c r="D3648" s="3"/>
      <c r="E3648" s="3" t="e">
        <f t="shared" si="114"/>
        <v>#N/A</v>
      </c>
      <c r="F3648" s="3" t="e">
        <f t="shared" si="115"/>
        <v>#N/A</v>
      </c>
    </row>
    <row r="3649" spans="2:6" x14ac:dyDescent="0.25">
      <c r="B3649" s="3"/>
      <c r="C3649" s="3"/>
      <c r="D3649" s="3"/>
      <c r="E3649" s="3" t="e">
        <f t="shared" si="114"/>
        <v>#N/A</v>
      </c>
      <c r="F3649" s="3" t="e">
        <f t="shared" si="115"/>
        <v>#N/A</v>
      </c>
    </row>
    <row r="3650" spans="2:6" x14ac:dyDescent="0.25">
      <c r="B3650" s="3"/>
      <c r="C3650" s="3"/>
      <c r="D3650" s="3"/>
      <c r="E3650" s="3" t="e">
        <f t="shared" si="114"/>
        <v>#N/A</v>
      </c>
      <c r="F3650" s="3" t="e">
        <f t="shared" si="115"/>
        <v>#N/A</v>
      </c>
    </row>
    <row r="3651" spans="2:6" x14ac:dyDescent="0.25">
      <c r="B3651" s="3"/>
      <c r="C3651" s="3"/>
      <c r="D3651" s="3"/>
      <c r="E3651" s="3" t="e">
        <f t="shared" si="114"/>
        <v>#N/A</v>
      </c>
      <c r="F3651" s="3" t="e">
        <f t="shared" si="115"/>
        <v>#N/A</v>
      </c>
    </row>
    <row r="3652" spans="2:6" x14ac:dyDescent="0.25">
      <c r="B3652" s="3"/>
      <c r="C3652" s="3"/>
      <c r="D3652" s="3"/>
      <c r="E3652" s="3" t="e">
        <f t="shared" ref="E3652:E3715" si="116">VLOOKUP(C3652,I:J,2,0)</f>
        <v>#N/A</v>
      </c>
      <c r="F3652" s="3" t="e">
        <f t="shared" ref="F3652:F3715" si="117">E3652&amp;" "&amp;B3652</f>
        <v>#N/A</v>
      </c>
    </row>
    <row r="3653" spans="2:6" x14ac:dyDescent="0.25">
      <c r="B3653" s="3"/>
      <c r="C3653" s="3"/>
      <c r="D3653" s="3"/>
      <c r="E3653" s="3" t="e">
        <f t="shared" si="116"/>
        <v>#N/A</v>
      </c>
      <c r="F3653" s="3" t="e">
        <f t="shared" si="117"/>
        <v>#N/A</v>
      </c>
    </row>
    <row r="3654" spans="2:6" x14ac:dyDescent="0.25">
      <c r="B3654" s="3"/>
      <c r="C3654" s="3"/>
      <c r="D3654" s="3"/>
      <c r="E3654" s="3" t="e">
        <f t="shared" si="116"/>
        <v>#N/A</v>
      </c>
      <c r="F3654" s="3" t="e">
        <f t="shared" si="117"/>
        <v>#N/A</v>
      </c>
    </row>
    <row r="3655" spans="2:6" x14ac:dyDescent="0.25">
      <c r="B3655" s="3"/>
      <c r="C3655" s="3"/>
      <c r="D3655" s="3"/>
      <c r="E3655" s="3" t="e">
        <f t="shared" si="116"/>
        <v>#N/A</v>
      </c>
      <c r="F3655" s="3" t="e">
        <f t="shared" si="117"/>
        <v>#N/A</v>
      </c>
    </row>
    <row r="3656" spans="2:6" x14ac:dyDescent="0.25">
      <c r="B3656" s="3"/>
      <c r="C3656" s="3"/>
      <c r="D3656" s="3"/>
      <c r="E3656" s="3" t="e">
        <f t="shared" si="116"/>
        <v>#N/A</v>
      </c>
      <c r="F3656" s="3" t="e">
        <f t="shared" si="117"/>
        <v>#N/A</v>
      </c>
    </row>
    <row r="3657" spans="2:6" x14ac:dyDescent="0.25">
      <c r="B3657" s="3"/>
      <c r="C3657" s="3"/>
      <c r="D3657" s="3"/>
      <c r="E3657" s="3" t="e">
        <f t="shared" si="116"/>
        <v>#N/A</v>
      </c>
      <c r="F3657" s="3" t="e">
        <f t="shared" si="117"/>
        <v>#N/A</v>
      </c>
    </row>
    <row r="3658" spans="2:6" x14ac:dyDescent="0.25">
      <c r="B3658" s="3"/>
      <c r="C3658" s="3"/>
      <c r="D3658" s="3"/>
      <c r="E3658" s="3" t="e">
        <f t="shared" si="116"/>
        <v>#N/A</v>
      </c>
      <c r="F3658" s="3" t="e">
        <f t="shared" si="117"/>
        <v>#N/A</v>
      </c>
    </row>
    <row r="3659" spans="2:6" x14ac:dyDescent="0.25">
      <c r="B3659" s="3"/>
      <c r="C3659" s="3"/>
      <c r="D3659" s="3"/>
      <c r="E3659" s="3" t="e">
        <f t="shared" si="116"/>
        <v>#N/A</v>
      </c>
      <c r="F3659" s="3" t="e">
        <f t="shared" si="117"/>
        <v>#N/A</v>
      </c>
    </row>
    <row r="3660" spans="2:6" x14ac:dyDescent="0.25">
      <c r="B3660" s="3"/>
      <c r="C3660" s="3"/>
      <c r="D3660" s="3"/>
      <c r="E3660" s="3" t="e">
        <f t="shared" si="116"/>
        <v>#N/A</v>
      </c>
      <c r="F3660" s="3" t="e">
        <f t="shared" si="117"/>
        <v>#N/A</v>
      </c>
    </row>
    <row r="3661" spans="2:6" x14ac:dyDescent="0.25">
      <c r="B3661" s="3"/>
      <c r="C3661" s="3"/>
      <c r="D3661" s="3"/>
      <c r="E3661" s="3" t="e">
        <f t="shared" si="116"/>
        <v>#N/A</v>
      </c>
      <c r="F3661" s="3" t="e">
        <f t="shared" si="117"/>
        <v>#N/A</v>
      </c>
    </row>
    <row r="3662" spans="2:6" x14ac:dyDescent="0.25">
      <c r="B3662" s="3"/>
      <c r="C3662" s="3"/>
      <c r="D3662" s="3"/>
      <c r="E3662" s="3" t="e">
        <f t="shared" si="116"/>
        <v>#N/A</v>
      </c>
      <c r="F3662" s="3" t="e">
        <f t="shared" si="117"/>
        <v>#N/A</v>
      </c>
    </row>
    <row r="3663" spans="2:6" x14ac:dyDescent="0.25">
      <c r="B3663" s="3"/>
      <c r="C3663" s="3"/>
      <c r="D3663" s="3"/>
      <c r="E3663" s="3" t="e">
        <f t="shared" si="116"/>
        <v>#N/A</v>
      </c>
      <c r="F3663" s="3" t="e">
        <f t="shared" si="117"/>
        <v>#N/A</v>
      </c>
    </row>
    <row r="3664" spans="2:6" x14ac:dyDescent="0.25">
      <c r="B3664" s="3"/>
      <c r="C3664" s="3"/>
      <c r="D3664" s="3"/>
      <c r="E3664" s="3" t="e">
        <f t="shared" si="116"/>
        <v>#N/A</v>
      </c>
      <c r="F3664" s="3" t="e">
        <f t="shared" si="117"/>
        <v>#N/A</v>
      </c>
    </row>
    <row r="3665" spans="2:6" x14ac:dyDescent="0.25">
      <c r="B3665" s="3"/>
      <c r="C3665" s="3"/>
      <c r="D3665" s="3"/>
      <c r="E3665" s="3" t="e">
        <f t="shared" si="116"/>
        <v>#N/A</v>
      </c>
      <c r="F3665" s="3" t="e">
        <f t="shared" si="117"/>
        <v>#N/A</v>
      </c>
    </row>
    <row r="3666" spans="2:6" x14ac:dyDescent="0.25">
      <c r="B3666" s="3"/>
      <c r="C3666" s="3"/>
      <c r="D3666" s="3"/>
      <c r="E3666" s="3" t="e">
        <f t="shared" si="116"/>
        <v>#N/A</v>
      </c>
      <c r="F3666" s="3" t="e">
        <f t="shared" si="117"/>
        <v>#N/A</v>
      </c>
    </row>
    <row r="3667" spans="2:6" x14ac:dyDescent="0.25">
      <c r="B3667" s="3"/>
      <c r="C3667" s="3"/>
      <c r="D3667" s="3"/>
      <c r="E3667" s="3" t="e">
        <f t="shared" si="116"/>
        <v>#N/A</v>
      </c>
      <c r="F3667" s="3" t="e">
        <f t="shared" si="117"/>
        <v>#N/A</v>
      </c>
    </row>
    <row r="3668" spans="2:6" x14ac:dyDescent="0.25">
      <c r="B3668" s="3"/>
      <c r="C3668" s="3"/>
      <c r="D3668" s="3"/>
      <c r="E3668" s="3" t="e">
        <f t="shared" si="116"/>
        <v>#N/A</v>
      </c>
      <c r="F3668" s="3" t="e">
        <f t="shared" si="117"/>
        <v>#N/A</v>
      </c>
    </row>
    <row r="3669" spans="2:6" x14ac:dyDescent="0.25">
      <c r="B3669" s="3"/>
      <c r="C3669" s="3"/>
      <c r="D3669" s="3"/>
      <c r="E3669" s="3" t="e">
        <f t="shared" si="116"/>
        <v>#N/A</v>
      </c>
      <c r="F3669" s="3" t="e">
        <f t="shared" si="117"/>
        <v>#N/A</v>
      </c>
    </row>
    <row r="3670" spans="2:6" x14ac:dyDescent="0.25">
      <c r="B3670" s="3"/>
      <c r="C3670" s="3"/>
      <c r="D3670" s="3"/>
      <c r="E3670" s="3" t="e">
        <f t="shared" si="116"/>
        <v>#N/A</v>
      </c>
      <c r="F3670" s="3" t="e">
        <f t="shared" si="117"/>
        <v>#N/A</v>
      </c>
    </row>
    <row r="3671" spans="2:6" x14ac:dyDescent="0.25">
      <c r="B3671" s="3"/>
      <c r="C3671" s="3"/>
      <c r="D3671" s="3"/>
      <c r="E3671" s="3" t="e">
        <f t="shared" si="116"/>
        <v>#N/A</v>
      </c>
      <c r="F3671" s="3" t="e">
        <f t="shared" si="117"/>
        <v>#N/A</v>
      </c>
    </row>
    <row r="3672" spans="2:6" x14ac:dyDescent="0.25">
      <c r="B3672" s="3"/>
      <c r="C3672" s="3"/>
      <c r="D3672" s="3"/>
      <c r="E3672" s="3" t="e">
        <f t="shared" si="116"/>
        <v>#N/A</v>
      </c>
      <c r="F3672" s="3" t="e">
        <f t="shared" si="117"/>
        <v>#N/A</v>
      </c>
    </row>
    <row r="3673" spans="2:6" x14ac:dyDescent="0.25">
      <c r="B3673" s="3"/>
      <c r="C3673" s="3"/>
      <c r="D3673" s="3"/>
      <c r="E3673" s="3" t="e">
        <f t="shared" si="116"/>
        <v>#N/A</v>
      </c>
      <c r="F3673" s="3" t="e">
        <f t="shared" si="117"/>
        <v>#N/A</v>
      </c>
    </row>
    <row r="3674" spans="2:6" x14ac:dyDescent="0.25">
      <c r="B3674" s="3"/>
      <c r="C3674" s="3"/>
      <c r="D3674" s="3"/>
      <c r="E3674" s="3" t="e">
        <f t="shared" si="116"/>
        <v>#N/A</v>
      </c>
      <c r="F3674" s="3" t="e">
        <f t="shared" si="117"/>
        <v>#N/A</v>
      </c>
    </row>
    <row r="3675" spans="2:6" x14ac:dyDescent="0.25">
      <c r="B3675" s="3"/>
      <c r="C3675" s="3"/>
      <c r="D3675" s="3"/>
      <c r="E3675" s="3" t="e">
        <f t="shared" si="116"/>
        <v>#N/A</v>
      </c>
      <c r="F3675" s="3" t="e">
        <f t="shared" si="117"/>
        <v>#N/A</v>
      </c>
    </row>
    <row r="3676" spans="2:6" x14ac:dyDescent="0.25">
      <c r="B3676" s="3"/>
      <c r="C3676" s="3"/>
      <c r="D3676" s="3"/>
      <c r="E3676" s="3" t="e">
        <f t="shared" si="116"/>
        <v>#N/A</v>
      </c>
      <c r="F3676" s="3" t="e">
        <f t="shared" si="117"/>
        <v>#N/A</v>
      </c>
    </row>
    <row r="3677" spans="2:6" x14ac:dyDescent="0.25">
      <c r="B3677" s="3"/>
      <c r="C3677" s="3"/>
      <c r="D3677" s="3"/>
      <c r="E3677" s="3" t="e">
        <f t="shared" si="116"/>
        <v>#N/A</v>
      </c>
      <c r="F3677" s="3" t="e">
        <f t="shared" si="117"/>
        <v>#N/A</v>
      </c>
    </row>
    <row r="3678" spans="2:6" x14ac:dyDescent="0.25">
      <c r="B3678" s="3"/>
      <c r="C3678" s="3"/>
      <c r="D3678" s="3"/>
      <c r="E3678" s="3" t="e">
        <f t="shared" si="116"/>
        <v>#N/A</v>
      </c>
      <c r="F3678" s="3" t="e">
        <f t="shared" si="117"/>
        <v>#N/A</v>
      </c>
    </row>
    <row r="3679" spans="2:6" x14ac:dyDescent="0.25">
      <c r="B3679" s="3"/>
      <c r="C3679" s="3"/>
      <c r="D3679" s="3"/>
      <c r="E3679" s="3" t="e">
        <f t="shared" si="116"/>
        <v>#N/A</v>
      </c>
      <c r="F3679" s="3" t="e">
        <f t="shared" si="117"/>
        <v>#N/A</v>
      </c>
    </row>
    <row r="3680" spans="2:6" x14ac:dyDescent="0.25">
      <c r="B3680" s="3"/>
      <c r="C3680" s="3"/>
      <c r="D3680" s="3"/>
      <c r="E3680" s="3" t="e">
        <f t="shared" si="116"/>
        <v>#N/A</v>
      </c>
      <c r="F3680" s="3" t="e">
        <f t="shared" si="117"/>
        <v>#N/A</v>
      </c>
    </row>
    <row r="3681" spans="2:6" x14ac:dyDescent="0.25">
      <c r="B3681" s="3"/>
      <c r="C3681" s="3"/>
      <c r="D3681" s="3"/>
      <c r="E3681" s="3" t="e">
        <f t="shared" si="116"/>
        <v>#N/A</v>
      </c>
      <c r="F3681" s="3" t="e">
        <f t="shared" si="117"/>
        <v>#N/A</v>
      </c>
    </row>
    <row r="3682" spans="2:6" x14ac:dyDescent="0.25">
      <c r="B3682" s="3"/>
      <c r="C3682" s="3"/>
      <c r="D3682" s="3"/>
      <c r="E3682" s="3" t="e">
        <f t="shared" si="116"/>
        <v>#N/A</v>
      </c>
      <c r="F3682" s="3" t="e">
        <f t="shared" si="117"/>
        <v>#N/A</v>
      </c>
    </row>
    <row r="3683" spans="2:6" x14ac:dyDescent="0.25">
      <c r="B3683" s="3"/>
      <c r="C3683" s="3"/>
      <c r="D3683" s="3"/>
      <c r="E3683" s="3" t="e">
        <f t="shared" si="116"/>
        <v>#N/A</v>
      </c>
      <c r="F3683" s="3" t="e">
        <f t="shared" si="117"/>
        <v>#N/A</v>
      </c>
    </row>
    <row r="3684" spans="2:6" x14ac:dyDescent="0.25">
      <c r="B3684" s="3"/>
      <c r="C3684" s="3"/>
      <c r="D3684" s="3"/>
      <c r="E3684" s="3" t="e">
        <f t="shared" si="116"/>
        <v>#N/A</v>
      </c>
      <c r="F3684" s="3" t="e">
        <f t="shared" si="117"/>
        <v>#N/A</v>
      </c>
    </row>
    <row r="3685" spans="2:6" x14ac:dyDescent="0.25">
      <c r="B3685" s="3"/>
      <c r="C3685" s="3"/>
      <c r="D3685" s="3"/>
      <c r="E3685" s="3" t="e">
        <f t="shared" si="116"/>
        <v>#N/A</v>
      </c>
      <c r="F3685" s="3" t="e">
        <f t="shared" si="117"/>
        <v>#N/A</v>
      </c>
    </row>
    <row r="3686" spans="2:6" x14ac:dyDescent="0.25">
      <c r="B3686" s="3"/>
      <c r="C3686" s="3"/>
      <c r="D3686" s="3"/>
      <c r="E3686" s="3" t="e">
        <f t="shared" si="116"/>
        <v>#N/A</v>
      </c>
      <c r="F3686" s="3" t="e">
        <f t="shared" si="117"/>
        <v>#N/A</v>
      </c>
    </row>
    <row r="3687" spans="2:6" x14ac:dyDescent="0.25">
      <c r="B3687" s="3"/>
      <c r="C3687" s="3"/>
      <c r="D3687" s="3"/>
      <c r="E3687" s="3" t="e">
        <f t="shared" si="116"/>
        <v>#N/A</v>
      </c>
      <c r="F3687" s="3" t="e">
        <f t="shared" si="117"/>
        <v>#N/A</v>
      </c>
    </row>
    <row r="3688" spans="2:6" x14ac:dyDescent="0.25">
      <c r="B3688" s="3"/>
      <c r="C3688" s="3"/>
      <c r="D3688" s="3"/>
      <c r="E3688" s="3" t="e">
        <f t="shared" si="116"/>
        <v>#N/A</v>
      </c>
      <c r="F3688" s="3" t="e">
        <f t="shared" si="117"/>
        <v>#N/A</v>
      </c>
    </row>
    <row r="3689" spans="2:6" x14ac:dyDescent="0.25">
      <c r="B3689" s="3"/>
      <c r="C3689" s="3"/>
      <c r="D3689" s="3"/>
      <c r="E3689" s="3" t="e">
        <f t="shared" si="116"/>
        <v>#N/A</v>
      </c>
      <c r="F3689" s="3" t="e">
        <f t="shared" si="117"/>
        <v>#N/A</v>
      </c>
    </row>
    <row r="3690" spans="2:6" x14ac:dyDescent="0.25">
      <c r="B3690" s="3"/>
      <c r="C3690" s="3"/>
      <c r="D3690" s="3"/>
      <c r="E3690" s="3" t="e">
        <f t="shared" si="116"/>
        <v>#N/A</v>
      </c>
      <c r="F3690" s="3" t="e">
        <f t="shared" si="117"/>
        <v>#N/A</v>
      </c>
    </row>
    <row r="3691" spans="2:6" x14ac:dyDescent="0.25">
      <c r="B3691" s="3"/>
      <c r="C3691" s="3"/>
      <c r="D3691" s="3"/>
      <c r="E3691" s="3" t="e">
        <f t="shared" si="116"/>
        <v>#N/A</v>
      </c>
      <c r="F3691" s="3" t="e">
        <f t="shared" si="117"/>
        <v>#N/A</v>
      </c>
    </row>
    <row r="3692" spans="2:6" x14ac:dyDescent="0.25">
      <c r="B3692" s="3"/>
      <c r="C3692" s="3"/>
      <c r="D3692" s="3"/>
      <c r="E3692" s="3" t="e">
        <f t="shared" si="116"/>
        <v>#N/A</v>
      </c>
      <c r="F3692" s="3" t="e">
        <f t="shared" si="117"/>
        <v>#N/A</v>
      </c>
    </row>
    <row r="3693" spans="2:6" x14ac:dyDescent="0.25">
      <c r="B3693" s="3"/>
      <c r="C3693" s="3"/>
      <c r="D3693" s="3"/>
      <c r="E3693" s="3" t="e">
        <f t="shared" si="116"/>
        <v>#N/A</v>
      </c>
      <c r="F3693" s="3" t="e">
        <f t="shared" si="117"/>
        <v>#N/A</v>
      </c>
    </row>
    <row r="3694" spans="2:6" x14ac:dyDescent="0.25">
      <c r="B3694" s="3"/>
      <c r="C3694" s="3"/>
      <c r="D3694" s="3"/>
      <c r="E3694" s="3" t="e">
        <f t="shared" si="116"/>
        <v>#N/A</v>
      </c>
      <c r="F3694" s="3" t="e">
        <f t="shared" si="117"/>
        <v>#N/A</v>
      </c>
    </row>
    <row r="3695" spans="2:6" x14ac:dyDescent="0.25">
      <c r="B3695" s="3"/>
      <c r="C3695" s="3"/>
      <c r="D3695" s="3"/>
      <c r="E3695" s="3" t="e">
        <f t="shared" si="116"/>
        <v>#N/A</v>
      </c>
      <c r="F3695" s="3" t="e">
        <f t="shared" si="117"/>
        <v>#N/A</v>
      </c>
    </row>
    <row r="3696" spans="2:6" x14ac:dyDescent="0.25">
      <c r="B3696" s="3"/>
      <c r="C3696" s="3"/>
      <c r="D3696" s="3"/>
      <c r="E3696" s="3" t="e">
        <f t="shared" si="116"/>
        <v>#N/A</v>
      </c>
      <c r="F3696" s="3" t="e">
        <f t="shared" si="117"/>
        <v>#N/A</v>
      </c>
    </row>
    <row r="3697" spans="2:6" x14ac:dyDescent="0.25">
      <c r="B3697" s="3"/>
      <c r="C3697" s="3"/>
      <c r="D3697" s="3"/>
      <c r="E3697" s="3" t="e">
        <f t="shared" si="116"/>
        <v>#N/A</v>
      </c>
      <c r="F3697" s="3" t="e">
        <f t="shared" si="117"/>
        <v>#N/A</v>
      </c>
    </row>
    <row r="3698" spans="2:6" x14ac:dyDescent="0.25">
      <c r="B3698" s="3"/>
      <c r="C3698" s="3"/>
      <c r="D3698" s="3"/>
      <c r="E3698" s="3" t="e">
        <f t="shared" si="116"/>
        <v>#N/A</v>
      </c>
      <c r="F3698" s="3" t="e">
        <f t="shared" si="117"/>
        <v>#N/A</v>
      </c>
    </row>
    <row r="3699" spans="2:6" x14ac:dyDescent="0.25">
      <c r="B3699" s="3"/>
      <c r="C3699" s="3"/>
      <c r="D3699" s="3"/>
      <c r="E3699" s="3" t="e">
        <f t="shared" si="116"/>
        <v>#N/A</v>
      </c>
      <c r="F3699" s="3" t="e">
        <f t="shared" si="117"/>
        <v>#N/A</v>
      </c>
    </row>
    <row r="3700" spans="2:6" x14ac:dyDescent="0.25">
      <c r="B3700" s="3"/>
      <c r="C3700" s="3"/>
      <c r="D3700" s="3"/>
      <c r="E3700" s="3" t="e">
        <f t="shared" si="116"/>
        <v>#N/A</v>
      </c>
      <c r="F3700" s="3" t="e">
        <f t="shared" si="117"/>
        <v>#N/A</v>
      </c>
    </row>
    <row r="3701" spans="2:6" x14ac:dyDescent="0.25">
      <c r="B3701" s="3"/>
      <c r="C3701" s="3"/>
      <c r="D3701" s="3"/>
      <c r="E3701" s="3" t="e">
        <f t="shared" si="116"/>
        <v>#N/A</v>
      </c>
      <c r="F3701" s="3" t="e">
        <f t="shared" si="117"/>
        <v>#N/A</v>
      </c>
    </row>
    <row r="3702" spans="2:6" x14ac:dyDescent="0.25">
      <c r="B3702" s="3"/>
      <c r="C3702" s="3"/>
      <c r="D3702" s="3"/>
      <c r="E3702" s="3" t="e">
        <f t="shared" si="116"/>
        <v>#N/A</v>
      </c>
      <c r="F3702" s="3" t="e">
        <f t="shared" si="117"/>
        <v>#N/A</v>
      </c>
    </row>
    <row r="3703" spans="2:6" x14ac:dyDescent="0.25">
      <c r="B3703" s="3"/>
      <c r="C3703" s="3"/>
      <c r="D3703" s="3"/>
      <c r="E3703" s="3" t="e">
        <f t="shared" si="116"/>
        <v>#N/A</v>
      </c>
      <c r="F3703" s="3" t="e">
        <f t="shared" si="117"/>
        <v>#N/A</v>
      </c>
    </row>
    <row r="3704" spans="2:6" x14ac:dyDescent="0.25">
      <c r="B3704" s="3"/>
      <c r="C3704" s="3"/>
      <c r="D3704" s="3"/>
      <c r="E3704" s="3" t="e">
        <f t="shared" si="116"/>
        <v>#N/A</v>
      </c>
      <c r="F3704" s="3" t="e">
        <f t="shared" si="117"/>
        <v>#N/A</v>
      </c>
    </row>
    <row r="3705" spans="2:6" x14ac:dyDescent="0.25">
      <c r="B3705" s="3"/>
      <c r="C3705" s="3"/>
      <c r="D3705" s="3"/>
      <c r="E3705" s="3" t="e">
        <f t="shared" si="116"/>
        <v>#N/A</v>
      </c>
      <c r="F3705" s="3" t="e">
        <f t="shared" si="117"/>
        <v>#N/A</v>
      </c>
    </row>
    <row r="3706" spans="2:6" x14ac:dyDescent="0.25">
      <c r="B3706" s="3"/>
      <c r="C3706" s="3"/>
      <c r="D3706" s="3"/>
      <c r="E3706" s="3" t="e">
        <f t="shared" si="116"/>
        <v>#N/A</v>
      </c>
      <c r="F3706" s="3" t="e">
        <f t="shared" si="117"/>
        <v>#N/A</v>
      </c>
    </row>
    <row r="3707" spans="2:6" x14ac:dyDescent="0.25">
      <c r="B3707" s="3"/>
      <c r="C3707" s="3"/>
      <c r="D3707" s="3"/>
      <c r="E3707" s="3" t="e">
        <f t="shared" si="116"/>
        <v>#N/A</v>
      </c>
      <c r="F3707" s="3" t="e">
        <f t="shared" si="117"/>
        <v>#N/A</v>
      </c>
    </row>
    <row r="3708" spans="2:6" x14ac:dyDescent="0.25">
      <c r="B3708" s="3"/>
      <c r="C3708" s="3"/>
      <c r="D3708" s="3"/>
      <c r="E3708" s="3" t="e">
        <f t="shared" si="116"/>
        <v>#N/A</v>
      </c>
      <c r="F3708" s="3" t="e">
        <f t="shared" si="117"/>
        <v>#N/A</v>
      </c>
    </row>
    <row r="3709" spans="2:6" x14ac:dyDescent="0.25">
      <c r="B3709" s="3"/>
      <c r="C3709" s="3"/>
      <c r="D3709" s="3"/>
      <c r="E3709" s="3" t="e">
        <f t="shared" si="116"/>
        <v>#N/A</v>
      </c>
      <c r="F3709" s="3" t="e">
        <f t="shared" si="117"/>
        <v>#N/A</v>
      </c>
    </row>
    <row r="3710" spans="2:6" x14ac:dyDescent="0.25">
      <c r="B3710" s="3"/>
      <c r="C3710" s="3"/>
      <c r="D3710" s="3"/>
      <c r="E3710" s="3" t="e">
        <f t="shared" si="116"/>
        <v>#N/A</v>
      </c>
      <c r="F3710" s="3" t="e">
        <f t="shared" si="117"/>
        <v>#N/A</v>
      </c>
    </row>
    <row r="3711" spans="2:6" x14ac:dyDescent="0.25">
      <c r="B3711" s="3"/>
      <c r="C3711" s="3"/>
      <c r="D3711" s="3"/>
      <c r="E3711" s="3" t="e">
        <f t="shared" si="116"/>
        <v>#N/A</v>
      </c>
      <c r="F3711" s="3" t="e">
        <f t="shared" si="117"/>
        <v>#N/A</v>
      </c>
    </row>
    <row r="3712" spans="2:6" x14ac:dyDescent="0.25">
      <c r="B3712" s="3"/>
      <c r="C3712" s="3"/>
      <c r="D3712" s="3"/>
      <c r="E3712" s="3" t="e">
        <f t="shared" si="116"/>
        <v>#N/A</v>
      </c>
      <c r="F3712" s="3" t="e">
        <f t="shared" si="117"/>
        <v>#N/A</v>
      </c>
    </row>
    <row r="3713" spans="2:6" x14ac:dyDescent="0.25">
      <c r="B3713" s="3"/>
      <c r="C3713" s="3"/>
      <c r="D3713" s="3"/>
      <c r="E3713" s="3" t="e">
        <f t="shared" si="116"/>
        <v>#N/A</v>
      </c>
      <c r="F3713" s="3" t="e">
        <f t="shared" si="117"/>
        <v>#N/A</v>
      </c>
    </row>
    <row r="3714" spans="2:6" x14ac:dyDescent="0.25">
      <c r="B3714" s="3"/>
      <c r="C3714" s="3"/>
      <c r="D3714" s="3"/>
      <c r="E3714" s="3" t="e">
        <f t="shared" si="116"/>
        <v>#N/A</v>
      </c>
      <c r="F3714" s="3" t="e">
        <f t="shared" si="117"/>
        <v>#N/A</v>
      </c>
    </row>
    <row r="3715" spans="2:6" x14ac:dyDescent="0.25">
      <c r="B3715" s="3"/>
      <c r="C3715" s="3"/>
      <c r="D3715" s="3"/>
      <c r="E3715" s="3" t="e">
        <f t="shared" si="116"/>
        <v>#N/A</v>
      </c>
      <c r="F3715" s="3" t="e">
        <f t="shared" si="117"/>
        <v>#N/A</v>
      </c>
    </row>
    <row r="3716" spans="2:6" x14ac:dyDescent="0.25">
      <c r="B3716" s="3"/>
      <c r="C3716" s="3"/>
      <c r="D3716" s="3"/>
      <c r="E3716" s="3" t="e">
        <f t="shared" ref="E3716:E3779" si="118">VLOOKUP(C3716,I:J,2,0)</f>
        <v>#N/A</v>
      </c>
      <c r="F3716" s="3" t="e">
        <f t="shared" ref="F3716:F3779" si="119">E3716&amp;" "&amp;B3716</f>
        <v>#N/A</v>
      </c>
    </row>
    <row r="3717" spans="2:6" x14ac:dyDescent="0.25">
      <c r="B3717" s="3"/>
      <c r="C3717" s="3"/>
      <c r="D3717" s="3"/>
      <c r="E3717" s="3" t="e">
        <f t="shared" si="118"/>
        <v>#N/A</v>
      </c>
      <c r="F3717" s="3" t="e">
        <f t="shared" si="119"/>
        <v>#N/A</v>
      </c>
    </row>
    <row r="3718" spans="2:6" x14ac:dyDescent="0.25">
      <c r="B3718" s="3"/>
      <c r="C3718" s="3"/>
      <c r="D3718" s="3"/>
      <c r="E3718" s="3" t="e">
        <f t="shared" si="118"/>
        <v>#N/A</v>
      </c>
      <c r="F3718" s="3" t="e">
        <f t="shared" si="119"/>
        <v>#N/A</v>
      </c>
    </row>
    <row r="3719" spans="2:6" x14ac:dyDescent="0.25">
      <c r="B3719" s="3"/>
      <c r="C3719" s="3"/>
      <c r="D3719" s="3"/>
      <c r="E3719" s="3" t="e">
        <f t="shared" si="118"/>
        <v>#N/A</v>
      </c>
      <c r="F3719" s="3" t="e">
        <f t="shared" si="119"/>
        <v>#N/A</v>
      </c>
    </row>
    <row r="3720" spans="2:6" x14ac:dyDescent="0.25">
      <c r="B3720" s="3"/>
      <c r="C3720" s="3"/>
      <c r="D3720" s="3"/>
      <c r="E3720" s="3" t="e">
        <f t="shared" si="118"/>
        <v>#N/A</v>
      </c>
      <c r="F3720" s="3" t="e">
        <f t="shared" si="119"/>
        <v>#N/A</v>
      </c>
    </row>
    <row r="3721" spans="2:6" x14ac:dyDescent="0.25">
      <c r="B3721" s="3"/>
      <c r="C3721" s="3"/>
      <c r="D3721" s="3"/>
      <c r="E3721" s="3" t="e">
        <f t="shared" si="118"/>
        <v>#N/A</v>
      </c>
      <c r="F3721" s="3" t="e">
        <f t="shared" si="119"/>
        <v>#N/A</v>
      </c>
    </row>
    <row r="3722" spans="2:6" x14ac:dyDescent="0.25">
      <c r="B3722" s="3"/>
      <c r="C3722" s="3"/>
      <c r="D3722" s="3"/>
      <c r="E3722" s="3" t="e">
        <f t="shared" si="118"/>
        <v>#N/A</v>
      </c>
      <c r="F3722" s="3" t="e">
        <f t="shared" si="119"/>
        <v>#N/A</v>
      </c>
    </row>
    <row r="3723" spans="2:6" x14ac:dyDescent="0.25">
      <c r="B3723" s="3"/>
      <c r="C3723" s="3"/>
      <c r="D3723" s="3"/>
      <c r="E3723" s="3" t="e">
        <f t="shared" si="118"/>
        <v>#N/A</v>
      </c>
      <c r="F3723" s="3" t="e">
        <f t="shared" si="119"/>
        <v>#N/A</v>
      </c>
    </row>
    <row r="3724" spans="2:6" x14ac:dyDescent="0.25">
      <c r="B3724" s="3"/>
      <c r="C3724" s="3"/>
      <c r="D3724" s="3"/>
      <c r="E3724" s="3" t="e">
        <f t="shared" si="118"/>
        <v>#N/A</v>
      </c>
      <c r="F3724" s="3" t="e">
        <f t="shared" si="119"/>
        <v>#N/A</v>
      </c>
    </row>
    <row r="3725" spans="2:6" x14ac:dyDescent="0.25">
      <c r="B3725" s="3"/>
      <c r="C3725" s="3"/>
      <c r="D3725" s="3"/>
      <c r="E3725" s="3" t="e">
        <f t="shared" si="118"/>
        <v>#N/A</v>
      </c>
      <c r="F3725" s="3" t="e">
        <f t="shared" si="119"/>
        <v>#N/A</v>
      </c>
    </row>
    <row r="3726" spans="2:6" x14ac:dyDescent="0.25">
      <c r="B3726" s="3"/>
      <c r="C3726" s="3"/>
      <c r="D3726" s="3"/>
      <c r="E3726" s="3" t="e">
        <f t="shared" si="118"/>
        <v>#N/A</v>
      </c>
      <c r="F3726" s="3" t="e">
        <f t="shared" si="119"/>
        <v>#N/A</v>
      </c>
    </row>
    <row r="3727" spans="2:6" x14ac:dyDescent="0.25">
      <c r="B3727" s="3"/>
      <c r="C3727" s="3"/>
      <c r="D3727" s="3"/>
      <c r="E3727" s="3" t="e">
        <f t="shared" si="118"/>
        <v>#N/A</v>
      </c>
      <c r="F3727" s="3" t="e">
        <f t="shared" si="119"/>
        <v>#N/A</v>
      </c>
    </row>
    <row r="3728" spans="2:6" x14ac:dyDescent="0.25">
      <c r="B3728" s="3"/>
      <c r="C3728" s="3"/>
      <c r="D3728" s="3"/>
      <c r="E3728" s="3" t="e">
        <f t="shared" si="118"/>
        <v>#N/A</v>
      </c>
      <c r="F3728" s="3" t="e">
        <f t="shared" si="119"/>
        <v>#N/A</v>
      </c>
    </row>
    <row r="3729" spans="2:6" x14ac:dyDescent="0.25">
      <c r="B3729" s="3"/>
      <c r="C3729" s="3"/>
      <c r="D3729" s="3"/>
      <c r="E3729" s="3" t="e">
        <f t="shared" si="118"/>
        <v>#N/A</v>
      </c>
      <c r="F3729" s="3" t="e">
        <f t="shared" si="119"/>
        <v>#N/A</v>
      </c>
    </row>
    <row r="3730" spans="2:6" x14ac:dyDescent="0.25">
      <c r="B3730" s="3"/>
      <c r="C3730" s="3"/>
      <c r="D3730" s="3"/>
      <c r="E3730" s="3" t="e">
        <f t="shared" si="118"/>
        <v>#N/A</v>
      </c>
      <c r="F3730" s="3" t="e">
        <f t="shared" si="119"/>
        <v>#N/A</v>
      </c>
    </row>
    <row r="3731" spans="2:6" x14ac:dyDescent="0.25">
      <c r="B3731" s="3"/>
      <c r="C3731" s="3"/>
      <c r="D3731" s="3"/>
      <c r="E3731" s="3" t="e">
        <f t="shared" si="118"/>
        <v>#N/A</v>
      </c>
      <c r="F3731" s="3" t="e">
        <f t="shared" si="119"/>
        <v>#N/A</v>
      </c>
    </row>
    <row r="3732" spans="2:6" x14ac:dyDescent="0.25">
      <c r="B3732" s="3"/>
      <c r="C3732" s="3"/>
      <c r="D3732" s="3"/>
      <c r="E3732" s="3" t="e">
        <f t="shared" si="118"/>
        <v>#N/A</v>
      </c>
      <c r="F3732" s="3" t="e">
        <f t="shared" si="119"/>
        <v>#N/A</v>
      </c>
    </row>
    <row r="3733" spans="2:6" x14ac:dyDescent="0.25">
      <c r="B3733" s="3"/>
      <c r="C3733" s="3"/>
      <c r="D3733" s="3"/>
      <c r="E3733" s="3" t="e">
        <f t="shared" si="118"/>
        <v>#N/A</v>
      </c>
      <c r="F3733" s="3" t="e">
        <f t="shared" si="119"/>
        <v>#N/A</v>
      </c>
    </row>
    <row r="3734" spans="2:6" x14ac:dyDescent="0.25">
      <c r="B3734" s="3"/>
      <c r="C3734" s="3"/>
      <c r="D3734" s="3"/>
      <c r="E3734" s="3" t="e">
        <f t="shared" si="118"/>
        <v>#N/A</v>
      </c>
      <c r="F3734" s="3" t="e">
        <f t="shared" si="119"/>
        <v>#N/A</v>
      </c>
    </row>
    <row r="3735" spans="2:6" x14ac:dyDescent="0.25">
      <c r="B3735" s="3"/>
      <c r="C3735" s="3"/>
      <c r="D3735" s="3"/>
      <c r="E3735" s="3" t="e">
        <f t="shared" si="118"/>
        <v>#N/A</v>
      </c>
      <c r="F3735" s="3" t="e">
        <f t="shared" si="119"/>
        <v>#N/A</v>
      </c>
    </row>
    <row r="3736" spans="2:6" x14ac:dyDescent="0.25">
      <c r="B3736" s="3"/>
      <c r="C3736" s="3"/>
      <c r="D3736" s="3"/>
      <c r="E3736" s="3" t="e">
        <f t="shared" si="118"/>
        <v>#N/A</v>
      </c>
      <c r="F3736" s="3" t="e">
        <f t="shared" si="119"/>
        <v>#N/A</v>
      </c>
    </row>
    <row r="3737" spans="2:6" x14ac:dyDescent="0.25">
      <c r="B3737" s="3"/>
      <c r="C3737" s="3"/>
      <c r="D3737" s="3"/>
      <c r="E3737" s="3" t="e">
        <f t="shared" si="118"/>
        <v>#N/A</v>
      </c>
      <c r="F3737" s="3" t="e">
        <f t="shared" si="119"/>
        <v>#N/A</v>
      </c>
    </row>
    <row r="3738" spans="2:6" x14ac:dyDescent="0.25">
      <c r="B3738" s="3"/>
      <c r="C3738" s="3"/>
      <c r="D3738" s="3"/>
      <c r="E3738" s="3" t="e">
        <f t="shared" si="118"/>
        <v>#N/A</v>
      </c>
      <c r="F3738" s="3" t="e">
        <f t="shared" si="119"/>
        <v>#N/A</v>
      </c>
    </row>
    <row r="3739" spans="2:6" x14ac:dyDescent="0.25">
      <c r="B3739" s="3"/>
      <c r="C3739" s="3"/>
      <c r="D3739" s="3"/>
      <c r="E3739" s="3" t="e">
        <f t="shared" si="118"/>
        <v>#N/A</v>
      </c>
      <c r="F3739" s="3" t="e">
        <f t="shared" si="119"/>
        <v>#N/A</v>
      </c>
    </row>
    <row r="3740" spans="2:6" x14ac:dyDescent="0.25">
      <c r="B3740" s="3"/>
      <c r="C3740" s="3"/>
      <c r="D3740" s="3"/>
      <c r="E3740" s="3" t="e">
        <f t="shared" si="118"/>
        <v>#N/A</v>
      </c>
      <c r="F3740" s="3" t="e">
        <f t="shared" si="119"/>
        <v>#N/A</v>
      </c>
    </row>
    <row r="3741" spans="2:6" x14ac:dyDescent="0.25">
      <c r="B3741" s="3"/>
      <c r="C3741" s="3"/>
      <c r="D3741" s="3"/>
      <c r="E3741" s="3" t="e">
        <f t="shared" si="118"/>
        <v>#N/A</v>
      </c>
      <c r="F3741" s="3" t="e">
        <f t="shared" si="119"/>
        <v>#N/A</v>
      </c>
    </row>
    <row r="3742" spans="2:6" x14ac:dyDescent="0.25">
      <c r="B3742" s="3"/>
      <c r="C3742" s="3"/>
      <c r="D3742" s="3"/>
      <c r="E3742" s="3" t="e">
        <f t="shared" si="118"/>
        <v>#N/A</v>
      </c>
      <c r="F3742" s="3" t="e">
        <f t="shared" si="119"/>
        <v>#N/A</v>
      </c>
    </row>
    <row r="3743" spans="2:6" x14ac:dyDescent="0.25">
      <c r="B3743" s="3"/>
      <c r="C3743" s="3"/>
      <c r="D3743" s="3"/>
      <c r="E3743" s="3" t="e">
        <f t="shared" si="118"/>
        <v>#N/A</v>
      </c>
      <c r="F3743" s="3" t="e">
        <f t="shared" si="119"/>
        <v>#N/A</v>
      </c>
    </row>
    <row r="3744" spans="2:6" x14ac:dyDescent="0.25">
      <c r="B3744" s="3"/>
      <c r="C3744" s="3"/>
      <c r="D3744" s="3"/>
      <c r="E3744" s="3" t="e">
        <f t="shared" si="118"/>
        <v>#N/A</v>
      </c>
      <c r="F3744" s="3" t="e">
        <f t="shared" si="119"/>
        <v>#N/A</v>
      </c>
    </row>
    <row r="3745" spans="2:6" x14ac:dyDescent="0.25">
      <c r="B3745" s="3"/>
      <c r="C3745" s="3"/>
      <c r="D3745" s="3"/>
      <c r="E3745" s="3" t="e">
        <f t="shared" si="118"/>
        <v>#N/A</v>
      </c>
      <c r="F3745" s="3" t="e">
        <f t="shared" si="119"/>
        <v>#N/A</v>
      </c>
    </row>
    <row r="3746" spans="2:6" x14ac:dyDescent="0.25">
      <c r="B3746" s="3"/>
      <c r="C3746" s="3"/>
      <c r="D3746" s="3"/>
      <c r="E3746" s="3" t="e">
        <f t="shared" si="118"/>
        <v>#N/A</v>
      </c>
      <c r="F3746" s="3" t="e">
        <f t="shared" si="119"/>
        <v>#N/A</v>
      </c>
    </row>
    <row r="3747" spans="2:6" x14ac:dyDescent="0.25">
      <c r="B3747" s="3"/>
      <c r="C3747" s="3"/>
      <c r="D3747" s="3"/>
      <c r="E3747" s="3" t="e">
        <f t="shared" si="118"/>
        <v>#N/A</v>
      </c>
      <c r="F3747" s="3" t="e">
        <f t="shared" si="119"/>
        <v>#N/A</v>
      </c>
    </row>
    <row r="3748" spans="2:6" x14ac:dyDescent="0.25">
      <c r="B3748" s="3"/>
      <c r="C3748" s="3"/>
      <c r="D3748" s="3"/>
      <c r="E3748" s="3" t="e">
        <f t="shared" si="118"/>
        <v>#N/A</v>
      </c>
      <c r="F3748" s="3" t="e">
        <f t="shared" si="119"/>
        <v>#N/A</v>
      </c>
    </row>
    <row r="3749" spans="2:6" x14ac:dyDescent="0.25">
      <c r="B3749" s="3"/>
      <c r="C3749" s="3"/>
      <c r="D3749" s="3"/>
      <c r="E3749" s="3" t="e">
        <f t="shared" si="118"/>
        <v>#N/A</v>
      </c>
      <c r="F3749" s="3" t="e">
        <f t="shared" si="119"/>
        <v>#N/A</v>
      </c>
    </row>
    <row r="3750" spans="2:6" x14ac:dyDescent="0.25">
      <c r="B3750" s="3"/>
      <c r="C3750" s="3"/>
      <c r="D3750" s="3"/>
      <c r="E3750" s="3" t="e">
        <f t="shared" si="118"/>
        <v>#N/A</v>
      </c>
      <c r="F3750" s="3" t="e">
        <f t="shared" si="119"/>
        <v>#N/A</v>
      </c>
    </row>
    <row r="3751" spans="2:6" x14ac:dyDescent="0.25">
      <c r="B3751" s="3"/>
      <c r="C3751" s="3"/>
      <c r="D3751" s="3"/>
      <c r="E3751" s="3" t="e">
        <f t="shared" si="118"/>
        <v>#N/A</v>
      </c>
      <c r="F3751" s="3" t="e">
        <f t="shared" si="119"/>
        <v>#N/A</v>
      </c>
    </row>
    <row r="3752" spans="2:6" x14ac:dyDescent="0.25">
      <c r="B3752" s="3"/>
      <c r="C3752" s="3"/>
      <c r="D3752" s="3"/>
      <c r="E3752" s="3" t="e">
        <f t="shared" si="118"/>
        <v>#N/A</v>
      </c>
      <c r="F3752" s="3" t="e">
        <f t="shared" si="119"/>
        <v>#N/A</v>
      </c>
    </row>
    <row r="3753" spans="2:6" x14ac:dyDescent="0.25">
      <c r="B3753" s="3"/>
      <c r="C3753" s="3"/>
      <c r="D3753" s="3"/>
      <c r="E3753" s="3" t="e">
        <f t="shared" si="118"/>
        <v>#N/A</v>
      </c>
      <c r="F3753" s="3" t="e">
        <f t="shared" si="119"/>
        <v>#N/A</v>
      </c>
    </row>
    <row r="3754" spans="2:6" x14ac:dyDescent="0.25">
      <c r="B3754" s="3"/>
      <c r="C3754" s="3"/>
      <c r="D3754" s="3"/>
      <c r="E3754" s="3" t="e">
        <f t="shared" si="118"/>
        <v>#N/A</v>
      </c>
      <c r="F3754" s="3" t="e">
        <f t="shared" si="119"/>
        <v>#N/A</v>
      </c>
    </row>
    <row r="3755" spans="2:6" x14ac:dyDescent="0.25">
      <c r="B3755" s="3"/>
      <c r="C3755" s="3"/>
      <c r="D3755" s="3"/>
      <c r="E3755" s="3" t="e">
        <f t="shared" si="118"/>
        <v>#N/A</v>
      </c>
      <c r="F3755" s="3" t="e">
        <f t="shared" si="119"/>
        <v>#N/A</v>
      </c>
    </row>
    <row r="3756" spans="2:6" x14ac:dyDescent="0.25">
      <c r="B3756" s="3"/>
      <c r="C3756" s="3"/>
      <c r="D3756" s="3"/>
      <c r="E3756" s="3" t="e">
        <f t="shared" si="118"/>
        <v>#N/A</v>
      </c>
      <c r="F3756" s="3" t="e">
        <f t="shared" si="119"/>
        <v>#N/A</v>
      </c>
    </row>
    <row r="3757" spans="2:6" x14ac:dyDescent="0.25">
      <c r="B3757" s="3"/>
      <c r="C3757" s="3"/>
      <c r="D3757" s="3"/>
      <c r="E3757" s="3" t="e">
        <f t="shared" si="118"/>
        <v>#N/A</v>
      </c>
      <c r="F3757" s="3" t="e">
        <f t="shared" si="119"/>
        <v>#N/A</v>
      </c>
    </row>
    <row r="3758" spans="2:6" x14ac:dyDescent="0.25">
      <c r="B3758" s="3"/>
      <c r="C3758" s="3"/>
      <c r="D3758" s="3"/>
      <c r="E3758" s="3" t="e">
        <f t="shared" si="118"/>
        <v>#N/A</v>
      </c>
      <c r="F3758" s="3" t="e">
        <f t="shared" si="119"/>
        <v>#N/A</v>
      </c>
    </row>
    <row r="3759" spans="2:6" x14ac:dyDescent="0.25">
      <c r="B3759" s="3"/>
      <c r="C3759" s="3"/>
      <c r="D3759" s="3"/>
      <c r="E3759" s="3" t="e">
        <f t="shared" si="118"/>
        <v>#N/A</v>
      </c>
      <c r="F3759" s="3" t="e">
        <f t="shared" si="119"/>
        <v>#N/A</v>
      </c>
    </row>
    <row r="3760" spans="2:6" x14ac:dyDescent="0.25">
      <c r="B3760" s="3"/>
      <c r="C3760" s="3"/>
      <c r="D3760" s="3"/>
      <c r="E3760" s="3" t="e">
        <f t="shared" si="118"/>
        <v>#N/A</v>
      </c>
      <c r="F3760" s="3" t="e">
        <f t="shared" si="119"/>
        <v>#N/A</v>
      </c>
    </row>
    <row r="3761" spans="2:6" x14ac:dyDescent="0.25">
      <c r="B3761" s="3"/>
      <c r="C3761" s="3"/>
      <c r="D3761" s="3"/>
      <c r="E3761" s="3" t="e">
        <f t="shared" si="118"/>
        <v>#N/A</v>
      </c>
      <c r="F3761" s="3" t="e">
        <f t="shared" si="119"/>
        <v>#N/A</v>
      </c>
    </row>
    <row r="3762" spans="2:6" x14ac:dyDescent="0.25">
      <c r="B3762" s="3"/>
      <c r="C3762" s="3"/>
      <c r="D3762" s="3"/>
      <c r="E3762" s="3" t="e">
        <f t="shared" si="118"/>
        <v>#N/A</v>
      </c>
      <c r="F3762" s="3" t="e">
        <f t="shared" si="119"/>
        <v>#N/A</v>
      </c>
    </row>
    <row r="3763" spans="2:6" x14ac:dyDescent="0.25">
      <c r="B3763" s="3"/>
      <c r="C3763" s="3"/>
      <c r="D3763" s="3"/>
      <c r="E3763" s="3" t="e">
        <f t="shared" si="118"/>
        <v>#N/A</v>
      </c>
      <c r="F3763" s="3" t="e">
        <f t="shared" si="119"/>
        <v>#N/A</v>
      </c>
    </row>
    <row r="3764" spans="2:6" x14ac:dyDescent="0.25">
      <c r="B3764" s="3"/>
      <c r="C3764" s="3"/>
      <c r="D3764" s="3"/>
      <c r="E3764" s="3" t="e">
        <f t="shared" si="118"/>
        <v>#N/A</v>
      </c>
      <c r="F3764" s="3" t="e">
        <f t="shared" si="119"/>
        <v>#N/A</v>
      </c>
    </row>
    <row r="3765" spans="2:6" x14ac:dyDescent="0.25">
      <c r="B3765" s="3"/>
      <c r="C3765" s="3"/>
      <c r="D3765" s="3"/>
      <c r="E3765" s="3" t="e">
        <f t="shared" si="118"/>
        <v>#N/A</v>
      </c>
      <c r="F3765" s="3" t="e">
        <f t="shared" si="119"/>
        <v>#N/A</v>
      </c>
    </row>
    <row r="3766" spans="2:6" x14ac:dyDescent="0.25">
      <c r="B3766" s="3"/>
      <c r="C3766" s="3"/>
      <c r="D3766" s="3"/>
      <c r="E3766" s="3" t="e">
        <f t="shared" si="118"/>
        <v>#N/A</v>
      </c>
      <c r="F3766" s="3" t="e">
        <f t="shared" si="119"/>
        <v>#N/A</v>
      </c>
    </row>
    <row r="3767" spans="2:6" x14ac:dyDescent="0.25">
      <c r="B3767" s="3"/>
      <c r="C3767" s="3"/>
      <c r="D3767" s="3"/>
      <c r="E3767" s="3" t="e">
        <f t="shared" si="118"/>
        <v>#N/A</v>
      </c>
      <c r="F3767" s="3" t="e">
        <f t="shared" si="119"/>
        <v>#N/A</v>
      </c>
    </row>
    <row r="3768" spans="2:6" x14ac:dyDescent="0.25">
      <c r="B3768" s="3"/>
      <c r="C3768" s="3"/>
      <c r="D3768" s="3"/>
      <c r="E3768" s="3" t="e">
        <f t="shared" si="118"/>
        <v>#N/A</v>
      </c>
      <c r="F3768" s="3" t="e">
        <f t="shared" si="119"/>
        <v>#N/A</v>
      </c>
    </row>
    <row r="3769" spans="2:6" x14ac:dyDescent="0.25">
      <c r="B3769" s="3"/>
      <c r="C3769" s="3"/>
      <c r="D3769" s="3"/>
      <c r="E3769" s="3" t="e">
        <f t="shared" si="118"/>
        <v>#N/A</v>
      </c>
      <c r="F3769" s="3" t="e">
        <f t="shared" si="119"/>
        <v>#N/A</v>
      </c>
    </row>
    <row r="3770" spans="2:6" x14ac:dyDescent="0.25">
      <c r="B3770" s="3"/>
      <c r="C3770" s="3"/>
      <c r="D3770" s="3"/>
      <c r="E3770" s="3" t="e">
        <f t="shared" si="118"/>
        <v>#N/A</v>
      </c>
      <c r="F3770" s="3" t="e">
        <f t="shared" si="119"/>
        <v>#N/A</v>
      </c>
    </row>
    <row r="3771" spans="2:6" x14ac:dyDescent="0.25">
      <c r="B3771" s="3"/>
      <c r="C3771" s="3"/>
      <c r="D3771" s="3"/>
      <c r="E3771" s="3" t="e">
        <f t="shared" si="118"/>
        <v>#N/A</v>
      </c>
      <c r="F3771" s="3" t="e">
        <f t="shared" si="119"/>
        <v>#N/A</v>
      </c>
    </row>
    <row r="3772" spans="2:6" x14ac:dyDescent="0.25">
      <c r="B3772" s="3"/>
      <c r="C3772" s="3"/>
      <c r="D3772" s="3"/>
      <c r="E3772" s="3" t="e">
        <f t="shared" si="118"/>
        <v>#N/A</v>
      </c>
      <c r="F3772" s="3" t="e">
        <f t="shared" si="119"/>
        <v>#N/A</v>
      </c>
    </row>
    <row r="3773" spans="2:6" x14ac:dyDescent="0.25">
      <c r="B3773" s="3"/>
      <c r="C3773" s="3"/>
      <c r="D3773" s="3"/>
      <c r="E3773" s="3" t="e">
        <f t="shared" si="118"/>
        <v>#N/A</v>
      </c>
      <c r="F3773" s="3" t="e">
        <f t="shared" si="119"/>
        <v>#N/A</v>
      </c>
    </row>
    <row r="3774" spans="2:6" x14ac:dyDescent="0.25">
      <c r="B3774" s="3"/>
      <c r="C3774" s="3"/>
      <c r="D3774" s="3"/>
      <c r="E3774" s="3" t="e">
        <f t="shared" si="118"/>
        <v>#N/A</v>
      </c>
      <c r="F3774" s="3" t="e">
        <f t="shared" si="119"/>
        <v>#N/A</v>
      </c>
    </row>
    <row r="3775" spans="2:6" x14ac:dyDescent="0.25">
      <c r="B3775" s="3"/>
      <c r="C3775" s="3"/>
      <c r="D3775" s="3"/>
      <c r="E3775" s="3" t="e">
        <f t="shared" si="118"/>
        <v>#N/A</v>
      </c>
      <c r="F3775" s="3" t="e">
        <f t="shared" si="119"/>
        <v>#N/A</v>
      </c>
    </row>
    <row r="3776" spans="2:6" x14ac:dyDescent="0.25">
      <c r="B3776" s="3"/>
      <c r="C3776" s="3"/>
      <c r="D3776" s="3"/>
      <c r="E3776" s="3" t="e">
        <f t="shared" si="118"/>
        <v>#N/A</v>
      </c>
      <c r="F3776" s="3" t="e">
        <f t="shared" si="119"/>
        <v>#N/A</v>
      </c>
    </row>
    <row r="3777" spans="2:6" x14ac:dyDescent="0.25">
      <c r="B3777" s="3"/>
      <c r="C3777" s="3"/>
      <c r="D3777" s="3"/>
      <c r="E3777" s="3" t="e">
        <f t="shared" si="118"/>
        <v>#N/A</v>
      </c>
      <c r="F3777" s="3" t="e">
        <f t="shared" si="119"/>
        <v>#N/A</v>
      </c>
    </row>
    <row r="3778" spans="2:6" x14ac:dyDescent="0.25">
      <c r="B3778" s="3"/>
      <c r="C3778" s="3"/>
      <c r="D3778" s="3"/>
      <c r="E3778" s="3" t="e">
        <f t="shared" si="118"/>
        <v>#N/A</v>
      </c>
      <c r="F3778" s="3" t="e">
        <f t="shared" si="119"/>
        <v>#N/A</v>
      </c>
    </row>
    <row r="3779" spans="2:6" x14ac:dyDescent="0.25">
      <c r="B3779" s="3"/>
      <c r="C3779" s="3"/>
      <c r="D3779" s="3"/>
      <c r="E3779" s="3" t="e">
        <f t="shared" si="118"/>
        <v>#N/A</v>
      </c>
      <c r="F3779" s="3" t="e">
        <f t="shared" si="119"/>
        <v>#N/A</v>
      </c>
    </row>
    <row r="3780" spans="2:6" x14ac:dyDescent="0.25">
      <c r="B3780" s="3"/>
      <c r="C3780" s="3"/>
      <c r="D3780" s="3"/>
      <c r="E3780" s="3" t="e">
        <f t="shared" ref="E3780:E3843" si="120">VLOOKUP(C3780,I:J,2,0)</f>
        <v>#N/A</v>
      </c>
      <c r="F3780" s="3" t="e">
        <f t="shared" ref="F3780:F3843" si="121">E3780&amp;" "&amp;B3780</f>
        <v>#N/A</v>
      </c>
    </row>
    <row r="3781" spans="2:6" x14ac:dyDescent="0.25">
      <c r="B3781" s="3"/>
      <c r="C3781" s="3"/>
      <c r="D3781" s="3"/>
      <c r="E3781" s="3" t="e">
        <f t="shared" si="120"/>
        <v>#N/A</v>
      </c>
      <c r="F3781" s="3" t="e">
        <f t="shared" si="121"/>
        <v>#N/A</v>
      </c>
    </row>
    <row r="3782" spans="2:6" x14ac:dyDescent="0.25">
      <c r="B3782" s="3"/>
      <c r="C3782" s="3"/>
      <c r="D3782" s="3"/>
      <c r="E3782" s="3" t="e">
        <f t="shared" si="120"/>
        <v>#N/A</v>
      </c>
      <c r="F3782" s="3" t="e">
        <f t="shared" si="121"/>
        <v>#N/A</v>
      </c>
    </row>
    <row r="3783" spans="2:6" x14ac:dyDescent="0.25">
      <c r="B3783" s="3"/>
      <c r="C3783" s="3"/>
      <c r="D3783" s="3"/>
      <c r="E3783" s="3" t="e">
        <f t="shared" si="120"/>
        <v>#N/A</v>
      </c>
      <c r="F3783" s="3" t="e">
        <f t="shared" si="121"/>
        <v>#N/A</v>
      </c>
    </row>
    <row r="3784" spans="2:6" x14ac:dyDescent="0.25">
      <c r="B3784" s="3"/>
      <c r="C3784" s="3"/>
      <c r="D3784" s="3"/>
      <c r="E3784" s="3" t="e">
        <f t="shared" si="120"/>
        <v>#N/A</v>
      </c>
      <c r="F3784" s="3" t="e">
        <f t="shared" si="121"/>
        <v>#N/A</v>
      </c>
    </row>
    <row r="3785" spans="2:6" x14ac:dyDescent="0.25">
      <c r="B3785" s="3"/>
      <c r="C3785" s="3"/>
      <c r="D3785" s="3"/>
      <c r="E3785" s="3" t="e">
        <f t="shared" si="120"/>
        <v>#N/A</v>
      </c>
      <c r="F3785" s="3" t="e">
        <f t="shared" si="121"/>
        <v>#N/A</v>
      </c>
    </row>
    <row r="3786" spans="2:6" x14ac:dyDescent="0.25">
      <c r="B3786" s="3"/>
      <c r="C3786" s="3"/>
      <c r="D3786" s="3"/>
      <c r="E3786" s="3" t="e">
        <f t="shared" si="120"/>
        <v>#N/A</v>
      </c>
      <c r="F3786" s="3" t="e">
        <f t="shared" si="121"/>
        <v>#N/A</v>
      </c>
    </row>
    <row r="3787" spans="2:6" x14ac:dyDescent="0.25">
      <c r="B3787" s="3"/>
      <c r="C3787" s="3"/>
      <c r="D3787" s="3"/>
      <c r="E3787" s="3" t="e">
        <f t="shared" si="120"/>
        <v>#N/A</v>
      </c>
      <c r="F3787" s="3" t="e">
        <f t="shared" si="121"/>
        <v>#N/A</v>
      </c>
    </row>
    <row r="3788" spans="2:6" x14ac:dyDescent="0.25">
      <c r="B3788" s="3"/>
      <c r="C3788" s="3"/>
      <c r="D3788" s="3"/>
      <c r="E3788" s="3" t="e">
        <f t="shared" si="120"/>
        <v>#N/A</v>
      </c>
      <c r="F3788" s="3" t="e">
        <f t="shared" si="121"/>
        <v>#N/A</v>
      </c>
    </row>
    <row r="3789" spans="2:6" x14ac:dyDescent="0.25">
      <c r="B3789" s="3"/>
      <c r="C3789" s="3"/>
      <c r="D3789" s="3"/>
      <c r="E3789" s="3" t="e">
        <f t="shared" si="120"/>
        <v>#N/A</v>
      </c>
      <c r="F3789" s="3" t="e">
        <f t="shared" si="121"/>
        <v>#N/A</v>
      </c>
    </row>
    <row r="3790" spans="2:6" x14ac:dyDescent="0.25">
      <c r="B3790" s="3"/>
      <c r="C3790" s="3"/>
      <c r="D3790" s="3"/>
      <c r="E3790" s="3" t="e">
        <f t="shared" si="120"/>
        <v>#N/A</v>
      </c>
      <c r="F3790" s="3" t="e">
        <f t="shared" si="121"/>
        <v>#N/A</v>
      </c>
    </row>
    <row r="3791" spans="2:6" x14ac:dyDescent="0.25">
      <c r="B3791" s="3"/>
      <c r="C3791" s="3"/>
      <c r="D3791" s="3"/>
      <c r="E3791" s="3" t="e">
        <f t="shared" si="120"/>
        <v>#N/A</v>
      </c>
      <c r="F3791" s="3" t="e">
        <f t="shared" si="121"/>
        <v>#N/A</v>
      </c>
    </row>
    <row r="3792" spans="2:6" x14ac:dyDescent="0.25">
      <c r="B3792" s="3"/>
      <c r="C3792" s="3"/>
      <c r="D3792" s="3"/>
      <c r="E3792" s="3" t="e">
        <f t="shared" si="120"/>
        <v>#N/A</v>
      </c>
      <c r="F3792" s="3" t="e">
        <f t="shared" si="121"/>
        <v>#N/A</v>
      </c>
    </row>
    <row r="3793" spans="2:6" x14ac:dyDescent="0.25">
      <c r="B3793" s="3"/>
      <c r="C3793" s="3"/>
      <c r="D3793" s="3"/>
      <c r="E3793" s="3" t="e">
        <f t="shared" si="120"/>
        <v>#N/A</v>
      </c>
      <c r="F3793" s="3" t="e">
        <f t="shared" si="121"/>
        <v>#N/A</v>
      </c>
    </row>
    <row r="3794" spans="2:6" x14ac:dyDescent="0.25">
      <c r="B3794" s="3"/>
      <c r="C3794" s="3"/>
      <c r="D3794" s="3"/>
      <c r="E3794" s="3" t="e">
        <f t="shared" si="120"/>
        <v>#N/A</v>
      </c>
      <c r="F3794" s="3" t="e">
        <f t="shared" si="121"/>
        <v>#N/A</v>
      </c>
    </row>
    <row r="3795" spans="2:6" x14ac:dyDescent="0.25">
      <c r="B3795" s="3"/>
      <c r="C3795" s="3"/>
      <c r="D3795" s="3"/>
      <c r="E3795" s="3" t="e">
        <f t="shared" si="120"/>
        <v>#N/A</v>
      </c>
      <c r="F3795" s="3" t="e">
        <f t="shared" si="121"/>
        <v>#N/A</v>
      </c>
    </row>
    <row r="3796" spans="2:6" x14ac:dyDescent="0.25">
      <c r="B3796" s="3"/>
      <c r="C3796" s="3"/>
      <c r="D3796" s="3"/>
      <c r="E3796" s="3" t="e">
        <f t="shared" si="120"/>
        <v>#N/A</v>
      </c>
      <c r="F3796" s="3" t="e">
        <f t="shared" si="121"/>
        <v>#N/A</v>
      </c>
    </row>
    <row r="3797" spans="2:6" x14ac:dyDescent="0.25">
      <c r="B3797" s="3"/>
      <c r="C3797" s="3"/>
      <c r="D3797" s="3"/>
      <c r="E3797" s="3" t="e">
        <f t="shared" si="120"/>
        <v>#N/A</v>
      </c>
      <c r="F3797" s="3" t="e">
        <f t="shared" si="121"/>
        <v>#N/A</v>
      </c>
    </row>
    <row r="3798" spans="2:6" x14ac:dyDescent="0.25">
      <c r="B3798" s="3"/>
      <c r="C3798" s="3"/>
      <c r="D3798" s="3"/>
      <c r="E3798" s="3" t="e">
        <f t="shared" si="120"/>
        <v>#N/A</v>
      </c>
      <c r="F3798" s="3" t="e">
        <f t="shared" si="121"/>
        <v>#N/A</v>
      </c>
    </row>
    <row r="3799" spans="2:6" x14ac:dyDescent="0.25">
      <c r="B3799" s="3"/>
      <c r="C3799" s="3"/>
      <c r="D3799" s="3"/>
      <c r="E3799" s="3" t="e">
        <f t="shared" si="120"/>
        <v>#N/A</v>
      </c>
      <c r="F3799" s="3" t="e">
        <f t="shared" si="121"/>
        <v>#N/A</v>
      </c>
    </row>
    <row r="3800" spans="2:6" x14ac:dyDescent="0.25">
      <c r="B3800" s="3"/>
      <c r="C3800" s="3"/>
      <c r="D3800" s="3"/>
      <c r="E3800" s="3" t="e">
        <f t="shared" si="120"/>
        <v>#N/A</v>
      </c>
      <c r="F3800" s="3" t="e">
        <f t="shared" si="121"/>
        <v>#N/A</v>
      </c>
    </row>
    <row r="3801" spans="2:6" x14ac:dyDescent="0.25">
      <c r="B3801" s="3"/>
      <c r="C3801" s="3"/>
      <c r="D3801" s="3"/>
      <c r="E3801" s="3" t="e">
        <f t="shared" si="120"/>
        <v>#N/A</v>
      </c>
      <c r="F3801" s="3" t="e">
        <f t="shared" si="121"/>
        <v>#N/A</v>
      </c>
    </row>
    <row r="3802" spans="2:6" x14ac:dyDescent="0.25">
      <c r="B3802" s="3"/>
      <c r="C3802" s="3"/>
      <c r="D3802" s="3"/>
      <c r="E3802" s="3" t="e">
        <f t="shared" si="120"/>
        <v>#N/A</v>
      </c>
      <c r="F3802" s="3" t="e">
        <f t="shared" si="121"/>
        <v>#N/A</v>
      </c>
    </row>
    <row r="3803" spans="2:6" x14ac:dyDescent="0.25">
      <c r="B3803" s="3"/>
      <c r="C3803" s="3"/>
      <c r="D3803" s="3"/>
      <c r="E3803" s="3" t="e">
        <f t="shared" si="120"/>
        <v>#N/A</v>
      </c>
      <c r="F3803" s="3" t="e">
        <f t="shared" si="121"/>
        <v>#N/A</v>
      </c>
    </row>
    <row r="3804" spans="2:6" x14ac:dyDescent="0.25">
      <c r="B3804" s="3"/>
      <c r="C3804" s="3"/>
      <c r="D3804" s="3"/>
      <c r="E3804" s="3" t="e">
        <f t="shared" si="120"/>
        <v>#N/A</v>
      </c>
      <c r="F3804" s="3" t="e">
        <f t="shared" si="121"/>
        <v>#N/A</v>
      </c>
    </row>
    <row r="3805" spans="2:6" x14ac:dyDescent="0.25">
      <c r="B3805" s="3"/>
      <c r="C3805" s="3"/>
      <c r="D3805" s="3"/>
      <c r="E3805" s="3" t="e">
        <f t="shared" si="120"/>
        <v>#N/A</v>
      </c>
      <c r="F3805" s="3" t="e">
        <f t="shared" si="121"/>
        <v>#N/A</v>
      </c>
    </row>
    <row r="3806" spans="2:6" x14ac:dyDescent="0.25">
      <c r="B3806" s="3"/>
      <c r="C3806" s="3"/>
      <c r="D3806" s="3"/>
      <c r="E3806" s="3" t="e">
        <f t="shared" si="120"/>
        <v>#N/A</v>
      </c>
      <c r="F3806" s="3" t="e">
        <f t="shared" si="121"/>
        <v>#N/A</v>
      </c>
    </row>
    <row r="3807" spans="2:6" x14ac:dyDescent="0.25">
      <c r="B3807" s="3"/>
      <c r="C3807" s="3"/>
      <c r="D3807" s="3"/>
      <c r="E3807" s="3" t="e">
        <f t="shared" si="120"/>
        <v>#N/A</v>
      </c>
      <c r="F3807" s="3" t="e">
        <f t="shared" si="121"/>
        <v>#N/A</v>
      </c>
    </row>
    <row r="3808" spans="2:6" x14ac:dyDescent="0.25">
      <c r="B3808" s="3"/>
      <c r="C3808" s="3"/>
      <c r="D3808" s="3"/>
      <c r="E3808" s="3" t="e">
        <f t="shared" si="120"/>
        <v>#N/A</v>
      </c>
      <c r="F3808" s="3" t="e">
        <f t="shared" si="121"/>
        <v>#N/A</v>
      </c>
    </row>
    <row r="3809" spans="2:6" x14ac:dyDescent="0.25">
      <c r="B3809" s="3"/>
      <c r="C3809" s="3"/>
      <c r="D3809" s="3"/>
      <c r="E3809" s="3" t="e">
        <f t="shared" si="120"/>
        <v>#N/A</v>
      </c>
      <c r="F3809" s="3" t="e">
        <f t="shared" si="121"/>
        <v>#N/A</v>
      </c>
    </row>
    <row r="3810" spans="2:6" x14ac:dyDescent="0.25">
      <c r="B3810" s="3"/>
      <c r="C3810" s="3"/>
      <c r="D3810" s="3"/>
      <c r="E3810" s="3" t="e">
        <f t="shared" si="120"/>
        <v>#N/A</v>
      </c>
      <c r="F3810" s="3" t="e">
        <f t="shared" si="121"/>
        <v>#N/A</v>
      </c>
    </row>
    <row r="3811" spans="2:6" x14ac:dyDescent="0.25">
      <c r="B3811" s="3"/>
      <c r="C3811" s="3"/>
      <c r="D3811" s="3"/>
      <c r="E3811" s="3" t="e">
        <f t="shared" si="120"/>
        <v>#N/A</v>
      </c>
      <c r="F3811" s="3" t="e">
        <f t="shared" si="121"/>
        <v>#N/A</v>
      </c>
    </row>
    <row r="3812" spans="2:6" x14ac:dyDescent="0.25">
      <c r="B3812" s="3"/>
      <c r="C3812" s="3"/>
      <c r="D3812" s="3"/>
      <c r="E3812" s="3" t="e">
        <f t="shared" si="120"/>
        <v>#N/A</v>
      </c>
      <c r="F3812" s="3" t="e">
        <f t="shared" si="121"/>
        <v>#N/A</v>
      </c>
    </row>
    <row r="3813" spans="2:6" x14ac:dyDescent="0.25">
      <c r="B3813" s="3"/>
      <c r="C3813" s="3"/>
      <c r="D3813" s="3"/>
      <c r="E3813" s="3" t="e">
        <f t="shared" si="120"/>
        <v>#N/A</v>
      </c>
      <c r="F3813" s="3" t="e">
        <f t="shared" si="121"/>
        <v>#N/A</v>
      </c>
    </row>
    <row r="3814" spans="2:6" x14ac:dyDescent="0.25">
      <c r="B3814" s="3"/>
      <c r="C3814" s="3"/>
      <c r="D3814" s="3"/>
      <c r="E3814" s="3" t="e">
        <f t="shared" si="120"/>
        <v>#N/A</v>
      </c>
      <c r="F3814" s="3" t="e">
        <f t="shared" si="121"/>
        <v>#N/A</v>
      </c>
    </row>
    <row r="3815" spans="2:6" x14ac:dyDescent="0.25">
      <c r="B3815" s="3"/>
      <c r="C3815" s="3"/>
      <c r="D3815" s="3"/>
      <c r="E3815" s="3" t="e">
        <f t="shared" si="120"/>
        <v>#N/A</v>
      </c>
      <c r="F3815" s="3" t="e">
        <f t="shared" si="121"/>
        <v>#N/A</v>
      </c>
    </row>
    <row r="3816" spans="2:6" x14ac:dyDescent="0.25">
      <c r="B3816" s="3"/>
      <c r="C3816" s="3"/>
      <c r="D3816" s="3"/>
      <c r="E3816" s="3" t="e">
        <f t="shared" si="120"/>
        <v>#N/A</v>
      </c>
      <c r="F3816" s="3" t="e">
        <f t="shared" si="121"/>
        <v>#N/A</v>
      </c>
    </row>
    <row r="3817" spans="2:6" x14ac:dyDescent="0.25">
      <c r="B3817" s="3"/>
      <c r="C3817" s="3"/>
      <c r="D3817" s="3"/>
      <c r="E3817" s="3" t="e">
        <f t="shared" si="120"/>
        <v>#N/A</v>
      </c>
      <c r="F3817" s="3" t="e">
        <f t="shared" si="121"/>
        <v>#N/A</v>
      </c>
    </row>
    <row r="3818" spans="2:6" x14ac:dyDescent="0.25">
      <c r="B3818" s="3"/>
      <c r="C3818" s="3"/>
      <c r="D3818" s="3"/>
      <c r="E3818" s="3" t="e">
        <f t="shared" si="120"/>
        <v>#N/A</v>
      </c>
      <c r="F3818" s="3" t="e">
        <f t="shared" si="121"/>
        <v>#N/A</v>
      </c>
    </row>
    <row r="3819" spans="2:6" x14ac:dyDescent="0.25">
      <c r="B3819" s="3"/>
      <c r="C3819" s="3"/>
      <c r="D3819" s="3"/>
      <c r="E3819" s="3" t="e">
        <f t="shared" si="120"/>
        <v>#N/A</v>
      </c>
      <c r="F3819" s="3" t="e">
        <f t="shared" si="121"/>
        <v>#N/A</v>
      </c>
    </row>
    <row r="3820" spans="2:6" x14ac:dyDescent="0.25">
      <c r="B3820" s="3"/>
      <c r="C3820" s="3"/>
      <c r="D3820" s="3"/>
      <c r="E3820" s="3" t="e">
        <f t="shared" si="120"/>
        <v>#N/A</v>
      </c>
      <c r="F3820" s="3" t="e">
        <f t="shared" si="121"/>
        <v>#N/A</v>
      </c>
    </row>
    <row r="3821" spans="2:6" x14ac:dyDescent="0.25">
      <c r="B3821" s="3"/>
      <c r="C3821" s="3"/>
      <c r="D3821" s="3"/>
      <c r="E3821" s="3" t="e">
        <f t="shared" si="120"/>
        <v>#N/A</v>
      </c>
      <c r="F3821" s="3" t="e">
        <f t="shared" si="121"/>
        <v>#N/A</v>
      </c>
    </row>
    <row r="3822" spans="2:6" x14ac:dyDescent="0.25">
      <c r="B3822" s="3"/>
      <c r="C3822" s="3"/>
      <c r="D3822" s="3"/>
      <c r="E3822" s="3" t="e">
        <f t="shared" si="120"/>
        <v>#N/A</v>
      </c>
      <c r="F3822" s="3" t="e">
        <f t="shared" si="121"/>
        <v>#N/A</v>
      </c>
    </row>
    <row r="3823" spans="2:6" x14ac:dyDescent="0.25">
      <c r="B3823" s="3"/>
      <c r="C3823" s="3"/>
      <c r="D3823" s="3"/>
      <c r="E3823" s="3" t="e">
        <f t="shared" si="120"/>
        <v>#N/A</v>
      </c>
      <c r="F3823" s="3" t="e">
        <f t="shared" si="121"/>
        <v>#N/A</v>
      </c>
    </row>
    <row r="3824" spans="2:6" x14ac:dyDescent="0.25">
      <c r="B3824" s="3"/>
      <c r="C3824" s="3"/>
      <c r="D3824" s="3"/>
      <c r="E3824" s="3" t="e">
        <f t="shared" si="120"/>
        <v>#N/A</v>
      </c>
      <c r="F3824" s="3" t="e">
        <f t="shared" si="121"/>
        <v>#N/A</v>
      </c>
    </row>
    <row r="3825" spans="2:6" x14ac:dyDescent="0.25">
      <c r="B3825" s="3"/>
      <c r="C3825" s="3"/>
      <c r="D3825" s="3"/>
      <c r="E3825" s="3" t="e">
        <f t="shared" si="120"/>
        <v>#N/A</v>
      </c>
      <c r="F3825" s="3" t="e">
        <f t="shared" si="121"/>
        <v>#N/A</v>
      </c>
    </row>
    <row r="3826" spans="2:6" x14ac:dyDescent="0.25">
      <c r="B3826" s="3"/>
      <c r="C3826" s="3"/>
      <c r="D3826" s="3"/>
      <c r="E3826" s="3" t="e">
        <f t="shared" si="120"/>
        <v>#N/A</v>
      </c>
      <c r="F3826" s="3" t="e">
        <f t="shared" si="121"/>
        <v>#N/A</v>
      </c>
    </row>
    <row r="3827" spans="2:6" x14ac:dyDescent="0.25">
      <c r="B3827" s="3"/>
      <c r="C3827" s="3"/>
      <c r="D3827" s="3"/>
      <c r="E3827" s="3" t="e">
        <f t="shared" si="120"/>
        <v>#N/A</v>
      </c>
      <c r="F3827" s="3" t="e">
        <f t="shared" si="121"/>
        <v>#N/A</v>
      </c>
    </row>
    <row r="3828" spans="2:6" x14ac:dyDescent="0.25">
      <c r="B3828" s="3"/>
      <c r="C3828" s="3"/>
      <c r="D3828" s="3"/>
      <c r="E3828" s="3" t="e">
        <f t="shared" si="120"/>
        <v>#N/A</v>
      </c>
      <c r="F3828" s="3" t="e">
        <f t="shared" si="121"/>
        <v>#N/A</v>
      </c>
    </row>
    <row r="3829" spans="2:6" x14ac:dyDescent="0.25">
      <c r="B3829" s="3"/>
      <c r="C3829" s="3"/>
      <c r="D3829" s="3"/>
      <c r="E3829" s="3" t="e">
        <f t="shared" si="120"/>
        <v>#N/A</v>
      </c>
      <c r="F3829" s="3" t="e">
        <f t="shared" si="121"/>
        <v>#N/A</v>
      </c>
    </row>
    <row r="3830" spans="2:6" x14ac:dyDescent="0.25">
      <c r="B3830" s="3"/>
      <c r="C3830" s="3"/>
      <c r="D3830" s="3"/>
      <c r="E3830" s="3" t="e">
        <f t="shared" si="120"/>
        <v>#N/A</v>
      </c>
      <c r="F3830" s="3" t="e">
        <f t="shared" si="121"/>
        <v>#N/A</v>
      </c>
    </row>
    <row r="3831" spans="2:6" x14ac:dyDescent="0.25">
      <c r="B3831" s="3"/>
      <c r="C3831" s="3"/>
      <c r="D3831" s="3"/>
      <c r="E3831" s="3" t="e">
        <f t="shared" si="120"/>
        <v>#N/A</v>
      </c>
      <c r="F3831" s="3" t="e">
        <f t="shared" si="121"/>
        <v>#N/A</v>
      </c>
    </row>
    <row r="3832" spans="2:6" x14ac:dyDescent="0.25">
      <c r="B3832" s="3"/>
      <c r="C3832" s="3"/>
      <c r="D3832" s="3"/>
      <c r="E3832" s="3" t="e">
        <f t="shared" si="120"/>
        <v>#N/A</v>
      </c>
      <c r="F3832" s="3" t="e">
        <f t="shared" si="121"/>
        <v>#N/A</v>
      </c>
    </row>
    <row r="3833" spans="2:6" x14ac:dyDescent="0.25">
      <c r="B3833" s="3"/>
      <c r="C3833" s="3"/>
      <c r="D3833" s="3"/>
      <c r="E3833" s="3" t="e">
        <f t="shared" si="120"/>
        <v>#N/A</v>
      </c>
      <c r="F3833" s="3" t="e">
        <f t="shared" si="121"/>
        <v>#N/A</v>
      </c>
    </row>
    <row r="3834" spans="2:6" x14ac:dyDescent="0.25">
      <c r="B3834" s="3"/>
      <c r="C3834" s="3"/>
      <c r="D3834" s="3"/>
      <c r="E3834" s="3" t="e">
        <f t="shared" si="120"/>
        <v>#N/A</v>
      </c>
      <c r="F3834" s="3" t="e">
        <f t="shared" si="121"/>
        <v>#N/A</v>
      </c>
    </row>
    <row r="3835" spans="2:6" x14ac:dyDescent="0.25">
      <c r="B3835" s="3"/>
      <c r="C3835" s="3"/>
      <c r="D3835" s="3"/>
      <c r="E3835" s="3" t="e">
        <f t="shared" si="120"/>
        <v>#N/A</v>
      </c>
      <c r="F3835" s="3" t="e">
        <f t="shared" si="121"/>
        <v>#N/A</v>
      </c>
    </row>
    <row r="3836" spans="2:6" x14ac:dyDescent="0.25">
      <c r="B3836" s="3"/>
      <c r="C3836" s="3"/>
      <c r="D3836" s="3"/>
      <c r="E3836" s="3" t="e">
        <f t="shared" si="120"/>
        <v>#N/A</v>
      </c>
      <c r="F3836" s="3" t="e">
        <f t="shared" si="121"/>
        <v>#N/A</v>
      </c>
    </row>
    <row r="3837" spans="2:6" x14ac:dyDescent="0.25">
      <c r="B3837" s="3"/>
      <c r="C3837" s="3"/>
      <c r="D3837" s="3"/>
      <c r="E3837" s="3" t="e">
        <f t="shared" si="120"/>
        <v>#N/A</v>
      </c>
      <c r="F3837" s="3" t="e">
        <f t="shared" si="121"/>
        <v>#N/A</v>
      </c>
    </row>
    <row r="3838" spans="2:6" x14ac:dyDescent="0.25">
      <c r="B3838" s="3"/>
      <c r="C3838" s="3"/>
      <c r="D3838" s="3"/>
      <c r="E3838" s="3" t="e">
        <f t="shared" si="120"/>
        <v>#N/A</v>
      </c>
      <c r="F3838" s="3" t="e">
        <f t="shared" si="121"/>
        <v>#N/A</v>
      </c>
    </row>
    <row r="3839" spans="2:6" x14ac:dyDescent="0.25">
      <c r="B3839" s="3"/>
      <c r="C3839" s="3"/>
      <c r="D3839" s="3"/>
      <c r="E3839" s="3" t="e">
        <f t="shared" si="120"/>
        <v>#N/A</v>
      </c>
      <c r="F3839" s="3" t="e">
        <f t="shared" si="121"/>
        <v>#N/A</v>
      </c>
    </row>
    <row r="3840" spans="2:6" x14ac:dyDescent="0.25">
      <c r="B3840" s="3"/>
      <c r="C3840" s="3"/>
      <c r="D3840" s="3"/>
      <c r="E3840" s="3" t="e">
        <f t="shared" si="120"/>
        <v>#N/A</v>
      </c>
      <c r="F3840" s="3" t="e">
        <f t="shared" si="121"/>
        <v>#N/A</v>
      </c>
    </row>
    <row r="3841" spans="2:6" x14ac:dyDescent="0.25">
      <c r="B3841" s="3"/>
      <c r="C3841" s="3"/>
      <c r="D3841" s="3"/>
      <c r="E3841" s="3" t="e">
        <f t="shared" si="120"/>
        <v>#N/A</v>
      </c>
      <c r="F3841" s="3" t="e">
        <f t="shared" si="121"/>
        <v>#N/A</v>
      </c>
    </row>
    <row r="3842" spans="2:6" x14ac:dyDescent="0.25">
      <c r="B3842" s="3"/>
      <c r="C3842" s="3"/>
      <c r="D3842" s="3"/>
      <c r="E3842" s="3" t="e">
        <f t="shared" si="120"/>
        <v>#N/A</v>
      </c>
      <c r="F3842" s="3" t="e">
        <f t="shared" si="121"/>
        <v>#N/A</v>
      </c>
    </row>
    <row r="3843" spans="2:6" x14ac:dyDescent="0.25">
      <c r="B3843" s="3"/>
      <c r="C3843" s="3"/>
      <c r="D3843" s="3"/>
      <c r="E3843" s="3" t="e">
        <f t="shared" si="120"/>
        <v>#N/A</v>
      </c>
      <c r="F3843" s="3" t="e">
        <f t="shared" si="121"/>
        <v>#N/A</v>
      </c>
    </row>
    <row r="3844" spans="2:6" x14ac:dyDescent="0.25">
      <c r="B3844" s="3"/>
      <c r="C3844" s="3"/>
      <c r="D3844" s="3"/>
      <c r="E3844" s="3" t="e">
        <f t="shared" ref="E3844:E3907" si="122">VLOOKUP(C3844,I:J,2,0)</f>
        <v>#N/A</v>
      </c>
      <c r="F3844" s="3" t="e">
        <f t="shared" ref="F3844:F3907" si="123">E3844&amp;" "&amp;B3844</f>
        <v>#N/A</v>
      </c>
    </row>
    <row r="3845" spans="2:6" x14ac:dyDescent="0.25">
      <c r="B3845" s="3"/>
      <c r="C3845" s="3"/>
      <c r="D3845" s="3"/>
      <c r="E3845" s="3" t="e">
        <f t="shared" si="122"/>
        <v>#N/A</v>
      </c>
      <c r="F3845" s="3" t="e">
        <f t="shared" si="123"/>
        <v>#N/A</v>
      </c>
    </row>
    <row r="3846" spans="2:6" x14ac:dyDescent="0.25">
      <c r="B3846" s="3"/>
      <c r="C3846" s="3"/>
      <c r="D3846" s="3"/>
      <c r="E3846" s="3" t="e">
        <f t="shared" si="122"/>
        <v>#N/A</v>
      </c>
      <c r="F3846" s="3" t="e">
        <f t="shared" si="123"/>
        <v>#N/A</v>
      </c>
    </row>
    <row r="3847" spans="2:6" x14ac:dyDescent="0.25">
      <c r="B3847" s="3"/>
      <c r="C3847" s="3"/>
      <c r="D3847" s="3"/>
      <c r="E3847" s="3" t="e">
        <f t="shared" si="122"/>
        <v>#N/A</v>
      </c>
      <c r="F3847" s="3" t="e">
        <f t="shared" si="123"/>
        <v>#N/A</v>
      </c>
    </row>
    <row r="3848" spans="2:6" x14ac:dyDescent="0.25">
      <c r="B3848" s="3"/>
      <c r="C3848" s="3"/>
      <c r="D3848" s="3"/>
      <c r="E3848" s="3" t="e">
        <f t="shared" si="122"/>
        <v>#N/A</v>
      </c>
      <c r="F3848" s="3" t="e">
        <f t="shared" si="123"/>
        <v>#N/A</v>
      </c>
    </row>
    <row r="3849" spans="2:6" x14ac:dyDescent="0.25">
      <c r="B3849" s="3"/>
      <c r="C3849" s="3"/>
      <c r="D3849" s="3"/>
      <c r="E3849" s="3" t="e">
        <f t="shared" si="122"/>
        <v>#N/A</v>
      </c>
      <c r="F3849" s="3" t="e">
        <f t="shared" si="123"/>
        <v>#N/A</v>
      </c>
    </row>
    <row r="3850" spans="2:6" x14ac:dyDescent="0.25">
      <c r="B3850" s="3"/>
      <c r="C3850" s="3"/>
      <c r="D3850" s="3"/>
      <c r="E3850" s="3" t="e">
        <f t="shared" si="122"/>
        <v>#N/A</v>
      </c>
      <c r="F3850" s="3" t="e">
        <f t="shared" si="123"/>
        <v>#N/A</v>
      </c>
    </row>
    <row r="3851" spans="2:6" x14ac:dyDescent="0.25">
      <c r="B3851" s="3"/>
      <c r="C3851" s="3"/>
      <c r="D3851" s="3"/>
      <c r="E3851" s="3" t="e">
        <f t="shared" si="122"/>
        <v>#N/A</v>
      </c>
      <c r="F3851" s="3" t="e">
        <f t="shared" si="123"/>
        <v>#N/A</v>
      </c>
    </row>
    <row r="3852" spans="2:6" x14ac:dyDescent="0.25">
      <c r="B3852" s="3"/>
      <c r="C3852" s="3"/>
      <c r="D3852" s="3"/>
      <c r="E3852" s="3" t="e">
        <f t="shared" si="122"/>
        <v>#N/A</v>
      </c>
      <c r="F3852" s="3" t="e">
        <f t="shared" si="123"/>
        <v>#N/A</v>
      </c>
    </row>
    <row r="3853" spans="2:6" x14ac:dyDescent="0.25">
      <c r="B3853" s="3"/>
      <c r="C3853" s="3"/>
      <c r="D3853" s="3"/>
      <c r="E3853" s="3" t="e">
        <f t="shared" si="122"/>
        <v>#N/A</v>
      </c>
      <c r="F3853" s="3" t="e">
        <f t="shared" si="123"/>
        <v>#N/A</v>
      </c>
    </row>
    <row r="3854" spans="2:6" x14ac:dyDescent="0.25">
      <c r="B3854" s="3"/>
      <c r="C3854" s="3"/>
      <c r="D3854" s="3"/>
      <c r="E3854" s="3" t="e">
        <f t="shared" si="122"/>
        <v>#N/A</v>
      </c>
      <c r="F3854" s="3" t="e">
        <f t="shared" si="123"/>
        <v>#N/A</v>
      </c>
    </row>
    <row r="3855" spans="2:6" x14ac:dyDescent="0.25">
      <c r="B3855" s="3"/>
      <c r="C3855" s="3"/>
      <c r="D3855" s="3"/>
      <c r="E3855" s="3" t="e">
        <f t="shared" si="122"/>
        <v>#N/A</v>
      </c>
      <c r="F3855" s="3" t="e">
        <f t="shared" si="123"/>
        <v>#N/A</v>
      </c>
    </row>
    <row r="3856" spans="2:6" x14ac:dyDescent="0.25">
      <c r="B3856" s="3"/>
      <c r="C3856" s="3"/>
      <c r="D3856" s="3"/>
      <c r="E3856" s="3" t="e">
        <f t="shared" si="122"/>
        <v>#N/A</v>
      </c>
      <c r="F3856" s="3" t="e">
        <f t="shared" si="123"/>
        <v>#N/A</v>
      </c>
    </row>
    <row r="3857" spans="2:6" x14ac:dyDescent="0.25">
      <c r="B3857" s="3"/>
      <c r="C3857" s="3"/>
      <c r="D3857" s="3"/>
      <c r="E3857" s="3" t="e">
        <f t="shared" si="122"/>
        <v>#N/A</v>
      </c>
      <c r="F3857" s="3" t="e">
        <f t="shared" si="123"/>
        <v>#N/A</v>
      </c>
    </row>
    <row r="3858" spans="2:6" x14ac:dyDescent="0.25">
      <c r="B3858" s="3"/>
      <c r="C3858" s="3"/>
      <c r="D3858" s="3"/>
      <c r="E3858" s="3" t="e">
        <f t="shared" si="122"/>
        <v>#N/A</v>
      </c>
      <c r="F3858" s="3" t="e">
        <f t="shared" si="123"/>
        <v>#N/A</v>
      </c>
    </row>
    <row r="3859" spans="2:6" x14ac:dyDescent="0.25">
      <c r="B3859" s="3"/>
      <c r="C3859" s="3"/>
      <c r="D3859" s="3"/>
      <c r="E3859" s="3" t="e">
        <f t="shared" si="122"/>
        <v>#N/A</v>
      </c>
      <c r="F3859" s="3" t="e">
        <f t="shared" si="123"/>
        <v>#N/A</v>
      </c>
    </row>
    <row r="3860" spans="2:6" x14ac:dyDescent="0.25">
      <c r="B3860" s="3"/>
      <c r="C3860" s="3"/>
      <c r="D3860" s="3"/>
      <c r="E3860" s="3" t="e">
        <f t="shared" si="122"/>
        <v>#N/A</v>
      </c>
      <c r="F3860" s="3" t="e">
        <f t="shared" si="123"/>
        <v>#N/A</v>
      </c>
    </row>
    <row r="3861" spans="2:6" x14ac:dyDescent="0.25">
      <c r="B3861" s="3"/>
      <c r="C3861" s="3"/>
      <c r="D3861" s="3"/>
      <c r="E3861" s="3" t="e">
        <f t="shared" si="122"/>
        <v>#N/A</v>
      </c>
      <c r="F3861" s="3" t="e">
        <f t="shared" si="123"/>
        <v>#N/A</v>
      </c>
    </row>
    <row r="3862" spans="2:6" x14ac:dyDescent="0.25">
      <c r="B3862" s="3"/>
      <c r="C3862" s="3"/>
      <c r="D3862" s="3"/>
      <c r="E3862" s="3" t="e">
        <f t="shared" si="122"/>
        <v>#N/A</v>
      </c>
      <c r="F3862" s="3" t="e">
        <f t="shared" si="123"/>
        <v>#N/A</v>
      </c>
    </row>
    <row r="3863" spans="2:6" x14ac:dyDescent="0.25">
      <c r="B3863" s="3"/>
      <c r="C3863" s="3"/>
      <c r="D3863" s="3"/>
      <c r="E3863" s="3" t="e">
        <f t="shared" si="122"/>
        <v>#N/A</v>
      </c>
      <c r="F3863" s="3" t="e">
        <f t="shared" si="123"/>
        <v>#N/A</v>
      </c>
    </row>
    <row r="3864" spans="2:6" x14ac:dyDescent="0.25">
      <c r="B3864" s="3"/>
      <c r="C3864" s="3"/>
      <c r="D3864" s="3"/>
      <c r="E3864" s="3" t="e">
        <f t="shared" si="122"/>
        <v>#N/A</v>
      </c>
      <c r="F3864" s="3" t="e">
        <f t="shared" si="123"/>
        <v>#N/A</v>
      </c>
    </row>
    <row r="3865" spans="2:6" x14ac:dyDescent="0.25">
      <c r="B3865" s="3"/>
      <c r="C3865" s="3"/>
      <c r="D3865" s="3"/>
      <c r="E3865" s="3" t="e">
        <f t="shared" si="122"/>
        <v>#N/A</v>
      </c>
      <c r="F3865" s="3" t="e">
        <f t="shared" si="123"/>
        <v>#N/A</v>
      </c>
    </row>
    <row r="3866" spans="2:6" x14ac:dyDescent="0.25">
      <c r="B3866" s="3"/>
      <c r="C3866" s="3"/>
      <c r="D3866" s="3"/>
      <c r="E3866" s="3" t="e">
        <f t="shared" si="122"/>
        <v>#N/A</v>
      </c>
      <c r="F3866" s="3" t="e">
        <f t="shared" si="123"/>
        <v>#N/A</v>
      </c>
    </row>
    <row r="3867" spans="2:6" x14ac:dyDescent="0.25">
      <c r="B3867" s="3"/>
      <c r="C3867" s="3"/>
      <c r="D3867" s="3"/>
      <c r="E3867" s="3" t="e">
        <f t="shared" si="122"/>
        <v>#N/A</v>
      </c>
      <c r="F3867" s="3" t="e">
        <f t="shared" si="123"/>
        <v>#N/A</v>
      </c>
    </row>
    <row r="3868" spans="2:6" x14ac:dyDescent="0.25">
      <c r="B3868" s="3"/>
      <c r="C3868" s="3"/>
      <c r="D3868" s="3"/>
      <c r="E3868" s="3" t="e">
        <f t="shared" si="122"/>
        <v>#N/A</v>
      </c>
      <c r="F3868" s="3" t="e">
        <f t="shared" si="123"/>
        <v>#N/A</v>
      </c>
    </row>
    <row r="3869" spans="2:6" x14ac:dyDescent="0.25">
      <c r="B3869" s="3"/>
      <c r="C3869" s="3"/>
      <c r="D3869" s="3"/>
      <c r="E3869" s="3" t="e">
        <f t="shared" si="122"/>
        <v>#N/A</v>
      </c>
      <c r="F3869" s="3" t="e">
        <f t="shared" si="123"/>
        <v>#N/A</v>
      </c>
    </row>
    <row r="3870" spans="2:6" x14ac:dyDescent="0.25">
      <c r="B3870" s="3"/>
      <c r="C3870" s="3"/>
      <c r="D3870" s="3"/>
      <c r="E3870" s="3" t="e">
        <f t="shared" si="122"/>
        <v>#N/A</v>
      </c>
      <c r="F3870" s="3" t="e">
        <f t="shared" si="123"/>
        <v>#N/A</v>
      </c>
    </row>
    <row r="3871" spans="2:6" x14ac:dyDescent="0.25">
      <c r="B3871" s="3"/>
      <c r="C3871" s="3"/>
      <c r="D3871" s="3"/>
      <c r="E3871" s="3" t="e">
        <f t="shared" si="122"/>
        <v>#N/A</v>
      </c>
      <c r="F3871" s="3" t="e">
        <f t="shared" si="123"/>
        <v>#N/A</v>
      </c>
    </row>
    <row r="3872" spans="2:6" x14ac:dyDescent="0.25">
      <c r="B3872" s="3"/>
      <c r="C3872" s="3"/>
      <c r="D3872" s="3"/>
      <c r="E3872" s="3" t="e">
        <f t="shared" si="122"/>
        <v>#N/A</v>
      </c>
      <c r="F3872" s="3" t="e">
        <f t="shared" si="123"/>
        <v>#N/A</v>
      </c>
    </row>
    <row r="3873" spans="2:6" x14ac:dyDescent="0.25">
      <c r="B3873" s="3"/>
      <c r="C3873" s="3"/>
      <c r="D3873" s="3"/>
      <c r="E3873" s="3" t="e">
        <f t="shared" si="122"/>
        <v>#N/A</v>
      </c>
      <c r="F3873" s="3" t="e">
        <f t="shared" si="123"/>
        <v>#N/A</v>
      </c>
    </row>
    <row r="3874" spans="2:6" x14ac:dyDescent="0.25">
      <c r="B3874" s="3"/>
      <c r="C3874" s="3"/>
      <c r="D3874" s="3"/>
      <c r="E3874" s="3" t="e">
        <f t="shared" si="122"/>
        <v>#N/A</v>
      </c>
      <c r="F3874" s="3" t="e">
        <f t="shared" si="123"/>
        <v>#N/A</v>
      </c>
    </row>
    <row r="3875" spans="2:6" x14ac:dyDescent="0.25">
      <c r="B3875" s="3"/>
      <c r="C3875" s="3"/>
      <c r="D3875" s="3"/>
      <c r="E3875" s="3" t="e">
        <f t="shared" si="122"/>
        <v>#N/A</v>
      </c>
      <c r="F3875" s="3" t="e">
        <f t="shared" si="123"/>
        <v>#N/A</v>
      </c>
    </row>
    <row r="3876" spans="2:6" x14ac:dyDescent="0.25">
      <c r="B3876" s="3"/>
      <c r="C3876" s="3"/>
      <c r="D3876" s="3"/>
      <c r="E3876" s="3" t="e">
        <f t="shared" si="122"/>
        <v>#N/A</v>
      </c>
      <c r="F3876" s="3" t="e">
        <f t="shared" si="123"/>
        <v>#N/A</v>
      </c>
    </row>
    <row r="3877" spans="2:6" x14ac:dyDescent="0.25">
      <c r="B3877" s="3"/>
      <c r="C3877" s="3"/>
      <c r="D3877" s="3"/>
      <c r="E3877" s="3" t="e">
        <f t="shared" si="122"/>
        <v>#N/A</v>
      </c>
      <c r="F3877" s="3" t="e">
        <f t="shared" si="123"/>
        <v>#N/A</v>
      </c>
    </row>
    <row r="3878" spans="2:6" x14ac:dyDescent="0.25">
      <c r="B3878" s="3"/>
      <c r="C3878" s="3"/>
      <c r="D3878" s="3"/>
      <c r="E3878" s="3" t="e">
        <f t="shared" si="122"/>
        <v>#N/A</v>
      </c>
      <c r="F3878" s="3" t="e">
        <f t="shared" si="123"/>
        <v>#N/A</v>
      </c>
    </row>
    <row r="3879" spans="2:6" x14ac:dyDescent="0.25">
      <c r="B3879" s="3"/>
      <c r="C3879" s="3"/>
      <c r="D3879" s="3"/>
      <c r="E3879" s="3" t="e">
        <f t="shared" si="122"/>
        <v>#N/A</v>
      </c>
      <c r="F3879" s="3" t="e">
        <f t="shared" si="123"/>
        <v>#N/A</v>
      </c>
    </row>
    <row r="3880" spans="2:6" x14ac:dyDescent="0.25">
      <c r="B3880" s="3"/>
      <c r="C3880" s="3"/>
      <c r="D3880" s="3"/>
      <c r="E3880" s="3" t="e">
        <f t="shared" si="122"/>
        <v>#N/A</v>
      </c>
      <c r="F3880" s="3" t="e">
        <f t="shared" si="123"/>
        <v>#N/A</v>
      </c>
    </row>
    <row r="3881" spans="2:6" x14ac:dyDescent="0.25">
      <c r="B3881" s="3"/>
      <c r="C3881" s="3"/>
      <c r="D3881" s="3"/>
      <c r="E3881" s="3" t="e">
        <f t="shared" si="122"/>
        <v>#N/A</v>
      </c>
      <c r="F3881" s="3" t="e">
        <f t="shared" si="123"/>
        <v>#N/A</v>
      </c>
    </row>
    <row r="3882" spans="2:6" x14ac:dyDescent="0.25">
      <c r="B3882" s="3"/>
      <c r="C3882" s="3"/>
      <c r="D3882" s="3"/>
      <c r="E3882" s="3" t="e">
        <f t="shared" si="122"/>
        <v>#N/A</v>
      </c>
      <c r="F3882" s="3" t="e">
        <f t="shared" si="123"/>
        <v>#N/A</v>
      </c>
    </row>
    <row r="3883" spans="2:6" x14ac:dyDescent="0.25">
      <c r="B3883" s="3"/>
      <c r="C3883" s="3"/>
      <c r="D3883" s="3"/>
      <c r="E3883" s="3" t="e">
        <f t="shared" si="122"/>
        <v>#N/A</v>
      </c>
      <c r="F3883" s="3" t="e">
        <f t="shared" si="123"/>
        <v>#N/A</v>
      </c>
    </row>
    <row r="3884" spans="2:6" x14ac:dyDescent="0.25">
      <c r="B3884" s="3"/>
      <c r="C3884" s="3"/>
      <c r="D3884" s="3"/>
      <c r="E3884" s="3" t="e">
        <f t="shared" si="122"/>
        <v>#N/A</v>
      </c>
      <c r="F3884" s="3" t="e">
        <f t="shared" si="123"/>
        <v>#N/A</v>
      </c>
    </row>
    <row r="3885" spans="2:6" x14ac:dyDescent="0.25">
      <c r="B3885" s="3"/>
      <c r="C3885" s="3"/>
      <c r="D3885" s="3"/>
      <c r="E3885" s="3" t="e">
        <f t="shared" si="122"/>
        <v>#N/A</v>
      </c>
      <c r="F3885" s="3" t="e">
        <f t="shared" si="123"/>
        <v>#N/A</v>
      </c>
    </row>
    <row r="3886" spans="2:6" x14ac:dyDescent="0.25">
      <c r="B3886" s="3"/>
      <c r="C3886" s="3"/>
      <c r="D3886" s="3"/>
      <c r="E3886" s="3" t="e">
        <f t="shared" si="122"/>
        <v>#N/A</v>
      </c>
      <c r="F3886" s="3" t="e">
        <f t="shared" si="123"/>
        <v>#N/A</v>
      </c>
    </row>
    <row r="3887" spans="2:6" x14ac:dyDescent="0.25">
      <c r="B3887" s="3"/>
      <c r="C3887" s="3"/>
      <c r="D3887" s="3"/>
      <c r="E3887" s="3" t="e">
        <f t="shared" si="122"/>
        <v>#N/A</v>
      </c>
      <c r="F3887" s="3" t="e">
        <f t="shared" si="123"/>
        <v>#N/A</v>
      </c>
    </row>
    <row r="3888" spans="2:6" x14ac:dyDescent="0.25">
      <c r="B3888" s="3"/>
      <c r="C3888" s="3"/>
      <c r="D3888" s="3"/>
      <c r="E3888" s="3" t="e">
        <f t="shared" si="122"/>
        <v>#N/A</v>
      </c>
      <c r="F3888" s="3" t="e">
        <f t="shared" si="123"/>
        <v>#N/A</v>
      </c>
    </row>
    <row r="3889" spans="2:6" x14ac:dyDescent="0.25">
      <c r="B3889" s="3"/>
      <c r="C3889" s="3"/>
      <c r="D3889" s="3"/>
      <c r="E3889" s="3" t="e">
        <f t="shared" si="122"/>
        <v>#N/A</v>
      </c>
      <c r="F3889" s="3" t="e">
        <f t="shared" si="123"/>
        <v>#N/A</v>
      </c>
    </row>
    <row r="3890" spans="2:6" x14ac:dyDescent="0.25">
      <c r="B3890" s="3"/>
      <c r="C3890" s="3"/>
      <c r="D3890" s="3"/>
      <c r="E3890" s="3" t="e">
        <f t="shared" si="122"/>
        <v>#N/A</v>
      </c>
      <c r="F3890" s="3" t="e">
        <f t="shared" si="123"/>
        <v>#N/A</v>
      </c>
    </row>
    <row r="3891" spans="2:6" x14ac:dyDescent="0.25">
      <c r="B3891" s="3"/>
      <c r="C3891" s="3"/>
      <c r="D3891" s="3"/>
      <c r="E3891" s="3" t="e">
        <f t="shared" si="122"/>
        <v>#N/A</v>
      </c>
      <c r="F3891" s="3" t="e">
        <f t="shared" si="123"/>
        <v>#N/A</v>
      </c>
    </row>
    <row r="3892" spans="2:6" x14ac:dyDescent="0.25">
      <c r="B3892" s="3"/>
      <c r="C3892" s="3"/>
      <c r="D3892" s="3"/>
      <c r="E3892" s="3" t="e">
        <f t="shared" si="122"/>
        <v>#N/A</v>
      </c>
      <c r="F3892" s="3" t="e">
        <f t="shared" si="123"/>
        <v>#N/A</v>
      </c>
    </row>
    <row r="3893" spans="2:6" x14ac:dyDescent="0.25">
      <c r="B3893" s="3"/>
      <c r="C3893" s="3"/>
      <c r="D3893" s="3"/>
      <c r="E3893" s="3" t="e">
        <f t="shared" si="122"/>
        <v>#N/A</v>
      </c>
      <c r="F3893" s="3" t="e">
        <f t="shared" si="123"/>
        <v>#N/A</v>
      </c>
    </row>
    <row r="3894" spans="2:6" x14ac:dyDescent="0.25">
      <c r="B3894" s="3"/>
      <c r="C3894" s="3"/>
      <c r="D3894" s="3"/>
      <c r="E3894" s="3" t="e">
        <f t="shared" si="122"/>
        <v>#N/A</v>
      </c>
      <c r="F3894" s="3" t="e">
        <f t="shared" si="123"/>
        <v>#N/A</v>
      </c>
    </row>
    <row r="3895" spans="2:6" x14ac:dyDescent="0.25">
      <c r="B3895" s="3"/>
      <c r="C3895" s="3"/>
      <c r="D3895" s="3"/>
      <c r="E3895" s="3" t="e">
        <f t="shared" si="122"/>
        <v>#N/A</v>
      </c>
      <c r="F3895" s="3" t="e">
        <f t="shared" si="123"/>
        <v>#N/A</v>
      </c>
    </row>
    <row r="3896" spans="2:6" x14ac:dyDescent="0.25">
      <c r="B3896" s="3"/>
      <c r="C3896" s="3"/>
      <c r="D3896" s="3"/>
      <c r="E3896" s="3" t="e">
        <f t="shared" si="122"/>
        <v>#N/A</v>
      </c>
      <c r="F3896" s="3" t="e">
        <f t="shared" si="123"/>
        <v>#N/A</v>
      </c>
    </row>
    <row r="3897" spans="2:6" x14ac:dyDescent="0.25">
      <c r="B3897" s="3"/>
      <c r="C3897" s="3"/>
      <c r="D3897" s="3"/>
      <c r="E3897" s="3" t="e">
        <f t="shared" si="122"/>
        <v>#N/A</v>
      </c>
      <c r="F3897" s="3" t="e">
        <f t="shared" si="123"/>
        <v>#N/A</v>
      </c>
    </row>
    <row r="3898" spans="2:6" x14ac:dyDescent="0.25">
      <c r="B3898" s="3"/>
      <c r="C3898" s="3"/>
      <c r="D3898" s="3"/>
      <c r="E3898" s="3" t="e">
        <f t="shared" si="122"/>
        <v>#N/A</v>
      </c>
      <c r="F3898" s="3" t="e">
        <f t="shared" si="123"/>
        <v>#N/A</v>
      </c>
    </row>
    <row r="3899" spans="2:6" x14ac:dyDescent="0.25">
      <c r="B3899" s="3"/>
      <c r="C3899" s="3"/>
      <c r="D3899" s="3"/>
      <c r="E3899" s="3" t="e">
        <f t="shared" si="122"/>
        <v>#N/A</v>
      </c>
      <c r="F3899" s="3" t="e">
        <f t="shared" si="123"/>
        <v>#N/A</v>
      </c>
    </row>
    <row r="3900" spans="2:6" x14ac:dyDescent="0.25">
      <c r="B3900" s="3"/>
      <c r="C3900" s="3"/>
      <c r="D3900" s="3"/>
      <c r="E3900" s="3" t="e">
        <f t="shared" si="122"/>
        <v>#N/A</v>
      </c>
      <c r="F3900" s="3" t="e">
        <f t="shared" si="123"/>
        <v>#N/A</v>
      </c>
    </row>
    <row r="3901" spans="2:6" x14ac:dyDescent="0.25">
      <c r="B3901" s="3"/>
      <c r="C3901" s="3"/>
      <c r="D3901" s="3"/>
      <c r="E3901" s="3" t="e">
        <f t="shared" si="122"/>
        <v>#N/A</v>
      </c>
      <c r="F3901" s="3" t="e">
        <f t="shared" si="123"/>
        <v>#N/A</v>
      </c>
    </row>
    <row r="3902" spans="2:6" x14ac:dyDescent="0.25">
      <c r="B3902" s="3"/>
      <c r="C3902" s="3"/>
      <c r="D3902" s="3"/>
      <c r="E3902" s="3" t="e">
        <f t="shared" si="122"/>
        <v>#N/A</v>
      </c>
      <c r="F3902" s="3" t="e">
        <f t="shared" si="123"/>
        <v>#N/A</v>
      </c>
    </row>
    <row r="3903" spans="2:6" x14ac:dyDescent="0.25">
      <c r="B3903" s="3"/>
      <c r="C3903" s="3"/>
      <c r="D3903" s="3"/>
      <c r="E3903" s="3" t="e">
        <f t="shared" si="122"/>
        <v>#N/A</v>
      </c>
      <c r="F3903" s="3" t="e">
        <f t="shared" si="123"/>
        <v>#N/A</v>
      </c>
    </row>
    <row r="3904" spans="2:6" x14ac:dyDescent="0.25">
      <c r="B3904" s="3"/>
      <c r="C3904" s="3"/>
      <c r="D3904" s="3"/>
      <c r="E3904" s="3" t="e">
        <f t="shared" si="122"/>
        <v>#N/A</v>
      </c>
      <c r="F3904" s="3" t="e">
        <f t="shared" si="123"/>
        <v>#N/A</v>
      </c>
    </row>
    <row r="3905" spans="2:6" x14ac:dyDescent="0.25">
      <c r="B3905" s="3"/>
      <c r="C3905" s="3"/>
      <c r="D3905" s="3"/>
      <c r="E3905" s="3" t="e">
        <f t="shared" si="122"/>
        <v>#N/A</v>
      </c>
      <c r="F3905" s="3" t="e">
        <f t="shared" si="123"/>
        <v>#N/A</v>
      </c>
    </row>
    <row r="3906" spans="2:6" x14ac:dyDescent="0.25">
      <c r="B3906" s="3"/>
      <c r="C3906" s="3"/>
      <c r="D3906" s="3"/>
      <c r="E3906" s="3" t="e">
        <f t="shared" si="122"/>
        <v>#N/A</v>
      </c>
      <c r="F3906" s="3" t="e">
        <f t="shared" si="123"/>
        <v>#N/A</v>
      </c>
    </row>
    <row r="3907" spans="2:6" x14ac:dyDescent="0.25">
      <c r="B3907" s="3"/>
      <c r="C3907" s="3"/>
      <c r="D3907" s="3"/>
      <c r="E3907" s="3" t="e">
        <f t="shared" si="122"/>
        <v>#N/A</v>
      </c>
      <c r="F3907" s="3" t="e">
        <f t="shared" si="123"/>
        <v>#N/A</v>
      </c>
    </row>
    <row r="3908" spans="2:6" x14ac:dyDescent="0.25">
      <c r="B3908" s="3"/>
      <c r="C3908" s="3"/>
      <c r="D3908" s="3"/>
      <c r="E3908" s="3" t="e">
        <f t="shared" ref="E3908:E3971" si="124">VLOOKUP(C3908,I:J,2,0)</f>
        <v>#N/A</v>
      </c>
      <c r="F3908" s="3" t="e">
        <f t="shared" ref="F3908:F3971" si="125">E3908&amp;" "&amp;B3908</f>
        <v>#N/A</v>
      </c>
    </row>
    <row r="3909" spans="2:6" x14ac:dyDescent="0.25">
      <c r="B3909" s="3"/>
      <c r="C3909" s="3"/>
      <c r="D3909" s="3"/>
      <c r="E3909" s="3" t="e">
        <f t="shared" si="124"/>
        <v>#N/A</v>
      </c>
      <c r="F3909" s="3" t="e">
        <f t="shared" si="125"/>
        <v>#N/A</v>
      </c>
    </row>
    <row r="3910" spans="2:6" x14ac:dyDescent="0.25">
      <c r="B3910" s="3"/>
      <c r="C3910" s="3"/>
      <c r="D3910" s="3"/>
      <c r="E3910" s="3" t="e">
        <f t="shared" si="124"/>
        <v>#N/A</v>
      </c>
      <c r="F3910" s="3" t="e">
        <f t="shared" si="125"/>
        <v>#N/A</v>
      </c>
    </row>
    <row r="3911" spans="2:6" x14ac:dyDescent="0.25">
      <c r="B3911" s="3"/>
      <c r="C3911" s="3"/>
      <c r="D3911" s="3"/>
      <c r="E3911" s="3" t="e">
        <f t="shared" si="124"/>
        <v>#N/A</v>
      </c>
      <c r="F3911" s="3" t="e">
        <f t="shared" si="125"/>
        <v>#N/A</v>
      </c>
    </row>
    <row r="3912" spans="2:6" x14ac:dyDescent="0.25">
      <c r="B3912" s="3"/>
      <c r="C3912" s="3"/>
      <c r="D3912" s="3"/>
      <c r="E3912" s="3" t="e">
        <f t="shared" si="124"/>
        <v>#N/A</v>
      </c>
      <c r="F3912" s="3" t="e">
        <f t="shared" si="125"/>
        <v>#N/A</v>
      </c>
    </row>
    <row r="3913" spans="2:6" x14ac:dyDescent="0.25">
      <c r="B3913" s="3"/>
      <c r="C3913" s="3"/>
      <c r="D3913" s="3"/>
      <c r="E3913" s="3" t="e">
        <f t="shared" si="124"/>
        <v>#N/A</v>
      </c>
      <c r="F3913" s="3" t="e">
        <f t="shared" si="125"/>
        <v>#N/A</v>
      </c>
    </row>
    <row r="3914" spans="2:6" x14ac:dyDescent="0.25">
      <c r="B3914" s="3"/>
      <c r="C3914" s="3"/>
      <c r="D3914" s="3"/>
      <c r="E3914" s="3" t="e">
        <f t="shared" si="124"/>
        <v>#N/A</v>
      </c>
      <c r="F3914" s="3" t="e">
        <f t="shared" si="125"/>
        <v>#N/A</v>
      </c>
    </row>
    <row r="3915" spans="2:6" x14ac:dyDescent="0.25">
      <c r="B3915" s="3"/>
      <c r="C3915" s="3"/>
      <c r="D3915" s="3"/>
      <c r="E3915" s="3" t="e">
        <f t="shared" si="124"/>
        <v>#N/A</v>
      </c>
      <c r="F3915" s="3" t="e">
        <f t="shared" si="125"/>
        <v>#N/A</v>
      </c>
    </row>
    <row r="3916" spans="2:6" x14ac:dyDescent="0.25">
      <c r="B3916" s="3"/>
      <c r="C3916" s="3"/>
      <c r="D3916" s="3"/>
      <c r="E3916" s="3" t="e">
        <f t="shared" si="124"/>
        <v>#N/A</v>
      </c>
      <c r="F3916" s="3" t="e">
        <f t="shared" si="125"/>
        <v>#N/A</v>
      </c>
    </row>
    <row r="3917" spans="2:6" x14ac:dyDescent="0.25">
      <c r="B3917" s="3"/>
      <c r="C3917" s="3"/>
      <c r="D3917" s="3"/>
      <c r="E3917" s="3" t="e">
        <f t="shared" si="124"/>
        <v>#N/A</v>
      </c>
      <c r="F3917" s="3" t="e">
        <f t="shared" si="125"/>
        <v>#N/A</v>
      </c>
    </row>
    <row r="3918" spans="2:6" x14ac:dyDescent="0.25">
      <c r="B3918" s="3"/>
      <c r="C3918" s="3"/>
      <c r="D3918" s="3"/>
      <c r="E3918" s="3" t="e">
        <f t="shared" si="124"/>
        <v>#N/A</v>
      </c>
      <c r="F3918" s="3" t="e">
        <f t="shared" si="125"/>
        <v>#N/A</v>
      </c>
    </row>
    <row r="3919" spans="2:6" x14ac:dyDescent="0.25">
      <c r="B3919" s="3"/>
      <c r="C3919" s="3"/>
      <c r="D3919" s="3"/>
      <c r="E3919" s="3" t="e">
        <f t="shared" si="124"/>
        <v>#N/A</v>
      </c>
      <c r="F3919" s="3" t="e">
        <f t="shared" si="125"/>
        <v>#N/A</v>
      </c>
    </row>
    <row r="3920" spans="2:6" x14ac:dyDescent="0.25">
      <c r="B3920" s="3"/>
      <c r="C3920" s="3"/>
      <c r="D3920" s="3"/>
      <c r="E3920" s="3" t="e">
        <f t="shared" si="124"/>
        <v>#N/A</v>
      </c>
      <c r="F3920" s="3" t="e">
        <f t="shared" si="125"/>
        <v>#N/A</v>
      </c>
    </row>
    <row r="3921" spans="2:6" x14ac:dyDescent="0.25">
      <c r="B3921" s="3"/>
      <c r="C3921" s="3"/>
      <c r="D3921" s="3"/>
      <c r="E3921" s="3" t="e">
        <f t="shared" si="124"/>
        <v>#N/A</v>
      </c>
      <c r="F3921" s="3" t="e">
        <f t="shared" si="125"/>
        <v>#N/A</v>
      </c>
    </row>
    <row r="3922" spans="2:6" x14ac:dyDescent="0.25">
      <c r="B3922" s="3"/>
      <c r="C3922" s="3"/>
      <c r="D3922" s="3"/>
      <c r="E3922" s="3" t="e">
        <f t="shared" si="124"/>
        <v>#N/A</v>
      </c>
      <c r="F3922" s="3" t="e">
        <f t="shared" si="125"/>
        <v>#N/A</v>
      </c>
    </row>
    <row r="3923" spans="2:6" x14ac:dyDescent="0.25">
      <c r="B3923" s="3"/>
      <c r="C3923" s="3"/>
      <c r="D3923" s="3"/>
      <c r="E3923" s="3" t="e">
        <f t="shared" si="124"/>
        <v>#N/A</v>
      </c>
      <c r="F3923" s="3" t="e">
        <f t="shared" si="125"/>
        <v>#N/A</v>
      </c>
    </row>
    <row r="3924" spans="2:6" x14ac:dyDescent="0.25">
      <c r="B3924" s="3"/>
      <c r="C3924" s="3"/>
      <c r="D3924" s="3"/>
      <c r="E3924" s="3" t="e">
        <f t="shared" si="124"/>
        <v>#N/A</v>
      </c>
      <c r="F3924" s="3" t="e">
        <f t="shared" si="125"/>
        <v>#N/A</v>
      </c>
    </row>
    <row r="3925" spans="2:6" x14ac:dyDescent="0.25">
      <c r="B3925" s="3"/>
      <c r="C3925" s="3"/>
      <c r="D3925" s="3"/>
      <c r="E3925" s="3" t="e">
        <f t="shared" si="124"/>
        <v>#N/A</v>
      </c>
      <c r="F3925" s="3" t="e">
        <f t="shared" si="125"/>
        <v>#N/A</v>
      </c>
    </row>
    <row r="3926" spans="2:6" x14ac:dyDescent="0.25">
      <c r="B3926" s="3"/>
      <c r="C3926" s="3"/>
      <c r="D3926" s="3"/>
      <c r="E3926" s="3" t="e">
        <f t="shared" si="124"/>
        <v>#N/A</v>
      </c>
      <c r="F3926" s="3" t="e">
        <f t="shared" si="125"/>
        <v>#N/A</v>
      </c>
    </row>
    <row r="3927" spans="2:6" x14ac:dyDescent="0.25">
      <c r="B3927" s="3"/>
      <c r="C3927" s="3"/>
      <c r="D3927" s="3"/>
      <c r="E3927" s="3" t="e">
        <f t="shared" si="124"/>
        <v>#N/A</v>
      </c>
      <c r="F3927" s="3" t="e">
        <f t="shared" si="125"/>
        <v>#N/A</v>
      </c>
    </row>
    <row r="3928" spans="2:6" x14ac:dyDescent="0.25">
      <c r="B3928" s="3"/>
      <c r="C3928" s="3"/>
      <c r="D3928" s="3"/>
      <c r="E3928" s="3" t="e">
        <f t="shared" si="124"/>
        <v>#N/A</v>
      </c>
      <c r="F3928" s="3" t="e">
        <f t="shared" si="125"/>
        <v>#N/A</v>
      </c>
    </row>
    <row r="3929" spans="2:6" x14ac:dyDescent="0.25">
      <c r="B3929" s="3"/>
      <c r="C3929" s="3"/>
      <c r="D3929" s="3"/>
      <c r="E3929" s="3" t="e">
        <f t="shared" si="124"/>
        <v>#N/A</v>
      </c>
      <c r="F3929" s="3" t="e">
        <f t="shared" si="125"/>
        <v>#N/A</v>
      </c>
    </row>
    <row r="3930" spans="2:6" x14ac:dyDescent="0.25">
      <c r="B3930" s="3"/>
      <c r="C3930" s="3"/>
      <c r="D3930" s="3"/>
      <c r="E3930" s="3" t="e">
        <f t="shared" si="124"/>
        <v>#N/A</v>
      </c>
      <c r="F3930" s="3" t="e">
        <f t="shared" si="125"/>
        <v>#N/A</v>
      </c>
    </row>
    <row r="3931" spans="2:6" x14ac:dyDescent="0.25">
      <c r="B3931" s="3"/>
      <c r="C3931" s="3"/>
      <c r="D3931" s="3"/>
      <c r="E3931" s="3" t="e">
        <f t="shared" si="124"/>
        <v>#N/A</v>
      </c>
      <c r="F3931" s="3" t="e">
        <f t="shared" si="125"/>
        <v>#N/A</v>
      </c>
    </row>
    <row r="3932" spans="2:6" x14ac:dyDescent="0.25">
      <c r="B3932" s="3"/>
      <c r="C3932" s="3"/>
      <c r="D3932" s="3"/>
      <c r="E3932" s="3" t="e">
        <f t="shared" si="124"/>
        <v>#N/A</v>
      </c>
      <c r="F3932" s="3" t="e">
        <f t="shared" si="125"/>
        <v>#N/A</v>
      </c>
    </row>
    <row r="3933" spans="2:6" x14ac:dyDescent="0.25">
      <c r="B3933" s="3"/>
      <c r="C3933" s="3"/>
      <c r="D3933" s="3"/>
      <c r="E3933" s="3" t="e">
        <f t="shared" si="124"/>
        <v>#N/A</v>
      </c>
      <c r="F3933" s="3" t="e">
        <f t="shared" si="125"/>
        <v>#N/A</v>
      </c>
    </row>
    <row r="3934" spans="2:6" x14ac:dyDescent="0.25">
      <c r="B3934" s="3"/>
      <c r="C3934" s="3"/>
      <c r="D3934" s="3"/>
      <c r="E3934" s="3" t="e">
        <f t="shared" si="124"/>
        <v>#N/A</v>
      </c>
      <c r="F3934" s="3" t="e">
        <f t="shared" si="125"/>
        <v>#N/A</v>
      </c>
    </row>
    <row r="3935" spans="2:6" x14ac:dyDescent="0.25">
      <c r="B3935" s="3"/>
      <c r="C3935" s="3"/>
      <c r="D3935" s="3"/>
      <c r="E3935" s="3" t="e">
        <f t="shared" si="124"/>
        <v>#N/A</v>
      </c>
      <c r="F3935" s="3" t="e">
        <f t="shared" si="125"/>
        <v>#N/A</v>
      </c>
    </row>
    <row r="3936" spans="2:6" x14ac:dyDescent="0.25">
      <c r="B3936" s="3"/>
      <c r="C3936" s="3"/>
      <c r="D3936" s="3"/>
      <c r="E3936" s="3" t="e">
        <f t="shared" si="124"/>
        <v>#N/A</v>
      </c>
      <c r="F3936" s="3" t="e">
        <f t="shared" si="125"/>
        <v>#N/A</v>
      </c>
    </row>
    <row r="3937" spans="2:6" x14ac:dyDescent="0.25">
      <c r="B3937" s="3"/>
      <c r="C3937" s="3"/>
      <c r="D3937" s="3"/>
      <c r="E3937" s="3" t="e">
        <f t="shared" si="124"/>
        <v>#N/A</v>
      </c>
      <c r="F3937" s="3" t="e">
        <f t="shared" si="125"/>
        <v>#N/A</v>
      </c>
    </row>
    <row r="3938" spans="2:6" x14ac:dyDescent="0.25">
      <c r="B3938" s="3"/>
      <c r="C3938" s="3"/>
      <c r="D3938" s="3"/>
      <c r="E3938" s="3" t="e">
        <f t="shared" si="124"/>
        <v>#N/A</v>
      </c>
      <c r="F3938" s="3" t="e">
        <f t="shared" si="125"/>
        <v>#N/A</v>
      </c>
    </row>
    <row r="3939" spans="2:6" x14ac:dyDescent="0.25">
      <c r="B3939" s="3"/>
      <c r="C3939" s="3"/>
      <c r="D3939" s="3"/>
      <c r="E3939" s="3" t="e">
        <f t="shared" si="124"/>
        <v>#N/A</v>
      </c>
      <c r="F3939" s="3" t="e">
        <f t="shared" si="125"/>
        <v>#N/A</v>
      </c>
    </row>
    <row r="3940" spans="2:6" x14ac:dyDescent="0.25">
      <c r="B3940" s="3"/>
      <c r="C3940" s="3"/>
      <c r="D3940" s="3"/>
      <c r="E3940" s="3" t="e">
        <f t="shared" si="124"/>
        <v>#N/A</v>
      </c>
      <c r="F3940" s="3" t="e">
        <f t="shared" si="125"/>
        <v>#N/A</v>
      </c>
    </row>
    <row r="3941" spans="2:6" x14ac:dyDescent="0.25">
      <c r="B3941" s="3"/>
      <c r="C3941" s="3"/>
      <c r="D3941" s="3"/>
      <c r="E3941" s="3" t="e">
        <f t="shared" si="124"/>
        <v>#N/A</v>
      </c>
      <c r="F3941" s="3" t="e">
        <f t="shared" si="125"/>
        <v>#N/A</v>
      </c>
    </row>
    <row r="3942" spans="2:6" x14ac:dyDescent="0.25">
      <c r="B3942" s="3"/>
      <c r="C3942" s="3"/>
      <c r="D3942" s="3"/>
      <c r="E3942" s="3" t="e">
        <f t="shared" si="124"/>
        <v>#N/A</v>
      </c>
      <c r="F3942" s="3" t="e">
        <f t="shared" si="125"/>
        <v>#N/A</v>
      </c>
    </row>
    <row r="3943" spans="2:6" x14ac:dyDescent="0.25">
      <c r="B3943" s="3"/>
      <c r="C3943" s="3"/>
      <c r="D3943" s="3"/>
      <c r="E3943" s="3" t="e">
        <f t="shared" si="124"/>
        <v>#N/A</v>
      </c>
      <c r="F3943" s="3" t="e">
        <f t="shared" si="125"/>
        <v>#N/A</v>
      </c>
    </row>
    <row r="3944" spans="2:6" x14ac:dyDescent="0.25">
      <c r="B3944" s="3"/>
      <c r="C3944" s="3"/>
      <c r="D3944" s="3"/>
      <c r="E3944" s="3" t="e">
        <f t="shared" si="124"/>
        <v>#N/A</v>
      </c>
      <c r="F3944" s="3" t="e">
        <f t="shared" si="125"/>
        <v>#N/A</v>
      </c>
    </row>
    <row r="3945" spans="2:6" x14ac:dyDescent="0.25">
      <c r="B3945" s="3"/>
      <c r="C3945" s="3"/>
      <c r="D3945" s="3"/>
      <c r="E3945" s="3" t="e">
        <f t="shared" si="124"/>
        <v>#N/A</v>
      </c>
      <c r="F3945" s="3" t="e">
        <f t="shared" si="125"/>
        <v>#N/A</v>
      </c>
    </row>
    <row r="3946" spans="2:6" x14ac:dyDescent="0.25">
      <c r="B3946" s="3"/>
      <c r="C3946" s="3"/>
      <c r="D3946" s="3"/>
      <c r="E3946" s="3" t="e">
        <f t="shared" si="124"/>
        <v>#N/A</v>
      </c>
      <c r="F3946" s="3" t="e">
        <f t="shared" si="125"/>
        <v>#N/A</v>
      </c>
    </row>
    <row r="3947" spans="2:6" x14ac:dyDescent="0.25">
      <c r="B3947" s="3"/>
      <c r="C3947" s="3"/>
      <c r="D3947" s="3"/>
      <c r="E3947" s="3" t="e">
        <f t="shared" si="124"/>
        <v>#N/A</v>
      </c>
      <c r="F3947" s="3" t="e">
        <f t="shared" si="125"/>
        <v>#N/A</v>
      </c>
    </row>
    <row r="3948" spans="2:6" x14ac:dyDescent="0.25">
      <c r="B3948" s="3"/>
      <c r="C3948" s="3"/>
      <c r="D3948" s="3"/>
      <c r="E3948" s="3" t="e">
        <f t="shared" si="124"/>
        <v>#N/A</v>
      </c>
      <c r="F3948" s="3" t="e">
        <f t="shared" si="125"/>
        <v>#N/A</v>
      </c>
    </row>
    <row r="3949" spans="2:6" x14ac:dyDescent="0.25">
      <c r="B3949" s="3"/>
      <c r="C3949" s="3"/>
      <c r="D3949" s="3"/>
      <c r="E3949" s="3" t="e">
        <f t="shared" si="124"/>
        <v>#N/A</v>
      </c>
      <c r="F3949" s="3" t="e">
        <f t="shared" si="125"/>
        <v>#N/A</v>
      </c>
    </row>
    <row r="3950" spans="2:6" x14ac:dyDescent="0.25">
      <c r="B3950" s="3"/>
      <c r="C3950" s="3"/>
      <c r="D3950" s="3"/>
      <c r="E3950" s="3" t="e">
        <f t="shared" si="124"/>
        <v>#N/A</v>
      </c>
      <c r="F3950" s="3" t="e">
        <f t="shared" si="125"/>
        <v>#N/A</v>
      </c>
    </row>
    <row r="3951" spans="2:6" x14ac:dyDescent="0.25">
      <c r="B3951" s="3"/>
      <c r="C3951" s="3"/>
      <c r="D3951" s="3"/>
      <c r="E3951" s="3" t="e">
        <f t="shared" si="124"/>
        <v>#N/A</v>
      </c>
      <c r="F3951" s="3" t="e">
        <f t="shared" si="125"/>
        <v>#N/A</v>
      </c>
    </row>
    <row r="3952" spans="2:6" x14ac:dyDescent="0.25">
      <c r="B3952" s="3"/>
      <c r="C3952" s="3"/>
      <c r="D3952" s="3"/>
      <c r="E3952" s="3" t="e">
        <f t="shared" si="124"/>
        <v>#N/A</v>
      </c>
      <c r="F3952" s="3" t="e">
        <f t="shared" si="125"/>
        <v>#N/A</v>
      </c>
    </row>
    <row r="3953" spans="2:6" x14ac:dyDescent="0.25">
      <c r="B3953" s="3"/>
      <c r="C3953" s="3"/>
      <c r="D3953" s="3"/>
      <c r="E3953" s="3" t="e">
        <f t="shared" si="124"/>
        <v>#N/A</v>
      </c>
      <c r="F3953" s="3" t="e">
        <f t="shared" si="125"/>
        <v>#N/A</v>
      </c>
    </row>
    <row r="3954" spans="2:6" x14ac:dyDescent="0.25">
      <c r="B3954" s="3"/>
      <c r="C3954" s="3"/>
      <c r="D3954" s="3"/>
      <c r="E3954" s="3" t="e">
        <f t="shared" si="124"/>
        <v>#N/A</v>
      </c>
      <c r="F3954" s="3" t="e">
        <f t="shared" si="125"/>
        <v>#N/A</v>
      </c>
    </row>
    <row r="3955" spans="2:6" x14ac:dyDescent="0.25">
      <c r="B3955" s="3"/>
      <c r="C3955" s="3"/>
      <c r="D3955" s="3"/>
      <c r="E3955" s="3" t="e">
        <f t="shared" si="124"/>
        <v>#N/A</v>
      </c>
      <c r="F3955" s="3" t="e">
        <f t="shared" si="125"/>
        <v>#N/A</v>
      </c>
    </row>
    <row r="3956" spans="2:6" x14ac:dyDescent="0.25">
      <c r="B3956" s="3"/>
      <c r="C3956" s="3"/>
      <c r="D3956" s="3"/>
      <c r="E3956" s="3" t="e">
        <f t="shared" si="124"/>
        <v>#N/A</v>
      </c>
      <c r="F3956" s="3" t="e">
        <f t="shared" si="125"/>
        <v>#N/A</v>
      </c>
    </row>
    <row r="3957" spans="2:6" x14ac:dyDescent="0.25">
      <c r="B3957" s="3"/>
      <c r="C3957" s="3"/>
      <c r="D3957" s="3"/>
      <c r="E3957" s="3" t="e">
        <f t="shared" si="124"/>
        <v>#N/A</v>
      </c>
      <c r="F3957" s="3" t="e">
        <f t="shared" si="125"/>
        <v>#N/A</v>
      </c>
    </row>
    <row r="3958" spans="2:6" x14ac:dyDescent="0.25">
      <c r="B3958" s="3"/>
      <c r="C3958" s="3"/>
      <c r="D3958" s="3"/>
      <c r="E3958" s="3" t="e">
        <f t="shared" si="124"/>
        <v>#N/A</v>
      </c>
      <c r="F3958" s="3" t="e">
        <f t="shared" si="125"/>
        <v>#N/A</v>
      </c>
    </row>
    <row r="3959" spans="2:6" x14ac:dyDescent="0.25">
      <c r="B3959" s="3"/>
      <c r="C3959" s="3"/>
      <c r="D3959" s="3"/>
      <c r="E3959" s="3" t="e">
        <f t="shared" si="124"/>
        <v>#N/A</v>
      </c>
      <c r="F3959" s="3" t="e">
        <f t="shared" si="125"/>
        <v>#N/A</v>
      </c>
    </row>
    <row r="3960" spans="2:6" x14ac:dyDescent="0.25">
      <c r="B3960" s="3"/>
      <c r="C3960" s="3"/>
      <c r="D3960" s="3"/>
      <c r="E3960" s="3" t="e">
        <f t="shared" si="124"/>
        <v>#N/A</v>
      </c>
      <c r="F3960" s="3" t="e">
        <f t="shared" si="125"/>
        <v>#N/A</v>
      </c>
    </row>
    <row r="3961" spans="2:6" x14ac:dyDescent="0.25">
      <c r="B3961" s="3"/>
      <c r="C3961" s="3"/>
      <c r="D3961" s="3"/>
      <c r="E3961" s="3" t="e">
        <f t="shared" si="124"/>
        <v>#N/A</v>
      </c>
      <c r="F3961" s="3" t="e">
        <f t="shared" si="125"/>
        <v>#N/A</v>
      </c>
    </row>
    <row r="3962" spans="2:6" x14ac:dyDescent="0.25">
      <c r="B3962" s="3"/>
      <c r="C3962" s="3"/>
      <c r="D3962" s="3"/>
      <c r="E3962" s="3" t="e">
        <f t="shared" si="124"/>
        <v>#N/A</v>
      </c>
      <c r="F3962" s="3" t="e">
        <f t="shared" si="125"/>
        <v>#N/A</v>
      </c>
    </row>
    <row r="3963" spans="2:6" x14ac:dyDescent="0.25">
      <c r="B3963" s="3"/>
      <c r="C3963" s="3"/>
      <c r="D3963" s="3"/>
      <c r="E3963" s="3" t="e">
        <f t="shared" si="124"/>
        <v>#N/A</v>
      </c>
      <c r="F3963" s="3" t="e">
        <f t="shared" si="125"/>
        <v>#N/A</v>
      </c>
    </row>
    <row r="3964" spans="2:6" x14ac:dyDescent="0.25">
      <c r="B3964" s="3"/>
      <c r="C3964" s="3"/>
      <c r="D3964" s="3"/>
      <c r="E3964" s="3" t="e">
        <f t="shared" si="124"/>
        <v>#N/A</v>
      </c>
      <c r="F3964" s="3" t="e">
        <f t="shared" si="125"/>
        <v>#N/A</v>
      </c>
    </row>
    <row r="3965" spans="2:6" x14ac:dyDescent="0.25">
      <c r="B3965" s="3"/>
      <c r="C3965" s="3"/>
      <c r="D3965" s="3"/>
      <c r="E3965" s="3" t="e">
        <f t="shared" si="124"/>
        <v>#N/A</v>
      </c>
      <c r="F3965" s="3" t="e">
        <f t="shared" si="125"/>
        <v>#N/A</v>
      </c>
    </row>
    <row r="3966" spans="2:6" x14ac:dyDescent="0.25">
      <c r="B3966" s="3"/>
      <c r="C3966" s="3"/>
      <c r="D3966" s="3"/>
      <c r="E3966" s="3" t="e">
        <f t="shared" si="124"/>
        <v>#N/A</v>
      </c>
      <c r="F3966" s="3" t="e">
        <f t="shared" si="125"/>
        <v>#N/A</v>
      </c>
    </row>
    <row r="3967" spans="2:6" x14ac:dyDescent="0.25">
      <c r="B3967" s="3"/>
      <c r="C3967" s="3"/>
      <c r="D3967" s="3"/>
      <c r="E3967" s="3" t="e">
        <f t="shared" si="124"/>
        <v>#N/A</v>
      </c>
      <c r="F3967" s="3" t="e">
        <f t="shared" si="125"/>
        <v>#N/A</v>
      </c>
    </row>
    <row r="3968" spans="2:6" x14ac:dyDescent="0.25">
      <c r="B3968" s="3"/>
      <c r="C3968" s="3"/>
      <c r="D3968" s="3"/>
      <c r="E3968" s="3" t="e">
        <f t="shared" si="124"/>
        <v>#N/A</v>
      </c>
      <c r="F3968" s="3" t="e">
        <f t="shared" si="125"/>
        <v>#N/A</v>
      </c>
    </row>
    <row r="3969" spans="2:6" x14ac:dyDescent="0.25">
      <c r="B3969" s="3"/>
      <c r="C3969" s="3"/>
      <c r="D3969" s="3"/>
      <c r="E3969" s="3" t="e">
        <f t="shared" si="124"/>
        <v>#N/A</v>
      </c>
      <c r="F3969" s="3" t="e">
        <f t="shared" si="125"/>
        <v>#N/A</v>
      </c>
    </row>
    <row r="3970" spans="2:6" x14ac:dyDescent="0.25">
      <c r="B3970" s="3"/>
      <c r="C3970" s="3"/>
      <c r="D3970" s="3"/>
      <c r="E3970" s="3" t="e">
        <f t="shared" si="124"/>
        <v>#N/A</v>
      </c>
      <c r="F3970" s="3" t="e">
        <f t="shared" si="125"/>
        <v>#N/A</v>
      </c>
    </row>
    <row r="3971" spans="2:6" x14ac:dyDescent="0.25">
      <c r="B3971" s="3"/>
      <c r="C3971" s="3"/>
      <c r="D3971" s="3"/>
      <c r="E3971" s="3" t="e">
        <f t="shared" si="124"/>
        <v>#N/A</v>
      </c>
      <c r="F3971" s="3" t="e">
        <f t="shared" si="125"/>
        <v>#N/A</v>
      </c>
    </row>
    <row r="3972" spans="2:6" x14ac:dyDescent="0.25">
      <c r="B3972" s="3"/>
      <c r="C3972" s="3"/>
      <c r="D3972" s="3"/>
      <c r="E3972" s="3" t="e">
        <f t="shared" ref="E3972:E4035" si="126">VLOOKUP(C3972,I:J,2,0)</f>
        <v>#N/A</v>
      </c>
      <c r="F3972" s="3" t="e">
        <f t="shared" ref="F3972:F4035" si="127">E3972&amp;" "&amp;B3972</f>
        <v>#N/A</v>
      </c>
    </row>
    <row r="3973" spans="2:6" x14ac:dyDescent="0.25">
      <c r="B3973" s="3"/>
      <c r="C3973" s="3"/>
      <c r="D3973" s="3"/>
      <c r="E3973" s="3" t="e">
        <f t="shared" si="126"/>
        <v>#N/A</v>
      </c>
      <c r="F3973" s="3" t="e">
        <f t="shared" si="127"/>
        <v>#N/A</v>
      </c>
    </row>
    <row r="3974" spans="2:6" x14ac:dyDescent="0.25">
      <c r="B3974" s="3"/>
      <c r="C3974" s="3"/>
      <c r="D3974" s="3"/>
      <c r="E3974" s="3" t="e">
        <f t="shared" si="126"/>
        <v>#N/A</v>
      </c>
      <c r="F3974" s="3" t="e">
        <f t="shared" si="127"/>
        <v>#N/A</v>
      </c>
    </row>
    <row r="3975" spans="2:6" x14ac:dyDescent="0.25">
      <c r="B3975" s="3"/>
      <c r="C3975" s="3"/>
      <c r="D3975" s="3"/>
      <c r="E3975" s="3" t="e">
        <f t="shared" si="126"/>
        <v>#N/A</v>
      </c>
      <c r="F3975" s="3" t="e">
        <f t="shared" si="127"/>
        <v>#N/A</v>
      </c>
    </row>
    <row r="3976" spans="2:6" x14ac:dyDescent="0.25">
      <c r="B3976" s="3"/>
      <c r="C3976" s="3"/>
      <c r="D3976" s="3"/>
      <c r="E3976" s="3" t="e">
        <f t="shared" si="126"/>
        <v>#N/A</v>
      </c>
      <c r="F3976" s="3" t="e">
        <f t="shared" si="127"/>
        <v>#N/A</v>
      </c>
    </row>
    <row r="3977" spans="2:6" x14ac:dyDescent="0.25">
      <c r="B3977" s="3"/>
      <c r="C3977" s="3"/>
      <c r="D3977" s="3"/>
      <c r="E3977" s="3" t="e">
        <f t="shared" si="126"/>
        <v>#N/A</v>
      </c>
      <c r="F3977" s="3" t="e">
        <f t="shared" si="127"/>
        <v>#N/A</v>
      </c>
    </row>
    <row r="3978" spans="2:6" x14ac:dyDescent="0.25">
      <c r="B3978" s="3"/>
      <c r="C3978" s="3"/>
      <c r="D3978" s="3"/>
      <c r="E3978" s="3" t="e">
        <f t="shared" si="126"/>
        <v>#N/A</v>
      </c>
      <c r="F3978" s="3" t="e">
        <f t="shared" si="127"/>
        <v>#N/A</v>
      </c>
    </row>
    <row r="3979" spans="2:6" x14ac:dyDescent="0.25">
      <c r="B3979" s="3"/>
      <c r="C3979" s="3"/>
      <c r="D3979" s="3"/>
      <c r="E3979" s="3" t="e">
        <f t="shared" si="126"/>
        <v>#N/A</v>
      </c>
      <c r="F3979" s="3" t="e">
        <f t="shared" si="127"/>
        <v>#N/A</v>
      </c>
    </row>
    <row r="3980" spans="2:6" x14ac:dyDescent="0.25">
      <c r="B3980" s="3"/>
      <c r="C3980" s="3"/>
      <c r="D3980" s="3"/>
      <c r="E3980" s="3" t="e">
        <f t="shared" si="126"/>
        <v>#N/A</v>
      </c>
      <c r="F3980" s="3" t="e">
        <f t="shared" si="127"/>
        <v>#N/A</v>
      </c>
    </row>
    <row r="3981" spans="2:6" x14ac:dyDescent="0.25">
      <c r="B3981" s="3"/>
      <c r="C3981" s="3"/>
      <c r="D3981" s="3"/>
      <c r="E3981" s="3" t="e">
        <f t="shared" si="126"/>
        <v>#N/A</v>
      </c>
      <c r="F3981" s="3" t="e">
        <f t="shared" si="127"/>
        <v>#N/A</v>
      </c>
    </row>
    <row r="3982" spans="2:6" x14ac:dyDescent="0.25">
      <c r="B3982" s="3"/>
      <c r="C3982" s="3"/>
      <c r="D3982" s="3"/>
      <c r="E3982" s="3" t="e">
        <f t="shared" si="126"/>
        <v>#N/A</v>
      </c>
      <c r="F3982" s="3" t="e">
        <f t="shared" si="127"/>
        <v>#N/A</v>
      </c>
    </row>
    <row r="3983" spans="2:6" x14ac:dyDescent="0.25">
      <c r="B3983" s="3"/>
      <c r="C3983" s="3"/>
      <c r="D3983" s="3"/>
      <c r="E3983" s="3" t="e">
        <f t="shared" si="126"/>
        <v>#N/A</v>
      </c>
      <c r="F3983" s="3" t="e">
        <f t="shared" si="127"/>
        <v>#N/A</v>
      </c>
    </row>
    <row r="3984" spans="2:6" x14ac:dyDescent="0.25">
      <c r="B3984" s="3"/>
      <c r="C3984" s="3"/>
      <c r="D3984" s="3"/>
      <c r="E3984" s="3" t="e">
        <f t="shared" si="126"/>
        <v>#N/A</v>
      </c>
      <c r="F3984" s="3" t="e">
        <f t="shared" si="127"/>
        <v>#N/A</v>
      </c>
    </row>
    <row r="3985" spans="2:6" x14ac:dyDescent="0.25">
      <c r="B3985" s="3"/>
      <c r="C3985" s="3"/>
      <c r="D3985" s="3"/>
      <c r="E3985" s="3" t="e">
        <f t="shared" si="126"/>
        <v>#N/A</v>
      </c>
      <c r="F3985" s="3" t="e">
        <f t="shared" si="127"/>
        <v>#N/A</v>
      </c>
    </row>
    <row r="3986" spans="2:6" x14ac:dyDescent="0.25">
      <c r="B3986" s="3"/>
      <c r="C3986" s="3"/>
      <c r="D3986" s="3"/>
      <c r="E3986" s="3" t="e">
        <f t="shared" si="126"/>
        <v>#N/A</v>
      </c>
      <c r="F3986" s="3" t="e">
        <f t="shared" si="127"/>
        <v>#N/A</v>
      </c>
    </row>
    <row r="3987" spans="2:6" x14ac:dyDescent="0.25">
      <c r="B3987" s="3"/>
      <c r="C3987" s="3"/>
      <c r="D3987" s="3"/>
      <c r="E3987" s="3" t="e">
        <f t="shared" si="126"/>
        <v>#N/A</v>
      </c>
      <c r="F3987" s="3" t="e">
        <f t="shared" si="127"/>
        <v>#N/A</v>
      </c>
    </row>
    <row r="3988" spans="2:6" x14ac:dyDescent="0.25">
      <c r="B3988" s="3"/>
      <c r="C3988" s="3"/>
      <c r="D3988" s="3"/>
      <c r="E3988" s="3" t="e">
        <f t="shared" si="126"/>
        <v>#N/A</v>
      </c>
      <c r="F3988" s="3" t="e">
        <f t="shared" si="127"/>
        <v>#N/A</v>
      </c>
    </row>
    <row r="3989" spans="2:6" x14ac:dyDescent="0.25">
      <c r="B3989" s="3"/>
      <c r="C3989" s="3"/>
      <c r="D3989" s="3"/>
      <c r="E3989" s="3" t="e">
        <f t="shared" si="126"/>
        <v>#N/A</v>
      </c>
      <c r="F3989" s="3" t="e">
        <f t="shared" si="127"/>
        <v>#N/A</v>
      </c>
    </row>
    <row r="3990" spans="2:6" x14ac:dyDescent="0.25">
      <c r="B3990" s="3"/>
      <c r="C3990" s="3"/>
      <c r="D3990" s="3"/>
      <c r="E3990" s="3" t="e">
        <f t="shared" si="126"/>
        <v>#N/A</v>
      </c>
      <c r="F3990" s="3" t="e">
        <f t="shared" si="127"/>
        <v>#N/A</v>
      </c>
    </row>
    <row r="3991" spans="2:6" x14ac:dyDescent="0.25">
      <c r="B3991" s="3"/>
      <c r="C3991" s="3"/>
      <c r="D3991" s="3"/>
      <c r="E3991" s="3" t="e">
        <f t="shared" si="126"/>
        <v>#N/A</v>
      </c>
      <c r="F3991" s="3" t="e">
        <f t="shared" si="127"/>
        <v>#N/A</v>
      </c>
    </row>
    <row r="3992" spans="2:6" x14ac:dyDescent="0.25">
      <c r="B3992" s="3"/>
      <c r="C3992" s="3"/>
      <c r="D3992" s="3"/>
      <c r="E3992" s="3" t="e">
        <f t="shared" si="126"/>
        <v>#N/A</v>
      </c>
      <c r="F3992" s="3" t="e">
        <f t="shared" si="127"/>
        <v>#N/A</v>
      </c>
    </row>
    <row r="3993" spans="2:6" x14ac:dyDescent="0.25">
      <c r="B3993" s="3"/>
      <c r="C3993" s="3"/>
      <c r="D3993" s="3"/>
      <c r="E3993" s="3" t="e">
        <f t="shared" si="126"/>
        <v>#N/A</v>
      </c>
      <c r="F3993" s="3" t="e">
        <f t="shared" si="127"/>
        <v>#N/A</v>
      </c>
    </row>
    <row r="3994" spans="2:6" x14ac:dyDescent="0.25">
      <c r="B3994" s="3"/>
      <c r="C3994" s="3"/>
      <c r="D3994" s="3"/>
      <c r="E3994" s="3" t="e">
        <f t="shared" si="126"/>
        <v>#N/A</v>
      </c>
      <c r="F3994" s="3" t="e">
        <f t="shared" si="127"/>
        <v>#N/A</v>
      </c>
    </row>
    <row r="3995" spans="2:6" x14ac:dyDescent="0.25">
      <c r="B3995" s="3"/>
      <c r="C3995" s="3"/>
      <c r="D3995" s="3"/>
      <c r="E3995" s="3" t="e">
        <f t="shared" si="126"/>
        <v>#N/A</v>
      </c>
      <c r="F3995" s="3" t="e">
        <f t="shared" si="127"/>
        <v>#N/A</v>
      </c>
    </row>
    <row r="3996" spans="2:6" x14ac:dyDescent="0.25">
      <c r="B3996" s="3"/>
      <c r="C3996" s="3"/>
      <c r="D3996" s="3"/>
      <c r="E3996" s="3" t="e">
        <f t="shared" si="126"/>
        <v>#N/A</v>
      </c>
      <c r="F3996" s="3" t="e">
        <f t="shared" si="127"/>
        <v>#N/A</v>
      </c>
    </row>
    <row r="3997" spans="2:6" x14ac:dyDescent="0.25">
      <c r="B3997" s="3"/>
      <c r="C3997" s="3"/>
      <c r="D3997" s="3"/>
      <c r="E3997" s="3" t="e">
        <f t="shared" si="126"/>
        <v>#N/A</v>
      </c>
      <c r="F3997" s="3" t="e">
        <f t="shared" si="127"/>
        <v>#N/A</v>
      </c>
    </row>
    <row r="3998" spans="2:6" x14ac:dyDescent="0.25">
      <c r="B3998" s="3"/>
      <c r="C3998" s="3"/>
      <c r="D3998" s="3"/>
      <c r="E3998" s="3" t="e">
        <f t="shared" si="126"/>
        <v>#N/A</v>
      </c>
      <c r="F3998" s="3" t="e">
        <f t="shared" si="127"/>
        <v>#N/A</v>
      </c>
    </row>
    <row r="3999" spans="2:6" x14ac:dyDescent="0.25">
      <c r="B3999" s="3"/>
      <c r="C3999" s="3"/>
      <c r="D3999" s="3"/>
      <c r="E3999" s="3" t="e">
        <f t="shared" si="126"/>
        <v>#N/A</v>
      </c>
      <c r="F3999" s="3" t="e">
        <f t="shared" si="127"/>
        <v>#N/A</v>
      </c>
    </row>
    <row r="4000" spans="2:6" x14ac:dyDescent="0.25">
      <c r="B4000" s="3"/>
      <c r="C4000" s="3"/>
      <c r="D4000" s="3"/>
      <c r="E4000" s="3" t="e">
        <f t="shared" si="126"/>
        <v>#N/A</v>
      </c>
      <c r="F4000" s="3" t="e">
        <f t="shared" si="127"/>
        <v>#N/A</v>
      </c>
    </row>
    <row r="4001" spans="2:6" x14ac:dyDescent="0.25">
      <c r="B4001" s="3"/>
      <c r="C4001" s="3"/>
      <c r="D4001" s="3"/>
      <c r="E4001" s="3" t="e">
        <f t="shared" si="126"/>
        <v>#N/A</v>
      </c>
      <c r="F4001" s="3" t="e">
        <f t="shared" si="127"/>
        <v>#N/A</v>
      </c>
    </row>
    <row r="4002" spans="2:6" x14ac:dyDescent="0.25">
      <c r="B4002" s="3"/>
      <c r="C4002" s="3"/>
      <c r="D4002" s="3"/>
      <c r="E4002" s="3" t="e">
        <f t="shared" si="126"/>
        <v>#N/A</v>
      </c>
      <c r="F4002" s="3" t="e">
        <f t="shared" si="127"/>
        <v>#N/A</v>
      </c>
    </row>
    <row r="4003" spans="2:6" x14ac:dyDescent="0.25">
      <c r="B4003" s="3"/>
      <c r="C4003" s="3"/>
      <c r="D4003" s="3"/>
      <c r="E4003" s="3" t="e">
        <f t="shared" si="126"/>
        <v>#N/A</v>
      </c>
      <c r="F4003" s="3" t="e">
        <f t="shared" si="127"/>
        <v>#N/A</v>
      </c>
    </row>
    <row r="4004" spans="2:6" x14ac:dyDescent="0.25">
      <c r="B4004" s="3"/>
      <c r="C4004" s="3"/>
      <c r="D4004" s="3"/>
      <c r="E4004" s="3" t="e">
        <f t="shared" si="126"/>
        <v>#N/A</v>
      </c>
      <c r="F4004" s="3" t="e">
        <f t="shared" si="127"/>
        <v>#N/A</v>
      </c>
    </row>
    <row r="4005" spans="2:6" x14ac:dyDescent="0.25">
      <c r="B4005" s="3"/>
      <c r="C4005" s="3"/>
      <c r="D4005" s="3"/>
      <c r="E4005" s="3" t="e">
        <f t="shared" si="126"/>
        <v>#N/A</v>
      </c>
      <c r="F4005" s="3" t="e">
        <f t="shared" si="127"/>
        <v>#N/A</v>
      </c>
    </row>
    <row r="4006" spans="2:6" x14ac:dyDescent="0.25">
      <c r="B4006" s="3"/>
      <c r="C4006" s="3"/>
      <c r="D4006" s="3"/>
      <c r="E4006" s="3" t="e">
        <f t="shared" si="126"/>
        <v>#N/A</v>
      </c>
      <c r="F4006" s="3" t="e">
        <f t="shared" si="127"/>
        <v>#N/A</v>
      </c>
    </row>
    <row r="4007" spans="2:6" x14ac:dyDescent="0.25">
      <c r="B4007" s="3"/>
      <c r="C4007" s="3"/>
      <c r="D4007" s="3"/>
      <c r="E4007" s="3" t="e">
        <f t="shared" si="126"/>
        <v>#N/A</v>
      </c>
      <c r="F4007" s="3" t="e">
        <f t="shared" si="127"/>
        <v>#N/A</v>
      </c>
    </row>
    <row r="4008" spans="2:6" x14ac:dyDescent="0.25">
      <c r="B4008" s="3"/>
      <c r="C4008" s="3"/>
      <c r="D4008" s="3"/>
      <c r="E4008" s="3" t="e">
        <f t="shared" si="126"/>
        <v>#N/A</v>
      </c>
      <c r="F4008" s="3" t="e">
        <f t="shared" si="127"/>
        <v>#N/A</v>
      </c>
    </row>
    <row r="4009" spans="2:6" x14ac:dyDescent="0.25">
      <c r="B4009" s="3"/>
      <c r="C4009" s="3"/>
      <c r="D4009" s="3"/>
      <c r="E4009" s="3" t="e">
        <f t="shared" si="126"/>
        <v>#N/A</v>
      </c>
      <c r="F4009" s="3" t="e">
        <f t="shared" si="127"/>
        <v>#N/A</v>
      </c>
    </row>
    <row r="4010" spans="2:6" x14ac:dyDescent="0.25">
      <c r="B4010" s="3"/>
      <c r="C4010" s="3"/>
      <c r="D4010" s="3"/>
      <c r="E4010" s="3" t="e">
        <f t="shared" si="126"/>
        <v>#N/A</v>
      </c>
      <c r="F4010" s="3" t="e">
        <f t="shared" si="127"/>
        <v>#N/A</v>
      </c>
    </row>
    <row r="4011" spans="2:6" x14ac:dyDescent="0.25">
      <c r="B4011" s="3"/>
      <c r="C4011" s="3"/>
      <c r="D4011" s="3"/>
      <c r="E4011" s="3" t="e">
        <f t="shared" si="126"/>
        <v>#N/A</v>
      </c>
      <c r="F4011" s="3" t="e">
        <f t="shared" si="127"/>
        <v>#N/A</v>
      </c>
    </row>
    <row r="4012" spans="2:6" x14ac:dyDescent="0.25">
      <c r="B4012" s="3"/>
      <c r="C4012" s="3"/>
      <c r="D4012" s="3"/>
      <c r="E4012" s="3" t="e">
        <f t="shared" si="126"/>
        <v>#N/A</v>
      </c>
      <c r="F4012" s="3" t="e">
        <f t="shared" si="127"/>
        <v>#N/A</v>
      </c>
    </row>
    <row r="4013" spans="2:6" x14ac:dyDescent="0.25">
      <c r="B4013" s="3"/>
      <c r="C4013" s="3"/>
      <c r="D4013" s="3"/>
      <c r="E4013" s="3" t="e">
        <f t="shared" si="126"/>
        <v>#N/A</v>
      </c>
      <c r="F4013" s="3" t="e">
        <f t="shared" si="127"/>
        <v>#N/A</v>
      </c>
    </row>
    <row r="4014" spans="2:6" x14ac:dyDescent="0.25">
      <c r="B4014" s="3"/>
      <c r="C4014" s="3"/>
      <c r="D4014" s="3"/>
      <c r="E4014" s="3" t="e">
        <f t="shared" si="126"/>
        <v>#N/A</v>
      </c>
      <c r="F4014" s="3" t="e">
        <f t="shared" si="127"/>
        <v>#N/A</v>
      </c>
    </row>
    <row r="4015" spans="2:6" x14ac:dyDescent="0.25">
      <c r="B4015" s="3"/>
      <c r="C4015" s="3"/>
      <c r="D4015" s="3"/>
      <c r="E4015" s="3" t="e">
        <f t="shared" si="126"/>
        <v>#N/A</v>
      </c>
      <c r="F4015" s="3" t="e">
        <f t="shared" si="127"/>
        <v>#N/A</v>
      </c>
    </row>
    <row r="4016" spans="2:6" x14ac:dyDescent="0.25">
      <c r="B4016" s="3"/>
      <c r="C4016" s="3"/>
      <c r="D4016" s="3"/>
      <c r="E4016" s="3" t="e">
        <f t="shared" si="126"/>
        <v>#N/A</v>
      </c>
      <c r="F4016" s="3" t="e">
        <f t="shared" si="127"/>
        <v>#N/A</v>
      </c>
    </row>
    <row r="4017" spans="2:6" x14ac:dyDescent="0.25">
      <c r="B4017" s="3"/>
      <c r="C4017" s="3"/>
      <c r="D4017" s="3"/>
      <c r="E4017" s="3" t="e">
        <f t="shared" si="126"/>
        <v>#N/A</v>
      </c>
      <c r="F4017" s="3" t="e">
        <f t="shared" si="127"/>
        <v>#N/A</v>
      </c>
    </row>
    <row r="4018" spans="2:6" x14ac:dyDescent="0.25">
      <c r="B4018" s="3"/>
      <c r="C4018" s="3"/>
      <c r="D4018" s="3"/>
      <c r="E4018" s="3" t="e">
        <f t="shared" si="126"/>
        <v>#N/A</v>
      </c>
      <c r="F4018" s="3" t="e">
        <f t="shared" si="127"/>
        <v>#N/A</v>
      </c>
    </row>
    <row r="4019" spans="2:6" x14ac:dyDescent="0.25">
      <c r="B4019" s="3"/>
      <c r="C4019" s="3"/>
      <c r="D4019" s="3"/>
      <c r="E4019" s="3" t="e">
        <f t="shared" si="126"/>
        <v>#N/A</v>
      </c>
      <c r="F4019" s="3" t="e">
        <f t="shared" si="127"/>
        <v>#N/A</v>
      </c>
    </row>
    <row r="4020" spans="2:6" x14ac:dyDescent="0.25">
      <c r="B4020" s="3"/>
      <c r="C4020" s="3"/>
      <c r="D4020" s="3"/>
      <c r="E4020" s="3" t="e">
        <f t="shared" si="126"/>
        <v>#N/A</v>
      </c>
      <c r="F4020" s="3" t="e">
        <f t="shared" si="127"/>
        <v>#N/A</v>
      </c>
    </row>
    <row r="4021" spans="2:6" x14ac:dyDescent="0.25">
      <c r="B4021" s="3"/>
      <c r="C4021" s="3"/>
      <c r="D4021" s="3"/>
      <c r="E4021" s="3" t="e">
        <f t="shared" si="126"/>
        <v>#N/A</v>
      </c>
      <c r="F4021" s="3" t="e">
        <f t="shared" si="127"/>
        <v>#N/A</v>
      </c>
    </row>
    <row r="4022" spans="2:6" x14ac:dyDescent="0.25">
      <c r="B4022" s="3"/>
      <c r="C4022" s="3"/>
      <c r="D4022" s="3"/>
      <c r="E4022" s="3" t="e">
        <f t="shared" si="126"/>
        <v>#N/A</v>
      </c>
      <c r="F4022" s="3" t="e">
        <f t="shared" si="127"/>
        <v>#N/A</v>
      </c>
    </row>
    <row r="4023" spans="2:6" x14ac:dyDescent="0.25">
      <c r="B4023" s="3"/>
      <c r="C4023" s="3"/>
      <c r="D4023" s="3"/>
      <c r="E4023" s="3" t="e">
        <f t="shared" si="126"/>
        <v>#N/A</v>
      </c>
      <c r="F4023" s="3" t="e">
        <f t="shared" si="127"/>
        <v>#N/A</v>
      </c>
    </row>
    <row r="4024" spans="2:6" x14ac:dyDescent="0.25">
      <c r="B4024" s="3"/>
      <c r="C4024" s="3"/>
      <c r="D4024" s="3"/>
      <c r="E4024" s="3" t="e">
        <f t="shared" si="126"/>
        <v>#N/A</v>
      </c>
      <c r="F4024" s="3" t="e">
        <f t="shared" si="127"/>
        <v>#N/A</v>
      </c>
    </row>
    <row r="4025" spans="2:6" x14ac:dyDescent="0.25">
      <c r="B4025" s="3"/>
      <c r="C4025" s="3"/>
      <c r="D4025" s="3"/>
      <c r="E4025" s="3" t="e">
        <f t="shared" si="126"/>
        <v>#N/A</v>
      </c>
      <c r="F4025" s="3" t="e">
        <f t="shared" si="127"/>
        <v>#N/A</v>
      </c>
    </row>
    <row r="4026" spans="2:6" x14ac:dyDescent="0.25">
      <c r="B4026" s="3"/>
      <c r="C4026" s="3"/>
      <c r="D4026" s="3"/>
      <c r="E4026" s="3" t="e">
        <f t="shared" si="126"/>
        <v>#N/A</v>
      </c>
      <c r="F4026" s="3" t="e">
        <f t="shared" si="127"/>
        <v>#N/A</v>
      </c>
    </row>
    <row r="4027" spans="2:6" x14ac:dyDescent="0.25">
      <c r="B4027" s="3"/>
      <c r="C4027" s="3"/>
      <c r="D4027" s="3"/>
      <c r="E4027" s="3" t="e">
        <f t="shared" si="126"/>
        <v>#N/A</v>
      </c>
      <c r="F4027" s="3" t="e">
        <f t="shared" si="127"/>
        <v>#N/A</v>
      </c>
    </row>
    <row r="4028" spans="2:6" x14ac:dyDescent="0.25">
      <c r="B4028" s="3"/>
      <c r="C4028" s="3"/>
      <c r="D4028" s="3"/>
      <c r="E4028" s="3" t="e">
        <f t="shared" si="126"/>
        <v>#N/A</v>
      </c>
      <c r="F4028" s="3" t="e">
        <f t="shared" si="127"/>
        <v>#N/A</v>
      </c>
    </row>
    <row r="4029" spans="2:6" x14ac:dyDescent="0.25">
      <c r="B4029" s="3"/>
      <c r="C4029" s="3"/>
      <c r="D4029" s="3"/>
      <c r="E4029" s="3" t="e">
        <f t="shared" si="126"/>
        <v>#N/A</v>
      </c>
      <c r="F4029" s="3" t="e">
        <f t="shared" si="127"/>
        <v>#N/A</v>
      </c>
    </row>
    <row r="4030" spans="2:6" x14ac:dyDescent="0.25">
      <c r="B4030" s="3"/>
      <c r="C4030" s="3"/>
      <c r="D4030" s="3"/>
      <c r="E4030" s="3" t="e">
        <f t="shared" si="126"/>
        <v>#N/A</v>
      </c>
      <c r="F4030" s="3" t="e">
        <f t="shared" si="127"/>
        <v>#N/A</v>
      </c>
    </row>
    <row r="4031" spans="2:6" x14ac:dyDescent="0.25">
      <c r="B4031" s="3"/>
      <c r="C4031" s="3"/>
      <c r="D4031" s="3"/>
      <c r="E4031" s="3" t="e">
        <f t="shared" si="126"/>
        <v>#N/A</v>
      </c>
      <c r="F4031" s="3" t="e">
        <f t="shared" si="127"/>
        <v>#N/A</v>
      </c>
    </row>
    <row r="4032" spans="2:6" x14ac:dyDescent="0.25">
      <c r="B4032" s="3"/>
      <c r="C4032" s="3"/>
      <c r="D4032" s="3"/>
      <c r="E4032" s="3" t="e">
        <f t="shared" si="126"/>
        <v>#N/A</v>
      </c>
      <c r="F4032" s="3" t="e">
        <f t="shared" si="127"/>
        <v>#N/A</v>
      </c>
    </row>
    <row r="4033" spans="2:6" x14ac:dyDescent="0.25">
      <c r="B4033" s="3"/>
      <c r="C4033" s="3"/>
      <c r="D4033" s="3"/>
      <c r="E4033" s="3" t="e">
        <f t="shared" si="126"/>
        <v>#N/A</v>
      </c>
      <c r="F4033" s="3" t="e">
        <f t="shared" si="127"/>
        <v>#N/A</v>
      </c>
    </row>
    <row r="4034" spans="2:6" x14ac:dyDescent="0.25">
      <c r="B4034" s="3"/>
      <c r="C4034" s="3"/>
      <c r="D4034" s="3"/>
      <c r="E4034" s="3" t="e">
        <f t="shared" si="126"/>
        <v>#N/A</v>
      </c>
      <c r="F4034" s="3" t="e">
        <f t="shared" si="127"/>
        <v>#N/A</v>
      </c>
    </row>
    <row r="4035" spans="2:6" x14ac:dyDescent="0.25">
      <c r="B4035" s="3"/>
      <c r="C4035" s="3"/>
      <c r="D4035" s="3"/>
      <c r="E4035" s="3" t="e">
        <f t="shared" si="126"/>
        <v>#N/A</v>
      </c>
      <c r="F4035" s="3" t="e">
        <f t="shared" si="127"/>
        <v>#N/A</v>
      </c>
    </row>
    <row r="4036" spans="2:6" x14ac:dyDescent="0.25">
      <c r="B4036" s="3"/>
      <c r="C4036" s="3"/>
      <c r="D4036" s="3"/>
      <c r="E4036" s="3" t="e">
        <f t="shared" ref="E4036:E4099" si="128">VLOOKUP(C4036,I:J,2,0)</f>
        <v>#N/A</v>
      </c>
      <c r="F4036" s="3" t="e">
        <f t="shared" ref="F4036:F4099" si="129">E4036&amp;" "&amp;B4036</f>
        <v>#N/A</v>
      </c>
    </row>
    <row r="4037" spans="2:6" x14ac:dyDescent="0.25">
      <c r="B4037" s="3"/>
      <c r="C4037" s="3"/>
      <c r="D4037" s="3"/>
      <c r="E4037" s="3" t="e">
        <f t="shared" si="128"/>
        <v>#N/A</v>
      </c>
      <c r="F4037" s="3" t="e">
        <f t="shared" si="129"/>
        <v>#N/A</v>
      </c>
    </row>
    <row r="4038" spans="2:6" x14ac:dyDescent="0.25">
      <c r="B4038" s="3"/>
      <c r="C4038" s="3"/>
      <c r="D4038" s="3"/>
      <c r="E4038" s="3" t="e">
        <f t="shared" si="128"/>
        <v>#N/A</v>
      </c>
      <c r="F4038" s="3" t="e">
        <f t="shared" si="129"/>
        <v>#N/A</v>
      </c>
    </row>
    <row r="4039" spans="2:6" x14ac:dyDescent="0.25">
      <c r="B4039" s="3"/>
      <c r="C4039" s="3"/>
      <c r="D4039" s="3"/>
      <c r="E4039" s="3" t="e">
        <f t="shared" si="128"/>
        <v>#N/A</v>
      </c>
      <c r="F4039" s="3" t="e">
        <f t="shared" si="129"/>
        <v>#N/A</v>
      </c>
    </row>
    <row r="4040" spans="2:6" x14ac:dyDescent="0.25">
      <c r="B4040" s="3"/>
      <c r="C4040" s="3"/>
      <c r="D4040" s="3"/>
      <c r="E4040" s="3" t="e">
        <f t="shared" si="128"/>
        <v>#N/A</v>
      </c>
      <c r="F4040" s="3" t="e">
        <f t="shared" si="129"/>
        <v>#N/A</v>
      </c>
    </row>
    <row r="4041" spans="2:6" x14ac:dyDescent="0.25">
      <c r="B4041" s="3"/>
      <c r="C4041" s="3"/>
      <c r="D4041" s="3"/>
      <c r="E4041" s="3" t="e">
        <f t="shared" si="128"/>
        <v>#N/A</v>
      </c>
      <c r="F4041" s="3" t="e">
        <f t="shared" si="129"/>
        <v>#N/A</v>
      </c>
    </row>
    <row r="4042" spans="2:6" x14ac:dyDescent="0.25">
      <c r="B4042" s="3"/>
      <c r="C4042" s="3"/>
      <c r="D4042" s="3"/>
      <c r="E4042" s="3" t="e">
        <f t="shared" si="128"/>
        <v>#N/A</v>
      </c>
      <c r="F4042" s="3" t="e">
        <f t="shared" si="129"/>
        <v>#N/A</v>
      </c>
    </row>
    <row r="4043" spans="2:6" x14ac:dyDescent="0.25">
      <c r="B4043" s="3"/>
      <c r="C4043" s="3"/>
      <c r="D4043" s="3"/>
      <c r="E4043" s="3" t="e">
        <f t="shared" si="128"/>
        <v>#N/A</v>
      </c>
      <c r="F4043" s="3" t="e">
        <f t="shared" si="129"/>
        <v>#N/A</v>
      </c>
    </row>
    <row r="4044" spans="2:6" x14ac:dyDescent="0.25">
      <c r="B4044" s="3"/>
      <c r="C4044" s="3"/>
      <c r="D4044" s="3"/>
      <c r="E4044" s="3" t="e">
        <f t="shared" si="128"/>
        <v>#N/A</v>
      </c>
      <c r="F4044" s="3" t="e">
        <f t="shared" si="129"/>
        <v>#N/A</v>
      </c>
    </row>
    <row r="4045" spans="2:6" x14ac:dyDescent="0.25">
      <c r="B4045" s="3"/>
      <c r="C4045" s="3"/>
      <c r="D4045" s="3"/>
      <c r="E4045" s="3" t="e">
        <f t="shared" si="128"/>
        <v>#N/A</v>
      </c>
      <c r="F4045" s="3" t="e">
        <f t="shared" si="129"/>
        <v>#N/A</v>
      </c>
    </row>
    <row r="4046" spans="2:6" x14ac:dyDescent="0.25">
      <c r="B4046" s="3"/>
      <c r="C4046" s="3"/>
      <c r="D4046" s="3"/>
      <c r="E4046" s="3" t="e">
        <f t="shared" si="128"/>
        <v>#N/A</v>
      </c>
      <c r="F4046" s="3" t="e">
        <f t="shared" si="129"/>
        <v>#N/A</v>
      </c>
    </row>
    <row r="4047" spans="2:6" x14ac:dyDescent="0.25">
      <c r="B4047" s="3"/>
      <c r="C4047" s="3"/>
      <c r="D4047" s="3"/>
      <c r="E4047" s="3" t="e">
        <f t="shared" si="128"/>
        <v>#N/A</v>
      </c>
      <c r="F4047" s="3" t="e">
        <f t="shared" si="129"/>
        <v>#N/A</v>
      </c>
    </row>
    <row r="4048" spans="2:6" x14ac:dyDescent="0.25">
      <c r="B4048" s="3"/>
      <c r="C4048" s="3"/>
      <c r="D4048" s="3"/>
      <c r="E4048" s="3" t="e">
        <f t="shared" si="128"/>
        <v>#N/A</v>
      </c>
      <c r="F4048" s="3" t="e">
        <f t="shared" si="129"/>
        <v>#N/A</v>
      </c>
    </row>
    <row r="4049" spans="2:6" x14ac:dyDescent="0.25">
      <c r="B4049" s="3"/>
      <c r="C4049" s="3"/>
      <c r="D4049" s="3"/>
      <c r="E4049" s="3" t="e">
        <f t="shared" si="128"/>
        <v>#N/A</v>
      </c>
      <c r="F4049" s="3" t="e">
        <f t="shared" si="129"/>
        <v>#N/A</v>
      </c>
    </row>
    <row r="4050" spans="2:6" x14ac:dyDescent="0.25">
      <c r="B4050" s="3"/>
      <c r="C4050" s="3"/>
      <c r="D4050" s="3"/>
      <c r="E4050" s="3" t="e">
        <f t="shared" si="128"/>
        <v>#N/A</v>
      </c>
      <c r="F4050" s="3" t="e">
        <f t="shared" si="129"/>
        <v>#N/A</v>
      </c>
    </row>
    <row r="4051" spans="2:6" x14ac:dyDescent="0.25">
      <c r="B4051" s="3"/>
      <c r="C4051" s="3"/>
      <c r="D4051" s="3"/>
      <c r="E4051" s="3" t="e">
        <f t="shared" si="128"/>
        <v>#N/A</v>
      </c>
      <c r="F4051" s="3" t="e">
        <f t="shared" si="129"/>
        <v>#N/A</v>
      </c>
    </row>
    <row r="4052" spans="2:6" x14ac:dyDescent="0.25">
      <c r="B4052" s="3"/>
      <c r="C4052" s="3"/>
      <c r="D4052" s="3"/>
      <c r="E4052" s="3" t="e">
        <f t="shared" si="128"/>
        <v>#N/A</v>
      </c>
      <c r="F4052" s="3" t="e">
        <f t="shared" si="129"/>
        <v>#N/A</v>
      </c>
    </row>
    <row r="4053" spans="2:6" x14ac:dyDescent="0.25">
      <c r="B4053" s="3"/>
      <c r="C4053" s="3"/>
      <c r="D4053" s="3"/>
      <c r="E4053" s="3" t="e">
        <f t="shared" si="128"/>
        <v>#N/A</v>
      </c>
      <c r="F4053" s="3" t="e">
        <f t="shared" si="129"/>
        <v>#N/A</v>
      </c>
    </row>
    <row r="4054" spans="2:6" x14ac:dyDescent="0.25">
      <c r="B4054" s="3"/>
      <c r="C4054" s="3"/>
      <c r="D4054" s="3"/>
      <c r="E4054" s="3" t="e">
        <f t="shared" si="128"/>
        <v>#N/A</v>
      </c>
      <c r="F4054" s="3" t="e">
        <f t="shared" si="129"/>
        <v>#N/A</v>
      </c>
    </row>
    <row r="4055" spans="2:6" x14ac:dyDescent="0.25">
      <c r="B4055" s="3"/>
      <c r="C4055" s="3"/>
      <c r="D4055" s="3"/>
      <c r="E4055" s="3" t="e">
        <f t="shared" si="128"/>
        <v>#N/A</v>
      </c>
      <c r="F4055" s="3" t="e">
        <f t="shared" si="129"/>
        <v>#N/A</v>
      </c>
    </row>
    <row r="4056" spans="2:6" x14ac:dyDescent="0.25">
      <c r="B4056" s="3"/>
      <c r="C4056" s="3"/>
      <c r="D4056" s="3"/>
      <c r="E4056" s="3" t="e">
        <f t="shared" si="128"/>
        <v>#N/A</v>
      </c>
      <c r="F4056" s="3" t="e">
        <f t="shared" si="129"/>
        <v>#N/A</v>
      </c>
    </row>
    <row r="4057" spans="2:6" x14ac:dyDescent="0.25">
      <c r="B4057" s="3"/>
      <c r="C4057" s="3"/>
      <c r="D4057" s="3"/>
      <c r="E4057" s="3" t="e">
        <f t="shared" si="128"/>
        <v>#N/A</v>
      </c>
      <c r="F4057" s="3" t="e">
        <f t="shared" si="129"/>
        <v>#N/A</v>
      </c>
    </row>
    <row r="4058" spans="2:6" x14ac:dyDescent="0.25">
      <c r="B4058" s="3"/>
      <c r="C4058" s="3"/>
      <c r="D4058" s="3"/>
      <c r="E4058" s="3" t="e">
        <f t="shared" si="128"/>
        <v>#N/A</v>
      </c>
      <c r="F4058" s="3" t="e">
        <f t="shared" si="129"/>
        <v>#N/A</v>
      </c>
    </row>
    <row r="4059" spans="2:6" x14ac:dyDescent="0.25">
      <c r="B4059" s="3"/>
      <c r="C4059" s="3"/>
      <c r="D4059" s="3"/>
      <c r="E4059" s="3" t="e">
        <f t="shared" si="128"/>
        <v>#N/A</v>
      </c>
      <c r="F4059" s="3" t="e">
        <f t="shared" si="129"/>
        <v>#N/A</v>
      </c>
    </row>
    <row r="4060" spans="2:6" x14ac:dyDescent="0.25">
      <c r="B4060" s="3"/>
      <c r="C4060" s="3"/>
      <c r="D4060" s="3"/>
      <c r="E4060" s="3" t="e">
        <f t="shared" si="128"/>
        <v>#N/A</v>
      </c>
      <c r="F4060" s="3" t="e">
        <f t="shared" si="129"/>
        <v>#N/A</v>
      </c>
    </row>
    <row r="4061" spans="2:6" x14ac:dyDescent="0.25">
      <c r="B4061" s="3"/>
      <c r="C4061" s="3"/>
      <c r="D4061" s="3"/>
      <c r="E4061" s="3" t="e">
        <f t="shared" si="128"/>
        <v>#N/A</v>
      </c>
      <c r="F4061" s="3" t="e">
        <f t="shared" si="129"/>
        <v>#N/A</v>
      </c>
    </row>
    <row r="4062" spans="2:6" x14ac:dyDescent="0.25">
      <c r="B4062" s="3"/>
      <c r="C4062" s="3"/>
      <c r="D4062" s="3"/>
      <c r="E4062" s="3" t="e">
        <f t="shared" si="128"/>
        <v>#N/A</v>
      </c>
      <c r="F4062" s="3" t="e">
        <f t="shared" si="129"/>
        <v>#N/A</v>
      </c>
    </row>
    <row r="4063" spans="2:6" x14ac:dyDescent="0.25">
      <c r="B4063" s="3"/>
      <c r="C4063" s="3"/>
      <c r="D4063" s="3"/>
      <c r="E4063" s="3" t="e">
        <f t="shared" si="128"/>
        <v>#N/A</v>
      </c>
      <c r="F4063" s="3" t="e">
        <f t="shared" si="129"/>
        <v>#N/A</v>
      </c>
    </row>
    <row r="4064" spans="2:6" x14ac:dyDescent="0.25">
      <c r="B4064" s="3"/>
      <c r="C4064" s="3"/>
      <c r="D4064" s="3"/>
      <c r="E4064" s="3" t="e">
        <f t="shared" si="128"/>
        <v>#N/A</v>
      </c>
      <c r="F4064" s="3" t="e">
        <f t="shared" si="129"/>
        <v>#N/A</v>
      </c>
    </row>
    <row r="4065" spans="2:6" x14ac:dyDescent="0.25">
      <c r="B4065" s="3"/>
      <c r="C4065" s="3"/>
      <c r="D4065" s="3"/>
      <c r="E4065" s="3" t="e">
        <f t="shared" si="128"/>
        <v>#N/A</v>
      </c>
      <c r="F4065" s="3" t="e">
        <f t="shared" si="129"/>
        <v>#N/A</v>
      </c>
    </row>
    <row r="4066" spans="2:6" x14ac:dyDescent="0.25">
      <c r="B4066" s="3"/>
      <c r="C4066" s="3"/>
      <c r="D4066" s="3"/>
      <c r="E4066" s="3" t="e">
        <f t="shared" si="128"/>
        <v>#N/A</v>
      </c>
      <c r="F4066" s="3" t="e">
        <f t="shared" si="129"/>
        <v>#N/A</v>
      </c>
    </row>
    <row r="4067" spans="2:6" x14ac:dyDescent="0.25">
      <c r="B4067" s="3"/>
      <c r="C4067" s="3"/>
      <c r="D4067" s="3"/>
      <c r="E4067" s="3" t="e">
        <f t="shared" si="128"/>
        <v>#N/A</v>
      </c>
      <c r="F4067" s="3" t="e">
        <f t="shared" si="129"/>
        <v>#N/A</v>
      </c>
    </row>
    <row r="4068" spans="2:6" x14ac:dyDescent="0.25">
      <c r="B4068" s="3"/>
      <c r="C4068" s="3"/>
      <c r="D4068" s="3"/>
      <c r="E4068" s="3" t="e">
        <f t="shared" si="128"/>
        <v>#N/A</v>
      </c>
      <c r="F4068" s="3" t="e">
        <f t="shared" si="129"/>
        <v>#N/A</v>
      </c>
    </row>
    <row r="4069" spans="2:6" x14ac:dyDescent="0.25">
      <c r="B4069" s="3"/>
      <c r="C4069" s="3"/>
      <c r="D4069" s="3"/>
      <c r="E4069" s="3" t="e">
        <f t="shared" si="128"/>
        <v>#N/A</v>
      </c>
      <c r="F4069" s="3" t="e">
        <f t="shared" si="129"/>
        <v>#N/A</v>
      </c>
    </row>
    <row r="4070" spans="2:6" x14ac:dyDescent="0.25">
      <c r="B4070" s="3"/>
      <c r="C4070" s="3"/>
      <c r="D4070" s="3"/>
      <c r="E4070" s="3" t="e">
        <f t="shared" si="128"/>
        <v>#N/A</v>
      </c>
      <c r="F4070" s="3" t="e">
        <f t="shared" si="129"/>
        <v>#N/A</v>
      </c>
    </row>
    <row r="4071" spans="2:6" x14ac:dyDescent="0.25">
      <c r="B4071" s="3"/>
      <c r="C4071" s="3"/>
      <c r="D4071" s="3"/>
      <c r="E4071" s="3" t="e">
        <f t="shared" si="128"/>
        <v>#N/A</v>
      </c>
      <c r="F4071" s="3" t="e">
        <f t="shared" si="129"/>
        <v>#N/A</v>
      </c>
    </row>
    <row r="4072" spans="2:6" x14ac:dyDescent="0.25">
      <c r="B4072" s="3"/>
      <c r="C4072" s="3"/>
      <c r="D4072" s="3"/>
      <c r="E4072" s="3" t="e">
        <f t="shared" si="128"/>
        <v>#N/A</v>
      </c>
      <c r="F4072" s="3" t="e">
        <f t="shared" si="129"/>
        <v>#N/A</v>
      </c>
    </row>
    <row r="4073" spans="2:6" x14ac:dyDescent="0.25">
      <c r="B4073" s="3"/>
      <c r="C4073" s="3"/>
      <c r="D4073" s="3"/>
      <c r="E4073" s="3" t="e">
        <f t="shared" si="128"/>
        <v>#N/A</v>
      </c>
      <c r="F4073" s="3" t="e">
        <f t="shared" si="129"/>
        <v>#N/A</v>
      </c>
    </row>
    <row r="4074" spans="2:6" x14ac:dyDescent="0.25">
      <c r="B4074" s="3"/>
      <c r="C4074" s="3"/>
      <c r="D4074" s="3"/>
      <c r="E4074" s="3" t="e">
        <f t="shared" si="128"/>
        <v>#N/A</v>
      </c>
      <c r="F4074" s="3" t="e">
        <f t="shared" si="129"/>
        <v>#N/A</v>
      </c>
    </row>
    <row r="4075" spans="2:6" x14ac:dyDescent="0.25">
      <c r="B4075" s="3"/>
      <c r="C4075" s="3"/>
      <c r="D4075" s="3"/>
      <c r="E4075" s="3" t="e">
        <f t="shared" si="128"/>
        <v>#N/A</v>
      </c>
      <c r="F4075" s="3" t="e">
        <f t="shared" si="129"/>
        <v>#N/A</v>
      </c>
    </row>
    <row r="4076" spans="2:6" x14ac:dyDescent="0.25">
      <c r="B4076" s="3"/>
      <c r="C4076" s="3"/>
      <c r="D4076" s="3"/>
      <c r="E4076" s="3" t="e">
        <f t="shared" si="128"/>
        <v>#N/A</v>
      </c>
      <c r="F4076" s="3" t="e">
        <f t="shared" si="129"/>
        <v>#N/A</v>
      </c>
    </row>
    <row r="4077" spans="2:6" x14ac:dyDescent="0.25">
      <c r="B4077" s="3"/>
      <c r="C4077" s="3"/>
      <c r="D4077" s="3"/>
      <c r="E4077" s="3" t="e">
        <f t="shared" si="128"/>
        <v>#N/A</v>
      </c>
      <c r="F4077" s="3" t="e">
        <f t="shared" si="129"/>
        <v>#N/A</v>
      </c>
    </row>
    <row r="4078" spans="2:6" x14ac:dyDescent="0.25">
      <c r="B4078" s="3"/>
      <c r="C4078" s="3"/>
      <c r="D4078" s="3"/>
      <c r="E4078" s="3" t="e">
        <f t="shared" si="128"/>
        <v>#N/A</v>
      </c>
      <c r="F4078" s="3" t="e">
        <f t="shared" si="129"/>
        <v>#N/A</v>
      </c>
    </row>
    <row r="4079" spans="2:6" x14ac:dyDescent="0.25">
      <c r="B4079" s="3"/>
      <c r="C4079" s="3"/>
      <c r="D4079" s="3"/>
      <c r="E4079" s="3" t="e">
        <f t="shared" si="128"/>
        <v>#N/A</v>
      </c>
      <c r="F4079" s="3" t="e">
        <f t="shared" si="129"/>
        <v>#N/A</v>
      </c>
    </row>
    <row r="4080" spans="2:6" x14ac:dyDescent="0.25">
      <c r="B4080" s="3"/>
      <c r="C4080" s="3"/>
      <c r="D4080" s="3"/>
      <c r="E4080" s="3" t="e">
        <f t="shared" si="128"/>
        <v>#N/A</v>
      </c>
      <c r="F4080" s="3" t="e">
        <f t="shared" si="129"/>
        <v>#N/A</v>
      </c>
    </row>
    <row r="4081" spans="2:6" x14ac:dyDescent="0.25">
      <c r="B4081" s="3"/>
      <c r="C4081" s="3"/>
      <c r="D4081" s="3"/>
      <c r="E4081" s="3" t="e">
        <f t="shared" si="128"/>
        <v>#N/A</v>
      </c>
      <c r="F4081" s="3" t="e">
        <f t="shared" si="129"/>
        <v>#N/A</v>
      </c>
    </row>
    <row r="4082" spans="2:6" x14ac:dyDescent="0.25">
      <c r="B4082" s="3"/>
      <c r="C4082" s="3"/>
      <c r="D4082" s="3"/>
      <c r="E4082" s="3" t="e">
        <f t="shared" si="128"/>
        <v>#N/A</v>
      </c>
      <c r="F4082" s="3" t="e">
        <f t="shared" si="129"/>
        <v>#N/A</v>
      </c>
    </row>
    <row r="4083" spans="2:6" x14ac:dyDescent="0.25">
      <c r="B4083" s="3"/>
      <c r="C4083" s="3"/>
      <c r="D4083" s="3"/>
      <c r="E4083" s="3" t="e">
        <f t="shared" si="128"/>
        <v>#N/A</v>
      </c>
      <c r="F4083" s="3" t="e">
        <f t="shared" si="129"/>
        <v>#N/A</v>
      </c>
    </row>
    <row r="4084" spans="2:6" x14ac:dyDescent="0.25">
      <c r="B4084" s="3"/>
      <c r="C4084" s="3"/>
      <c r="D4084" s="3"/>
      <c r="E4084" s="3" t="e">
        <f t="shared" si="128"/>
        <v>#N/A</v>
      </c>
      <c r="F4084" s="3" t="e">
        <f t="shared" si="129"/>
        <v>#N/A</v>
      </c>
    </row>
    <row r="4085" spans="2:6" x14ac:dyDescent="0.25">
      <c r="B4085" s="3"/>
      <c r="C4085" s="3"/>
      <c r="D4085" s="3"/>
      <c r="E4085" s="3" t="e">
        <f t="shared" si="128"/>
        <v>#N/A</v>
      </c>
      <c r="F4085" s="3" t="e">
        <f t="shared" si="129"/>
        <v>#N/A</v>
      </c>
    </row>
    <row r="4086" spans="2:6" x14ac:dyDescent="0.25">
      <c r="B4086" s="3"/>
      <c r="C4086" s="3"/>
      <c r="D4086" s="3"/>
      <c r="E4086" s="3" t="e">
        <f t="shared" si="128"/>
        <v>#N/A</v>
      </c>
      <c r="F4086" s="3" t="e">
        <f t="shared" si="129"/>
        <v>#N/A</v>
      </c>
    </row>
    <row r="4087" spans="2:6" x14ac:dyDescent="0.25">
      <c r="B4087" s="3"/>
      <c r="C4087" s="3"/>
      <c r="D4087" s="3"/>
      <c r="E4087" s="3" t="e">
        <f t="shared" si="128"/>
        <v>#N/A</v>
      </c>
      <c r="F4087" s="3" t="e">
        <f t="shared" si="129"/>
        <v>#N/A</v>
      </c>
    </row>
    <row r="4088" spans="2:6" x14ac:dyDescent="0.25">
      <c r="B4088" s="3"/>
      <c r="C4088" s="3"/>
      <c r="D4088" s="3"/>
      <c r="E4088" s="3" t="e">
        <f t="shared" si="128"/>
        <v>#N/A</v>
      </c>
      <c r="F4088" s="3" t="e">
        <f t="shared" si="129"/>
        <v>#N/A</v>
      </c>
    </row>
    <row r="4089" spans="2:6" x14ac:dyDescent="0.25">
      <c r="B4089" s="3"/>
      <c r="C4089" s="3"/>
      <c r="D4089" s="3"/>
      <c r="E4089" s="3" t="e">
        <f t="shared" si="128"/>
        <v>#N/A</v>
      </c>
      <c r="F4089" s="3" t="e">
        <f t="shared" si="129"/>
        <v>#N/A</v>
      </c>
    </row>
    <row r="4090" spans="2:6" x14ac:dyDescent="0.25">
      <c r="B4090" s="3"/>
      <c r="C4090" s="3"/>
      <c r="D4090" s="3"/>
      <c r="E4090" s="3" t="e">
        <f t="shared" si="128"/>
        <v>#N/A</v>
      </c>
      <c r="F4090" s="3" t="e">
        <f t="shared" si="129"/>
        <v>#N/A</v>
      </c>
    </row>
    <row r="4091" spans="2:6" x14ac:dyDescent="0.25">
      <c r="B4091" s="3"/>
      <c r="C4091" s="3"/>
      <c r="D4091" s="3"/>
      <c r="E4091" s="3" t="e">
        <f t="shared" si="128"/>
        <v>#N/A</v>
      </c>
      <c r="F4091" s="3" t="e">
        <f t="shared" si="129"/>
        <v>#N/A</v>
      </c>
    </row>
    <row r="4092" spans="2:6" x14ac:dyDescent="0.25">
      <c r="B4092" s="3"/>
      <c r="C4092" s="3"/>
      <c r="D4092" s="3"/>
      <c r="E4092" s="3" t="e">
        <f t="shared" si="128"/>
        <v>#N/A</v>
      </c>
      <c r="F4092" s="3" t="e">
        <f t="shared" si="129"/>
        <v>#N/A</v>
      </c>
    </row>
    <row r="4093" spans="2:6" x14ac:dyDescent="0.25">
      <c r="B4093" s="3"/>
      <c r="C4093" s="3"/>
      <c r="D4093" s="3"/>
      <c r="E4093" s="3" t="e">
        <f t="shared" si="128"/>
        <v>#N/A</v>
      </c>
      <c r="F4093" s="3" t="e">
        <f t="shared" si="129"/>
        <v>#N/A</v>
      </c>
    </row>
    <row r="4094" spans="2:6" x14ac:dyDescent="0.25">
      <c r="B4094" s="3"/>
      <c r="C4094" s="3"/>
      <c r="D4094" s="3"/>
      <c r="E4094" s="3" t="e">
        <f t="shared" si="128"/>
        <v>#N/A</v>
      </c>
      <c r="F4094" s="3" t="e">
        <f t="shared" si="129"/>
        <v>#N/A</v>
      </c>
    </row>
    <row r="4095" spans="2:6" x14ac:dyDescent="0.25">
      <c r="B4095" s="3"/>
      <c r="C4095" s="3"/>
      <c r="D4095" s="3"/>
      <c r="E4095" s="3" t="e">
        <f t="shared" si="128"/>
        <v>#N/A</v>
      </c>
      <c r="F4095" s="3" t="e">
        <f t="shared" si="129"/>
        <v>#N/A</v>
      </c>
    </row>
    <row r="4096" spans="2:6" x14ac:dyDescent="0.25">
      <c r="B4096" s="3"/>
      <c r="C4096" s="3"/>
      <c r="D4096" s="3"/>
      <c r="E4096" s="3" t="e">
        <f t="shared" si="128"/>
        <v>#N/A</v>
      </c>
      <c r="F4096" s="3" t="e">
        <f t="shared" si="129"/>
        <v>#N/A</v>
      </c>
    </row>
    <row r="4097" spans="2:6" x14ac:dyDescent="0.25">
      <c r="B4097" s="3"/>
      <c r="C4097" s="3"/>
      <c r="D4097" s="3"/>
      <c r="E4097" s="3" t="e">
        <f t="shared" si="128"/>
        <v>#N/A</v>
      </c>
      <c r="F4097" s="3" t="e">
        <f t="shared" si="129"/>
        <v>#N/A</v>
      </c>
    </row>
    <row r="4098" spans="2:6" x14ac:dyDescent="0.25">
      <c r="B4098" s="3"/>
      <c r="C4098" s="3"/>
      <c r="D4098" s="3"/>
      <c r="E4098" s="3" t="e">
        <f t="shared" si="128"/>
        <v>#N/A</v>
      </c>
      <c r="F4098" s="3" t="e">
        <f t="shared" si="129"/>
        <v>#N/A</v>
      </c>
    </row>
    <row r="4099" spans="2:6" x14ac:dyDescent="0.25">
      <c r="B4099" s="3"/>
      <c r="C4099" s="3"/>
      <c r="D4099" s="3"/>
      <c r="E4099" s="3" t="e">
        <f t="shared" si="128"/>
        <v>#N/A</v>
      </c>
      <c r="F4099" s="3" t="e">
        <f t="shared" si="129"/>
        <v>#N/A</v>
      </c>
    </row>
    <row r="4100" spans="2:6" x14ac:dyDescent="0.25">
      <c r="B4100" s="3"/>
      <c r="C4100" s="3"/>
      <c r="D4100" s="3"/>
      <c r="E4100" s="3" t="e">
        <f t="shared" ref="E4100:E4163" si="130">VLOOKUP(C4100,I:J,2,0)</f>
        <v>#N/A</v>
      </c>
      <c r="F4100" s="3" t="e">
        <f t="shared" ref="F4100:F4163" si="131">E4100&amp;" "&amp;B4100</f>
        <v>#N/A</v>
      </c>
    </row>
    <row r="4101" spans="2:6" x14ac:dyDescent="0.25">
      <c r="B4101" s="3"/>
      <c r="C4101" s="3"/>
      <c r="D4101" s="3"/>
      <c r="E4101" s="3" t="e">
        <f t="shared" si="130"/>
        <v>#N/A</v>
      </c>
      <c r="F4101" s="3" t="e">
        <f t="shared" si="131"/>
        <v>#N/A</v>
      </c>
    </row>
    <row r="4102" spans="2:6" x14ac:dyDescent="0.25">
      <c r="B4102" s="3"/>
      <c r="C4102" s="3"/>
      <c r="D4102" s="3"/>
      <c r="E4102" s="3" t="e">
        <f t="shared" si="130"/>
        <v>#N/A</v>
      </c>
      <c r="F4102" s="3" t="e">
        <f t="shared" si="131"/>
        <v>#N/A</v>
      </c>
    </row>
    <row r="4103" spans="2:6" x14ac:dyDescent="0.25">
      <c r="B4103" s="3"/>
      <c r="C4103" s="3"/>
      <c r="D4103" s="3"/>
      <c r="E4103" s="3" t="e">
        <f t="shared" si="130"/>
        <v>#N/A</v>
      </c>
      <c r="F4103" s="3" t="e">
        <f t="shared" si="131"/>
        <v>#N/A</v>
      </c>
    </row>
    <row r="4104" spans="2:6" x14ac:dyDescent="0.25">
      <c r="B4104" s="3"/>
      <c r="C4104" s="3"/>
      <c r="D4104" s="3"/>
      <c r="E4104" s="3" t="e">
        <f t="shared" si="130"/>
        <v>#N/A</v>
      </c>
      <c r="F4104" s="3" t="e">
        <f t="shared" si="131"/>
        <v>#N/A</v>
      </c>
    </row>
    <row r="4105" spans="2:6" x14ac:dyDescent="0.25">
      <c r="B4105" s="3"/>
      <c r="C4105" s="3"/>
      <c r="D4105" s="3"/>
      <c r="E4105" s="3" t="e">
        <f t="shared" si="130"/>
        <v>#N/A</v>
      </c>
      <c r="F4105" s="3" t="e">
        <f t="shared" si="131"/>
        <v>#N/A</v>
      </c>
    </row>
    <row r="4106" spans="2:6" x14ac:dyDescent="0.25">
      <c r="B4106" s="3"/>
      <c r="C4106" s="3"/>
      <c r="D4106" s="3"/>
      <c r="E4106" s="3" t="e">
        <f t="shared" si="130"/>
        <v>#N/A</v>
      </c>
      <c r="F4106" s="3" t="e">
        <f t="shared" si="131"/>
        <v>#N/A</v>
      </c>
    </row>
    <row r="4107" spans="2:6" x14ac:dyDescent="0.25">
      <c r="B4107" s="3"/>
      <c r="C4107" s="3"/>
      <c r="D4107" s="3"/>
      <c r="E4107" s="3" t="e">
        <f t="shared" si="130"/>
        <v>#N/A</v>
      </c>
      <c r="F4107" s="3" t="e">
        <f t="shared" si="131"/>
        <v>#N/A</v>
      </c>
    </row>
    <row r="4108" spans="2:6" x14ac:dyDescent="0.25">
      <c r="B4108" s="3"/>
      <c r="C4108" s="3"/>
      <c r="D4108" s="3"/>
      <c r="E4108" s="3" t="e">
        <f t="shared" si="130"/>
        <v>#N/A</v>
      </c>
      <c r="F4108" s="3" t="e">
        <f t="shared" si="131"/>
        <v>#N/A</v>
      </c>
    </row>
    <row r="4109" spans="2:6" x14ac:dyDescent="0.25">
      <c r="B4109" s="3"/>
      <c r="C4109" s="3"/>
      <c r="D4109" s="3"/>
      <c r="E4109" s="3" t="e">
        <f t="shared" si="130"/>
        <v>#N/A</v>
      </c>
      <c r="F4109" s="3" t="e">
        <f t="shared" si="131"/>
        <v>#N/A</v>
      </c>
    </row>
    <row r="4110" spans="2:6" x14ac:dyDescent="0.25">
      <c r="B4110" s="3"/>
      <c r="C4110" s="3"/>
      <c r="D4110" s="3"/>
      <c r="E4110" s="3" t="e">
        <f t="shared" si="130"/>
        <v>#N/A</v>
      </c>
      <c r="F4110" s="3" t="e">
        <f t="shared" si="131"/>
        <v>#N/A</v>
      </c>
    </row>
    <row r="4111" spans="2:6" x14ac:dyDescent="0.25">
      <c r="B4111" s="3"/>
      <c r="C4111" s="3"/>
      <c r="D4111" s="3"/>
      <c r="E4111" s="3" t="e">
        <f t="shared" si="130"/>
        <v>#N/A</v>
      </c>
      <c r="F4111" s="3" t="e">
        <f t="shared" si="131"/>
        <v>#N/A</v>
      </c>
    </row>
    <row r="4112" spans="2:6" x14ac:dyDescent="0.25">
      <c r="B4112" s="3"/>
      <c r="C4112" s="3"/>
      <c r="D4112" s="3"/>
      <c r="E4112" s="3" t="e">
        <f t="shared" si="130"/>
        <v>#N/A</v>
      </c>
      <c r="F4112" s="3" t="e">
        <f t="shared" si="131"/>
        <v>#N/A</v>
      </c>
    </row>
    <row r="4113" spans="2:6" x14ac:dyDescent="0.25">
      <c r="B4113" s="3"/>
      <c r="C4113" s="3"/>
      <c r="D4113" s="3"/>
      <c r="E4113" s="3" t="e">
        <f t="shared" si="130"/>
        <v>#N/A</v>
      </c>
      <c r="F4113" s="3" t="e">
        <f t="shared" si="131"/>
        <v>#N/A</v>
      </c>
    </row>
    <row r="4114" spans="2:6" x14ac:dyDescent="0.25">
      <c r="B4114" s="3"/>
      <c r="C4114" s="3"/>
      <c r="D4114" s="3"/>
      <c r="E4114" s="3" t="e">
        <f t="shared" si="130"/>
        <v>#N/A</v>
      </c>
      <c r="F4114" s="3" t="e">
        <f t="shared" si="131"/>
        <v>#N/A</v>
      </c>
    </row>
    <row r="4115" spans="2:6" x14ac:dyDescent="0.25">
      <c r="B4115" s="3"/>
      <c r="C4115" s="3"/>
      <c r="D4115" s="3"/>
      <c r="E4115" s="3" t="e">
        <f t="shared" si="130"/>
        <v>#N/A</v>
      </c>
      <c r="F4115" s="3" t="e">
        <f t="shared" si="131"/>
        <v>#N/A</v>
      </c>
    </row>
    <row r="4116" spans="2:6" x14ac:dyDescent="0.25">
      <c r="B4116" s="3"/>
      <c r="C4116" s="3"/>
      <c r="D4116" s="3"/>
      <c r="E4116" s="3" t="e">
        <f t="shared" si="130"/>
        <v>#N/A</v>
      </c>
      <c r="F4116" s="3" t="e">
        <f t="shared" si="131"/>
        <v>#N/A</v>
      </c>
    </row>
    <row r="4117" spans="2:6" x14ac:dyDescent="0.25">
      <c r="B4117" s="3"/>
      <c r="C4117" s="3"/>
      <c r="D4117" s="3"/>
      <c r="E4117" s="3" t="e">
        <f t="shared" si="130"/>
        <v>#N/A</v>
      </c>
      <c r="F4117" s="3" t="e">
        <f t="shared" si="131"/>
        <v>#N/A</v>
      </c>
    </row>
    <row r="4118" spans="2:6" x14ac:dyDescent="0.25">
      <c r="B4118" s="3"/>
      <c r="C4118" s="3"/>
      <c r="D4118" s="3"/>
      <c r="E4118" s="3" t="e">
        <f t="shared" si="130"/>
        <v>#N/A</v>
      </c>
      <c r="F4118" s="3" t="e">
        <f t="shared" si="131"/>
        <v>#N/A</v>
      </c>
    </row>
    <row r="4119" spans="2:6" x14ac:dyDescent="0.25">
      <c r="B4119" s="3"/>
      <c r="C4119" s="3"/>
      <c r="D4119" s="3"/>
      <c r="E4119" s="3" t="e">
        <f t="shared" si="130"/>
        <v>#N/A</v>
      </c>
      <c r="F4119" s="3" t="e">
        <f t="shared" si="131"/>
        <v>#N/A</v>
      </c>
    </row>
    <row r="4120" spans="2:6" x14ac:dyDescent="0.25">
      <c r="B4120" s="3"/>
      <c r="C4120" s="3"/>
      <c r="D4120" s="3"/>
      <c r="E4120" s="3" t="e">
        <f t="shared" si="130"/>
        <v>#N/A</v>
      </c>
      <c r="F4120" s="3" t="e">
        <f t="shared" si="131"/>
        <v>#N/A</v>
      </c>
    </row>
    <row r="4121" spans="2:6" x14ac:dyDescent="0.25">
      <c r="B4121" s="3"/>
      <c r="C4121" s="3"/>
      <c r="D4121" s="3"/>
      <c r="E4121" s="3" t="e">
        <f t="shared" si="130"/>
        <v>#N/A</v>
      </c>
      <c r="F4121" s="3" t="e">
        <f t="shared" si="131"/>
        <v>#N/A</v>
      </c>
    </row>
    <row r="4122" spans="2:6" x14ac:dyDescent="0.25">
      <c r="B4122" s="3"/>
      <c r="C4122" s="3"/>
      <c r="D4122" s="3"/>
      <c r="E4122" s="3" t="e">
        <f t="shared" si="130"/>
        <v>#N/A</v>
      </c>
      <c r="F4122" s="3" t="e">
        <f t="shared" si="131"/>
        <v>#N/A</v>
      </c>
    </row>
    <row r="4123" spans="2:6" x14ac:dyDescent="0.25">
      <c r="B4123" s="3"/>
      <c r="C4123" s="3"/>
      <c r="D4123" s="3"/>
      <c r="E4123" s="3" t="e">
        <f t="shared" si="130"/>
        <v>#N/A</v>
      </c>
      <c r="F4123" s="3" t="e">
        <f t="shared" si="131"/>
        <v>#N/A</v>
      </c>
    </row>
    <row r="4124" spans="2:6" x14ac:dyDescent="0.25">
      <c r="B4124" s="3"/>
      <c r="C4124" s="3"/>
      <c r="D4124" s="3"/>
      <c r="E4124" s="3" t="e">
        <f t="shared" si="130"/>
        <v>#N/A</v>
      </c>
      <c r="F4124" s="3" t="e">
        <f t="shared" si="131"/>
        <v>#N/A</v>
      </c>
    </row>
    <row r="4125" spans="2:6" x14ac:dyDescent="0.25">
      <c r="B4125" s="3"/>
      <c r="C4125" s="3"/>
      <c r="D4125" s="3"/>
      <c r="E4125" s="3" t="e">
        <f t="shared" si="130"/>
        <v>#N/A</v>
      </c>
      <c r="F4125" s="3" t="e">
        <f t="shared" si="131"/>
        <v>#N/A</v>
      </c>
    </row>
    <row r="4126" spans="2:6" x14ac:dyDescent="0.25">
      <c r="B4126" s="3"/>
      <c r="C4126" s="3"/>
      <c r="D4126" s="3"/>
      <c r="E4126" s="3" t="e">
        <f t="shared" si="130"/>
        <v>#N/A</v>
      </c>
      <c r="F4126" s="3" t="e">
        <f t="shared" si="131"/>
        <v>#N/A</v>
      </c>
    </row>
    <row r="4127" spans="2:6" x14ac:dyDescent="0.25">
      <c r="B4127" s="3"/>
      <c r="C4127" s="3"/>
      <c r="D4127" s="3"/>
      <c r="E4127" s="3" t="e">
        <f t="shared" si="130"/>
        <v>#N/A</v>
      </c>
      <c r="F4127" s="3" t="e">
        <f t="shared" si="131"/>
        <v>#N/A</v>
      </c>
    </row>
    <row r="4128" spans="2:6" x14ac:dyDescent="0.25">
      <c r="B4128" s="3"/>
      <c r="C4128" s="3"/>
      <c r="D4128" s="3"/>
      <c r="E4128" s="3" t="e">
        <f t="shared" si="130"/>
        <v>#N/A</v>
      </c>
      <c r="F4128" s="3" t="e">
        <f t="shared" si="131"/>
        <v>#N/A</v>
      </c>
    </row>
    <row r="4129" spans="2:6" x14ac:dyDescent="0.25">
      <c r="B4129" s="3"/>
      <c r="C4129" s="3"/>
      <c r="D4129" s="3"/>
      <c r="E4129" s="3" t="e">
        <f t="shared" si="130"/>
        <v>#N/A</v>
      </c>
      <c r="F4129" s="3" t="e">
        <f t="shared" si="131"/>
        <v>#N/A</v>
      </c>
    </row>
    <row r="4130" spans="2:6" x14ac:dyDescent="0.25">
      <c r="B4130" s="3"/>
      <c r="C4130" s="3"/>
      <c r="D4130" s="3"/>
      <c r="E4130" s="3" t="e">
        <f t="shared" si="130"/>
        <v>#N/A</v>
      </c>
      <c r="F4130" s="3" t="e">
        <f t="shared" si="131"/>
        <v>#N/A</v>
      </c>
    </row>
    <row r="4131" spans="2:6" x14ac:dyDescent="0.25">
      <c r="B4131" s="3"/>
      <c r="C4131" s="3"/>
      <c r="D4131" s="3"/>
      <c r="E4131" s="3" t="e">
        <f t="shared" si="130"/>
        <v>#N/A</v>
      </c>
      <c r="F4131" s="3" t="e">
        <f t="shared" si="131"/>
        <v>#N/A</v>
      </c>
    </row>
    <row r="4132" spans="2:6" x14ac:dyDescent="0.25">
      <c r="B4132" s="3"/>
      <c r="C4132" s="3"/>
      <c r="D4132" s="3"/>
      <c r="E4132" s="3" t="e">
        <f t="shared" si="130"/>
        <v>#N/A</v>
      </c>
      <c r="F4132" s="3" t="e">
        <f t="shared" si="131"/>
        <v>#N/A</v>
      </c>
    </row>
    <row r="4133" spans="2:6" x14ac:dyDescent="0.25">
      <c r="B4133" s="3"/>
      <c r="C4133" s="3"/>
      <c r="D4133" s="3"/>
      <c r="E4133" s="3" t="e">
        <f t="shared" si="130"/>
        <v>#N/A</v>
      </c>
      <c r="F4133" s="3" t="e">
        <f t="shared" si="131"/>
        <v>#N/A</v>
      </c>
    </row>
    <row r="4134" spans="2:6" x14ac:dyDescent="0.25">
      <c r="B4134" s="3"/>
      <c r="C4134" s="3"/>
      <c r="D4134" s="3"/>
      <c r="E4134" s="3" t="e">
        <f t="shared" si="130"/>
        <v>#N/A</v>
      </c>
      <c r="F4134" s="3" t="e">
        <f t="shared" si="131"/>
        <v>#N/A</v>
      </c>
    </row>
    <row r="4135" spans="2:6" x14ac:dyDescent="0.25">
      <c r="B4135" s="3"/>
      <c r="C4135" s="3"/>
      <c r="D4135" s="3"/>
      <c r="E4135" s="3" t="e">
        <f t="shared" si="130"/>
        <v>#N/A</v>
      </c>
      <c r="F4135" s="3" t="e">
        <f t="shared" si="131"/>
        <v>#N/A</v>
      </c>
    </row>
    <row r="4136" spans="2:6" x14ac:dyDescent="0.25">
      <c r="B4136" s="3"/>
      <c r="C4136" s="3"/>
      <c r="D4136" s="3"/>
      <c r="E4136" s="3" t="e">
        <f t="shared" si="130"/>
        <v>#N/A</v>
      </c>
      <c r="F4136" s="3" t="e">
        <f t="shared" si="131"/>
        <v>#N/A</v>
      </c>
    </row>
    <row r="4137" spans="2:6" x14ac:dyDescent="0.25">
      <c r="B4137" s="3"/>
      <c r="C4137" s="3"/>
      <c r="D4137" s="3"/>
      <c r="E4137" s="3" t="e">
        <f t="shared" si="130"/>
        <v>#N/A</v>
      </c>
      <c r="F4137" s="3" t="e">
        <f t="shared" si="131"/>
        <v>#N/A</v>
      </c>
    </row>
    <row r="4138" spans="2:6" x14ac:dyDescent="0.25">
      <c r="B4138" s="3"/>
      <c r="C4138" s="3"/>
      <c r="D4138" s="3"/>
      <c r="E4138" s="3" t="e">
        <f t="shared" si="130"/>
        <v>#N/A</v>
      </c>
      <c r="F4138" s="3" t="e">
        <f t="shared" si="131"/>
        <v>#N/A</v>
      </c>
    </row>
    <row r="4139" spans="2:6" x14ac:dyDescent="0.25">
      <c r="B4139" s="3"/>
      <c r="C4139" s="3"/>
      <c r="D4139" s="3"/>
      <c r="E4139" s="3" t="e">
        <f t="shared" si="130"/>
        <v>#N/A</v>
      </c>
      <c r="F4139" s="3" t="e">
        <f t="shared" si="131"/>
        <v>#N/A</v>
      </c>
    </row>
    <row r="4140" spans="2:6" x14ac:dyDescent="0.25">
      <c r="B4140" s="3"/>
      <c r="C4140" s="3"/>
      <c r="D4140" s="3"/>
      <c r="E4140" s="3" t="e">
        <f t="shared" si="130"/>
        <v>#N/A</v>
      </c>
      <c r="F4140" s="3" t="e">
        <f t="shared" si="131"/>
        <v>#N/A</v>
      </c>
    </row>
    <row r="4141" spans="2:6" x14ac:dyDescent="0.25">
      <c r="B4141" s="3"/>
      <c r="C4141" s="3"/>
      <c r="D4141" s="3"/>
      <c r="E4141" s="3" t="e">
        <f t="shared" si="130"/>
        <v>#N/A</v>
      </c>
      <c r="F4141" s="3" t="e">
        <f t="shared" si="131"/>
        <v>#N/A</v>
      </c>
    </row>
    <row r="4142" spans="2:6" x14ac:dyDescent="0.25">
      <c r="B4142" s="3"/>
      <c r="C4142" s="3"/>
      <c r="D4142" s="3"/>
      <c r="E4142" s="3" t="e">
        <f t="shared" si="130"/>
        <v>#N/A</v>
      </c>
      <c r="F4142" s="3" t="e">
        <f t="shared" si="131"/>
        <v>#N/A</v>
      </c>
    </row>
    <row r="4143" spans="2:6" x14ac:dyDescent="0.25">
      <c r="B4143" s="3"/>
      <c r="C4143" s="3"/>
      <c r="D4143" s="3"/>
      <c r="E4143" s="3" t="e">
        <f t="shared" si="130"/>
        <v>#N/A</v>
      </c>
      <c r="F4143" s="3" t="e">
        <f t="shared" si="131"/>
        <v>#N/A</v>
      </c>
    </row>
    <row r="4144" spans="2:6" x14ac:dyDescent="0.25">
      <c r="B4144" s="3"/>
      <c r="C4144" s="3"/>
      <c r="D4144" s="3"/>
      <c r="E4144" s="3" t="e">
        <f t="shared" si="130"/>
        <v>#N/A</v>
      </c>
      <c r="F4144" s="3" t="e">
        <f t="shared" si="131"/>
        <v>#N/A</v>
      </c>
    </row>
    <row r="4145" spans="2:6" x14ac:dyDescent="0.25">
      <c r="B4145" s="3"/>
      <c r="C4145" s="3"/>
      <c r="D4145" s="3"/>
      <c r="E4145" s="3" t="e">
        <f t="shared" si="130"/>
        <v>#N/A</v>
      </c>
      <c r="F4145" s="3" t="e">
        <f t="shared" si="131"/>
        <v>#N/A</v>
      </c>
    </row>
    <row r="4146" spans="2:6" x14ac:dyDescent="0.25">
      <c r="B4146" s="3"/>
      <c r="C4146" s="3"/>
      <c r="D4146" s="3"/>
      <c r="E4146" s="3" t="e">
        <f t="shared" si="130"/>
        <v>#N/A</v>
      </c>
      <c r="F4146" s="3" t="e">
        <f t="shared" si="131"/>
        <v>#N/A</v>
      </c>
    </row>
    <row r="4147" spans="2:6" x14ac:dyDescent="0.25">
      <c r="B4147" s="3"/>
      <c r="C4147" s="3"/>
      <c r="D4147" s="3"/>
      <c r="E4147" s="3" t="e">
        <f t="shared" si="130"/>
        <v>#N/A</v>
      </c>
      <c r="F4147" s="3" t="e">
        <f t="shared" si="131"/>
        <v>#N/A</v>
      </c>
    </row>
    <row r="4148" spans="2:6" x14ac:dyDescent="0.25">
      <c r="B4148" s="3"/>
      <c r="C4148" s="3"/>
      <c r="D4148" s="3"/>
      <c r="E4148" s="3" t="e">
        <f t="shared" si="130"/>
        <v>#N/A</v>
      </c>
      <c r="F4148" s="3" t="e">
        <f t="shared" si="131"/>
        <v>#N/A</v>
      </c>
    </row>
    <row r="4149" spans="2:6" x14ac:dyDescent="0.25">
      <c r="B4149" s="3"/>
      <c r="C4149" s="3"/>
      <c r="D4149" s="3"/>
      <c r="E4149" s="3" t="e">
        <f t="shared" si="130"/>
        <v>#N/A</v>
      </c>
      <c r="F4149" s="3" t="e">
        <f t="shared" si="131"/>
        <v>#N/A</v>
      </c>
    </row>
    <row r="4150" spans="2:6" x14ac:dyDescent="0.25">
      <c r="B4150" s="3"/>
      <c r="C4150" s="3"/>
      <c r="D4150" s="3"/>
      <c r="E4150" s="3" t="e">
        <f t="shared" si="130"/>
        <v>#N/A</v>
      </c>
      <c r="F4150" s="3" t="e">
        <f t="shared" si="131"/>
        <v>#N/A</v>
      </c>
    </row>
    <row r="4151" spans="2:6" x14ac:dyDescent="0.25">
      <c r="B4151" s="3"/>
      <c r="C4151" s="3"/>
      <c r="D4151" s="3"/>
      <c r="E4151" s="3" t="e">
        <f t="shared" si="130"/>
        <v>#N/A</v>
      </c>
      <c r="F4151" s="3" t="e">
        <f t="shared" si="131"/>
        <v>#N/A</v>
      </c>
    </row>
    <row r="4152" spans="2:6" x14ac:dyDescent="0.25">
      <c r="B4152" s="3"/>
      <c r="C4152" s="3"/>
      <c r="D4152" s="3"/>
      <c r="E4152" s="3" t="e">
        <f t="shared" si="130"/>
        <v>#N/A</v>
      </c>
      <c r="F4152" s="3" t="e">
        <f t="shared" si="131"/>
        <v>#N/A</v>
      </c>
    </row>
    <row r="4153" spans="2:6" x14ac:dyDescent="0.25">
      <c r="B4153" s="3"/>
      <c r="C4153" s="3"/>
      <c r="D4153" s="3"/>
      <c r="E4153" s="3" t="e">
        <f t="shared" si="130"/>
        <v>#N/A</v>
      </c>
      <c r="F4153" s="3" t="e">
        <f t="shared" si="131"/>
        <v>#N/A</v>
      </c>
    </row>
    <row r="4154" spans="2:6" x14ac:dyDescent="0.25">
      <c r="B4154" s="3"/>
      <c r="C4154" s="3"/>
      <c r="D4154" s="3"/>
      <c r="E4154" s="3" t="e">
        <f t="shared" si="130"/>
        <v>#N/A</v>
      </c>
      <c r="F4154" s="3" t="e">
        <f t="shared" si="131"/>
        <v>#N/A</v>
      </c>
    </row>
    <row r="4155" spans="2:6" x14ac:dyDescent="0.25">
      <c r="B4155" s="3"/>
      <c r="C4155" s="3"/>
      <c r="D4155" s="3"/>
      <c r="E4155" s="3" t="e">
        <f t="shared" si="130"/>
        <v>#N/A</v>
      </c>
      <c r="F4155" s="3" t="e">
        <f t="shared" si="131"/>
        <v>#N/A</v>
      </c>
    </row>
    <row r="4156" spans="2:6" x14ac:dyDescent="0.25">
      <c r="B4156" s="3"/>
      <c r="C4156" s="3"/>
      <c r="D4156" s="3"/>
      <c r="E4156" s="3" t="e">
        <f t="shared" si="130"/>
        <v>#N/A</v>
      </c>
      <c r="F4156" s="3" t="e">
        <f t="shared" si="131"/>
        <v>#N/A</v>
      </c>
    </row>
    <row r="4157" spans="2:6" x14ac:dyDescent="0.25">
      <c r="B4157" s="3"/>
      <c r="C4157" s="3"/>
      <c r="D4157" s="3"/>
      <c r="E4157" s="3" t="e">
        <f t="shared" si="130"/>
        <v>#N/A</v>
      </c>
      <c r="F4157" s="3" t="e">
        <f t="shared" si="131"/>
        <v>#N/A</v>
      </c>
    </row>
    <row r="4158" spans="2:6" x14ac:dyDescent="0.25">
      <c r="B4158" s="3"/>
      <c r="C4158" s="3"/>
      <c r="D4158" s="3"/>
      <c r="E4158" s="3" t="e">
        <f t="shared" si="130"/>
        <v>#N/A</v>
      </c>
      <c r="F4158" s="3" t="e">
        <f t="shared" si="131"/>
        <v>#N/A</v>
      </c>
    </row>
    <row r="4159" spans="2:6" x14ac:dyDescent="0.25">
      <c r="B4159" s="3"/>
      <c r="C4159" s="3"/>
      <c r="D4159" s="3"/>
      <c r="E4159" s="3" t="e">
        <f t="shared" si="130"/>
        <v>#N/A</v>
      </c>
      <c r="F4159" s="3" t="e">
        <f t="shared" si="131"/>
        <v>#N/A</v>
      </c>
    </row>
    <row r="4160" spans="2:6" x14ac:dyDescent="0.25">
      <c r="B4160" s="3"/>
      <c r="C4160" s="3"/>
      <c r="D4160" s="3"/>
      <c r="E4160" s="3" t="e">
        <f t="shared" si="130"/>
        <v>#N/A</v>
      </c>
      <c r="F4160" s="3" t="e">
        <f t="shared" si="131"/>
        <v>#N/A</v>
      </c>
    </row>
    <row r="4161" spans="2:6" x14ac:dyDescent="0.25">
      <c r="B4161" s="3"/>
      <c r="C4161" s="3"/>
      <c r="D4161" s="3"/>
      <c r="E4161" s="3" t="e">
        <f t="shared" si="130"/>
        <v>#N/A</v>
      </c>
      <c r="F4161" s="3" t="e">
        <f t="shared" si="131"/>
        <v>#N/A</v>
      </c>
    </row>
    <row r="4162" spans="2:6" x14ac:dyDescent="0.25">
      <c r="B4162" s="3"/>
      <c r="C4162" s="3"/>
      <c r="D4162" s="3"/>
      <c r="E4162" s="3" t="e">
        <f t="shared" si="130"/>
        <v>#N/A</v>
      </c>
      <c r="F4162" s="3" t="e">
        <f t="shared" si="131"/>
        <v>#N/A</v>
      </c>
    </row>
    <row r="4163" spans="2:6" x14ac:dyDescent="0.25">
      <c r="B4163" s="3"/>
      <c r="C4163" s="3"/>
      <c r="D4163" s="3"/>
      <c r="E4163" s="3" t="e">
        <f t="shared" si="130"/>
        <v>#N/A</v>
      </c>
      <c r="F4163" s="3" t="e">
        <f t="shared" si="131"/>
        <v>#N/A</v>
      </c>
    </row>
    <row r="4164" spans="2:6" x14ac:dyDescent="0.25">
      <c r="B4164" s="3"/>
      <c r="C4164" s="3"/>
      <c r="D4164" s="3"/>
      <c r="E4164" s="3" t="e">
        <f t="shared" ref="E4164" si="132">VLOOKUP(C4164,I:J,2,0)</f>
        <v>#N/A</v>
      </c>
      <c r="F4164" s="3" t="e">
        <f t="shared" ref="F4164" si="133">E4164&amp;" "&amp;B4164</f>
        <v>#N/A</v>
      </c>
    </row>
    <row r="4165" spans="2:6" x14ac:dyDescent="0.25">
      <c r="B4165" s="3"/>
      <c r="C4165" s="3"/>
      <c r="D4165" s="3"/>
      <c r="E4165" s="3" t="e">
        <f t="shared" ref="E4165:E4173" si="134">VLOOKUP(C4165,I:J,2,0)</f>
        <v>#N/A</v>
      </c>
      <c r="F4165" s="3" t="e">
        <f t="shared" ref="F4165:F4173" si="135">E4165&amp;" "&amp;B4165</f>
        <v>#N/A</v>
      </c>
    </row>
    <row r="4166" spans="2:6" x14ac:dyDescent="0.25">
      <c r="B4166" s="3"/>
      <c r="C4166" s="3"/>
      <c r="D4166" s="3"/>
      <c r="E4166" s="3" t="e">
        <f t="shared" si="134"/>
        <v>#N/A</v>
      </c>
      <c r="F4166" s="3" t="e">
        <f t="shared" si="135"/>
        <v>#N/A</v>
      </c>
    </row>
    <row r="4167" spans="2:6" x14ac:dyDescent="0.25">
      <c r="B4167" s="3"/>
      <c r="C4167" s="3"/>
      <c r="D4167" s="3"/>
      <c r="E4167" s="3" t="e">
        <f t="shared" si="134"/>
        <v>#N/A</v>
      </c>
      <c r="F4167" s="3" t="e">
        <f t="shared" si="135"/>
        <v>#N/A</v>
      </c>
    </row>
    <row r="4168" spans="2:6" x14ac:dyDescent="0.25">
      <c r="B4168" s="3"/>
      <c r="C4168" s="3"/>
      <c r="D4168" s="3"/>
      <c r="E4168" s="3" t="e">
        <f t="shared" si="134"/>
        <v>#N/A</v>
      </c>
      <c r="F4168" s="3" t="e">
        <f t="shared" si="135"/>
        <v>#N/A</v>
      </c>
    </row>
    <row r="4169" spans="2:6" x14ac:dyDescent="0.25">
      <c r="B4169" s="3"/>
      <c r="C4169" s="3"/>
      <c r="D4169" s="3"/>
      <c r="E4169" s="3" t="e">
        <f t="shared" si="134"/>
        <v>#N/A</v>
      </c>
      <c r="F4169" s="3" t="e">
        <f t="shared" si="135"/>
        <v>#N/A</v>
      </c>
    </row>
    <row r="4170" spans="2:6" x14ac:dyDescent="0.25">
      <c r="B4170" s="3"/>
      <c r="C4170" s="3"/>
      <c r="D4170" s="3"/>
      <c r="E4170" s="3" t="e">
        <f t="shared" si="134"/>
        <v>#N/A</v>
      </c>
      <c r="F4170" s="3" t="e">
        <f t="shared" si="135"/>
        <v>#N/A</v>
      </c>
    </row>
    <row r="4171" spans="2:6" x14ac:dyDescent="0.25">
      <c r="B4171" s="3"/>
      <c r="C4171" s="3"/>
      <c r="D4171" s="3"/>
      <c r="E4171" s="3" t="e">
        <f t="shared" si="134"/>
        <v>#N/A</v>
      </c>
      <c r="F4171" s="3" t="e">
        <f t="shared" si="135"/>
        <v>#N/A</v>
      </c>
    </row>
    <row r="4172" spans="2:6" x14ac:dyDescent="0.25">
      <c r="B4172" s="3"/>
      <c r="C4172" s="3"/>
      <c r="D4172" s="3"/>
      <c r="E4172" s="3" t="e">
        <f t="shared" si="134"/>
        <v>#N/A</v>
      </c>
      <c r="F4172" s="3" t="e">
        <f t="shared" si="135"/>
        <v>#N/A</v>
      </c>
    </row>
    <row r="4173" spans="2:6" x14ac:dyDescent="0.25">
      <c r="B4173" s="3"/>
      <c r="C4173" s="3"/>
      <c r="D4173" s="3"/>
      <c r="E4173" s="3" t="e">
        <f t="shared" si="134"/>
        <v>#N/A</v>
      </c>
      <c r="F4173" s="3" t="e">
        <f t="shared" si="135"/>
        <v>#N/A</v>
      </c>
    </row>
    <row r="4174" spans="2:6" x14ac:dyDescent="0.25">
      <c r="B4174" s="3"/>
      <c r="C4174" s="3"/>
      <c r="D4174" s="3"/>
      <c r="E4174" s="3" t="e">
        <f t="shared" ref="E4174:E4237" si="136">VLOOKUP(C4174,I:J,2,0)</f>
        <v>#N/A</v>
      </c>
      <c r="F4174" s="3" t="e">
        <f t="shared" ref="F4174:F4237" si="137">E4174&amp;" "&amp;B4174</f>
        <v>#N/A</v>
      </c>
    </row>
    <row r="4175" spans="2:6" x14ac:dyDescent="0.25">
      <c r="B4175" s="3"/>
      <c r="C4175" s="3"/>
      <c r="D4175" s="3"/>
      <c r="E4175" s="3" t="e">
        <f t="shared" si="136"/>
        <v>#N/A</v>
      </c>
      <c r="F4175" s="3" t="e">
        <f t="shared" si="137"/>
        <v>#N/A</v>
      </c>
    </row>
    <row r="4176" spans="2:6" x14ac:dyDescent="0.25">
      <c r="B4176" s="3"/>
      <c r="C4176" s="3"/>
      <c r="D4176" s="3"/>
      <c r="E4176" s="3" t="e">
        <f t="shared" si="136"/>
        <v>#N/A</v>
      </c>
      <c r="F4176" s="3" t="e">
        <f t="shared" si="137"/>
        <v>#N/A</v>
      </c>
    </row>
    <row r="4177" spans="2:6" x14ac:dyDescent="0.25">
      <c r="B4177" s="3"/>
      <c r="C4177" s="3"/>
      <c r="D4177" s="3"/>
      <c r="E4177" s="3" t="e">
        <f t="shared" si="136"/>
        <v>#N/A</v>
      </c>
      <c r="F4177" s="3" t="e">
        <f t="shared" si="137"/>
        <v>#N/A</v>
      </c>
    </row>
    <row r="4178" spans="2:6" x14ac:dyDescent="0.25">
      <c r="B4178" s="3"/>
      <c r="C4178" s="3"/>
      <c r="D4178" s="3"/>
      <c r="E4178" s="3" t="e">
        <f t="shared" si="136"/>
        <v>#N/A</v>
      </c>
      <c r="F4178" s="3" t="e">
        <f t="shared" si="137"/>
        <v>#N/A</v>
      </c>
    </row>
    <row r="4179" spans="2:6" x14ac:dyDescent="0.25">
      <c r="B4179" s="3"/>
      <c r="C4179" s="3"/>
      <c r="D4179" s="3"/>
      <c r="E4179" s="3" t="e">
        <f t="shared" si="136"/>
        <v>#N/A</v>
      </c>
      <c r="F4179" s="3" t="e">
        <f t="shared" si="137"/>
        <v>#N/A</v>
      </c>
    </row>
    <row r="4180" spans="2:6" x14ac:dyDescent="0.25">
      <c r="B4180" s="3"/>
      <c r="C4180" s="3"/>
      <c r="D4180" s="3"/>
      <c r="E4180" s="3" t="e">
        <f t="shared" si="136"/>
        <v>#N/A</v>
      </c>
      <c r="F4180" s="3" t="e">
        <f t="shared" si="137"/>
        <v>#N/A</v>
      </c>
    </row>
    <row r="4181" spans="2:6" x14ac:dyDescent="0.25">
      <c r="B4181" s="3"/>
      <c r="C4181" s="3"/>
      <c r="D4181" s="3"/>
      <c r="E4181" s="3" t="e">
        <f t="shared" si="136"/>
        <v>#N/A</v>
      </c>
      <c r="F4181" s="3" t="e">
        <f t="shared" si="137"/>
        <v>#N/A</v>
      </c>
    </row>
    <row r="4182" spans="2:6" x14ac:dyDescent="0.25">
      <c r="B4182" s="3"/>
      <c r="C4182" s="3"/>
      <c r="D4182" s="3"/>
      <c r="E4182" s="3" t="e">
        <f t="shared" si="136"/>
        <v>#N/A</v>
      </c>
      <c r="F4182" s="3" t="e">
        <f t="shared" si="137"/>
        <v>#N/A</v>
      </c>
    </row>
    <row r="4183" spans="2:6" x14ac:dyDescent="0.25">
      <c r="B4183" s="3"/>
      <c r="C4183" s="3"/>
      <c r="D4183" s="3"/>
      <c r="E4183" s="3" t="e">
        <f t="shared" si="136"/>
        <v>#N/A</v>
      </c>
      <c r="F4183" s="3" t="e">
        <f t="shared" si="137"/>
        <v>#N/A</v>
      </c>
    </row>
    <row r="4184" spans="2:6" x14ac:dyDescent="0.25">
      <c r="B4184" s="3"/>
      <c r="C4184" s="3"/>
      <c r="D4184" s="3"/>
      <c r="E4184" s="3" t="e">
        <f t="shared" si="136"/>
        <v>#N/A</v>
      </c>
      <c r="F4184" s="3" t="e">
        <f t="shared" si="137"/>
        <v>#N/A</v>
      </c>
    </row>
    <row r="4185" spans="2:6" x14ac:dyDescent="0.25">
      <c r="B4185" s="3"/>
      <c r="C4185" s="3"/>
      <c r="D4185" s="3"/>
      <c r="E4185" s="3" t="e">
        <f t="shared" si="136"/>
        <v>#N/A</v>
      </c>
      <c r="F4185" s="3" t="e">
        <f t="shared" si="137"/>
        <v>#N/A</v>
      </c>
    </row>
    <row r="4186" spans="2:6" x14ac:dyDescent="0.25">
      <c r="B4186" s="3"/>
      <c r="C4186" s="3"/>
      <c r="D4186" s="3"/>
      <c r="E4186" s="3" t="e">
        <f t="shared" si="136"/>
        <v>#N/A</v>
      </c>
      <c r="F4186" s="3" t="e">
        <f t="shared" si="137"/>
        <v>#N/A</v>
      </c>
    </row>
    <row r="4187" spans="2:6" x14ac:dyDescent="0.25">
      <c r="B4187" s="3"/>
      <c r="C4187" s="3"/>
      <c r="D4187" s="3"/>
      <c r="E4187" s="3" t="e">
        <f t="shared" si="136"/>
        <v>#N/A</v>
      </c>
      <c r="F4187" s="3" t="e">
        <f t="shared" si="137"/>
        <v>#N/A</v>
      </c>
    </row>
    <row r="4188" spans="2:6" x14ac:dyDescent="0.25">
      <c r="B4188" s="3"/>
      <c r="C4188" s="3"/>
      <c r="D4188" s="3"/>
      <c r="E4188" s="3" t="e">
        <f t="shared" si="136"/>
        <v>#N/A</v>
      </c>
      <c r="F4188" s="3" t="e">
        <f t="shared" si="137"/>
        <v>#N/A</v>
      </c>
    </row>
    <row r="4189" spans="2:6" x14ac:dyDescent="0.25">
      <c r="B4189" s="3"/>
      <c r="C4189" s="3"/>
      <c r="D4189" s="3"/>
      <c r="E4189" s="3" t="e">
        <f t="shared" si="136"/>
        <v>#N/A</v>
      </c>
      <c r="F4189" s="3" t="e">
        <f t="shared" si="137"/>
        <v>#N/A</v>
      </c>
    </row>
    <row r="4190" spans="2:6" x14ac:dyDescent="0.25">
      <c r="B4190" s="3"/>
      <c r="C4190" s="3"/>
      <c r="D4190" s="3"/>
      <c r="E4190" s="3" t="e">
        <f t="shared" si="136"/>
        <v>#N/A</v>
      </c>
      <c r="F4190" s="3" t="e">
        <f t="shared" si="137"/>
        <v>#N/A</v>
      </c>
    </row>
    <row r="4191" spans="2:6" x14ac:dyDescent="0.25">
      <c r="B4191" s="3"/>
      <c r="C4191" s="3"/>
      <c r="D4191" s="3"/>
      <c r="E4191" s="3" t="e">
        <f t="shared" si="136"/>
        <v>#N/A</v>
      </c>
      <c r="F4191" s="3" t="e">
        <f t="shared" si="137"/>
        <v>#N/A</v>
      </c>
    </row>
    <row r="4192" spans="2:6" x14ac:dyDescent="0.25">
      <c r="B4192" s="3"/>
      <c r="C4192" s="3"/>
      <c r="D4192" s="3"/>
      <c r="E4192" s="3" t="e">
        <f t="shared" si="136"/>
        <v>#N/A</v>
      </c>
      <c r="F4192" s="3" t="e">
        <f t="shared" si="137"/>
        <v>#N/A</v>
      </c>
    </row>
    <row r="4193" spans="2:6" x14ac:dyDescent="0.25">
      <c r="B4193" s="3"/>
      <c r="C4193" s="3"/>
      <c r="D4193" s="3"/>
      <c r="E4193" s="3" t="e">
        <f t="shared" si="136"/>
        <v>#N/A</v>
      </c>
      <c r="F4193" s="3" t="e">
        <f t="shared" si="137"/>
        <v>#N/A</v>
      </c>
    </row>
    <row r="4194" spans="2:6" x14ac:dyDescent="0.25">
      <c r="B4194" s="3"/>
      <c r="C4194" s="3"/>
      <c r="D4194" s="3"/>
      <c r="E4194" s="3" t="e">
        <f t="shared" si="136"/>
        <v>#N/A</v>
      </c>
      <c r="F4194" s="3" t="e">
        <f t="shared" si="137"/>
        <v>#N/A</v>
      </c>
    </row>
    <row r="4195" spans="2:6" x14ac:dyDescent="0.25">
      <c r="B4195" s="3"/>
      <c r="C4195" s="3"/>
      <c r="D4195" s="3"/>
      <c r="E4195" s="3" t="e">
        <f t="shared" si="136"/>
        <v>#N/A</v>
      </c>
      <c r="F4195" s="3" t="e">
        <f t="shared" si="137"/>
        <v>#N/A</v>
      </c>
    </row>
    <row r="4196" spans="2:6" x14ac:dyDescent="0.25">
      <c r="B4196" s="3"/>
      <c r="C4196" s="3"/>
      <c r="D4196" s="3"/>
      <c r="E4196" s="3" t="e">
        <f t="shared" si="136"/>
        <v>#N/A</v>
      </c>
      <c r="F4196" s="3" t="e">
        <f t="shared" si="137"/>
        <v>#N/A</v>
      </c>
    </row>
    <row r="4197" spans="2:6" x14ac:dyDescent="0.25">
      <c r="B4197" s="3"/>
      <c r="C4197" s="3"/>
      <c r="D4197" s="3"/>
      <c r="E4197" s="3" t="e">
        <f t="shared" si="136"/>
        <v>#N/A</v>
      </c>
      <c r="F4197" s="3" t="e">
        <f t="shared" si="137"/>
        <v>#N/A</v>
      </c>
    </row>
    <row r="4198" spans="2:6" x14ac:dyDescent="0.25">
      <c r="B4198" s="3"/>
      <c r="C4198" s="3"/>
      <c r="D4198" s="3"/>
      <c r="E4198" s="3" t="e">
        <f t="shared" si="136"/>
        <v>#N/A</v>
      </c>
      <c r="F4198" s="3" t="e">
        <f t="shared" si="137"/>
        <v>#N/A</v>
      </c>
    </row>
    <row r="4199" spans="2:6" x14ac:dyDescent="0.25">
      <c r="B4199" s="3"/>
      <c r="C4199" s="3"/>
      <c r="D4199" s="3"/>
      <c r="E4199" s="3" t="e">
        <f t="shared" si="136"/>
        <v>#N/A</v>
      </c>
      <c r="F4199" s="3" t="e">
        <f t="shared" si="137"/>
        <v>#N/A</v>
      </c>
    </row>
    <row r="4200" spans="2:6" x14ac:dyDescent="0.25">
      <c r="B4200" s="3"/>
      <c r="C4200" s="3"/>
      <c r="D4200" s="3"/>
      <c r="E4200" s="3" t="e">
        <f t="shared" si="136"/>
        <v>#N/A</v>
      </c>
      <c r="F4200" s="3" t="e">
        <f t="shared" si="137"/>
        <v>#N/A</v>
      </c>
    </row>
    <row r="4201" spans="2:6" x14ac:dyDescent="0.25">
      <c r="B4201" s="3"/>
      <c r="C4201" s="3"/>
      <c r="D4201" s="3"/>
      <c r="E4201" s="3" t="e">
        <f t="shared" si="136"/>
        <v>#N/A</v>
      </c>
      <c r="F4201" s="3" t="e">
        <f t="shared" si="137"/>
        <v>#N/A</v>
      </c>
    </row>
    <row r="4202" spans="2:6" x14ac:dyDescent="0.25">
      <c r="B4202" s="3"/>
      <c r="C4202" s="3"/>
      <c r="D4202" s="3"/>
      <c r="E4202" s="3" t="e">
        <f t="shared" si="136"/>
        <v>#N/A</v>
      </c>
      <c r="F4202" s="3" t="e">
        <f t="shared" si="137"/>
        <v>#N/A</v>
      </c>
    </row>
    <row r="4203" spans="2:6" x14ac:dyDescent="0.25">
      <c r="B4203" s="3"/>
      <c r="C4203" s="3"/>
      <c r="D4203" s="3"/>
      <c r="E4203" s="3" t="e">
        <f t="shared" si="136"/>
        <v>#N/A</v>
      </c>
      <c r="F4203" s="3" t="e">
        <f t="shared" si="137"/>
        <v>#N/A</v>
      </c>
    </row>
    <row r="4204" spans="2:6" x14ac:dyDescent="0.25">
      <c r="B4204" s="3"/>
      <c r="C4204" s="3"/>
      <c r="D4204" s="3"/>
      <c r="E4204" s="3" t="e">
        <f t="shared" si="136"/>
        <v>#N/A</v>
      </c>
      <c r="F4204" s="3" t="e">
        <f t="shared" si="137"/>
        <v>#N/A</v>
      </c>
    </row>
    <row r="4205" spans="2:6" x14ac:dyDescent="0.25">
      <c r="B4205" s="3"/>
      <c r="C4205" s="3"/>
      <c r="D4205" s="3"/>
      <c r="E4205" s="3" t="e">
        <f t="shared" si="136"/>
        <v>#N/A</v>
      </c>
      <c r="F4205" s="3" t="e">
        <f t="shared" si="137"/>
        <v>#N/A</v>
      </c>
    </row>
    <row r="4206" spans="2:6" x14ac:dyDescent="0.25">
      <c r="B4206" s="3"/>
      <c r="C4206" s="3"/>
      <c r="D4206" s="3"/>
      <c r="E4206" s="3" t="e">
        <f t="shared" si="136"/>
        <v>#N/A</v>
      </c>
      <c r="F4206" s="3" t="e">
        <f t="shared" si="137"/>
        <v>#N/A</v>
      </c>
    </row>
    <row r="4207" spans="2:6" x14ac:dyDescent="0.25">
      <c r="B4207" s="3"/>
      <c r="C4207" s="3"/>
      <c r="D4207" s="3"/>
      <c r="E4207" s="3" t="e">
        <f t="shared" si="136"/>
        <v>#N/A</v>
      </c>
      <c r="F4207" s="3" t="e">
        <f t="shared" si="137"/>
        <v>#N/A</v>
      </c>
    </row>
    <row r="4208" spans="2:6" x14ac:dyDescent="0.25">
      <c r="B4208" s="3"/>
      <c r="C4208" s="3"/>
      <c r="D4208" s="3"/>
      <c r="E4208" s="3" t="e">
        <f t="shared" si="136"/>
        <v>#N/A</v>
      </c>
      <c r="F4208" s="3" t="e">
        <f t="shared" si="137"/>
        <v>#N/A</v>
      </c>
    </row>
    <row r="4209" spans="2:6" x14ac:dyDescent="0.25">
      <c r="B4209" s="3"/>
      <c r="C4209" s="3"/>
      <c r="D4209" s="3"/>
      <c r="E4209" s="3" t="e">
        <f t="shared" si="136"/>
        <v>#N/A</v>
      </c>
      <c r="F4209" s="3" t="e">
        <f t="shared" si="137"/>
        <v>#N/A</v>
      </c>
    </row>
    <row r="4210" spans="2:6" x14ac:dyDescent="0.25">
      <c r="B4210" s="3"/>
      <c r="C4210" s="3"/>
      <c r="D4210" s="3"/>
      <c r="E4210" s="3" t="e">
        <f t="shared" si="136"/>
        <v>#N/A</v>
      </c>
      <c r="F4210" s="3" t="e">
        <f t="shared" si="137"/>
        <v>#N/A</v>
      </c>
    </row>
    <row r="4211" spans="2:6" x14ac:dyDescent="0.25">
      <c r="B4211" s="3"/>
      <c r="C4211" s="3"/>
      <c r="D4211" s="3"/>
      <c r="E4211" s="3" t="e">
        <f t="shared" si="136"/>
        <v>#N/A</v>
      </c>
      <c r="F4211" s="3" t="e">
        <f t="shared" si="137"/>
        <v>#N/A</v>
      </c>
    </row>
    <row r="4212" spans="2:6" x14ac:dyDescent="0.25">
      <c r="B4212" s="3"/>
      <c r="C4212" s="3"/>
      <c r="D4212" s="3"/>
      <c r="E4212" s="3" t="e">
        <f t="shared" si="136"/>
        <v>#N/A</v>
      </c>
      <c r="F4212" s="3" t="e">
        <f t="shared" si="137"/>
        <v>#N/A</v>
      </c>
    </row>
    <row r="4213" spans="2:6" x14ac:dyDescent="0.25">
      <c r="B4213" s="3"/>
      <c r="C4213" s="3"/>
      <c r="D4213" s="3"/>
      <c r="E4213" s="3" t="e">
        <f t="shared" si="136"/>
        <v>#N/A</v>
      </c>
      <c r="F4213" s="3" t="e">
        <f t="shared" si="137"/>
        <v>#N/A</v>
      </c>
    </row>
    <row r="4214" spans="2:6" x14ac:dyDescent="0.25">
      <c r="B4214" s="3"/>
      <c r="C4214" s="3"/>
      <c r="D4214" s="3"/>
      <c r="E4214" s="3" t="e">
        <f t="shared" si="136"/>
        <v>#N/A</v>
      </c>
      <c r="F4214" s="3" t="e">
        <f t="shared" si="137"/>
        <v>#N/A</v>
      </c>
    </row>
    <row r="4215" spans="2:6" x14ac:dyDescent="0.25">
      <c r="B4215" s="3"/>
      <c r="C4215" s="3"/>
      <c r="D4215" s="3"/>
      <c r="E4215" s="3" t="e">
        <f t="shared" si="136"/>
        <v>#N/A</v>
      </c>
      <c r="F4215" s="3" t="e">
        <f t="shared" si="137"/>
        <v>#N/A</v>
      </c>
    </row>
    <row r="4216" spans="2:6" x14ac:dyDescent="0.25">
      <c r="B4216" s="3"/>
      <c r="C4216" s="3"/>
      <c r="D4216" s="3"/>
      <c r="E4216" s="3" t="e">
        <f t="shared" si="136"/>
        <v>#N/A</v>
      </c>
      <c r="F4216" s="3" t="e">
        <f t="shared" si="137"/>
        <v>#N/A</v>
      </c>
    </row>
    <row r="4217" spans="2:6" x14ac:dyDescent="0.25">
      <c r="B4217" s="3"/>
      <c r="C4217" s="3"/>
      <c r="D4217" s="3"/>
      <c r="E4217" s="3" t="e">
        <f t="shared" si="136"/>
        <v>#N/A</v>
      </c>
      <c r="F4217" s="3" t="e">
        <f t="shared" si="137"/>
        <v>#N/A</v>
      </c>
    </row>
    <row r="4218" spans="2:6" x14ac:dyDescent="0.25">
      <c r="B4218" s="3"/>
      <c r="C4218" s="3"/>
      <c r="D4218" s="3"/>
      <c r="E4218" s="3" t="e">
        <f t="shared" si="136"/>
        <v>#N/A</v>
      </c>
      <c r="F4218" s="3" t="e">
        <f t="shared" si="137"/>
        <v>#N/A</v>
      </c>
    </row>
    <row r="4219" spans="2:6" x14ac:dyDescent="0.25">
      <c r="B4219" s="3"/>
      <c r="C4219" s="3"/>
      <c r="D4219" s="3"/>
      <c r="E4219" s="3" t="e">
        <f t="shared" si="136"/>
        <v>#N/A</v>
      </c>
      <c r="F4219" s="3" t="e">
        <f t="shared" si="137"/>
        <v>#N/A</v>
      </c>
    </row>
    <row r="4220" spans="2:6" x14ac:dyDescent="0.25">
      <c r="B4220" s="3"/>
      <c r="C4220" s="3"/>
      <c r="D4220" s="3"/>
      <c r="E4220" s="3" t="e">
        <f t="shared" si="136"/>
        <v>#N/A</v>
      </c>
      <c r="F4220" s="3" t="e">
        <f t="shared" si="137"/>
        <v>#N/A</v>
      </c>
    </row>
    <row r="4221" spans="2:6" x14ac:dyDescent="0.25">
      <c r="B4221" s="3"/>
      <c r="C4221" s="3"/>
      <c r="D4221" s="3"/>
      <c r="E4221" s="3" t="e">
        <f t="shared" si="136"/>
        <v>#N/A</v>
      </c>
      <c r="F4221" s="3" t="e">
        <f t="shared" si="137"/>
        <v>#N/A</v>
      </c>
    </row>
    <row r="4222" spans="2:6" x14ac:dyDescent="0.25">
      <c r="B4222" s="3"/>
      <c r="C4222" s="3"/>
      <c r="D4222" s="3"/>
      <c r="E4222" s="3" t="e">
        <f t="shared" si="136"/>
        <v>#N/A</v>
      </c>
      <c r="F4222" s="3" t="e">
        <f t="shared" si="137"/>
        <v>#N/A</v>
      </c>
    </row>
    <row r="4223" spans="2:6" x14ac:dyDescent="0.25">
      <c r="B4223" s="3"/>
      <c r="C4223" s="3"/>
      <c r="D4223" s="3"/>
      <c r="E4223" s="3" t="e">
        <f t="shared" si="136"/>
        <v>#N/A</v>
      </c>
      <c r="F4223" s="3" t="e">
        <f t="shared" si="137"/>
        <v>#N/A</v>
      </c>
    </row>
    <row r="4224" spans="2:6" x14ac:dyDescent="0.25">
      <c r="B4224" s="3"/>
      <c r="C4224" s="3"/>
      <c r="D4224" s="3"/>
      <c r="E4224" s="3" t="e">
        <f t="shared" si="136"/>
        <v>#N/A</v>
      </c>
      <c r="F4224" s="3" t="e">
        <f t="shared" si="137"/>
        <v>#N/A</v>
      </c>
    </row>
    <row r="4225" spans="2:6" x14ac:dyDescent="0.25">
      <c r="B4225" s="3"/>
      <c r="C4225" s="3"/>
      <c r="D4225" s="3"/>
      <c r="E4225" s="3" t="e">
        <f t="shared" si="136"/>
        <v>#N/A</v>
      </c>
      <c r="F4225" s="3" t="e">
        <f t="shared" si="137"/>
        <v>#N/A</v>
      </c>
    </row>
    <row r="4226" spans="2:6" x14ac:dyDescent="0.25">
      <c r="B4226" s="3"/>
      <c r="C4226" s="3"/>
      <c r="D4226" s="3"/>
      <c r="E4226" s="3" t="e">
        <f t="shared" si="136"/>
        <v>#N/A</v>
      </c>
      <c r="F4226" s="3" t="e">
        <f t="shared" si="137"/>
        <v>#N/A</v>
      </c>
    </row>
    <row r="4227" spans="2:6" x14ac:dyDescent="0.25">
      <c r="B4227" s="3"/>
      <c r="C4227" s="3"/>
      <c r="D4227" s="3"/>
      <c r="E4227" s="3" t="e">
        <f t="shared" si="136"/>
        <v>#N/A</v>
      </c>
      <c r="F4227" s="3" t="e">
        <f t="shared" si="137"/>
        <v>#N/A</v>
      </c>
    </row>
    <row r="4228" spans="2:6" x14ac:dyDescent="0.25">
      <c r="B4228" s="3"/>
      <c r="C4228" s="3"/>
      <c r="D4228" s="3"/>
      <c r="E4228" s="3" t="e">
        <f t="shared" si="136"/>
        <v>#N/A</v>
      </c>
      <c r="F4228" s="3" t="e">
        <f t="shared" si="137"/>
        <v>#N/A</v>
      </c>
    </row>
    <row r="4229" spans="2:6" x14ac:dyDescent="0.25">
      <c r="B4229" s="3"/>
      <c r="C4229" s="3"/>
      <c r="D4229" s="3"/>
      <c r="E4229" s="3" t="e">
        <f t="shared" si="136"/>
        <v>#N/A</v>
      </c>
      <c r="F4229" s="3" t="e">
        <f t="shared" si="137"/>
        <v>#N/A</v>
      </c>
    </row>
    <row r="4230" spans="2:6" x14ac:dyDescent="0.25">
      <c r="B4230" s="3"/>
      <c r="C4230" s="3"/>
      <c r="D4230" s="3"/>
      <c r="E4230" s="3" t="e">
        <f t="shared" si="136"/>
        <v>#N/A</v>
      </c>
      <c r="F4230" s="3" t="e">
        <f t="shared" si="137"/>
        <v>#N/A</v>
      </c>
    </row>
    <row r="4231" spans="2:6" x14ac:dyDescent="0.25">
      <c r="B4231" s="3"/>
      <c r="C4231" s="3"/>
      <c r="D4231" s="3"/>
      <c r="E4231" s="3" t="e">
        <f t="shared" si="136"/>
        <v>#N/A</v>
      </c>
      <c r="F4231" s="3" t="e">
        <f t="shared" si="137"/>
        <v>#N/A</v>
      </c>
    </row>
    <row r="4232" spans="2:6" x14ac:dyDescent="0.25">
      <c r="B4232" s="3"/>
      <c r="C4232" s="3"/>
      <c r="D4232" s="3"/>
      <c r="E4232" s="3" t="e">
        <f t="shared" si="136"/>
        <v>#N/A</v>
      </c>
      <c r="F4232" s="3" t="e">
        <f t="shared" si="137"/>
        <v>#N/A</v>
      </c>
    </row>
    <row r="4233" spans="2:6" x14ac:dyDescent="0.25">
      <c r="B4233" s="3"/>
      <c r="C4233" s="3"/>
      <c r="D4233" s="3"/>
      <c r="E4233" s="3" t="e">
        <f t="shared" si="136"/>
        <v>#N/A</v>
      </c>
      <c r="F4233" s="3" t="e">
        <f t="shared" si="137"/>
        <v>#N/A</v>
      </c>
    </row>
    <row r="4234" spans="2:6" x14ac:dyDescent="0.25">
      <c r="B4234" s="3"/>
      <c r="C4234" s="3"/>
      <c r="D4234" s="3"/>
      <c r="E4234" s="3" t="e">
        <f t="shared" si="136"/>
        <v>#N/A</v>
      </c>
      <c r="F4234" s="3" t="e">
        <f t="shared" si="137"/>
        <v>#N/A</v>
      </c>
    </row>
    <row r="4235" spans="2:6" x14ac:dyDescent="0.25">
      <c r="B4235" s="3"/>
      <c r="C4235" s="3"/>
      <c r="D4235" s="3"/>
      <c r="E4235" s="3" t="e">
        <f t="shared" si="136"/>
        <v>#N/A</v>
      </c>
      <c r="F4235" s="3" t="e">
        <f t="shared" si="137"/>
        <v>#N/A</v>
      </c>
    </row>
    <row r="4236" spans="2:6" x14ac:dyDescent="0.25">
      <c r="B4236" s="3"/>
      <c r="C4236" s="3"/>
      <c r="D4236" s="3"/>
      <c r="E4236" s="3" t="e">
        <f t="shared" si="136"/>
        <v>#N/A</v>
      </c>
      <c r="F4236" s="3" t="e">
        <f t="shared" si="137"/>
        <v>#N/A</v>
      </c>
    </row>
    <row r="4237" spans="2:6" x14ac:dyDescent="0.25">
      <c r="B4237" s="3"/>
      <c r="C4237" s="3"/>
      <c r="D4237" s="3"/>
      <c r="E4237" s="3" t="e">
        <f t="shared" si="136"/>
        <v>#N/A</v>
      </c>
      <c r="F4237" s="3" t="e">
        <f t="shared" si="137"/>
        <v>#N/A</v>
      </c>
    </row>
    <row r="4238" spans="2:6" x14ac:dyDescent="0.25">
      <c r="B4238" s="3"/>
      <c r="C4238" s="3"/>
      <c r="D4238" s="3"/>
      <c r="E4238" s="3" t="e">
        <f t="shared" ref="E4238:E4301" si="138">VLOOKUP(C4238,I:J,2,0)</f>
        <v>#N/A</v>
      </c>
      <c r="F4238" s="3" t="e">
        <f t="shared" ref="F4238:F4301" si="139">E4238&amp;" "&amp;B4238</f>
        <v>#N/A</v>
      </c>
    </row>
    <row r="4239" spans="2:6" x14ac:dyDescent="0.25">
      <c r="B4239" s="3"/>
      <c r="C4239" s="3"/>
      <c r="D4239" s="3"/>
      <c r="E4239" s="3" t="e">
        <f t="shared" si="138"/>
        <v>#N/A</v>
      </c>
      <c r="F4239" s="3" t="e">
        <f t="shared" si="139"/>
        <v>#N/A</v>
      </c>
    </row>
    <row r="4240" spans="2:6" x14ac:dyDescent="0.25">
      <c r="B4240" s="3"/>
      <c r="C4240" s="3"/>
      <c r="D4240" s="3"/>
      <c r="E4240" s="3" t="e">
        <f t="shared" si="138"/>
        <v>#N/A</v>
      </c>
      <c r="F4240" s="3" t="e">
        <f t="shared" si="139"/>
        <v>#N/A</v>
      </c>
    </row>
    <row r="4241" spans="2:6" x14ac:dyDescent="0.25">
      <c r="B4241" s="3"/>
      <c r="C4241" s="3"/>
      <c r="D4241" s="3"/>
      <c r="E4241" s="3" t="e">
        <f t="shared" si="138"/>
        <v>#N/A</v>
      </c>
      <c r="F4241" s="3" t="e">
        <f t="shared" si="139"/>
        <v>#N/A</v>
      </c>
    </row>
    <row r="4242" spans="2:6" x14ac:dyDescent="0.25">
      <c r="B4242" s="3"/>
      <c r="C4242" s="3"/>
      <c r="D4242" s="3"/>
      <c r="E4242" s="3" t="e">
        <f t="shared" si="138"/>
        <v>#N/A</v>
      </c>
      <c r="F4242" s="3" t="e">
        <f t="shared" si="139"/>
        <v>#N/A</v>
      </c>
    </row>
    <row r="4243" spans="2:6" x14ac:dyDescent="0.25">
      <c r="B4243" s="3"/>
      <c r="C4243" s="3"/>
      <c r="D4243" s="3"/>
      <c r="E4243" s="3" t="e">
        <f t="shared" si="138"/>
        <v>#N/A</v>
      </c>
      <c r="F4243" s="3" t="e">
        <f t="shared" si="139"/>
        <v>#N/A</v>
      </c>
    </row>
    <row r="4244" spans="2:6" x14ac:dyDescent="0.25">
      <c r="B4244" s="3"/>
      <c r="C4244" s="3"/>
      <c r="D4244" s="3"/>
      <c r="E4244" s="3" t="e">
        <f t="shared" si="138"/>
        <v>#N/A</v>
      </c>
      <c r="F4244" s="3" t="e">
        <f t="shared" si="139"/>
        <v>#N/A</v>
      </c>
    </row>
    <row r="4245" spans="2:6" x14ac:dyDescent="0.25">
      <c r="B4245" s="3"/>
      <c r="C4245" s="3"/>
      <c r="D4245" s="3"/>
      <c r="E4245" s="3" t="e">
        <f t="shared" si="138"/>
        <v>#N/A</v>
      </c>
      <c r="F4245" s="3" t="e">
        <f t="shared" si="139"/>
        <v>#N/A</v>
      </c>
    </row>
    <row r="4246" spans="2:6" x14ac:dyDescent="0.25">
      <c r="B4246" s="3"/>
      <c r="C4246" s="3"/>
      <c r="D4246" s="3"/>
      <c r="E4246" s="3" t="e">
        <f t="shared" si="138"/>
        <v>#N/A</v>
      </c>
      <c r="F4246" s="3" t="e">
        <f t="shared" si="139"/>
        <v>#N/A</v>
      </c>
    </row>
    <row r="4247" spans="2:6" x14ac:dyDescent="0.25">
      <c r="B4247" s="3"/>
      <c r="C4247" s="3"/>
      <c r="D4247" s="3"/>
      <c r="E4247" s="3" t="e">
        <f t="shared" si="138"/>
        <v>#N/A</v>
      </c>
      <c r="F4247" s="3" t="e">
        <f t="shared" si="139"/>
        <v>#N/A</v>
      </c>
    </row>
    <row r="4248" spans="2:6" x14ac:dyDescent="0.25">
      <c r="B4248" s="3"/>
      <c r="C4248" s="3"/>
      <c r="D4248" s="3"/>
      <c r="E4248" s="3" t="e">
        <f t="shared" si="138"/>
        <v>#N/A</v>
      </c>
      <c r="F4248" s="3" t="e">
        <f t="shared" si="139"/>
        <v>#N/A</v>
      </c>
    </row>
    <row r="4249" spans="2:6" x14ac:dyDescent="0.25">
      <c r="B4249" s="3"/>
      <c r="C4249" s="3"/>
      <c r="D4249" s="3"/>
      <c r="E4249" s="3" t="e">
        <f t="shared" si="138"/>
        <v>#N/A</v>
      </c>
      <c r="F4249" s="3" t="e">
        <f t="shared" si="139"/>
        <v>#N/A</v>
      </c>
    </row>
    <row r="4250" spans="2:6" x14ac:dyDescent="0.25">
      <c r="B4250" s="3"/>
      <c r="C4250" s="3"/>
      <c r="D4250" s="3"/>
      <c r="E4250" s="3" t="e">
        <f t="shared" si="138"/>
        <v>#N/A</v>
      </c>
      <c r="F4250" s="3" t="e">
        <f t="shared" si="139"/>
        <v>#N/A</v>
      </c>
    </row>
    <row r="4251" spans="2:6" x14ac:dyDescent="0.25">
      <c r="B4251" s="3"/>
      <c r="C4251" s="3"/>
      <c r="D4251" s="3"/>
      <c r="E4251" s="3" t="e">
        <f t="shared" si="138"/>
        <v>#N/A</v>
      </c>
      <c r="F4251" s="3" t="e">
        <f t="shared" si="139"/>
        <v>#N/A</v>
      </c>
    </row>
    <row r="4252" spans="2:6" x14ac:dyDescent="0.25">
      <c r="B4252" s="3"/>
      <c r="C4252" s="3"/>
      <c r="D4252" s="3"/>
      <c r="E4252" s="3" t="e">
        <f t="shared" si="138"/>
        <v>#N/A</v>
      </c>
      <c r="F4252" s="3" t="e">
        <f t="shared" si="139"/>
        <v>#N/A</v>
      </c>
    </row>
    <row r="4253" spans="2:6" x14ac:dyDescent="0.25">
      <c r="B4253" s="3"/>
      <c r="C4253" s="3"/>
      <c r="D4253" s="3"/>
      <c r="E4253" s="3" t="e">
        <f t="shared" si="138"/>
        <v>#N/A</v>
      </c>
      <c r="F4253" s="3" t="e">
        <f t="shared" si="139"/>
        <v>#N/A</v>
      </c>
    </row>
    <row r="4254" spans="2:6" x14ac:dyDescent="0.25">
      <c r="B4254" s="3"/>
      <c r="C4254" s="3"/>
      <c r="D4254" s="3"/>
      <c r="E4254" s="3" t="e">
        <f t="shared" si="138"/>
        <v>#N/A</v>
      </c>
      <c r="F4254" s="3" t="e">
        <f t="shared" si="139"/>
        <v>#N/A</v>
      </c>
    </row>
    <row r="4255" spans="2:6" x14ac:dyDescent="0.25">
      <c r="B4255" s="3"/>
      <c r="C4255" s="3"/>
      <c r="D4255" s="3"/>
      <c r="E4255" s="3" t="e">
        <f t="shared" si="138"/>
        <v>#N/A</v>
      </c>
      <c r="F4255" s="3" t="e">
        <f t="shared" si="139"/>
        <v>#N/A</v>
      </c>
    </row>
    <row r="4256" spans="2:6" x14ac:dyDescent="0.25">
      <c r="B4256" s="3"/>
      <c r="C4256" s="3"/>
      <c r="D4256" s="3"/>
      <c r="E4256" s="3" t="e">
        <f t="shared" si="138"/>
        <v>#N/A</v>
      </c>
      <c r="F4256" s="3" t="e">
        <f t="shared" si="139"/>
        <v>#N/A</v>
      </c>
    </row>
    <row r="4257" spans="2:6" x14ac:dyDescent="0.25">
      <c r="B4257" s="3"/>
      <c r="C4257" s="3"/>
      <c r="D4257" s="3"/>
      <c r="E4257" s="3" t="e">
        <f t="shared" si="138"/>
        <v>#N/A</v>
      </c>
      <c r="F4257" s="3" t="e">
        <f t="shared" si="139"/>
        <v>#N/A</v>
      </c>
    </row>
    <row r="4258" spans="2:6" x14ac:dyDescent="0.25">
      <c r="B4258" s="3"/>
      <c r="C4258" s="3"/>
      <c r="D4258" s="3"/>
      <c r="E4258" s="3" t="e">
        <f t="shared" si="138"/>
        <v>#N/A</v>
      </c>
      <c r="F4258" s="3" t="e">
        <f t="shared" si="139"/>
        <v>#N/A</v>
      </c>
    </row>
    <row r="4259" spans="2:6" x14ac:dyDescent="0.25">
      <c r="B4259" s="3"/>
      <c r="C4259" s="3"/>
      <c r="D4259" s="3"/>
      <c r="E4259" s="3" t="e">
        <f t="shared" si="138"/>
        <v>#N/A</v>
      </c>
      <c r="F4259" s="3" t="e">
        <f t="shared" si="139"/>
        <v>#N/A</v>
      </c>
    </row>
    <row r="4260" spans="2:6" x14ac:dyDescent="0.25">
      <c r="B4260" s="3"/>
      <c r="C4260" s="3"/>
      <c r="D4260" s="3"/>
      <c r="E4260" s="3" t="e">
        <f t="shared" si="138"/>
        <v>#N/A</v>
      </c>
      <c r="F4260" s="3" t="e">
        <f t="shared" si="139"/>
        <v>#N/A</v>
      </c>
    </row>
    <row r="4261" spans="2:6" x14ac:dyDescent="0.25">
      <c r="B4261" s="3"/>
      <c r="C4261" s="3"/>
      <c r="D4261" s="3"/>
      <c r="E4261" s="3" t="e">
        <f t="shared" si="138"/>
        <v>#N/A</v>
      </c>
      <c r="F4261" s="3" t="e">
        <f t="shared" si="139"/>
        <v>#N/A</v>
      </c>
    </row>
    <row r="4262" spans="2:6" x14ac:dyDescent="0.25">
      <c r="B4262" s="3"/>
      <c r="C4262" s="3"/>
      <c r="D4262" s="3"/>
      <c r="E4262" s="3" t="e">
        <f t="shared" si="138"/>
        <v>#N/A</v>
      </c>
      <c r="F4262" s="3" t="e">
        <f t="shared" si="139"/>
        <v>#N/A</v>
      </c>
    </row>
    <row r="4263" spans="2:6" x14ac:dyDescent="0.25">
      <c r="B4263" s="3"/>
      <c r="C4263" s="3"/>
      <c r="D4263" s="3"/>
      <c r="E4263" s="3" t="e">
        <f t="shared" si="138"/>
        <v>#N/A</v>
      </c>
      <c r="F4263" s="3" t="e">
        <f t="shared" si="139"/>
        <v>#N/A</v>
      </c>
    </row>
    <row r="4264" spans="2:6" x14ac:dyDescent="0.25">
      <c r="B4264" s="3"/>
      <c r="C4264" s="3"/>
      <c r="D4264" s="3"/>
      <c r="E4264" s="3" t="e">
        <f t="shared" si="138"/>
        <v>#N/A</v>
      </c>
      <c r="F4264" s="3" t="e">
        <f t="shared" si="139"/>
        <v>#N/A</v>
      </c>
    </row>
    <row r="4265" spans="2:6" x14ac:dyDescent="0.25">
      <c r="B4265" s="3"/>
      <c r="C4265" s="3"/>
      <c r="D4265" s="3"/>
      <c r="E4265" s="3" t="e">
        <f t="shared" si="138"/>
        <v>#N/A</v>
      </c>
      <c r="F4265" s="3" t="e">
        <f t="shared" si="139"/>
        <v>#N/A</v>
      </c>
    </row>
    <row r="4266" spans="2:6" x14ac:dyDescent="0.25">
      <c r="B4266" s="3"/>
      <c r="C4266" s="3"/>
      <c r="D4266" s="3"/>
      <c r="E4266" s="3" t="e">
        <f t="shared" si="138"/>
        <v>#N/A</v>
      </c>
      <c r="F4266" s="3" t="e">
        <f t="shared" si="139"/>
        <v>#N/A</v>
      </c>
    </row>
    <row r="4267" spans="2:6" x14ac:dyDescent="0.25">
      <c r="B4267" s="3"/>
      <c r="C4267" s="3"/>
      <c r="D4267" s="3"/>
      <c r="E4267" s="3" t="e">
        <f t="shared" si="138"/>
        <v>#N/A</v>
      </c>
      <c r="F4267" s="3" t="e">
        <f t="shared" si="139"/>
        <v>#N/A</v>
      </c>
    </row>
    <row r="4268" spans="2:6" x14ac:dyDescent="0.25">
      <c r="B4268" s="3"/>
      <c r="C4268" s="3"/>
      <c r="D4268" s="3"/>
      <c r="E4268" s="3" t="e">
        <f t="shared" si="138"/>
        <v>#N/A</v>
      </c>
      <c r="F4268" s="3" t="e">
        <f t="shared" si="139"/>
        <v>#N/A</v>
      </c>
    </row>
    <row r="4269" spans="2:6" x14ac:dyDescent="0.25">
      <c r="B4269" s="3"/>
      <c r="C4269" s="3"/>
      <c r="D4269" s="3"/>
      <c r="E4269" s="3" t="e">
        <f t="shared" si="138"/>
        <v>#N/A</v>
      </c>
      <c r="F4269" s="3" t="e">
        <f t="shared" si="139"/>
        <v>#N/A</v>
      </c>
    </row>
    <row r="4270" spans="2:6" x14ac:dyDescent="0.25">
      <c r="B4270" s="3"/>
      <c r="C4270" s="3"/>
      <c r="D4270" s="3"/>
      <c r="E4270" s="3" t="e">
        <f t="shared" si="138"/>
        <v>#N/A</v>
      </c>
      <c r="F4270" s="3" t="e">
        <f t="shared" si="139"/>
        <v>#N/A</v>
      </c>
    </row>
    <row r="4271" spans="2:6" x14ac:dyDescent="0.25">
      <c r="B4271" s="3"/>
      <c r="C4271" s="3"/>
      <c r="D4271" s="3"/>
      <c r="E4271" s="3" t="e">
        <f t="shared" si="138"/>
        <v>#N/A</v>
      </c>
      <c r="F4271" s="3" t="e">
        <f t="shared" si="139"/>
        <v>#N/A</v>
      </c>
    </row>
    <row r="4272" spans="2:6" x14ac:dyDescent="0.25">
      <c r="B4272" s="3"/>
      <c r="C4272" s="3"/>
      <c r="D4272" s="3"/>
      <c r="E4272" s="3" t="e">
        <f t="shared" si="138"/>
        <v>#N/A</v>
      </c>
      <c r="F4272" s="3" t="e">
        <f t="shared" si="139"/>
        <v>#N/A</v>
      </c>
    </row>
    <row r="4273" spans="2:6" x14ac:dyDescent="0.25">
      <c r="B4273" s="3"/>
      <c r="C4273" s="3"/>
      <c r="D4273" s="3"/>
      <c r="E4273" s="3" t="e">
        <f t="shared" si="138"/>
        <v>#N/A</v>
      </c>
      <c r="F4273" s="3" t="e">
        <f t="shared" si="139"/>
        <v>#N/A</v>
      </c>
    </row>
    <row r="4274" spans="2:6" x14ac:dyDescent="0.25">
      <c r="B4274" s="3"/>
      <c r="C4274" s="3"/>
      <c r="D4274" s="3"/>
      <c r="E4274" s="3" t="e">
        <f t="shared" si="138"/>
        <v>#N/A</v>
      </c>
      <c r="F4274" s="3" t="e">
        <f t="shared" si="139"/>
        <v>#N/A</v>
      </c>
    </row>
    <row r="4275" spans="2:6" x14ac:dyDescent="0.25">
      <c r="B4275" s="3"/>
      <c r="C4275" s="3"/>
      <c r="D4275" s="3"/>
      <c r="E4275" s="3" t="e">
        <f t="shared" si="138"/>
        <v>#N/A</v>
      </c>
      <c r="F4275" s="3" t="e">
        <f t="shared" si="139"/>
        <v>#N/A</v>
      </c>
    </row>
    <row r="4276" spans="2:6" x14ac:dyDescent="0.25">
      <c r="B4276" s="3"/>
      <c r="C4276" s="3"/>
      <c r="D4276" s="3"/>
      <c r="E4276" s="3" t="e">
        <f t="shared" si="138"/>
        <v>#N/A</v>
      </c>
      <c r="F4276" s="3" t="e">
        <f t="shared" si="139"/>
        <v>#N/A</v>
      </c>
    </row>
    <row r="4277" spans="2:6" x14ac:dyDescent="0.25">
      <c r="B4277" s="3"/>
      <c r="C4277" s="3"/>
      <c r="D4277" s="3"/>
      <c r="E4277" s="3" t="e">
        <f t="shared" si="138"/>
        <v>#N/A</v>
      </c>
      <c r="F4277" s="3" t="e">
        <f t="shared" si="139"/>
        <v>#N/A</v>
      </c>
    </row>
    <row r="4278" spans="2:6" x14ac:dyDescent="0.25">
      <c r="B4278" s="3"/>
      <c r="C4278" s="3"/>
      <c r="D4278" s="3"/>
      <c r="E4278" s="3" t="e">
        <f t="shared" si="138"/>
        <v>#N/A</v>
      </c>
      <c r="F4278" s="3" t="e">
        <f t="shared" si="139"/>
        <v>#N/A</v>
      </c>
    </row>
    <row r="4279" spans="2:6" x14ac:dyDescent="0.25">
      <c r="B4279" s="3"/>
      <c r="C4279" s="3"/>
      <c r="D4279" s="3"/>
      <c r="E4279" s="3" t="e">
        <f t="shared" si="138"/>
        <v>#N/A</v>
      </c>
      <c r="F4279" s="3" t="e">
        <f t="shared" si="139"/>
        <v>#N/A</v>
      </c>
    </row>
    <row r="4280" spans="2:6" x14ac:dyDescent="0.25">
      <c r="B4280" s="3"/>
      <c r="C4280" s="3"/>
      <c r="D4280" s="3"/>
      <c r="E4280" s="3" t="e">
        <f t="shared" si="138"/>
        <v>#N/A</v>
      </c>
      <c r="F4280" s="3" t="e">
        <f t="shared" si="139"/>
        <v>#N/A</v>
      </c>
    </row>
    <row r="4281" spans="2:6" x14ac:dyDescent="0.25">
      <c r="B4281" s="3"/>
      <c r="C4281" s="3"/>
      <c r="D4281" s="3"/>
      <c r="E4281" s="3" t="e">
        <f t="shared" si="138"/>
        <v>#N/A</v>
      </c>
      <c r="F4281" s="3" t="e">
        <f t="shared" si="139"/>
        <v>#N/A</v>
      </c>
    </row>
    <row r="4282" spans="2:6" x14ac:dyDescent="0.25">
      <c r="B4282" s="3"/>
      <c r="C4282" s="3"/>
      <c r="D4282" s="3"/>
      <c r="E4282" s="3" t="e">
        <f t="shared" si="138"/>
        <v>#N/A</v>
      </c>
      <c r="F4282" s="3" t="e">
        <f t="shared" si="139"/>
        <v>#N/A</v>
      </c>
    </row>
    <row r="4283" spans="2:6" x14ac:dyDescent="0.25">
      <c r="B4283" s="3"/>
      <c r="C4283" s="3"/>
      <c r="D4283" s="3"/>
      <c r="E4283" s="3" t="e">
        <f t="shared" si="138"/>
        <v>#N/A</v>
      </c>
      <c r="F4283" s="3" t="e">
        <f t="shared" si="139"/>
        <v>#N/A</v>
      </c>
    </row>
    <row r="4284" spans="2:6" x14ac:dyDescent="0.25">
      <c r="B4284" s="3"/>
      <c r="C4284" s="3"/>
      <c r="D4284" s="3"/>
      <c r="E4284" s="3" t="e">
        <f t="shared" si="138"/>
        <v>#N/A</v>
      </c>
      <c r="F4284" s="3" t="e">
        <f t="shared" si="139"/>
        <v>#N/A</v>
      </c>
    </row>
    <row r="4285" spans="2:6" x14ac:dyDescent="0.25">
      <c r="B4285" s="3"/>
      <c r="C4285" s="3"/>
      <c r="D4285" s="3"/>
      <c r="E4285" s="3" t="e">
        <f t="shared" si="138"/>
        <v>#N/A</v>
      </c>
      <c r="F4285" s="3" t="e">
        <f t="shared" si="139"/>
        <v>#N/A</v>
      </c>
    </row>
    <row r="4286" spans="2:6" x14ac:dyDescent="0.25">
      <c r="B4286" s="3"/>
      <c r="C4286" s="3"/>
      <c r="D4286" s="3"/>
      <c r="E4286" s="3" t="e">
        <f t="shared" si="138"/>
        <v>#N/A</v>
      </c>
      <c r="F4286" s="3" t="e">
        <f t="shared" si="139"/>
        <v>#N/A</v>
      </c>
    </row>
    <row r="4287" spans="2:6" x14ac:dyDescent="0.25">
      <c r="B4287" s="3"/>
      <c r="C4287" s="3"/>
      <c r="D4287" s="3"/>
      <c r="E4287" s="3" t="e">
        <f t="shared" si="138"/>
        <v>#N/A</v>
      </c>
      <c r="F4287" s="3" t="e">
        <f t="shared" si="139"/>
        <v>#N/A</v>
      </c>
    </row>
    <row r="4288" spans="2:6" x14ac:dyDescent="0.25">
      <c r="B4288" s="3"/>
      <c r="C4288" s="3"/>
      <c r="D4288" s="3"/>
      <c r="E4288" s="3" t="e">
        <f t="shared" si="138"/>
        <v>#N/A</v>
      </c>
      <c r="F4288" s="3" t="e">
        <f t="shared" si="139"/>
        <v>#N/A</v>
      </c>
    </row>
    <row r="4289" spans="2:6" x14ac:dyDescent="0.25">
      <c r="B4289" s="3"/>
      <c r="C4289" s="3"/>
      <c r="D4289" s="3"/>
      <c r="E4289" s="3" t="e">
        <f t="shared" si="138"/>
        <v>#N/A</v>
      </c>
      <c r="F4289" s="3" t="e">
        <f t="shared" si="139"/>
        <v>#N/A</v>
      </c>
    </row>
    <row r="4290" spans="2:6" x14ac:dyDescent="0.25">
      <c r="B4290" s="3"/>
      <c r="C4290" s="3"/>
      <c r="D4290" s="3"/>
      <c r="E4290" s="3" t="e">
        <f t="shared" si="138"/>
        <v>#N/A</v>
      </c>
      <c r="F4290" s="3" t="e">
        <f t="shared" si="139"/>
        <v>#N/A</v>
      </c>
    </row>
    <row r="4291" spans="2:6" x14ac:dyDescent="0.25">
      <c r="B4291" s="3"/>
      <c r="C4291" s="3"/>
      <c r="D4291" s="3"/>
      <c r="E4291" s="3" t="e">
        <f t="shared" si="138"/>
        <v>#N/A</v>
      </c>
      <c r="F4291" s="3" t="e">
        <f t="shared" si="139"/>
        <v>#N/A</v>
      </c>
    </row>
    <row r="4292" spans="2:6" x14ac:dyDescent="0.25">
      <c r="B4292" s="3"/>
      <c r="C4292" s="3"/>
      <c r="D4292" s="3"/>
      <c r="E4292" s="3" t="e">
        <f t="shared" si="138"/>
        <v>#N/A</v>
      </c>
      <c r="F4292" s="3" t="e">
        <f t="shared" si="139"/>
        <v>#N/A</v>
      </c>
    </row>
    <row r="4293" spans="2:6" x14ac:dyDescent="0.25">
      <c r="B4293" s="3"/>
      <c r="C4293" s="3"/>
      <c r="D4293" s="3"/>
      <c r="E4293" s="3" t="e">
        <f t="shared" si="138"/>
        <v>#N/A</v>
      </c>
      <c r="F4293" s="3" t="e">
        <f t="shared" si="139"/>
        <v>#N/A</v>
      </c>
    </row>
    <row r="4294" spans="2:6" x14ac:dyDescent="0.25">
      <c r="B4294" s="3"/>
      <c r="C4294" s="3"/>
      <c r="D4294" s="3"/>
      <c r="E4294" s="3" t="e">
        <f t="shared" si="138"/>
        <v>#N/A</v>
      </c>
      <c r="F4294" s="3" t="e">
        <f t="shared" si="139"/>
        <v>#N/A</v>
      </c>
    </row>
    <row r="4295" spans="2:6" x14ac:dyDescent="0.25">
      <c r="B4295" s="3"/>
      <c r="C4295" s="3"/>
      <c r="D4295" s="3"/>
      <c r="E4295" s="3" t="e">
        <f t="shared" si="138"/>
        <v>#N/A</v>
      </c>
      <c r="F4295" s="3" t="e">
        <f t="shared" si="139"/>
        <v>#N/A</v>
      </c>
    </row>
    <row r="4296" spans="2:6" x14ac:dyDescent="0.25">
      <c r="B4296" s="3"/>
      <c r="C4296" s="3"/>
      <c r="D4296" s="3"/>
      <c r="E4296" s="3" t="e">
        <f t="shared" si="138"/>
        <v>#N/A</v>
      </c>
      <c r="F4296" s="3" t="e">
        <f t="shared" si="139"/>
        <v>#N/A</v>
      </c>
    </row>
    <row r="4297" spans="2:6" x14ac:dyDescent="0.25">
      <c r="B4297" s="3"/>
      <c r="C4297" s="3"/>
      <c r="D4297" s="3"/>
      <c r="E4297" s="3" t="e">
        <f t="shared" si="138"/>
        <v>#N/A</v>
      </c>
      <c r="F4297" s="3" t="e">
        <f t="shared" si="139"/>
        <v>#N/A</v>
      </c>
    </row>
    <row r="4298" spans="2:6" x14ac:dyDescent="0.25">
      <c r="B4298" s="3"/>
      <c r="C4298" s="3"/>
      <c r="D4298" s="3"/>
      <c r="E4298" s="3" t="e">
        <f t="shared" si="138"/>
        <v>#N/A</v>
      </c>
      <c r="F4298" s="3" t="e">
        <f t="shared" si="139"/>
        <v>#N/A</v>
      </c>
    </row>
    <row r="4299" spans="2:6" x14ac:dyDescent="0.25">
      <c r="B4299" s="3"/>
      <c r="C4299" s="3"/>
      <c r="D4299" s="3"/>
      <c r="E4299" s="3" t="e">
        <f t="shared" si="138"/>
        <v>#N/A</v>
      </c>
      <c r="F4299" s="3" t="e">
        <f t="shared" si="139"/>
        <v>#N/A</v>
      </c>
    </row>
    <row r="4300" spans="2:6" x14ac:dyDescent="0.25">
      <c r="B4300" s="3"/>
      <c r="C4300" s="3"/>
      <c r="D4300" s="3"/>
      <c r="E4300" s="3" t="e">
        <f t="shared" si="138"/>
        <v>#N/A</v>
      </c>
      <c r="F4300" s="3" t="e">
        <f t="shared" si="139"/>
        <v>#N/A</v>
      </c>
    </row>
    <row r="4301" spans="2:6" x14ac:dyDescent="0.25">
      <c r="B4301" s="3"/>
      <c r="C4301" s="3"/>
      <c r="D4301" s="3"/>
      <c r="E4301" s="3" t="e">
        <f t="shared" si="138"/>
        <v>#N/A</v>
      </c>
      <c r="F4301" s="3" t="e">
        <f t="shared" si="139"/>
        <v>#N/A</v>
      </c>
    </row>
    <row r="4302" spans="2:6" x14ac:dyDescent="0.25">
      <c r="B4302" s="3"/>
      <c r="C4302" s="3"/>
      <c r="D4302" s="3"/>
      <c r="E4302" s="3" t="e">
        <f t="shared" ref="E4302:E4365" si="140">VLOOKUP(C4302,I:J,2,0)</f>
        <v>#N/A</v>
      </c>
      <c r="F4302" s="3" t="e">
        <f t="shared" ref="F4302:F4365" si="141">E4302&amp;" "&amp;B4302</f>
        <v>#N/A</v>
      </c>
    </row>
    <row r="4303" spans="2:6" x14ac:dyDescent="0.25">
      <c r="B4303" s="3"/>
      <c r="C4303" s="3"/>
      <c r="D4303" s="3"/>
      <c r="E4303" s="3" t="e">
        <f t="shared" si="140"/>
        <v>#N/A</v>
      </c>
      <c r="F4303" s="3" t="e">
        <f t="shared" si="141"/>
        <v>#N/A</v>
      </c>
    </row>
    <row r="4304" spans="2:6" x14ac:dyDescent="0.25">
      <c r="B4304" s="3"/>
      <c r="C4304" s="3"/>
      <c r="D4304" s="3"/>
      <c r="E4304" s="3" t="e">
        <f t="shared" si="140"/>
        <v>#N/A</v>
      </c>
      <c r="F4304" s="3" t="e">
        <f t="shared" si="141"/>
        <v>#N/A</v>
      </c>
    </row>
    <row r="4305" spans="2:6" x14ac:dyDescent="0.25">
      <c r="B4305" s="3"/>
      <c r="C4305" s="3"/>
      <c r="D4305" s="3"/>
      <c r="E4305" s="3" t="e">
        <f t="shared" si="140"/>
        <v>#N/A</v>
      </c>
      <c r="F4305" s="3" t="e">
        <f t="shared" si="141"/>
        <v>#N/A</v>
      </c>
    </row>
    <row r="4306" spans="2:6" x14ac:dyDescent="0.25">
      <c r="B4306" s="3"/>
      <c r="C4306" s="3"/>
      <c r="D4306" s="3"/>
      <c r="E4306" s="3" t="e">
        <f t="shared" si="140"/>
        <v>#N/A</v>
      </c>
      <c r="F4306" s="3" t="e">
        <f t="shared" si="141"/>
        <v>#N/A</v>
      </c>
    </row>
    <row r="4307" spans="2:6" x14ac:dyDescent="0.25">
      <c r="B4307" s="3"/>
      <c r="C4307" s="3"/>
      <c r="D4307" s="3"/>
      <c r="E4307" s="3" t="e">
        <f t="shared" si="140"/>
        <v>#N/A</v>
      </c>
      <c r="F4307" s="3" t="e">
        <f t="shared" si="141"/>
        <v>#N/A</v>
      </c>
    </row>
    <row r="4308" spans="2:6" x14ac:dyDescent="0.25">
      <c r="B4308" s="3"/>
      <c r="C4308" s="3"/>
      <c r="D4308" s="3"/>
      <c r="E4308" s="3" t="e">
        <f t="shared" si="140"/>
        <v>#N/A</v>
      </c>
      <c r="F4308" s="3" t="e">
        <f t="shared" si="141"/>
        <v>#N/A</v>
      </c>
    </row>
    <row r="4309" spans="2:6" x14ac:dyDescent="0.25">
      <c r="B4309" s="3"/>
      <c r="C4309" s="3"/>
      <c r="D4309" s="3"/>
      <c r="E4309" s="3" t="e">
        <f t="shared" si="140"/>
        <v>#N/A</v>
      </c>
      <c r="F4309" s="3" t="e">
        <f t="shared" si="141"/>
        <v>#N/A</v>
      </c>
    </row>
    <row r="4310" spans="2:6" x14ac:dyDescent="0.25">
      <c r="B4310" s="3"/>
      <c r="C4310" s="3"/>
      <c r="D4310" s="3"/>
      <c r="E4310" s="3" t="e">
        <f t="shared" si="140"/>
        <v>#N/A</v>
      </c>
      <c r="F4310" s="3" t="e">
        <f t="shared" si="141"/>
        <v>#N/A</v>
      </c>
    </row>
    <row r="4311" spans="2:6" x14ac:dyDescent="0.25">
      <c r="B4311" s="3"/>
      <c r="C4311" s="3"/>
      <c r="D4311" s="3"/>
      <c r="E4311" s="3" t="e">
        <f t="shared" si="140"/>
        <v>#N/A</v>
      </c>
      <c r="F4311" s="3" t="e">
        <f t="shared" si="141"/>
        <v>#N/A</v>
      </c>
    </row>
    <row r="4312" spans="2:6" x14ac:dyDescent="0.25">
      <c r="B4312" s="3"/>
      <c r="C4312" s="3"/>
      <c r="D4312" s="3"/>
      <c r="E4312" s="3" t="e">
        <f t="shared" si="140"/>
        <v>#N/A</v>
      </c>
      <c r="F4312" s="3" t="e">
        <f t="shared" si="141"/>
        <v>#N/A</v>
      </c>
    </row>
    <row r="4313" spans="2:6" x14ac:dyDescent="0.25">
      <c r="B4313" s="3"/>
      <c r="C4313" s="3"/>
      <c r="D4313" s="3"/>
      <c r="E4313" s="3" t="e">
        <f t="shared" si="140"/>
        <v>#N/A</v>
      </c>
      <c r="F4313" s="3" t="e">
        <f t="shared" si="141"/>
        <v>#N/A</v>
      </c>
    </row>
    <row r="4314" spans="2:6" x14ac:dyDescent="0.25">
      <c r="B4314" s="3"/>
      <c r="C4314" s="3"/>
      <c r="D4314" s="3"/>
      <c r="E4314" s="3" t="e">
        <f t="shared" si="140"/>
        <v>#N/A</v>
      </c>
      <c r="F4314" s="3" t="e">
        <f t="shared" si="141"/>
        <v>#N/A</v>
      </c>
    </row>
    <row r="4315" spans="2:6" x14ac:dyDescent="0.25">
      <c r="B4315" s="3"/>
      <c r="C4315" s="3"/>
      <c r="D4315" s="3"/>
      <c r="E4315" s="3" t="e">
        <f t="shared" si="140"/>
        <v>#N/A</v>
      </c>
      <c r="F4315" s="3" t="e">
        <f t="shared" si="141"/>
        <v>#N/A</v>
      </c>
    </row>
    <row r="4316" spans="2:6" x14ac:dyDescent="0.25">
      <c r="B4316" s="3"/>
      <c r="C4316" s="3"/>
      <c r="D4316" s="3"/>
      <c r="E4316" s="3" t="e">
        <f t="shared" si="140"/>
        <v>#N/A</v>
      </c>
      <c r="F4316" s="3" t="e">
        <f t="shared" si="141"/>
        <v>#N/A</v>
      </c>
    </row>
    <row r="4317" spans="2:6" x14ac:dyDescent="0.25">
      <c r="B4317" s="3"/>
      <c r="C4317" s="3"/>
      <c r="D4317" s="3"/>
      <c r="E4317" s="3" t="e">
        <f t="shared" si="140"/>
        <v>#N/A</v>
      </c>
      <c r="F4317" s="3" t="e">
        <f t="shared" si="141"/>
        <v>#N/A</v>
      </c>
    </row>
    <row r="4318" spans="2:6" x14ac:dyDescent="0.25">
      <c r="B4318" s="3"/>
      <c r="C4318" s="3"/>
      <c r="D4318" s="3"/>
      <c r="E4318" s="3" t="e">
        <f t="shared" si="140"/>
        <v>#N/A</v>
      </c>
      <c r="F4318" s="3" t="e">
        <f t="shared" si="141"/>
        <v>#N/A</v>
      </c>
    </row>
    <row r="4319" spans="2:6" x14ac:dyDescent="0.25">
      <c r="B4319" s="3"/>
      <c r="C4319" s="3"/>
      <c r="D4319" s="3"/>
      <c r="E4319" s="3" t="e">
        <f t="shared" si="140"/>
        <v>#N/A</v>
      </c>
      <c r="F4319" s="3" t="e">
        <f t="shared" si="141"/>
        <v>#N/A</v>
      </c>
    </row>
    <row r="4320" spans="2:6" x14ac:dyDescent="0.25">
      <c r="B4320" s="3"/>
      <c r="C4320" s="3"/>
      <c r="D4320" s="3"/>
      <c r="E4320" s="3" t="e">
        <f t="shared" si="140"/>
        <v>#N/A</v>
      </c>
      <c r="F4320" s="3" t="e">
        <f t="shared" si="141"/>
        <v>#N/A</v>
      </c>
    </row>
    <row r="4321" spans="2:6" x14ac:dyDescent="0.25">
      <c r="B4321" s="3"/>
      <c r="C4321" s="3"/>
      <c r="D4321" s="3"/>
      <c r="E4321" s="3" t="e">
        <f t="shared" si="140"/>
        <v>#N/A</v>
      </c>
      <c r="F4321" s="3" t="e">
        <f t="shared" si="141"/>
        <v>#N/A</v>
      </c>
    </row>
    <row r="4322" spans="2:6" x14ac:dyDescent="0.25">
      <c r="B4322" s="3"/>
      <c r="C4322" s="3"/>
      <c r="D4322" s="3"/>
      <c r="E4322" s="3" t="e">
        <f t="shared" si="140"/>
        <v>#N/A</v>
      </c>
      <c r="F4322" s="3" t="e">
        <f t="shared" si="141"/>
        <v>#N/A</v>
      </c>
    </row>
    <row r="4323" spans="2:6" x14ac:dyDescent="0.25">
      <c r="B4323" s="3"/>
      <c r="C4323" s="3"/>
      <c r="D4323" s="3"/>
      <c r="E4323" s="3" t="e">
        <f t="shared" si="140"/>
        <v>#N/A</v>
      </c>
      <c r="F4323" s="3" t="e">
        <f t="shared" si="141"/>
        <v>#N/A</v>
      </c>
    </row>
    <row r="4324" spans="2:6" x14ac:dyDescent="0.25">
      <c r="B4324" s="3"/>
      <c r="C4324" s="3"/>
      <c r="D4324" s="3"/>
      <c r="E4324" s="3" t="e">
        <f t="shared" si="140"/>
        <v>#N/A</v>
      </c>
      <c r="F4324" s="3" t="e">
        <f t="shared" si="141"/>
        <v>#N/A</v>
      </c>
    </row>
    <row r="4325" spans="2:6" x14ac:dyDescent="0.25">
      <c r="B4325" s="3"/>
      <c r="C4325" s="3"/>
      <c r="D4325" s="3"/>
      <c r="E4325" s="3" t="e">
        <f t="shared" si="140"/>
        <v>#N/A</v>
      </c>
      <c r="F4325" s="3" t="e">
        <f t="shared" si="141"/>
        <v>#N/A</v>
      </c>
    </row>
    <row r="4326" spans="2:6" x14ac:dyDescent="0.25">
      <c r="B4326" s="3"/>
      <c r="C4326" s="3"/>
      <c r="D4326" s="3"/>
      <c r="E4326" s="3" t="e">
        <f t="shared" si="140"/>
        <v>#N/A</v>
      </c>
      <c r="F4326" s="3" t="e">
        <f t="shared" si="141"/>
        <v>#N/A</v>
      </c>
    </row>
    <row r="4327" spans="2:6" x14ac:dyDescent="0.25">
      <c r="B4327" s="3"/>
      <c r="C4327" s="3"/>
      <c r="D4327" s="3"/>
      <c r="E4327" s="3" t="e">
        <f t="shared" si="140"/>
        <v>#N/A</v>
      </c>
      <c r="F4327" s="3" t="e">
        <f t="shared" si="141"/>
        <v>#N/A</v>
      </c>
    </row>
    <row r="4328" spans="2:6" x14ac:dyDescent="0.25">
      <c r="B4328" s="3"/>
      <c r="C4328" s="3"/>
      <c r="D4328" s="3"/>
      <c r="E4328" s="3" t="e">
        <f t="shared" si="140"/>
        <v>#N/A</v>
      </c>
      <c r="F4328" s="3" t="e">
        <f t="shared" si="141"/>
        <v>#N/A</v>
      </c>
    </row>
    <row r="4329" spans="2:6" x14ac:dyDescent="0.25">
      <c r="B4329" s="3"/>
      <c r="C4329" s="3"/>
      <c r="D4329" s="3"/>
      <c r="E4329" s="3" t="e">
        <f t="shared" si="140"/>
        <v>#N/A</v>
      </c>
      <c r="F4329" s="3" t="e">
        <f t="shared" si="141"/>
        <v>#N/A</v>
      </c>
    </row>
    <row r="4330" spans="2:6" x14ac:dyDescent="0.25">
      <c r="B4330" s="3"/>
      <c r="C4330" s="3"/>
      <c r="D4330" s="3"/>
      <c r="E4330" s="3" t="e">
        <f t="shared" si="140"/>
        <v>#N/A</v>
      </c>
      <c r="F4330" s="3" t="e">
        <f t="shared" si="141"/>
        <v>#N/A</v>
      </c>
    </row>
    <row r="4331" spans="2:6" x14ac:dyDescent="0.25">
      <c r="B4331" s="3"/>
      <c r="C4331" s="3"/>
      <c r="D4331" s="3"/>
      <c r="E4331" s="3" t="e">
        <f t="shared" si="140"/>
        <v>#N/A</v>
      </c>
      <c r="F4331" s="3" t="e">
        <f t="shared" si="141"/>
        <v>#N/A</v>
      </c>
    </row>
    <row r="4332" spans="2:6" x14ac:dyDescent="0.25">
      <c r="B4332" s="3"/>
      <c r="C4332" s="3"/>
      <c r="D4332" s="3"/>
      <c r="E4332" s="3" t="e">
        <f t="shared" si="140"/>
        <v>#N/A</v>
      </c>
      <c r="F4332" s="3" t="e">
        <f t="shared" si="141"/>
        <v>#N/A</v>
      </c>
    </row>
    <row r="4333" spans="2:6" x14ac:dyDescent="0.25">
      <c r="B4333" s="3"/>
      <c r="C4333" s="3"/>
      <c r="D4333" s="3"/>
      <c r="E4333" s="3" t="e">
        <f t="shared" si="140"/>
        <v>#N/A</v>
      </c>
      <c r="F4333" s="3" t="e">
        <f t="shared" si="141"/>
        <v>#N/A</v>
      </c>
    </row>
    <row r="4334" spans="2:6" x14ac:dyDescent="0.25">
      <c r="B4334" s="3"/>
      <c r="C4334" s="3"/>
      <c r="D4334" s="3"/>
      <c r="E4334" s="3" t="e">
        <f t="shared" si="140"/>
        <v>#N/A</v>
      </c>
      <c r="F4334" s="3" t="e">
        <f t="shared" si="141"/>
        <v>#N/A</v>
      </c>
    </row>
    <row r="4335" spans="2:6" x14ac:dyDescent="0.25">
      <c r="B4335" s="3"/>
      <c r="C4335" s="3"/>
      <c r="D4335" s="3"/>
      <c r="E4335" s="3" t="e">
        <f t="shared" si="140"/>
        <v>#N/A</v>
      </c>
      <c r="F4335" s="3" t="e">
        <f t="shared" si="141"/>
        <v>#N/A</v>
      </c>
    </row>
    <row r="4336" spans="2:6" x14ac:dyDescent="0.25">
      <c r="B4336" s="3"/>
      <c r="C4336" s="3"/>
      <c r="D4336" s="3"/>
      <c r="E4336" s="3" t="e">
        <f t="shared" si="140"/>
        <v>#N/A</v>
      </c>
      <c r="F4336" s="3" t="e">
        <f t="shared" si="141"/>
        <v>#N/A</v>
      </c>
    </row>
    <row r="4337" spans="2:6" x14ac:dyDescent="0.25">
      <c r="B4337" s="3"/>
      <c r="C4337" s="3"/>
      <c r="D4337" s="3"/>
      <c r="E4337" s="3" t="e">
        <f t="shared" si="140"/>
        <v>#N/A</v>
      </c>
      <c r="F4337" s="3" t="e">
        <f t="shared" si="141"/>
        <v>#N/A</v>
      </c>
    </row>
    <row r="4338" spans="2:6" x14ac:dyDescent="0.25">
      <c r="B4338" s="3"/>
      <c r="C4338" s="3"/>
      <c r="D4338" s="3"/>
      <c r="E4338" s="3" t="e">
        <f t="shared" si="140"/>
        <v>#N/A</v>
      </c>
      <c r="F4338" s="3" t="e">
        <f t="shared" si="141"/>
        <v>#N/A</v>
      </c>
    </row>
    <row r="4339" spans="2:6" x14ac:dyDescent="0.25">
      <c r="B4339" s="3"/>
      <c r="C4339" s="3"/>
      <c r="D4339" s="3"/>
      <c r="E4339" s="3" t="e">
        <f t="shared" si="140"/>
        <v>#N/A</v>
      </c>
      <c r="F4339" s="3" t="e">
        <f t="shared" si="141"/>
        <v>#N/A</v>
      </c>
    </row>
    <row r="4340" spans="2:6" x14ac:dyDescent="0.25">
      <c r="B4340" s="3"/>
      <c r="C4340" s="3"/>
      <c r="D4340" s="3"/>
      <c r="E4340" s="3" t="e">
        <f t="shared" si="140"/>
        <v>#N/A</v>
      </c>
      <c r="F4340" s="3" t="e">
        <f t="shared" si="141"/>
        <v>#N/A</v>
      </c>
    </row>
    <row r="4341" spans="2:6" x14ac:dyDescent="0.25">
      <c r="B4341" s="3"/>
      <c r="C4341" s="3"/>
      <c r="D4341" s="3"/>
      <c r="E4341" s="3" t="e">
        <f t="shared" si="140"/>
        <v>#N/A</v>
      </c>
      <c r="F4341" s="3" t="e">
        <f t="shared" si="141"/>
        <v>#N/A</v>
      </c>
    </row>
    <row r="4342" spans="2:6" x14ac:dyDescent="0.25">
      <c r="B4342" s="3"/>
      <c r="C4342" s="3"/>
      <c r="D4342" s="3"/>
      <c r="E4342" s="3" t="e">
        <f t="shared" si="140"/>
        <v>#N/A</v>
      </c>
      <c r="F4342" s="3" t="e">
        <f t="shared" si="141"/>
        <v>#N/A</v>
      </c>
    </row>
    <row r="4343" spans="2:6" x14ac:dyDescent="0.25">
      <c r="B4343" s="3"/>
      <c r="C4343" s="3"/>
      <c r="D4343" s="3"/>
      <c r="E4343" s="3" t="e">
        <f t="shared" si="140"/>
        <v>#N/A</v>
      </c>
      <c r="F4343" s="3" t="e">
        <f t="shared" si="141"/>
        <v>#N/A</v>
      </c>
    </row>
    <row r="4344" spans="2:6" x14ac:dyDescent="0.25">
      <c r="B4344" s="3"/>
      <c r="C4344" s="3"/>
      <c r="D4344" s="3"/>
      <c r="E4344" s="3" t="e">
        <f t="shared" si="140"/>
        <v>#N/A</v>
      </c>
      <c r="F4344" s="3" t="e">
        <f t="shared" si="141"/>
        <v>#N/A</v>
      </c>
    </row>
    <row r="4345" spans="2:6" x14ac:dyDescent="0.25">
      <c r="B4345" s="3"/>
      <c r="C4345" s="3"/>
      <c r="D4345" s="3"/>
      <c r="E4345" s="3" t="e">
        <f t="shared" si="140"/>
        <v>#N/A</v>
      </c>
      <c r="F4345" s="3" t="e">
        <f t="shared" si="141"/>
        <v>#N/A</v>
      </c>
    </row>
    <row r="4346" spans="2:6" x14ac:dyDescent="0.25">
      <c r="B4346" s="3"/>
      <c r="C4346" s="3"/>
      <c r="D4346" s="3"/>
      <c r="E4346" s="3" t="e">
        <f t="shared" si="140"/>
        <v>#N/A</v>
      </c>
      <c r="F4346" s="3" t="e">
        <f t="shared" si="141"/>
        <v>#N/A</v>
      </c>
    </row>
    <row r="4347" spans="2:6" x14ac:dyDescent="0.25">
      <c r="B4347" s="3"/>
      <c r="C4347" s="3"/>
      <c r="D4347" s="3"/>
      <c r="E4347" s="3" t="e">
        <f t="shared" si="140"/>
        <v>#N/A</v>
      </c>
      <c r="F4347" s="3" t="e">
        <f t="shared" si="141"/>
        <v>#N/A</v>
      </c>
    </row>
    <row r="4348" spans="2:6" x14ac:dyDescent="0.25">
      <c r="B4348" s="3"/>
      <c r="C4348" s="3"/>
      <c r="D4348" s="3"/>
      <c r="E4348" s="3" t="e">
        <f t="shared" si="140"/>
        <v>#N/A</v>
      </c>
      <c r="F4348" s="3" t="e">
        <f t="shared" si="141"/>
        <v>#N/A</v>
      </c>
    </row>
    <row r="4349" spans="2:6" x14ac:dyDescent="0.25">
      <c r="B4349" s="3"/>
      <c r="C4349" s="3"/>
      <c r="D4349" s="3"/>
      <c r="E4349" s="3" t="e">
        <f t="shared" si="140"/>
        <v>#N/A</v>
      </c>
      <c r="F4349" s="3" t="e">
        <f t="shared" si="141"/>
        <v>#N/A</v>
      </c>
    </row>
    <row r="4350" spans="2:6" x14ac:dyDescent="0.25">
      <c r="B4350" s="3"/>
      <c r="C4350" s="3"/>
      <c r="D4350" s="3"/>
      <c r="E4350" s="3" t="e">
        <f t="shared" si="140"/>
        <v>#N/A</v>
      </c>
      <c r="F4350" s="3" t="e">
        <f t="shared" si="141"/>
        <v>#N/A</v>
      </c>
    </row>
    <row r="4351" spans="2:6" x14ac:dyDescent="0.25">
      <c r="B4351" s="3"/>
      <c r="C4351" s="3"/>
      <c r="D4351" s="3"/>
      <c r="E4351" s="3" t="e">
        <f t="shared" si="140"/>
        <v>#N/A</v>
      </c>
      <c r="F4351" s="3" t="e">
        <f t="shared" si="141"/>
        <v>#N/A</v>
      </c>
    </row>
    <row r="4352" spans="2:6" x14ac:dyDescent="0.25">
      <c r="B4352" s="3"/>
      <c r="C4352" s="3"/>
      <c r="D4352" s="3"/>
      <c r="E4352" s="3" t="e">
        <f t="shared" si="140"/>
        <v>#N/A</v>
      </c>
      <c r="F4352" s="3" t="e">
        <f t="shared" si="141"/>
        <v>#N/A</v>
      </c>
    </row>
    <row r="4353" spans="2:6" x14ac:dyDescent="0.25">
      <c r="B4353" s="3"/>
      <c r="C4353" s="3"/>
      <c r="D4353" s="3"/>
      <c r="E4353" s="3" t="e">
        <f t="shared" si="140"/>
        <v>#N/A</v>
      </c>
      <c r="F4353" s="3" t="e">
        <f t="shared" si="141"/>
        <v>#N/A</v>
      </c>
    </row>
    <row r="4354" spans="2:6" x14ac:dyDescent="0.25">
      <c r="B4354" s="3"/>
      <c r="C4354" s="3"/>
      <c r="D4354" s="3"/>
      <c r="E4354" s="3" t="e">
        <f t="shared" si="140"/>
        <v>#N/A</v>
      </c>
      <c r="F4354" s="3" t="e">
        <f t="shared" si="141"/>
        <v>#N/A</v>
      </c>
    </row>
    <row r="4355" spans="2:6" x14ac:dyDescent="0.25">
      <c r="B4355" s="3"/>
      <c r="C4355" s="3"/>
      <c r="D4355" s="3"/>
      <c r="E4355" s="3" t="e">
        <f t="shared" si="140"/>
        <v>#N/A</v>
      </c>
      <c r="F4355" s="3" t="e">
        <f t="shared" si="141"/>
        <v>#N/A</v>
      </c>
    </row>
    <row r="4356" spans="2:6" x14ac:dyDescent="0.25">
      <c r="B4356" s="3"/>
      <c r="C4356" s="3"/>
      <c r="D4356" s="3"/>
      <c r="E4356" s="3" t="e">
        <f t="shared" si="140"/>
        <v>#N/A</v>
      </c>
      <c r="F4356" s="3" t="e">
        <f t="shared" si="141"/>
        <v>#N/A</v>
      </c>
    </row>
    <row r="4357" spans="2:6" x14ac:dyDescent="0.25">
      <c r="B4357" s="3"/>
      <c r="C4357" s="3"/>
      <c r="D4357" s="3"/>
      <c r="E4357" s="3" t="e">
        <f t="shared" si="140"/>
        <v>#N/A</v>
      </c>
      <c r="F4357" s="3" t="e">
        <f t="shared" si="141"/>
        <v>#N/A</v>
      </c>
    </row>
    <row r="4358" spans="2:6" x14ac:dyDescent="0.25">
      <c r="B4358" s="3"/>
      <c r="C4358" s="3"/>
      <c r="D4358" s="3"/>
      <c r="E4358" s="3" t="e">
        <f t="shared" si="140"/>
        <v>#N/A</v>
      </c>
      <c r="F4358" s="3" t="e">
        <f t="shared" si="141"/>
        <v>#N/A</v>
      </c>
    </row>
    <row r="4359" spans="2:6" x14ac:dyDescent="0.25">
      <c r="B4359" s="3"/>
      <c r="C4359" s="3"/>
      <c r="D4359" s="3"/>
      <c r="E4359" s="3" t="e">
        <f t="shared" si="140"/>
        <v>#N/A</v>
      </c>
      <c r="F4359" s="3" t="e">
        <f t="shared" si="141"/>
        <v>#N/A</v>
      </c>
    </row>
    <row r="4360" spans="2:6" x14ac:dyDescent="0.25">
      <c r="B4360" s="3"/>
      <c r="C4360" s="3"/>
      <c r="D4360" s="3"/>
      <c r="E4360" s="3" t="e">
        <f t="shared" si="140"/>
        <v>#N/A</v>
      </c>
      <c r="F4360" s="3" t="e">
        <f t="shared" si="141"/>
        <v>#N/A</v>
      </c>
    </row>
    <row r="4361" spans="2:6" x14ac:dyDescent="0.25">
      <c r="B4361" s="3"/>
      <c r="C4361" s="3"/>
      <c r="D4361" s="3"/>
      <c r="E4361" s="3" t="e">
        <f t="shared" si="140"/>
        <v>#N/A</v>
      </c>
      <c r="F4361" s="3" t="e">
        <f t="shared" si="141"/>
        <v>#N/A</v>
      </c>
    </row>
    <row r="4362" spans="2:6" x14ac:dyDescent="0.25">
      <c r="B4362" s="3"/>
      <c r="C4362" s="3"/>
      <c r="D4362" s="3"/>
      <c r="E4362" s="3" t="e">
        <f t="shared" si="140"/>
        <v>#N/A</v>
      </c>
      <c r="F4362" s="3" t="e">
        <f t="shared" si="141"/>
        <v>#N/A</v>
      </c>
    </row>
    <row r="4363" spans="2:6" x14ac:dyDescent="0.25">
      <c r="B4363" s="3"/>
      <c r="C4363" s="3"/>
      <c r="D4363" s="3"/>
      <c r="E4363" s="3" t="e">
        <f t="shared" si="140"/>
        <v>#N/A</v>
      </c>
      <c r="F4363" s="3" t="e">
        <f t="shared" si="141"/>
        <v>#N/A</v>
      </c>
    </row>
    <row r="4364" spans="2:6" x14ac:dyDescent="0.25">
      <c r="B4364" s="3"/>
      <c r="C4364" s="3"/>
      <c r="D4364" s="3"/>
      <c r="E4364" s="3" t="e">
        <f t="shared" si="140"/>
        <v>#N/A</v>
      </c>
      <c r="F4364" s="3" t="e">
        <f t="shared" si="141"/>
        <v>#N/A</v>
      </c>
    </row>
    <row r="4365" spans="2:6" x14ac:dyDescent="0.25">
      <c r="B4365" s="3"/>
      <c r="C4365" s="3"/>
      <c r="D4365" s="3"/>
      <c r="E4365" s="3" t="e">
        <f t="shared" si="140"/>
        <v>#N/A</v>
      </c>
      <c r="F4365" s="3" t="e">
        <f t="shared" si="141"/>
        <v>#N/A</v>
      </c>
    </row>
    <row r="4366" spans="2:6" x14ac:dyDescent="0.25">
      <c r="B4366" s="3"/>
      <c r="C4366" s="3"/>
      <c r="D4366" s="3"/>
      <c r="E4366" s="3" t="e">
        <f t="shared" ref="E4366:E4429" si="142">VLOOKUP(C4366,I:J,2,0)</f>
        <v>#N/A</v>
      </c>
      <c r="F4366" s="3" t="e">
        <f t="shared" ref="F4366:F4429" si="143">E4366&amp;" "&amp;B4366</f>
        <v>#N/A</v>
      </c>
    </row>
    <row r="4367" spans="2:6" x14ac:dyDescent="0.25">
      <c r="B4367" s="3"/>
      <c r="C4367" s="3"/>
      <c r="D4367" s="3"/>
      <c r="E4367" s="3" t="e">
        <f t="shared" si="142"/>
        <v>#N/A</v>
      </c>
      <c r="F4367" s="3" t="e">
        <f t="shared" si="143"/>
        <v>#N/A</v>
      </c>
    </row>
    <row r="4368" spans="2:6" x14ac:dyDescent="0.25">
      <c r="B4368" s="3"/>
      <c r="C4368" s="3"/>
      <c r="D4368" s="3"/>
      <c r="E4368" s="3" t="e">
        <f t="shared" si="142"/>
        <v>#N/A</v>
      </c>
      <c r="F4368" s="3" t="e">
        <f t="shared" si="143"/>
        <v>#N/A</v>
      </c>
    </row>
    <row r="4369" spans="2:6" x14ac:dyDescent="0.25">
      <c r="B4369" s="3"/>
      <c r="C4369" s="3"/>
      <c r="D4369" s="3"/>
      <c r="E4369" s="3" t="e">
        <f t="shared" si="142"/>
        <v>#N/A</v>
      </c>
      <c r="F4369" s="3" t="e">
        <f t="shared" si="143"/>
        <v>#N/A</v>
      </c>
    </row>
    <row r="4370" spans="2:6" x14ac:dyDescent="0.25">
      <c r="B4370" s="3"/>
      <c r="C4370" s="3"/>
      <c r="D4370" s="3"/>
      <c r="E4370" s="3" t="e">
        <f t="shared" si="142"/>
        <v>#N/A</v>
      </c>
      <c r="F4370" s="3" t="e">
        <f t="shared" si="143"/>
        <v>#N/A</v>
      </c>
    </row>
    <row r="4371" spans="2:6" x14ac:dyDescent="0.25">
      <c r="B4371" s="3"/>
      <c r="C4371" s="3"/>
      <c r="D4371" s="3"/>
      <c r="E4371" s="3" t="e">
        <f t="shared" si="142"/>
        <v>#N/A</v>
      </c>
      <c r="F4371" s="3" t="e">
        <f t="shared" si="143"/>
        <v>#N/A</v>
      </c>
    </row>
    <row r="4372" spans="2:6" x14ac:dyDescent="0.25">
      <c r="B4372" s="3"/>
      <c r="C4372" s="3"/>
      <c r="D4372" s="3"/>
      <c r="E4372" s="3" t="e">
        <f t="shared" si="142"/>
        <v>#N/A</v>
      </c>
      <c r="F4372" s="3" t="e">
        <f t="shared" si="143"/>
        <v>#N/A</v>
      </c>
    </row>
    <row r="4373" spans="2:6" x14ac:dyDescent="0.25">
      <c r="B4373" s="3"/>
      <c r="C4373" s="3"/>
      <c r="D4373" s="3"/>
      <c r="E4373" s="3" t="e">
        <f t="shared" si="142"/>
        <v>#N/A</v>
      </c>
      <c r="F4373" s="3" t="e">
        <f t="shared" si="143"/>
        <v>#N/A</v>
      </c>
    </row>
    <row r="4374" spans="2:6" x14ac:dyDescent="0.25">
      <c r="B4374" s="3"/>
      <c r="C4374" s="3"/>
      <c r="D4374" s="3"/>
      <c r="E4374" s="3" t="e">
        <f t="shared" si="142"/>
        <v>#N/A</v>
      </c>
      <c r="F4374" s="3" t="e">
        <f t="shared" si="143"/>
        <v>#N/A</v>
      </c>
    </row>
    <row r="4375" spans="2:6" x14ac:dyDescent="0.25">
      <c r="B4375" s="3"/>
      <c r="C4375" s="3"/>
      <c r="D4375" s="3"/>
      <c r="E4375" s="3" t="e">
        <f t="shared" si="142"/>
        <v>#N/A</v>
      </c>
      <c r="F4375" s="3" t="e">
        <f t="shared" si="143"/>
        <v>#N/A</v>
      </c>
    </row>
    <row r="4376" spans="2:6" x14ac:dyDescent="0.25">
      <c r="B4376" s="3"/>
      <c r="C4376" s="3"/>
      <c r="D4376" s="3"/>
      <c r="E4376" s="3" t="e">
        <f t="shared" si="142"/>
        <v>#N/A</v>
      </c>
      <c r="F4376" s="3" t="e">
        <f t="shared" si="143"/>
        <v>#N/A</v>
      </c>
    </row>
    <row r="4377" spans="2:6" x14ac:dyDescent="0.25">
      <c r="B4377" s="3"/>
      <c r="C4377" s="3"/>
      <c r="D4377" s="3"/>
      <c r="E4377" s="3" t="e">
        <f t="shared" si="142"/>
        <v>#N/A</v>
      </c>
      <c r="F4377" s="3" t="e">
        <f t="shared" si="143"/>
        <v>#N/A</v>
      </c>
    </row>
    <row r="4378" spans="2:6" x14ac:dyDescent="0.25">
      <c r="B4378" s="3"/>
      <c r="C4378" s="3"/>
      <c r="D4378" s="3"/>
      <c r="E4378" s="3" t="e">
        <f t="shared" si="142"/>
        <v>#N/A</v>
      </c>
      <c r="F4378" s="3" t="e">
        <f t="shared" si="143"/>
        <v>#N/A</v>
      </c>
    </row>
    <row r="4379" spans="2:6" x14ac:dyDescent="0.25">
      <c r="B4379" s="3"/>
      <c r="C4379" s="3"/>
      <c r="D4379" s="3"/>
      <c r="E4379" s="3" t="e">
        <f t="shared" si="142"/>
        <v>#N/A</v>
      </c>
      <c r="F4379" s="3" t="e">
        <f t="shared" si="143"/>
        <v>#N/A</v>
      </c>
    </row>
    <row r="4380" spans="2:6" x14ac:dyDescent="0.25">
      <c r="B4380" s="3"/>
      <c r="C4380" s="3"/>
      <c r="D4380" s="3"/>
      <c r="E4380" s="3" t="e">
        <f t="shared" si="142"/>
        <v>#N/A</v>
      </c>
      <c r="F4380" s="3" t="e">
        <f t="shared" si="143"/>
        <v>#N/A</v>
      </c>
    </row>
    <row r="4381" spans="2:6" x14ac:dyDescent="0.25">
      <c r="B4381" s="3"/>
      <c r="C4381" s="3"/>
      <c r="D4381" s="3"/>
      <c r="E4381" s="3" t="e">
        <f t="shared" si="142"/>
        <v>#N/A</v>
      </c>
      <c r="F4381" s="3" t="e">
        <f t="shared" si="143"/>
        <v>#N/A</v>
      </c>
    </row>
    <row r="4382" spans="2:6" x14ac:dyDescent="0.25">
      <c r="B4382" s="3"/>
      <c r="C4382" s="3"/>
      <c r="D4382" s="3"/>
      <c r="E4382" s="3" t="e">
        <f t="shared" si="142"/>
        <v>#N/A</v>
      </c>
      <c r="F4382" s="3" t="e">
        <f t="shared" si="143"/>
        <v>#N/A</v>
      </c>
    </row>
    <row r="4383" spans="2:6" x14ac:dyDescent="0.25">
      <c r="B4383" s="3"/>
      <c r="C4383" s="3"/>
      <c r="D4383" s="3"/>
      <c r="E4383" s="3" t="e">
        <f t="shared" si="142"/>
        <v>#N/A</v>
      </c>
      <c r="F4383" s="3" t="e">
        <f t="shared" si="143"/>
        <v>#N/A</v>
      </c>
    </row>
    <row r="4384" spans="2:6" x14ac:dyDescent="0.25">
      <c r="B4384" s="3"/>
      <c r="C4384" s="3"/>
      <c r="D4384" s="3"/>
      <c r="E4384" s="3" t="e">
        <f t="shared" si="142"/>
        <v>#N/A</v>
      </c>
      <c r="F4384" s="3" t="e">
        <f t="shared" si="143"/>
        <v>#N/A</v>
      </c>
    </row>
    <row r="4385" spans="2:6" x14ac:dyDescent="0.25">
      <c r="B4385" s="3"/>
      <c r="C4385" s="3"/>
      <c r="D4385" s="3"/>
      <c r="E4385" s="3" t="e">
        <f t="shared" si="142"/>
        <v>#N/A</v>
      </c>
      <c r="F4385" s="3" t="e">
        <f t="shared" si="143"/>
        <v>#N/A</v>
      </c>
    </row>
    <row r="4386" spans="2:6" x14ac:dyDescent="0.25">
      <c r="B4386" s="3"/>
      <c r="C4386" s="3"/>
      <c r="D4386" s="3"/>
      <c r="E4386" s="3" t="e">
        <f t="shared" si="142"/>
        <v>#N/A</v>
      </c>
      <c r="F4386" s="3" t="e">
        <f t="shared" si="143"/>
        <v>#N/A</v>
      </c>
    </row>
    <row r="4387" spans="2:6" x14ac:dyDescent="0.25">
      <c r="B4387" s="3"/>
      <c r="C4387" s="3"/>
      <c r="D4387" s="3"/>
      <c r="E4387" s="3" t="e">
        <f t="shared" si="142"/>
        <v>#N/A</v>
      </c>
      <c r="F4387" s="3" t="e">
        <f t="shared" si="143"/>
        <v>#N/A</v>
      </c>
    </row>
    <row r="4388" spans="2:6" x14ac:dyDescent="0.25">
      <c r="B4388" s="3"/>
      <c r="C4388" s="3"/>
      <c r="D4388" s="3"/>
      <c r="E4388" s="3" t="e">
        <f t="shared" si="142"/>
        <v>#N/A</v>
      </c>
      <c r="F4388" s="3" t="e">
        <f t="shared" si="143"/>
        <v>#N/A</v>
      </c>
    </row>
    <row r="4389" spans="2:6" x14ac:dyDescent="0.25">
      <c r="B4389" s="3"/>
      <c r="C4389" s="3"/>
      <c r="D4389" s="3"/>
      <c r="E4389" s="3" t="e">
        <f t="shared" si="142"/>
        <v>#N/A</v>
      </c>
      <c r="F4389" s="3" t="e">
        <f t="shared" si="143"/>
        <v>#N/A</v>
      </c>
    </row>
    <row r="4390" spans="2:6" x14ac:dyDescent="0.25">
      <c r="B4390" s="3"/>
      <c r="C4390" s="3"/>
      <c r="D4390" s="3"/>
      <c r="E4390" s="3" t="e">
        <f t="shared" si="142"/>
        <v>#N/A</v>
      </c>
      <c r="F4390" s="3" t="e">
        <f t="shared" si="143"/>
        <v>#N/A</v>
      </c>
    </row>
    <row r="4391" spans="2:6" x14ac:dyDescent="0.25">
      <c r="B4391" s="3"/>
      <c r="C4391" s="3"/>
      <c r="D4391" s="3"/>
      <c r="E4391" s="3" t="e">
        <f t="shared" si="142"/>
        <v>#N/A</v>
      </c>
      <c r="F4391" s="3" t="e">
        <f t="shared" si="143"/>
        <v>#N/A</v>
      </c>
    </row>
    <row r="4392" spans="2:6" x14ac:dyDescent="0.25">
      <c r="B4392" s="3"/>
      <c r="C4392" s="3"/>
      <c r="D4392" s="3"/>
      <c r="E4392" s="3" t="e">
        <f t="shared" si="142"/>
        <v>#N/A</v>
      </c>
      <c r="F4392" s="3" t="e">
        <f t="shared" si="143"/>
        <v>#N/A</v>
      </c>
    </row>
    <row r="4393" spans="2:6" x14ac:dyDescent="0.25">
      <c r="B4393" s="3"/>
      <c r="C4393" s="3"/>
      <c r="D4393" s="3"/>
      <c r="E4393" s="3" t="e">
        <f t="shared" si="142"/>
        <v>#N/A</v>
      </c>
      <c r="F4393" s="3" t="e">
        <f t="shared" si="143"/>
        <v>#N/A</v>
      </c>
    </row>
    <row r="4394" spans="2:6" x14ac:dyDescent="0.25">
      <c r="B4394" s="3"/>
      <c r="C4394" s="3"/>
      <c r="D4394" s="3"/>
      <c r="E4394" s="3" t="e">
        <f t="shared" si="142"/>
        <v>#N/A</v>
      </c>
      <c r="F4394" s="3" t="e">
        <f t="shared" si="143"/>
        <v>#N/A</v>
      </c>
    </row>
    <row r="4395" spans="2:6" x14ac:dyDescent="0.25">
      <c r="B4395" s="3"/>
      <c r="C4395" s="3"/>
      <c r="D4395" s="3"/>
      <c r="E4395" s="3" t="e">
        <f t="shared" si="142"/>
        <v>#N/A</v>
      </c>
      <c r="F4395" s="3" t="e">
        <f t="shared" si="143"/>
        <v>#N/A</v>
      </c>
    </row>
    <row r="4396" spans="2:6" x14ac:dyDescent="0.25">
      <c r="B4396" s="3"/>
      <c r="C4396" s="3"/>
      <c r="D4396" s="3"/>
      <c r="E4396" s="3" t="e">
        <f t="shared" si="142"/>
        <v>#N/A</v>
      </c>
      <c r="F4396" s="3" t="e">
        <f t="shared" si="143"/>
        <v>#N/A</v>
      </c>
    </row>
    <row r="4397" spans="2:6" x14ac:dyDescent="0.25">
      <c r="B4397" s="3"/>
      <c r="C4397" s="3"/>
      <c r="D4397" s="3"/>
      <c r="E4397" s="3" t="e">
        <f t="shared" si="142"/>
        <v>#N/A</v>
      </c>
      <c r="F4397" s="3" t="e">
        <f t="shared" si="143"/>
        <v>#N/A</v>
      </c>
    </row>
    <row r="4398" spans="2:6" x14ac:dyDescent="0.25">
      <c r="B4398" s="3"/>
      <c r="C4398" s="3"/>
      <c r="D4398" s="3"/>
      <c r="E4398" s="3" t="e">
        <f t="shared" si="142"/>
        <v>#N/A</v>
      </c>
      <c r="F4398" s="3" t="e">
        <f t="shared" si="143"/>
        <v>#N/A</v>
      </c>
    </row>
    <row r="4399" spans="2:6" x14ac:dyDescent="0.25">
      <c r="B4399" s="3"/>
      <c r="C4399" s="3"/>
      <c r="D4399" s="3"/>
      <c r="E4399" s="3" t="e">
        <f t="shared" si="142"/>
        <v>#N/A</v>
      </c>
      <c r="F4399" s="3" t="e">
        <f t="shared" si="143"/>
        <v>#N/A</v>
      </c>
    </row>
    <row r="4400" spans="2:6" x14ac:dyDescent="0.25">
      <c r="B4400" s="3"/>
      <c r="C4400" s="3"/>
      <c r="D4400" s="3"/>
      <c r="E4400" s="3" t="e">
        <f t="shared" si="142"/>
        <v>#N/A</v>
      </c>
      <c r="F4400" s="3" t="e">
        <f t="shared" si="143"/>
        <v>#N/A</v>
      </c>
    </row>
    <row r="4401" spans="2:6" x14ac:dyDescent="0.25">
      <c r="B4401" s="3"/>
      <c r="C4401" s="3"/>
      <c r="D4401" s="3"/>
      <c r="E4401" s="3" t="e">
        <f t="shared" si="142"/>
        <v>#N/A</v>
      </c>
      <c r="F4401" s="3" t="e">
        <f t="shared" si="143"/>
        <v>#N/A</v>
      </c>
    </row>
    <row r="4402" spans="2:6" x14ac:dyDescent="0.25">
      <c r="B4402" s="3"/>
      <c r="C4402" s="3"/>
      <c r="D4402" s="3"/>
      <c r="E4402" s="3" t="e">
        <f t="shared" si="142"/>
        <v>#N/A</v>
      </c>
      <c r="F4402" s="3" t="e">
        <f t="shared" si="143"/>
        <v>#N/A</v>
      </c>
    </row>
    <row r="4403" spans="2:6" x14ac:dyDescent="0.25">
      <c r="B4403" s="3"/>
      <c r="C4403" s="3"/>
      <c r="D4403" s="3"/>
      <c r="E4403" s="3" t="e">
        <f t="shared" si="142"/>
        <v>#N/A</v>
      </c>
      <c r="F4403" s="3" t="e">
        <f t="shared" si="143"/>
        <v>#N/A</v>
      </c>
    </row>
    <row r="4404" spans="2:6" x14ac:dyDescent="0.25">
      <c r="B4404" s="3"/>
      <c r="C4404" s="3"/>
      <c r="D4404" s="3"/>
      <c r="E4404" s="3" t="e">
        <f t="shared" si="142"/>
        <v>#N/A</v>
      </c>
      <c r="F4404" s="3" t="e">
        <f t="shared" si="143"/>
        <v>#N/A</v>
      </c>
    </row>
    <row r="4405" spans="2:6" x14ac:dyDescent="0.25">
      <c r="B4405" s="3"/>
      <c r="C4405" s="3"/>
      <c r="D4405" s="3"/>
      <c r="E4405" s="3" t="e">
        <f t="shared" si="142"/>
        <v>#N/A</v>
      </c>
      <c r="F4405" s="3" t="e">
        <f t="shared" si="143"/>
        <v>#N/A</v>
      </c>
    </row>
    <row r="4406" spans="2:6" x14ac:dyDescent="0.25">
      <c r="B4406" s="3"/>
      <c r="C4406" s="3"/>
      <c r="D4406" s="3"/>
      <c r="E4406" s="3" t="e">
        <f t="shared" si="142"/>
        <v>#N/A</v>
      </c>
      <c r="F4406" s="3" t="e">
        <f t="shared" si="143"/>
        <v>#N/A</v>
      </c>
    </row>
    <row r="4407" spans="2:6" x14ac:dyDescent="0.25">
      <c r="B4407" s="3"/>
      <c r="C4407" s="3"/>
      <c r="D4407" s="3"/>
      <c r="E4407" s="3" t="e">
        <f t="shared" si="142"/>
        <v>#N/A</v>
      </c>
      <c r="F4407" s="3" t="e">
        <f t="shared" si="143"/>
        <v>#N/A</v>
      </c>
    </row>
    <row r="4408" spans="2:6" x14ac:dyDescent="0.25">
      <c r="B4408" s="3"/>
      <c r="C4408" s="3"/>
      <c r="D4408" s="3"/>
      <c r="E4408" s="3" t="e">
        <f t="shared" si="142"/>
        <v>#N/A</v>
      </c>
      <c r="F4408" s="3" t="e">
        <f t="shared" si="143"/>
        <v>#N/A</v>
      </c>
    </row>
    <row r="4409" spans="2:6" x14ac:dyDescent="0.25">
      <c r="B4409" s="3"/>
      <c r="C4409" s="3"/>
      <c r="D4409" s="3"/>
      <c r="E4409" s="3" t="e">
        <f t="shared" si="142"/>
        <v>#N/A</v>
      </c>
      <c r="F4409" s="3" t="e">
        <f t="shared" si="143"/>
        <v>#N/A</v>
      </c>
    </row>
    <row r="4410" spans="2:6" x14ac:dyDescent="0.25">
      <c r="B4410" s="3"/>
      <c r="C4410" s="3"/>
      <c r="D4410" s="3"/>
      <c r="E4410" s="3" t="e">
        <f t="shared" si="142"/>
        <v>#N/A</v>
      </c>
      <c r="F4410" s="3" t="e">
        <f t="shared" si="143"/>
        <v>#N/A</v>
      </c>
    </row>
    <row r="4411" spans="2:6" x14ac:dyDescent="0.25">
      <c r="B4411" s="3"/>
      <c r="C4411" s="3"/>
      <c r="D4411" s="3"/>
      <c r="E4411" s="3" t="e">
        <f t="shared" si="142"/>
        <v>#N/A</v>
      </c>
      <c r="F4411" s="3" t="e">
        <f t="shared" si="143"/>
        <v>#N/A</v>
      </c>
    </row>
    <row r="4412" spans="2:6" x14ac:dyDescent="0.25">
      <c r="B4412" s="3"/>
      <c r="C4412" s="3"/>
      <c r="D4412" s="3"/>
      <c r="E4412" s="3" t="e">
        <f t="shared" si="142"/>
        <v>#N/A</v>
      </c>
      <c r="F4412" s="3" t="e">
        <f t="shared" si="143"/>
        <v>#N/A</v>
      </c>
    </row>
    <row r="4413" spans="2:6" x14ac:dyDescent="0.25">
      <c r="B4413" s="3"/>
      <c r="C4413" s="3"/>
      <c r="D4413" s="3"/>
      <c r="E4413" s="3" t="e">
        <f t="shared" si="142"/>
        <v>#N/A</v>
      </c>
      <c r="F4413" s="3" t="e">
        <f t="shared" si="143"/>
        <v>#N/A</v>
      </c>
    </row>
    <row r="4414" spans="2:6" x14ac:dyDescent="0.25">
      <c r="B4414" s="3"/>
      <c r="C4414" s="3"/>
      <c r="D4414" s="3"/>
      <c r="E4414" s="3" t="e">
        <f t="shared" si="142"/>
        <v>#N/A</v>
      </c>
      <c r="F4414" s="3" t="e">
        <f t="shared" si="143"/>
        <v>#N/A</v>
      </c>
    </row>
    <row r="4415" spans="2:6" x14ac:dyDescent="0.25">
      <c r="B4415" s="3"/>
      <c r="C4415" s="3"/>
      <c r="D4415" s="3"/>
      <c r="E4415" s="3" t="e">
        <f t="shared" si="142"/>
        <v>#N/A</v>
      </c>
      <c r="F4415" s="3" t="e">
        <f t="shared" si="143"/>
        <v>#N/A</v>
      </c>
    </row>
    <row r="4416" spans="2:6" x14ac:dyDescent="0.25">
      <c r="B4416" s="3"/>
      <c r="C4416" s="3"/>
      <c r="D4416" s="3"/>
      <c r="E4416" s="3" t="e">
        <f t="shared" si="142"/>
        <v>#N/A</v>
      </c>
      <c r="F4416" s="3" t="e">
        <f t="shared" si="143"/>
        <v>#N/A</v>
      </c>
    </row>
    <row r="4417" spans="2:6" x14ac:dyDescent="0.25">
      <c r="B4417" s="3"/>
      <c r="C4417" s="3"/>
      <c r="D4417" s="3"/>
      <c r="E4417" s="3" t="e">
        <f t="shared" si="142"/>
        <v>#N/A</v>
      </c>
      <c r="F4417" s="3" t="e">
        <f t="shared" si="143"/>
        <v>#N/A</v>
      </c>
    </row>
    <row r="4418" spans="2:6" x14ac:dyDescent="0.25">
      <c r="B4418" s="3"/>
      <c r="C4418" s="3"/>
      <c r="D4418" s="3"/>
      <c r="E4418" s="3" t="e">
        <f t="shared" si="142"/>
        <v>#N/A</v>
      </c>
      <c r="F4418" s="3" t="e">
        <f t="shared" si="143"/>
        <v>#N/A</v>
      </c>
    </row>
    <row r="4419" spans="2:6" x14ac:dyDescent="0.25">
      <c r="B4419" s="3"/>
      <c r="C4419" s="3"/>
      <c r="D4419" s="3"/>
      <c r="E4419" s="3" t="e">
        <f t="shared" si="142"/>
        <v>#N/A</v>
      </c>
      <c r="F4419" s="3" t="e">
        <f t="shared" si="143"/>
        <v>#N/A</v>
      </c>
    </row>
    <row r="4420" spans="2:6" x14ac:dyDescent="0.25">
      <c r="B4420" s="3"/>
      <c r="C4420" s="3"/>
      <c r="D4420" s="3"/>
      <c r="E4420" s="3" t="e">
        <f t="shared" si="142"/>
        <v>#N/A</v>
      </c>
      <c r="F4420" s="3" t="e">
        <f t="shared" si="143"/>
        <v>#N/A</v>
      </c>
    </row>
    <row r="4421" spans="2:6" x14ac:dyDescent="0.25">
      <c r="B4421" s="3"/>
      <c r="C4421" s="3"/>
      <c r="D4421" s="3"/>
      <c r="E4421" s="3" t="e">
        <f t="shared" si="142"/>
        <v>#N/A</v>
      </c>
      <c r="F4421" s="3" t="e">
        <f t="shared" si="143"/>
        <v>#N/A</v>
      </c>
    </row>
    <row r="4422" spans="2:6" x14ac:dyDescent="0.25">
      <c r="B4422" s="3"/>
      <c r="C4422" s="3"/>
      <c r="D4422" s="3"/>
      <c r="E4422" s="3" t="e">
        <f t="shared" si="142"/>
        <v>#N/A</v>
      </c>
      <c r="F4422" s="3" t="e">
        <f t="shared" si="143"/>
        <v>#N/A</v>
      </c>
    </row>
    <row r="4423" spans="2:6" x14ac:dyDescent="0.25">
      <c r="B4423" s="3"/>
      <c r="C4423" s="3"/>
      <c r="D4423" s="3"/>
      <c r="E4423" s="3" t="e">
        <f t="shared" si="142"/>
        <v>#N/A</v>
      </c>
      <c r="F4423" s="3" t="e">
        <f t="shared" si="143"/>
        <v>#N/A</v>
      </c>
    </row>
    <row r="4424" spans="2:6" x14ac:dyDescent="0.25">
      <c r="B4424" s="3"/>
      <c r="C4424" s="3"/>
      <c r="D4424" s="3"/>
      <c r="E4424" s="3" t="e">
        <f t="shared" si="142"/>
        <v>#N/A</v>
      </c>
      <c r="F4424" s="3" t="e">
        <f t="shared" si="143"/>
        <v>#N/A</v>
      </c>
    </row>
    <row r="4425" spans="2:6" x14ac:dyDescent="0.25">
      <c r="B4425" s="3"/>
      <c r="C4425" s="3"/>
      <c r="D4425" s="3"/>
      <c r="E4425" s="3" t="e">
        <f t="shared" si="142"/>
        <v>#N/A</v>
      </c>
      <c r="F4425" s="3" t="e">
        <f t="shared" si="143"/>
        <v>#N/A</v>
      </c>
    </row>
    <row r="4426" spans="2:6" x14ac:dyDescent="0.25">
      <c r="B4426" s="3"/>
      <c r="C4426" s="3"/>
      <c r="D4426" s="3"/>
      <c r="E4426" s="3" t="e">
        <f t="shared" si="142"/>
        <v>#N/A</v>
      </c>
      <c r="F4426" s="3" t="e">
        <f t="shared" si="143"/>
        <v>#N/A</v>
      </c>
    </row>
    <row r="4427" spans="2:6" x14ac:dyDescent="0.25">
      <c r="B4427" s="3"/>
      <c r="C4427" s="3"/>
      <c r="D4427" s="3"/>
      <c r="E4427" s="3" t="e">
        <f t="shared" si="142"/>
        <v>#N/A</v>
      </c>
      <c r="F4427" s="3" t="e">
        <f t="shared" si="143"/>
        <v>#N/A</v>
      </c>
    </row>
    <row r="4428" spans="2:6" x14ac:dyDescent="0.25">
      <c r="B4428" s="3"/>
      <c r="C4428" s="3"/>
      <c r="D4428" s="3"/>
      <c r="E4428" s="3" t="e">
        <f t="shared" si="142"/>
        <v>#N/A</v>
      </c>
      <c r="F4428" s="3" t="e">
        <f t="shared" si="143"/>
        <v>#N/A</v>
      </c>
    </row>
    <row r="4429" spans="2:6" x14ac:dyDescent="0.25">
      <c r="B4429" s="3"/>
      <c r="C4429" s="3"/>
      <c r="D4429" s="3"/>
      <c r="E4429" s="3" t="e">
        <f t="shared" si="142"/>
        <v>#N/A</v>
      </c>
      <c r="F4429" s="3" t="e">
        <f t="shared" si="143"/>
        <v>#N/A</v>
      </c>
    </row>
    <row r="4430" spans="2:6" x14ac:dyDescent="0.25">
      <c r="B4430" s="3"/>
      <c r="C4430" s="3"/>
      <c r="D4430" s="3"/>
      <c r="E4430" s="3" t="e">
        <f t="shared" ref="E4430:E4493" si="144">VLOOKUP(C4430,I:J,2,0)</f>
        <v>#N/A</v>
      </c>
      <c r="F4430" s="3" t="e">
        <f t="shared" ref="F4430:F4493" si="145">E4430&amp;" "&amp;B4430</f>
        <v>#N/A</v>
      </c>
    </row>
    <row r="4431" spans="2:6" x14ac:dyDescent="0.25">
      <c r="B4431" s="3"/>
      <c r="C4431" s="3"/>
      <c r="D4431" s="3"/>
      <c r="E4431" s="3" t="e">
        <f t="shared" si="144"/>
        <v>#N/A</v>
      </c>
      <c r="F4431" s="3" t="e">
        <f t="shared" si="145"/>
        <v>#N/A</v>
      </c>
    </row>
    <row r="4432" spans="2:6" x14ac:dyDescent="0.25">
      <c r="B4432" s="3"/>
      <c r="C4432" s="3"/>
      <c r="D4432" s="3"/>
      <c r="E4432" s="3" t="e">
        <f t="shared" si="144"/>
        <v>#N/A</v>
      </c>
      <c r="F4432" s="3" t="e">
        <f t="shared" si="145"/>
        <v>#N/A</v>
      </c>
    </row>
    <row r="4433" spans="2:6" x14ac:dyDescent="0.25">
      <c r="B4433" s="3"/>
      <c r="C4433" s="3"/>
      <c r="D4433" s="3"/>
      <c r="E4433" s="3" t="e">
        <f t="shared" si="144"/>
        <v>#N/A</v>
      </c>
      <c r="F4433" s="3" t="e">
        <f t="shared" si="145"/>
        <v>#N/A</v>
      </c>
    </row>
    <row r="4434" spans="2:6" x14ac:dyDescent="0.25">
      <c r="B4434" s="3"/>
      <c r="C4434" s="3"/>
      <c r="D4434" s="3"/>
      <c r="E4434" s="3" t="e">
        <f t="shared" si="144"/>
        <v>#N/A</v>
      </c>
      <c r="F4434" s="3" t="e">
        <f t="shared" si="145"/>
        <v>#N/A</v>
      </c>
    </row>
    <row r="4435" spans="2:6" x14ac:dyDescent="0.25">
      <c r="B4435" s="3"/>
      <c r="C4435" s="3"/>
      <c r="D4435" s="3"/>
      <c r="E4435" s="3" t="e">
        <f t="shared" si="144"/>
        <v>#N/A</v>
      </c>
      <c r="F4435" s="3" t="e">
        <f t="shared" si="145"/>
        <v>#N/A</v>
      </c>
    </row>
    <row r="4436" spans="2:6" x14ac:dyDescent="0.25">
      <c r="B4436" s="3"/>
      <c r="C4436" s="3"/>
      <c r="D4436" s="3"/>
      <c r="E4436" s="3" t="e">
        <f t="shared" si="144"/>
        <v>#N/A</v>
      </c>
      <c r="F4436" s="3" t="e">
        <f t="shared" si="145"/>
        <v>#N/A</v>
      </c>
    </row>
    <row r="4437" spans="2:6" x14ac:dyDescent="0.25">
      <c r="B4437" s="3"/>
      <c r="C4437" s="3"/>
      <c r="D4437" s="3"/>
      <c r="E4437" s="3" t="e">
        <f t="shared" si="144"/>
        <v>#N/A</v>
      </c>
      <c r="F4437" s="3" t="e">
        <f t="shared" si="145"/>
        <v>#N/A</v>
      </c>
    </row>
    <row r="4438" spans="2:6" x14ac:dyDescent="0.25">
      <c r="B4438" s="3"/>
      <c r="C4438" s="3"/>
      <c r="D4438" s="3"/>
      <c r="E4438" s="3" t="e">
        <f t="shared" si="144"/>
        <v>#N/A</v>
      </c>
      <c r="F4438" s="3" t="e">
        <f t="shared" si="145"/>
        <v>#N/A</v>
      </c>
    </row>
    <row r="4439" spans="2:6" x14ac:dyDescent="0.25">
      <c r="B4439" s="3"/>
      <c r="C4439" s="3"/>
      <c r="D4439" s="3"/>
      <c r="E4439" s="3" t="e">
        <f t="shared" si="144"/>
        <v>#N/A</v>
      </c>
      <c r="F4439" s="3" t="e">
        <f t="shared" si="145"/>
        <v>#N/A</v>
      </c>
    </row>
    <row r="4440" spans="2:6" x14ac:dyDescent="0.25">
      <c r="B4440" s="3"/>
      <c r="C4440" s="3"/>
      <c r="D4440" s="3"/>
      <c r="E4440" s="3" t="e">
        <f t="shared" si="144"/>
        <v>#N/A</v>
      </c>
      <c r="F4440" s="3" t="e">
        <f t="shared" si="145"/>
        <v>#N/A</v>
      </c>
    </row>
    <row r="4441" spans="2:6" x14ac:dyDescent="0.25">
      <c r="B4441" s="3"/>
      <c r="C4441" s="3"/>
      <c r="D4441" s="3"/>
      <c r="E4441" s="3" t="e">
        <f t="shared" si="144"/>
        <v>#N/A</v>
      </c>
      <c r="F4441" s="3" t="e">
        <f t="shared" si="145"/>
        <v>#N/A</v>
      </c>
    </row>
    <row r="4442" spans="2:6" x14ac:dyDescent="0.25">
      <c r="B4442" s="3"/>
      <c r="C4442" s="3"/>
      <c r="D4442" s="3"/>
      <c r="E4442" s="3" t="e">
        <f t="shared" si="144"/>
        <v>#N/A</v>
      </c>
      <c r="F4442" s="3" t="e">
        <f t="shared" si="145"/>
        <v>#N/A</v>
      </c>
    </row>
    <row r="4443" spans="2:6" x14ac:dyDescent="0.25">
      <c r="B4443" s="3"/>
      <c r="C4443" s="3"/>
      <c r="D4443" s="3"/>
      <c r="E4443" s="3" t="e">
        <f t="shared" si="144"/>
        <v>#N/A</v>
      </c>
      <c r="F4443" s="3" t="e">
        <f t="shared" si="145"/>
        <v>#N/A</v>
      </c>
    </row>
    <row r="4444" spans="2:6" x14ac:dyDescent="0.25">
      <c r="B4444" s="3"/>
      <c r="C4444" s="3"/>
      <c r="D4444" s="3"/>
      <c r="E4444" s="3" t="e">
        <f t="shared" si="144"/>
        <v>#N/A</v>
      </c>
      <c r="F4444" s="3" t="e">
        <f t="shared" si="145"/>
        <v>#N/A</v>
      </c>
    </row>
    <row r="4445" spans="2:6" x14ac:dyDescent="0.25">
      <c r="B4445" s="3"/>
      <c r="C4445" s="3"/>
      <c r="D4445" s="3"/>
      <c r="E4445" s="3" t="e">
        <f t="shared" si="144"/>
        <v>#N/A</v>
      </c>
      <c r="F4445" s="3" t="e">
        <f t="shared" si="145"/>
        <v>#N/A</v>
      </c>
    </row>
    <row r="4446" spans="2:6" x14ac:dyDescent="0.25">
      <c r="B4446" s="3"/>
      <c r="C4446" s="3"/>
      <c r="D4446" s="3"/>
      <c r="E4446" s="3" t="e">
        <f t="shared" si="144"/>
        <v>#N/A</v>
      </c>
      <c r="F4446" s="3" t="e">
        <f t="shared" si="145"/>
        <v>#N/A</v>
      </c>
    </row>
    <row r="4447" spans="2:6" x14ac:dyDescent="0.25">
      <c r="B4447" s="3"/>
      <c r="C4447" s="3"/>
      <c r="D4447" s="3"/>
      <c r="E4447" s="3" t="e">
        <f t="shared" si="144"/>
        <v>#N/A</v>
      </c>
      <c r="F4447" s="3" t="e">
        <f t="shared" si="145"/>
        <v>#N/A</v>
      </c>
    </row>
    <row r="4448" spans="2:6" x14ac:dyDescent="0.25">
      <c r="B4448" s="3"/>
      <c r="C4448" s="3"/>
      <c r="D4448" s="3"/>
      <c r="E4448" s="3" t="e">
        <f t="shared" si="144"/>
        <v>#N/A</v>
      </c>
      <c r="F4448" s="3" t="e">
        <f t="shared" si="145"/>
        <v>#N/A</v>
      </c>
    </row>
    <row r="4449" spans="2:6" x14ac:dyDescent="0.25">
      <c r="B4449" s="3"/>
      <c r="C4449" s="3"/>
      <c r="D4449" s="3"/>
      <c r="E4449" s="3" t="e">
        <f t="shared" si="144"/>
        <v>#N/A</v>
      </c>
      <c r="F4449" s="3" t="e">
        <f t="shared" si="145"/>
        <v>#N/A</v>
      </c>
    </row>
    <row r="4450" spans="2:6" x14ac:dyDescent="0.25">
      <c r="B4450" s="3"/>
      <c r="C4450" s="3"/>
      <c r="D4450" s="3"/>
      <c r="E4450" s="3" t="e">
        <f t="shared" si="144"/>
        <v>#N/A</v>
      </c>
      <c r="F4450" s="3" t="e">
        <f t="shared" si="145"/>
        <v>#N/A</v>
      </c>
    </row>
    <row r="4451" spans="2:6" x14ac:dyDescent="0.25">
      <c r="B4451" s="3"/>
      <c r="C4451" s="3"/>
      <c r="D4451" s="3"/>
      <c r="E4451" s="3" t="e">
        <f t="shared" si="144"/>
        <v>#N/A</v>
      </c>
      <c r="F4451" s="3" t="e">
        <f t="shared" si="145"/>
        <v>#N/A</v>
      </c>
    </row>
    <row r="4452" spans="2:6" x14ac:dyDescent="0.25">
      <c r="B4452" s="3"/>
      <c r="C4452" s="3"/>
      <c r="D4452" s="3"/>
      <c r="E4452" s="3" t="e">
        <f t="shared" si="144"/>
        <v>#N/A</v>
      </c>
      <c r="F4452" s="3" t="e">
        <f t="shared" si="145"/>
        <v>#N/A</v>
      </c>
    </row>
    <row r="4453" spans="2:6" x14ac:dyDescent="0.25">
      <c r="B4453" s="3"/>
      <c r="C4453" s="3"/>
      <c r="D4453" s="3"/>
      <c r="E4453" s="3" t="e">
        <f t="shared" si="144"/>
        <v>#N/A</v>
      </c>
      <c r="F4453" s="3" t="e">
        <f t="shared" si="145"/>
        <v>#N/A</v>
      </c>
    </row>
    <row r="4454" spans="2:6" x14ac:dyDescent="0.25">
      <c r="B4454" s="3"/>
      <c r="C4454" s="3"/>
      <c r="D4454" s="3"/>
      <c r="E4454" s="3" t="e">
        <f t="shared" si="144"/>
        <v>#N/A</v>
      </c>
      <c r="F4454" s="3" t="e">
        <f t="shared" si="145"/>
        <v>#N/A</v>
      </c>
    </row>
    <row r="4455" spans="2:6" x14ac:dyDescent="0.25">
      <c r="B4455" s="3"/>
      <c r="C4455" s="3"/>
      <c r="D4455" s="3"/>
      <c r="E4455" s="3" t="e">
        <f t="shared" si="144"/>
        <v>#N/A</v>
      </c>
      <c r="F4455" s="3" t="e">
        <f t="shared" si="145"/>
        <v>#N/A</v>
      </c>
    </row>
    <row r="4456" spans="2:6" x14ac:dyDescent="0.25">
      <c r="B4456" s="3"/>
      <c r="C4456" s="3"/>
      <c r="D4456" s="3"/>
      <c r="E4456" s="3" t="e">
        <f t="shared" si="144"/>
        <v>#N/A</v>
      </c>
      <c r="F4456" s="3" t="e">
        <f t="shared" si="145"/>
        <v>#N/A</v>
      </c>
    </row>
    <row r="4457" spans="2:6" x14ac:dyDescent="0.25">
      <c r="B4457" s="3"/>
      <c r="C4457" s="3"/>
      <c r="D4457" s="3"/>
      <c r="E4457" s="3" t="e">
        <f t="shared" si="144"/>
        <v>#N/A</v>
      </c>
      <c r="F4457" s="3" t="e">
        <f t="shared" si="145"/>
        <v>#N/A</v>
      </c>
    </row>
    <row r="4458" spans="2:6" x14ac:dyDescent="0.25">
      <c r="B4458" s="3"/>
      <c r="C4458" s="3"/>
      <c r="D4458" s="3"/>
      <c r="E4458" s="3" t="e">
        <f t="shared" si="144"/>
        <v>#N/A</v>
      </c>
      <c r="F4458" s="3" t="e">
        <f t="shared" si="145"/>
        <v>#N/A</v>
      </c>
    </row>
    <row r="4459" spans="2:6" x14ac:dyDescent="0.25">
      <c r="B4459" s="3"/>
      <c r="C4459" s="3"/>
      <c r="D4459" s="3"/>
      <c r="E4459" s="3" t="e">
        <f t="shared" si="144"/>
        <v>#N/A</v>
      </c>
      <c r="F4459" s="3" t="e">
        <f t="shared" si="145"/>
        <v>#N/A</v>
      </c>
    </row>
    <row r="4460" spans="2:6" x14ac:dyDescent="0.25">
      <c r="B4460" s="3"/>
      <c r="C4460" s="3"/>
      <c r="D4460" s="3"/>
      <c r="E4460" s="3" t="e">
        <f t="shared" si="144"/>
        <v>#N/A</v>
      </c>
      <c r="F4460" s="3" t="e">
        <f t="shared" si="145"/>
        <v>#N/A</v>
      </c>
    </row>
    <row r="4461" spans="2:6" x14ac:dyDescent="0.25">
      <c r="B4461" s="3"/>
      <c r="C4461" s="3"/>
      <c r="D4461" s="3"/>
      <c r="E4461" s="3" t="e">
        <f t="shared" si="144"/>
        <v>#N/A</v>
      </c>
      <c r="F4461" s="3" t="e">
        <f t="shared" si="145"/>
        <v>#N/A</v>
      </c>
    </row>
    <row r="4462" spans="2:6" x14ac:dyDescent="0.25">
      <c r="B4462" s="3"/>
      <c r="C4462" s="3"/>
      <c r="D4462" s="3"/>
      <c r="E4462" s="3" t="e">
        <f t="shared" si="144"/>
        <v>#N/A</v>
      </c>
      <c r="F4462" s="3" t="e">
        <f t="shared" si="145"/>
        <v>#N/A</v>
      </c>
    </row>
    <row r="4463" spans="2:6" x14ac:dyDescent="0.25">
      <c r="B4463" s="3"/>
      <c r="C4463" s="3"/>
      <c r="D4463" s="3"/>
      <c r="E4463" s="3" t="e">
        <f t="shared" si="144"/>
        <v>#N/A</v>
      </c>
      <c r="F4463" s="3" t="e">
        <f t="shared" si="145"/>
        <v>#N/A</v>
      </c>
    </row>
    <row r="4464" spans="2:6" x14ac:dyDescent="0.25">
      <c r="B4464" s="3"/>
      <c r="C4464" s="3"/>
      <c r="D4464" s="3"/>
      <c r="E4464" s="3" t="e">
        <f t="shared" si="144"/>
        <v>#N/A</v>
      </c>
      <c r="F4464" s="3" t="e">
        <f t="shared" si="145"/>
        <v>#N/A</v>
      </c>
    </row>
    <row r="4465" spans="2:6" x14ac:dyDescent="0.25">
      <c r="B4465" s="3"/>
      <c r="C4465" s="3"/>
      <c r="D4465" s="3"/>
      <c r="E4465" s="3" t="e">
        <f t="shared" si="144"/>
        <v>#N/A</v>
      </c>
      <c r="F4465" s="3" t="e">
        <f t="shared" si="145"/>
        <v>#N/A</v>
      </c>
    </row>
    <row r="4466" spans="2:6" x14ac:dyDescent="0.25">
      <c r="B4466" s="3"/>
      <c r="C4466" s="3"/>
      <c r="D4466" s="3"/>
      <c r="E4466" s="3" t="e">
        <f t="shared" si="144"/>
        <v>#N/A</v>
      </c>
      <c r="F4466" s="3" t="e">
        <f t="shared" si="145"/>
        <v>#N/A</v>
      </c>
    </row>
    <row r="4467" spans="2:6" x14ac:dyDescent="0.25">
      <c r="B4467" s="3"/>
      <c r="C4467" s="3"/>
      <c r="D4467" s="3"/>
      <c r="E4467" s="3" t="e">
        <f t="shared" si="144"/>
        <v>#N/A</v>
      </c>
      <c r="F4467" s="3" t="e">
        <f t="shared" si="145"/>
        <v>#N/A</v>
      </c>
    </row>
    <row r="4468" spans="2:6" x14ac:dyDescent="0.25">
      <c r="B4468" s="3"/>
      <c r="C4468" s="3"/>
      <c r="D4468" s="3"/>
      <c r="E4468" s="3" t="e">
        <f t="shared" si="144"/>
        <v>#N/A</v>
      </c>
      <c r="F4468" s="3" t="e">
        <f t="shared" si="145"/>
        <v>#N/A</v>
      </c>
    </row>
    <row r="4469" spans="2:6" x14ac:dyDescent="0.25">
      <c r="B4469" s="3"/>
      <c r="C4469" s="3"/>
      <c r="D4469" s="3"/>
      <c r="E4469" s="3" t="e">
        <f t="shared" si="144"/>
        <v>#N/A</v>
      </c>
      <c r="F4469" s="3" t="e">
        <f t="shared" si="145"/>
        <v>#N/A</v>
      </c>
    </row>
    <row r="4470" spans="2:6" x14ac:dyDescent="0.25">
      <c r="B4470" s="3"/>
      <c r="C4470" s="3"/>
      <c r="D4470" s="3"/>
      <c r="E4470" s="3" t="e">
        <f t="shared" si="144"/>
        <v>#N/A</v>
      </c>
      <c r="F4470" s="3" t="e">
        <f t="shared" si="145"/>
        <v>#N/A</v>
      </c>
    </row>
    <row r="4471" spans="2:6" x14ac:dyDescent="0.25">
      <c r="B4471" s="3"/>
      <c r="C4471" s="3"/>
      <c r="D4471" s="3"/>
      <c r="E4471" s="3" t="e">
        <f t="shared" si="144"/>
        <v>#N/A</v>
      </c>
      <c r="F4471" s="3" t="e">
        <f t="shared" si="145"/>
        <v>#N/A</v>
      </c>
    </row>
    <row r="4472" spans="2:6" x14ac:dyDescent="0.25">
      <c r="B4472" s="3"/>
      <c r="C4472" s="3"/>
      <c r="D4472" s="3"/>
      <c r="E4472" s="3" t="e">
        <f t="shared" si="144"/>
        <v>#N/A</v>
      </c>
      <c r="F4472" s="3" t="e">
        <f t="shared" si="145"/>
        <v>#N/A</v>
      </c>
    </row>
    <row r="4473" spans="2:6" x14ac:dyDescent="0.25">
      <c r="B4473" s="3"/>
      <c r="C4473" s="3"/>
      <c r="D4473" s="3"/>
      <c r="E4473" s="3" t="e">
        <f t="shared" si="144"/>
        <v>#N/A</v>
      </c>
      <c r="F4473" s="3" t="e">
        <f t="shared" si="145"/>
        <v>#N/A</v>
      </c>
    </row>
    <row r="4474" spans="2:6" x14ac:dyDescent="0.25">
      <c r="B4474" s="3"/>
      <c r="C4474" s="3"/>
      <c r="D4474" s="3"/>
      <c r="E4474" s="3" t="e">
        <f t="shared" si="144"/>
        <v>#N/A</v>
      </c>
      <c r="F4474" s="3" t="e">
        <f t="shared" si="145"/>
        <v>#N/A</v>
      </c>
    </row>
    <row r="4475" spans="2:6" x14ac:dyDescent="0.25">
      <c r="B4475" s="3"/>
      <c r="C4475" s="3"/>
      <c r="D4475" s="3"/>
      <c r="E4475" s="3" t="e">
        <f t="shared" si="144"/>
        <v>#N/A</v>
      </c>
      <c r="F4475" s="3" t="e">
        <f t="shared" si="145"/>
        <v>#N/A</v>
      </c>
    </row>
    <row r="4476" spans="2:6" x14ac:dyDescent="0.25">
      <c r="B4476" s="3"/>
      <c r="C4476" s="3"/>
      <c r="D4476" s="3"/>
      <c r="E4476" s="3" t="e">
        <f t="shared" si="144"/>
        <v>#N/A</v>
      </c>
      <c r="F4476" s="3" t="e">
        <f t="shared" si="145"/>
        <v>#N/A</v>
      </c>
    </row>
    <row r="4477" spans="2:6" x14ac:dyDescent="0.25">
      <c r="B4477" s="3"/>
      <c r="C4477" s="3"/>
      <c r="D4477" s="3"/>
      <c r="E4477" s="3" t="e">
        <f t="shared" si="144"/>
        <v>#N/A</v>
      </c>
      <c r="F4477" s="3" t="e">
        <f t="shared" si="145"/>
        <v>#N/A</v>
      </c>
    </row>
    <row r="4478" spans="2:6" x14ac:dyDescent="0.25">
      <c r="B4478" s="3"/>
      <c r="C4478" s="3"/>
      <c r="D4478" s="3"/>
      <c r="E4478" s="3" t="e">
        <f t="shared" si="144"/>
        <v>#N/A</v>
      </c>
      <c r="F4478" s="3" t="e">
        <f t="shared" si="145"/>
        <v>#N/A</v>
      </c>
    </row>
    <row r="4479" spans="2:6" x14ac:dyDescent="0.25">
      <c r="B4479" s="3"/>
      <c r="C4479" s="3"/>
      <c r="D4479" s="3"/>
      <c r="E4479" s="3" t="e">
        <f t="shared" si="144"/>
        <v>#N/A</v>
      </c>
      <c r="F4479" s="3" t="e">
        <f t="shared" si="145"/>
        <v>#N/A</v>
      </c>
    </row>
    <row r="4480" spans="2:6" x14ac:dyDescent="0.25">
      <c r="B4480" s="3"/>
      <c r="C4480" s="3"/>
      <c r="D4480" s="3"/>
      <c r="E4480" s="3" t="e">
        <f t="shared" si="144"/>
        <v>#N/A</v>
      </c>
      <c r="F4480" s="3" t="e">
        <f t="shared" si="145"/>
        <v>#N/A</v>
      </c>
    </row>
    <row r="4481" spans="2:6" x14ac:dyDescent="0.25">
      <c r="B4481" s="3"/>
      <c r="C4481" s="3"/>
      <c r="D4481" s="3"/>
      <c r="E4481" s="3" t="e">
        <f t="shared" si="144"/>
        <v>#N/A</v>
      </c>
      <c r="F4481" s="3" t="e">
        <f t="shared" si="145"/>
        <v>#N/A</v>
      </c>
    </row>
    <row r="4482" spans="2:6" x14ac:dyDescent="0.25">
      <c r="B4482" s="3"/>
      <c r="C4482" s="3"/>
      <c r="D4482" s="3"/>
      <c r="E4482" s="3" t="e">
        <f t="shared" si="144"/>
        <v>#N/A</v>
      </c>
      <c r="F4482" s="3" t="e">
        <f t="shared" si="145"/>
        <v>#N/A</v>
      </c>
    </row>
    <row r="4483" spans="2:6" x14ac:dyDescent="0.25">
      <c r="B4483" s="3"/>
      <c r="C4483" s="3"/>
      <c r="D4483" s="3"/>
      <c r="E4483" s="3" t="e">
        <f t="shared" si="144"/>
        <v>#N/A</v>
      </c>
      <c r="F4483" s="3" t="e">
        <f t="shared" si="145"/>
        <v>#N/A</v>
      </c>
    </row>
    <row r="4484" spans="2:6" x14ac:dyDescent="0.25">
      <c r="B4484" s="3"/>
      <c r="C4484" s="3"/>
      <c r="D4484" s="3"/>
      <c r="E4484" s="3" t="e">
        <f t="shared" si="144"/>
        <v>#N/A</v>
      </c>
      <c r="F4484" s="3" t="e">
        <f t="shared" si="145"/>
        <v>#N/A</v>
      </c>
    </row>
    <row r="4485" spans="2:6" x14ac:dyDescent="0.25">
      <c r="B4485" s="3"/>
      <c r="C4485" s="3"/>
      <c r="D4485" s="3"/>
      <c r="E4485" s="3" t="e">
        <f t="shared" si="144"/>
        <v>#N/A</v>
      </c>
      <c r="F4485" s="3" t="e">
        <f t="shared" si="145"/>
        <v>#N/A</v>
      </c>
    </row>
    <row r="4486" spans="2:6" x14ac:dyDescent="0.25">
      <c r="B4486" s="3"/>
      <c r="C4486" s="3"/>
      <c r="D4486" s="3"/>
      <c r="E4486" s="3" t="e">
        <f t="shared" si="144"/>
        <v>#N/A</v>
      </c>
      <c r="F4486" s="3" t="e">
        <f t="shared" si="145"/>
        <v>#N/A</v>
      </c>
    </row>
    <row r="4487" spans="2:6" x14ac:dyDescent="0.25">
      <c r="B4487" s="3"/>
      <c r="C4487" s="3"/>
      <c r="D4487" s="3"/>
      <c r="E4487" s="3" t="e">
        <f t="shared" si="144"/>
        <v>#N/A</v>
      </c>
      <c r="F4487" s="3" t="e">
        <f t="shared" si="145"/>
        <v>#N/A</v>
      </c>
    </row>
    <row r="4488" spans="2:6" x14ac:dyDescent="0.25">
      <c r="B4488" s="3"/>
      <c r="C4488" s="3"/>
      <c r="D4488" s="3"/>
      <c r="E4488" s="3" t="e">
        <f t="shared" si="144"/>
        <v>#N/A</v>
      </c>
      <c r="F4488" s="3" t="e">
        <f t="shared" si="145"/>
        <v>#N/A</v>
      </c>
    </row>
    <row r="4489" spans="2:6" x14ac:dyDescent="0.25">
      <c r="B4489" s="3"/>
      <c r="C4489" s="3"/>
      <c r="D4489" s="3"/>
      <c r="E4489" s="3" t="e">
        <f t="shared" si="144"/>
        <v>#N/A</v>
      </c>
      <c r="F4489" s="3" t="e">
        <f t="shared" si="145"/>
        <v>#N/A</v>
      </c>
    </row>
    <row r="4490" spans="2:6" x14ac:dyDescent="0.25">
      <c r="B4490" s="3"/>
      <c r="C4490" s="3"/>
      <c r="D4490" s="3"/>
      <c r="E4490" s="3" t="e">
        <f t="shared" si="144"/>
        <v>#N/A</v>
      </c>
      <c r="F4490" s="3" t="e">
        <f t="shared" si="145"/>
        <v>#N/A</v>
      </c>
    </row>
    <row r="4491" spans="2:6" x14ac:dyDescent="0.25">
      <c r="B4491" s="3"/>
      <c r="C4491" s="3"/>
      <c r="D4491" s="3"/>
      <c r="E4491" s="3" t="e">
        <f t="shared" si="144"/>
        <v>#N/A</v>
      </c>
      <c r="F4491" s="3" t="e">
        <f t="shared" si="145"/>
        <v>#N/A</v>
      </c>
    </row>
    <row r="4492" spans="2:6" x14ac:dyDescent="0.25">
      <c r="B4492" s="3"/>
      <c r="C4492" s="3"/>
      <c r="D4492" s="3"/>
      <c r="E4492" s="3" t="e">
        <f t="shared" si="144"/>
        <v>#N/A</v>
      </c>
      <c r="F4492" s="3" t="e">
        <f t="shared" si="145"/>
        <v>#N/A</v>
      </c>
    </row>
    <row r="4493" spans="2:6" x14ac:dyDescent="0.25">
      <c r="B4493" s="3"/>
      <c r="C4493" s="3"/>
      <c r="D4493" s="3"/>
      <c r="E4493" s="3" t="e">
        <f t="shared" si="144"/>
        <v>#N/A</v>
      </c>
      <c r="F4493" s="3" t="e">
        <f t="shared" si="145"/>
        <v>#N/A</v>
      </c>
    </row>
    <row r="4494" spans="2:6" x14ac:dyDescent="0.25">
      <c r="B4494" s="3"/>
      <c r="C4494" s="3"/>
      <c r="D4494" s="3"/>
      <c r="E4494" s="3" t="e">
        <f t="shared" ref="E4494:E4557" si="146">VLOOKUP(C4494,I:J,2,0)</f>
        <v>#N/A</v>
      </c>
      <c r="F4494" s="3" t="e">
        <f t="shared" ref="F4494:F4557" si="147">E4494&amp;" "&amp;B4494</f>
        <v>#N/A</v>
      </c>
    </row>
    <row r="4495" spans="2:6" x14ac:dyDescent="0.25">
      <c r="B4495" s="3"/>
      <c r="C4495" s="3"/>
      <c r="D4495" s="3"/>
      <c r="E4495" s="3" t="e">
        <f t="shared" si="146"/>
        <v>#N/A</v>
      </c>
      <c r="F4495" s="3" t="e">
        <f t="shared" si="147"/>
        <v>#N/A</v>
      </c>
    </row>
    <row r="4496" spans="2:6" x14ac:dyDescent="0.25">
      <c r="B4496" s="3"/>
      <c r="C4496" s="3"/>
      <c r="D4496" s="3"/>
      <c r="E4496" s="3" t="e">
        <f t="shared" si="146"/>
        <v>#N/A</v>
      </c>
      <c r="F4496" s="3" t="e">
        <f t="shared" si="147"/>
        <v>#N/A</v>
      </c>
    </row>
    <row r="4497" spans="2:6" x14ac:dyDescent="0.25">
      <c r="B4497" s="3"/>
      <c r="C4497" s="3"/>
      <c r="D4497" s="3"/>
      <c r="E4497" s="3" t="e">
        <f t="shared" si="146"/>
        <v>#N/A</v>
      </c>
      <c r="F4497" s="3" t="e">
        <f t="shared" si="147"/>
        <v>#N/A</v>
      </c>
    </row>
    <row r="4498" spans="2:6" x14ac:dyDescent="0.25">
      <c r="B4498" s="3"/>
      <c r="C4498" s="3"/>
      <c r="D4498" s="3"/>
      <c r="E4498" s="3" t="e">
        <f t="shared" si="146"/>
        <v>#N/A</v>
      </c>
      <c r="F4498" s="3" t="e">
        <f t="shared" si="147"/>
        <v>#N/A</v>
      </c>
    </row>
    <row r="4499" spans="2:6" x14ac:dyDescent="0.25">
      <c r="B4499" s="3"/>
      <c r="C4499" s="3"/>
      <c r="D4499" s="3"/>
      <c r="E4499" s="3" t="e">
        <f t="shared" si="146"/>
        <v>#N/A</v>
      </c>
      <c r="F4499" s="3" t="e">
        <f t="shared" si="147"/>
        <v>#N/A</v>
      </c>
    </row>
    <row r="4500" spans="2:6" x14ac:dyDescent="0.25">
      <c r="B4500" s="3"/>
      <c r="C4500" s="3"/>
      <c r="D4500" s="3"/>
      <c r="E4500" s="3" t="e">
        <f t="shared" si="146"/>
        <v>#N/A</v>
      </c>
      <c r="F4500" s="3" t="e">
        <f t="shared" si="147"/>
        <v>#N/A</v>
      </c>
    </row>
    <row r="4501" spans="2:6" x14ac:dyDescent="0.25">
      <c r="B4501" s="3"/>
      <c r="C4501" s="3"/>
      <c r="D4501" s="3"/>
      <c r="E4501" s="3" t="e">
        <f t="shared" si="146"/>
        <v>#N/A</v>
      </c>
      <c r="F4501" s="3" t="e">
        <f t="shared" si="147"/>
        <v>#N/A</v>
      </c>
    </row>
    <row r="4502" spans="2:6" x14ac:dyDescent="0.25">
      <c r="B4502" s="3"/>
      <c r="C4502" s="3"/>
      <c r="D4502" s="3"/>
      <c r="E4502" s="3" t="e">
        <f t="shared" si="146"/>
        <v>#N/A</v>
      </c>
      <c r="F4502" s="3" t="e">
        <f t="shared" si="147"/>
        <v>#N/A</v>
      </c>
    </row>
    <row r="4503" spans="2:6" x14ac:dyDescent="0.25">
      <c r="B4503" s="3"/>
      <c r="C4503" s="3"/>
      <c r="D4503" s="3"/>
      <c r="E4503" s="3" t="e">
        <f t="shared" si="146"/>
        <v>#N/A</v>
      </c>
      <c r="F4503" s="3" t="e">
        <f t="shared" si="147"/>
        <v>#N/A</v>
      </c>
    </row>
    <row r="4504" spans="2:6" x14ac:dyDescent="0.25">
      <c r="B4504" s="3"/>
      <c r="C4504" s="3"/>
      <c r="D4504" s="3"/>
      <c r="E4504" s="3" t="e">
        <f t="shared" si="146"/>
        <v>#N/A</v>
      </c>
      <c r="F4504" s="3" t="e">
        <f t="shared" si="147"/>
        <v>#N/A</v>
      </c>
    </row>
    <row r="4505" spans="2:6" x14ac:dyDescent="0.25">
      <c r="B4505" s="3"/>
      <c r="C4505" s="3"/>
      <c r="D4505" s="3"/>
      <c r="E4505" s="3" t="e">
        <f t="shared" si="146"/>
        <v>#N/A</v>
      </c>
      <c r="F4505" s="3" t="e">
        <f t="shared" si="147"/>
        <v>#N/A</v>
      </c>
    </row>
    <row r="4506" spans="2:6" x14ac:dyDescent="0.25">
      <c r="B4506" s="3"/>
      <c r="C4506" s="3"/>
      <c r="D4506" s="3"/>
      <c r="E4506" s="3" t="e">
        <f t="shared" si="146"/>
        <v>#N/A</v>
      </c>
      <c r="F4506" s="3" t="e">
        <f t="shared" si="147"/>
        <v>#N/A</v>
      </c>
    </row>
    <row r="4507" spans="2:6" x14ac:dyDescent="0.25">
      <c r="B4507" s="3"/>
      <c r="C4507" s="3"/>
      <c r="D4507" s="3"/>
      <c r="E4507" s="3" t="e">
        <f t="shared" si="146"/>
        <v>#N/A</v>
      </c>
      <c r="F4507" s="3" t="e">
        <f t="shared" si="147"/>
        <v>#N/A</v>
      </c>
    </row>
    <row r="4508" spans="2:6" x14ac:dyDescent="0.25">
      <c r="B4508" s="3"/>
      <c r="C4508" s="3"/>
      <c r="D4508" s="3"/>
      <c r="E4508" s="3" t="e">
        <f t="shared" si="146"/>
        <v>#N/A</v>
      </c>
      <c r="F4508" s="3" t="e">
        <f t="shared" si="147"/>
        <v>#N/A</v>
      </c>
    </row>
    <row r="4509" spans="2:6" x14ac:dyDescent="0.25">
      <c r="B4509" s="3"/>
      <c r="C4509" s="3"/>
      <c r="D4509" s="3"/>
      <c r="E4509" s="3" t="e">
        <f t="shared" si="146"/>
        <v>#N/A</v>
      </c>
      <c r="F4509" s="3" t="e">
        <f t="shared" si="147"/>
        <v>#N/A</v>
      </c>
    </row>
    <row r="4510" spans="2:6" x14ac:dyDescent="0.25">
      <c r="B4510" s="3"/>
      <c r="C4510" s="3"/>
      <c r="D4510" s="3"/>
      <c r="E4510" s="3" t="e">
        <f t="shared" si="146"/>
        <v>#N/A</v>
      </c>
      <c r="F4510" s="3" t="e">
        <f t="shared" si="147"/>
        <v>#N/A</v>
      </c>
    </row>
    <row r="4511" spans="2:6" x14ac:dyDescent="0.25">
      <c r="B4511" s="3"/>
      <c r="C4511" s="3"/>
      <c r="D4511" s="3"/>
      <c r="E4511" s="3" t="e">
        <f t="shared" si="146"/>
        <v>#N/A</v>
      </c>
      <c r="F4511" s="3" t="e">
        <f t="shared" si="147"/>
        <v>#N/A</v>
      </c>
    </row>
    <row r="4512" spans="2:6" x14ac:dyDescent="0.25">
      <c r="B4512" s="3"/>
      <c r="C4512" s="3"/>
      <c r="D4512" s="3"/>
      <c r="E4512" s="3" t="e">
        <f t="shared" si="146"/>
        <v>#N/A</v>
      </c>
      <c r="F4512" s="3" t="e">
        <f t="shared" si="147"/>
        <v>#N/A</v>
      </c>
    </row>
    <row r="4513" spans="2:6" x14ac:dyDescent="0.25">
      <c r="B4513" s="3"/>
      <c r="C4513" s="3"/>
      <c r="D4513" s="3"/>
      <c r="E4513" s="3" t="e">
        <f t="shared" si="146"/>
        <v>#N/A</v>
      </c>
      <c r="F4513" s="3" t="e">
        <f t="shared" si="147"/>
        <v>#N/A</v>
      </c>
    </row>
    <row r="4514" spans="2:6" x14ac:dyDescent="0.25">
      <c r="B4514" s="3"/>
      <c r="C4514" s="3"/>
      <c r="D4514" s="3"/>
      <c r="E4514" s="3" t="e">
        <f t="shared" si="146"/>
        <v>#N/A</v>
      </c>
      <c r="F4514" s="3" t="e">
        <f t="shared" si="147"/>
        <v>#N/A</v>
      </c>
    </row>
    <row r="4515" spans="2:6" x14ac:dyDescent="0.25">
      <c r="B4515" s="3"/>
      <c r="C4515" s="3"/>
      <c r="D4515" s="3"/>
      <c r="E4515" s="3" t="e">
        <f t="shared" si="146"/>
        <v>#N/A</v>
      </c>
      <c r="F4515" s="3" t="e">
        <f t="shared" si="147"/>
        <v>#N/A</v>
      </c>
    </row>
    <row r="4516" spans="2:6" x14ac:dyDescent="0.25">
      <c r="B4516" s="3"/>
      <c r="C4516" s="3"/>
      <c r="D4516" s="3"/>
      <c r="E4516" s="3" t="e">
        <f t="shared" si="146"/>
        <v>#N/A</v>
      </c>
      <c r="F4516" s="3" t="e">
        <f t="shared" si="147"/>
        <v>#N/A</v>
      </c>
    </row>
    <row r="4517" spans="2:6" x14ac:dyDescent="0.25">
      <c r="B4517" s="3"/>
      <c r="C4517" s="3"/>
      <c r="D4517" s="3"/>
      <c r="E4517" s="3" t="e">
        <f t="shared" si="146"/>
        <v>#N/A</v>
      </c>
      <c r="F4517" s="3" t="e">
        <f t="shared" si="147"/>
        <v>#N/A</v>
      </c>
    </row>
    <row r="4518" spans="2:6" x14ac:dyDescent="0.25">
      <c r="B4518" s="3"/>
      <c r="C4518" s="3"/>
      <c r="D4518" s="3"/>
      <c r="E4518" s="3" t="e">
        <f t="shared" si="146"/>
        <v>#N/A</v>
      </c>
      <c r="F4518" s="3" t="e">
        <f t="shared" si="147"/>
        <v>#N/A</v>
      </c>
    </row>
    <row r="4519" spans="2:6" x14ac:dyDescent="0.25">
      <c r="B4519" s="3"/>
      <c r="C4519" s="3"/>
      <c r="D4519" s="3"/>
      <c r="E4519" s="3" t="e">
        <f t="shared" si="146"/>
        <v>#N/A</v>
      </c>
      <c r="F4519" s="3" t="e">
        <f t="shared" si="147"/>
        <v>#N/A</v>
      </c>
    </row>
    <row r="4520" spans="2:6" x14ac:dyDescent="0.25">
      <c r="B4520" s="3"/>
      <c r="C4520" s="3"/>
      <c r="D4520" s="3"/>
      <c r="E4520" s="3" t="e">
        <f t="shared" si="146"/>
        <v>#N/A</v>
      </c>
      <c r="F4520" s="3" t="e">
        <f t="shared" si="147"/>
        <v>#N/A</v>
      </c>
    </row>
    <row r="4521" spans="2:6" x14ac:dyDescent="0.25">
      <c r="B4521" s="3"/>
      <c r="C4521" s="3"/>
      <c r="D4521" s="3"/>
      <c r="E4521" s="3" t="e">
        <f t="shared" si="146"/>
        <v>#N/A</v>
      </c>
      <c r="F4521" s="3" t="e">
        <f t="shared" si="147"/>
        <v>#N/A</v>
      </c>
    </row>
    <row r="4522" spans="2:6" x14ac:dyDescent="0.25">
      <c r="B4522" s="3"/>
      <c r="C4522" s="3"/>
      <c r="D4522" s="3"/>
      <c r="E4522" s="3" t="e">
        <f t="shared" si="146"/>
        <v>#N/A</v>
      </c>
      <c r="F4522" s="3" t="e">
        <f t="shared" si="147"/>
        <v>#N/A</v>
      </c>
    </row>
    <row r="4523" spans="2:6" x14ac:dyDescent="0.25">
      <c r="B4523" s="3"/>
      <c r="C4523" s="3"/>
      <c r="D4523" s="3"/>
      <c r="E4523" s="3" t="e">
        <f t="shared" si="146"/>
        <v>#N/A</v>
      </c>
      <c r="F4523" s="3" t="e">
        <f t="shared" si="147"/>
        <v>#N/A</v>
      </c>
    </row>
    <row r="4524" spans="2:6" x14ac:dyDescent="0.25">
      <c r="B4524" s="3"/>
      <c r="C4524" s="3"/>
      <c r="D4524" s="3"/>
      <c r="E4524" s="3" t="e">
        <f t="shared" si="146"/>
        <v>#N/A</v>
      </c>
      <c r="F4524" s="3" t="e">
        <f t="shared" si="147"/>
        <v>#N/A</v>
      </c>
    </row>
    <row r="4525" spans="2:6" x14ac:dyDescent="0.25">
      <c r="B4525" s="3"/>
      <c r="C4525" s="3"/>
      <c r="D4525" s="3"/>
      <c r="E4525" s="3" t="e">
        <f t="shared" si="146"/>
        <v>#N/A</v>
      </c>
      <c r="F4525" s="3" t="e">
        <f t="shared" si="147"/>
        <v>#N/A</v>
      </c>
    </row>
    <row r="4526" spans="2:6" x14ac:dyDescent="0.25">
      <c r="B4526" s="3"/>
      <c r="C4526" s="3"/>
      <c r="D4526" s="3"/>
      <c r="E4526" s="3" t="e">
        <f t="shared" si="146"/>
        <v>#N/A</v>
      </c>
      <c r="F4526" s="3" t="e">
        <f t="shared" si="147"/>
        <v>#N/A</v>
      </c>
    </row>
    <row r="4527" spans="2:6" x14ac:dyDescent="0.25">
      <c r="B4527" s="3"/>
      <c r="C4527" s="3"/>
      <c r="D4527" s="3"/>
      <c r="E4527" s="3" t="e">
        <f t="shared" si="146"/>
        <v>#N/A</v>
      </c>
      <c r="F4527" s="3" t="e">
        <f t="shared" si="147"/>
        <v>#N/A</v>
      </c>
    </row>
    <row r="4528" spans="2:6" x14ac:dyDescent="0.25">
      <c r="B4528" s="3"/>
      <c r="C4528" s="3"/>
      <c r="D4528" s="3"/>
      <c r="E4528" s="3" t="e">
        <f t="shared" si="146"/>
        <v>#N/A</v>
      </c>
      <c r="F4528" s="3" t="e">
        <f t="shared" si="147"/>
        <v>#N/A</v>
      </c>
    </row>
    <row r="4529" spans="2:6" x14ac:dyDescent="0.25">
      <c r="B4529" s="3"/>
      <c r="C4529" s="3"/>
      <c r="D4529" s="3"/>
      <c r="E4529" s="3" t="e">
        <f t="shared" si="146"/>
        <v>#N/A</v>
      </c>
      <c r="F4529" s="3" t="e">
        <f t="shared" si="147"/>
        <v>#N/A</v>
      </c>
    </row>
    <row r="4530" spans="2:6" x14ac:dyDescent="0.25">
      <c r="B4530" s="3"/>
      <c r="C4530" s="3"/>
      <c r="D4530" s="3"/>
      <c r="E4530" s="3" t="e">
        <f t="shared" si="146"/>
        <v>#N/A</v>
      </c>
      <c r="F4530" s="3" t="e">
        <f t="shared" si="147"/>
        <v>#N/A</v>
      </c>
    </row>
    <row r="4531" spans="2:6" x14ac:dyDescent="0.25">
      <c r="B4531" s="3"/>
      <c r="C4531" s="3"/>
      <c r="D4531" s="3"/>
      <c r="E4531" s="3" t="e">
        <f t="shared" si="146"/>
        <v>#N/A</v>
      </c>
      <c r="F4531" s="3" t="e">
        <f t="shared" si="147"/>
        <v>#N/A</v>
      </c>
    </row>
    <row r="4532" spans="2:6" x14ac:dyDescent="0.25">
      <c r="B4532" s="3"/>
      <c r="C4532" s="3"/>
      <c r="D4532" s="3"/>
      <c r="E4532" s="3" t="e">
        <f t="shared" si="146"/>
        <v>#N/A</v>
      </c>
      <c r="F4532" s="3" t="e">
        <f t="shared" si="147"/>
        <v>#N/A</v>
      </c>
    </row>
    <row r="4533" spans="2:6" x14ac:dyDescent="0.25">
      <c r="B4533" s="3"/>
      <c r="C4533" s="3"/>
      <c r="D4533" s="3"/>
      <c r="E4533" s="3" t="e">
        <f t="shared" si="146"/>
        <v>#N/A</v>
      </c>
      <c r="F4533" s="3" t="e">
        <f t="shared" si="147"/>
        <v>#N/A</v>
      </c>
    </row>
    <row r="4534" spans="2:6" x14ac:dyDescent="0.25">
      <c r="B4534" s="3"/>
      <c r="C4534" s="3"/>
      <c r="D4534" s="3"/>
      <c r="E4534" s="3" t="e">
        <f t="shared" si="146"/>
        <v>#N/A</v>
      </c>
      <c r="F4534" s="3" t="e">
        <f t="shared" si="147"/>
        <v>#N/A</v>
      </c>
    </row>
    <row r="4535" spans="2:6" x14ac:dyDescent="0.25">
      <c r="B4535" s="3"/>
      <c r="C4535" s="3"/>
      <c r="D4535" s="3"/>
      <c r="E4535" s="3" t="e">
        <f t="shared" si="146"/>
        <v>#N/A</v>
      </c>
      <c r="F4535" s="3" t="e">
        <f t="shared" si="147"/>
        <v>#N/A</v>
      </c>
    </row>
    <row r="4536" spans="2:6" x14ac:dyDescent="0.25">
      <c r="B4536" s="3"/>
      <c r="C4536" s="3"/>
      <c r="D4536" s="3"/>
      <c r="E4536" s="3" t="e">
        <f t="shared" si="146"/>
        <v>#N/A</v>
      </c>
      <c r="F4536" s="3" t="e">
        <f t="shared" si="147"/>
        <v>#N/A</v>
      </c>
    </row>
    <row r="4537" spans="2:6" x14ac:dyDescent="0.25">
      <c r="B4537" s="3"/>
      <c r="C4537" s="3"/>
      <c r="D4537" s="3"/>
      <c r="E4537" s="3" t="e">
        <f t="shared" si="146"/>
        <v>#N/A</v>
      </c>
      <c r="F4537" s="3" t="e">
        <f t="shared" si="147"/>
        <v>#N/A</v>
      </c>
    </row>
    <row r="4538" spans="2:6" x14ac:dyDescent="0.25">
      <c r="B4538" s="3"/>
      <c r="C4538" s="3"/>
      <c r="D4538" s="3"/>
      <c r="E4538" s="3" t="e">
        <f t="shared" si="146"/>
        <v>#N/A</v>
      </c>
      <c r="F4538" s="3" t="e">
        <f t="shared" si="147"/>
        <v>#N/A</v>
      </c>
    </row>
    <row r="4539" spans="2:6" x14ac:dyDescent="0.25">
      <c r="B4539" s="3"/>
      <c r="C4539" s="3"/>
      <c r="D4539" s="3"/>
      <c r="E4539" s="3" t="e">
        <f t="shared" si="146"/>
        <v>#N/A</v>
      </c>
      <c r="F4539" s="3" t="e">
        <f t="shared" si="147"/>
        <v>#N/A</v>
      </c>
    </row>
    <row r="4540" spans="2:6" x14ac:dyDescent="0.25">
      <c r="B4540" s="3"/>
      <c r="C4540" s="3"/>
      <c r="D4540" s="3"/>
      <c r="E4540" s="3" t="e">
        <f t="shared" si="146"/>
        <v>#N/A</v>
      </c>
      <c r="F4540" s="3" t="e">
        <f t="shared" si="147"/>
        <v>#N/A</v>
      </c>
    </row>
    <row r="4541" spans="2:6" x14ac:dyDescent="0.25">
      <c r="B4541" s="3"/>
      <c r="C4541" s="3"/>
      <c r="D4541" s="3"/>
      <c r="E4541" s="3" t="e">
        <f t="shared" si="146"/>
        <v>#N/A</v>
      </c>
      <c r="F4541" s="3" t="e">
        <f t="shared" si="147"/>
        <v>#N/A</v>
      </c>
    </row>
    <row r="4542" spans="2:6" x14ac:dyDescent="0.25">
      <c r="B4542" s="3"/>
      <c r="C4542" s="3"/>
      <c r="D4542" s="3"/>
      <c r="E4542" s="3" t="e">
        <f t="shared" si="146"/>
        <v>#N/A</v>
      </c>
      <c r="F4542" s="3" t="e">
        <f t="shared" si="147"/>
        <v>#N/A</v>
      </c>
    </row>
    <row r="4543" spans="2:6" x14ac:dyDescent="0.25">
      <c r="B4543" s="3"/>
      <c r="C4543" s="3"/>
      <c r="D4543" s="3"/>
      <c r="E4543" s="3" t="e">
        <f t="shared" si="146"/>
        <v>#N/A</v>
      </c>
      <c r="F4543" s="3" t="e">
        <f t="shared" si="147"/>
        <v>#N/A</v>
      </c>
    </row>
    <row r="4544" spans="2:6" x14ac:dyDescent="0.25">
      <c r="B4544" s="3"/>
      <c r="C4544" s="3"/>
      <c r="D4544" s="3"/>
      <c r="E4544" s="3" t="e">
        <f t="shared" si="146"/>
        <v>#N/A</v>
      </c>
      <c r="F4544" s="3" t="e">
        <f t="shared" si="147"/>
        <v>#N/A</v>
      </c>
    </row>
    <row r="4545" spans="2:6" x14ac:dyDescent="0.25">
      <c r="B4545" s="3"/>
      <c r="C4545" s="3"/>
      <c r="D4545" s="3"/>
      <c r="E4545" s="3" t="e">
        <f t="shared" si="146"/>
        <v>#N/A</v>
      </c>
      <c r="F4545" s="3" t="e">
        <f t="shared" si="147"/>
        <v>#N/A</v>
      </c>
    </row>
    <row r="4546" spans="2:6" x14ac:dyDescent="0.25">
      <c r="B4546" s="3"/>
      <c r="C4546" s="3"/>
      <c r="D4546" s="3"/>
      <c r="E4546" s="3" t="e">
        <f t="shared" si="146"/>
        <v>#N/A</v>
      </c>
      <c r="F4546" s="3" t="e">
        <f t="shared" si="147"/>
        <v>#N/A</v>
      </c>
    </row>
    <row r="4547" spans="2:6" x14ac:dyDescent="0.25">
      <c r="B4547" s="3"/>
      <c r="C4547" s="3"/>
      <c r="D4547" s="3"/>
      <c r="E4547" s="3" t="e">
        <f t="shared" si="146"/>
        <v>#N/A</v>
      </c>
      <c r="F4547" s="3" t="e">
        <f t="shared" si="147"/>
        <v>#N/A</v>
      </c>
    </row>
    <row r="4548" spans="2:6" x14ac:dyDescent="0.25">
      <c r="B4548" s="3"/>
      <c r="C4548" s="3"/>
      <c r="D4548" s="3"/>
      <c r="E4548" s="3" t="e">
        <f t="shared" si="146"/>
        <v>#N/A</v>
      </c>
      <c r="F4548" s="3" t="e">
        <f t="shared" si="147"/>
        <v>#N/A</v>
      </c>
    </row>
    <row r="4549" spans="2:6" x14ac:dyDescent="0.25">
      <c r="B4549" s="3"/>
      <c r="C4549" s="3"/>
      <c r="D4549" s="3"/>
      <c r="E4549" s="3" t="e">
        <f t="shared" si="146"/>
        <v>#N/A</v>
      </c>
      <c r="F4549" s="3" t="e">
        <f t="shared" si="147"/>
        <v>#N/A</v>
      </c>
    </row>
    <row r="4550" spans="2:6" x14ac:dyDescent="0.25">
      <c r="B4550" s="3"/>
      <c r="C4550" s="3"/>
      <c r="D4550" s="3"/>
      <c r="E4550" s="3" t="e">
        <f t="shared" si="146"/>
        <v>#N/A</v>
      </c>
      <c r="F4550" s="3" t="e">
        <f t="shared" si="147"/>
        <v>#N/A</v>
      </c>
    </row>
    <row r="4551" spans="2:6" x14ac:dyDescent="0.25">
      <c r="B4551" s="3"/>
      <c r="C4551" s="3"/>
      <c r="D4551" s="3"/>
      <c r="E4551" s="3" t="e">
        <f t="shared" si="146"/>
        <v>#N/A</v>
      </c>
      <c r="F4551" s="3" t="e">
        <f t="shared" si="147"/>
        <v>#N/A</v>
      </c>
    </row>
    <row r="4552" spans="2:6" x14ac:dyDescent="0.25">
      <c r="B4552" s="3"/>
      <c r="C4552" s="3"/>
      <c r="D4552" s="3"/>
      <c r="E4552" s="3" t="e">
        <f t="shared" si="146"/>
        <v>#N/A</v>
      </c>
      <c r="F4552" s="3" t="e">
        <f t="shared" si="147"/>
        <v>#N/A</v>
      </c>
    </row>
    <row r="4553" spans="2:6" x14ac:dyDescent="0.25">
      <c r="B4553" s="3"/>
      <c r="C4553" s="3"/>
      <c r="D4553" s="3"/>
      <c r="E4553" s="3" t="e">
        <f t="shared" si="146"/>
        <v>#N/A</v>
      </c>
      <c r="F4553" s="3" t="e">
        <f t="shared" si="147"/>
        <v>#N/A</v>
      </c>
    </row>
    <row r="4554" spans="2:6" x14ac:dyDescent="0.25">
      <c r="B4554" s="3"/>
      <c r="C4554" s="3"/>
      <c r="D4554" s="3"/>
      <c r="E4554" s="3" t="e">
        <f t="shared" si="146"/>
        <v>#N/A</v>
      </c>
      <c r="F4554" s="3" t="e">
        <f t="shared" si="147"/>
        <v>#N/A</v>
      </c>
    </row>
    <row r="4555" spans="2:6" x14ac:dyDescent="0.25">
      <c r="B4555" s="3"/>
      <c r="C4555" s="3"/>
      <c r="D4555" s="3"/>
      <c r="E4555" s="3" t="e">
        <f t="shared" si="146"/>
        <v>#N/A</v>
      </c>
      <c r="F4555" s="3" t="e">
        <f t="shared" si="147"/>
        <v>#N/A</v>
      </c>
    </row>
    <row r="4556" spans="2:6" x14ac:dyDescent="0.25">
      <c r="B4556" s="3"/>
      <c r="C4556" s="3"/>
      <c r="D4556" s="3"/>
      <c r="E4556" s="3" t="e">
        <f t="shared" si="146"/>
        <v>#N/A</v>
      </c>
      <c r="F4556" s="3" t="e">
        <f t="shared" si="147"/>
        <v>#N/A</v>
      </c>
    </row>
    <row r="4557" spans="2:6" x14ac:dyDescent="0.25">
      <c r="B4557" s="3"/>
      <c r="C4557" s="3"/>
      <c r="D4557" s="3"/>
      <c r="E4557" s="3" t="e">
        <f t="shared" si="146"/>
        <v>#N/A</v>
      </c>
      <c r="F4557" s="3" t="e">
        <f t="shared" si="147"/>
        <v>#N/A</v>
      </c>
    </row>
    <row r="4558" spans="2:6" x14ac:dyDescent="0.25">
      <c r="B4558" s="3"/>
      <c r="C4558" s="3"/>
      <c r="D4558" s="3"/>
      <c r="E4558" s="3" t="e">
        <f t="shared" ref="E4558:E4621" si="148">VLOOKUP(C4558,I:J,2,0)</f>
        <v>#N/A</v>
      </c>
      <c r="F4558" s="3" t="e">
        <f t="shared" ref="F4558:F4621" si="149">E4558&amp;" "&amp;B4558</f>
        <v>#N/A</v>
      </c>
    </row>
    <row r="4559" spans="2:6" x14ac:dyDescent="0.25">
      <c r="B4559" s="3"/>
      <c r="C4559" s="3"/>
      <c r="D4559" s="3"/>
      <c r="E4559" s="3" t="e">
        <f t="shared" si="148"/>
        <v>#N/A</v>
      </c>
      <c r="F4559" s="3" t="e">
        <f t="shared" si="149"/>
        <v>#N/A</v>
      </c>
    </row>
    <row r="4560" spans="2:6" x14ac:dyDescent="0.25">
      <c r="B4560" s="3"/>
      <c r="C4560" s="3"/>
      <c r="D4560" s="3"/>
      <c r="E4560" s="3" t="e">
        <f t="shared" si="148"/>
        <v>#N/A</v>
      </c>
      <c r="F4560" s="3" t="e">
        <f t="shared" si="149"/>
        <v>#N/A</v>
      </c>
    </row>
    <row r="4561" spans="2:6" x14ac:dyDescent="0.25">
      <c r="B4561" s="3"/>
      <c r="C4561" s="3"/>
      <c r="D4561" s="3"/>
      <c r="E4561" s="3" t="e">
        <f t="shared" si="148"/>
        <v>#N/A</v>
      </c>
      <c r="F4561" s="3" t="e">
        <f t="shared" si="149"/>
        <v>#N/A</v>
      </c>
    </row>
    <row r="4562" spans="2:6" x14ac:dyDescent="0.25">
      <c r="B4562" s="3"/>
      <c r="C4562" s="3"/>
      <c r="D4562" s="3"/>
      <c r="E4562" s="3" t="e">
        <f t="shared" si="148"/>
        <v>#N/A</v>
      </c>
      <c r="F4562" s="3" t="e">
        <f t="shared" si="149"/>
        <v>#N/A</v>
      </c>
    </row>
    <row r="4563" spans="2:6" x14ac:dyDescent="0.25">
      <c r="B4563" s="3"/>
      <c r="C4563" s="3"/>
      <c r="D4563" s="3"/>
      <c r="E4563" s="3" t="e">
        <f t="shared" si="148"/>
        <v>#N/A</v>
      </c>
      <c r="F4563" s="3" t="e">
        <f t="shared" si="149"/>
        <v>#N/A</v>
      </c>
    </row>
    <row r="4564" spans="2:6" x14ac:dyDescent="0.25">
      <c r="B4564" s="3"/>
      <c r="C4564" s="3"/>
      <c r="D4564" s="3"/>
      <c r="E4564" s="3" t="e">
        <f t="shared" si="148"/>
        <v>#N/A</v>
      </c>
      <c r="F4564" s="3" t="e">
        <f t="shared" si="149"/>
        <v>#N/A</v>
      </c>
    </row>
    <row r="4565" spans="2:6" x14ac:dyDescent="0.25">
      <c r="B4565" s="3"/>
      <c r="C4565" s="3"/>
      <c r="D4565" s="3"/>
      <c r="E4565" s="3" t="e">
        <f t="shared" si="148"/>
        <v>#N/A</v>
      </c>
      <c r="F4565" s="3" t="e">
        <f t="shared" si="149"/>
        <v>#N/A</v>
      </c>
    </row>
    <row r="4566" spans="2:6" x14ac:dyDescent="0.25">
      <c r="B4566" s="3"/>
      <c r="C4566" s="3"/>
      <c r="D4566" s="3"/>
      <c r="E4566" s="3" t="e">
        <f t="shared" si="148"/>
        <v>#N/A</v>
      </c>
      <c r="F4566" s="3" t="e">
        <f t="shared" si="149"/>
        <v>#N/A</v>
      </c>
    </row>
    <row r="4567" spans="2:6" x14ac:dyDescent="0.25">
      <c r="B4567" s="3"/>
      <c r="C4567" s="3"/>
      <c r="D4567" s="3"/>
      <c r="E4567" s="3" t="e">
        <f t="shared" si="148"/>
        <v>#N/A</v>
      </c>
      <c r="F4567" s="3" t="e">
        <f t="shared" si="149"/>
        <v>#N/A</v>
      </c>
    </row>
    <row r="4568" spans="2:6" x14ac:dyDescent="0.25">
      <c r="B4568" s="3"/>
      <c r="C4568" s="3"/>
      <c r="D4568" s="3"/>
      <c r="E4568" s="3" t="e">
        <f t="shared" si="148"/>
        <v>#N/A</v>
      </c>
      <c r="F4568" s="3" t="e">
        <f t="shared" si="149"/>
        <v>#N/A</v>
      </c>
    </row>
    <row r="4569" spans="2:6" x14ac:dyDescent="0.25">
      <c r="B4569" s="3"/>
      <c r="C4569" s="3"/>
      <c r="D4569" s="3"/>
      <c r="E4569" s="3" t="e">
        <f t="shared" si="148"/>
        <v>#N/A</v>
      </c>
      <c r="F4569" s="3" t="e">
        <f t="shared" si="149"/>
        <v>#N/A</v>
      </c>
    </row>
    <row r="4570" spans="2:6" x14ac:dyDescent="0.25">
      <c r="B4570" s="3"/>
      <c r="C4570" s="3"/>
      <c r="D4570" s="3"/>
      <c r="E4570" s="3" t="e">
        <f t="shared" si="148"/>
        <v>#N/A</v>
      </c>
      <c r="F4570" s="3" t="e">
        <f t="shared" si="149"/>
        <v>#N/A</v>
      </c>
    </row>
    <row r="4571" spans="2:6" x14ac:dyDescent="0.25">
      <c r="B4571" s="3"/>
      <c r="C4571" s="3"/>
      <c r="D4571" s="3"/>
      <c r="E4571" s="3" t="e">
        <f t="shared" si="148"/>
        <v>#N/A</v>
      </c>
      <c r="F4571" s="3" t="e">
        <f t="shared" si="149"/>
        <v>#N/A</v>
      </c>
    </row>
    <row r="4572" spans="2:6" x14ac:dyDescent="0.25">
      <c r="B4572" s="3"/>
      <c r="C4572" s="3"/>
      <c r="D4572" s="3"/>
      <c r="E4572" s="3" t="e">
        <f t="shared" si="148"/>
        <v>#N/A</v>
      </c>
      <c r="F4572" s="3" t="e">
        <f t="shared" si="149"/>
        <v>#N/A</v>
      </c>
    </row>
    <row r="4573" spans="2:6" x14ac:dyDescent="0.25">
      <c r="B4573" s="3"/>
      <c r="C4573" s="3"/>
      <c r="D4573" s="3"/>
      <c r="E4573" s="3" t="e">
        <f t="shared" si="148"/>
        <v>#N/A</v>
      </c>
      <c r="F4573" s="3" t="e">
        <f t="shared" si="149"/>
        <v>#N/A</v>
      </c>
    </row>
    <row r="4574" spans="2:6" x14ac:dyDescent="0.25">
      <c r="B4574" s="3"/>
      <c r="C4574" s="3"/>
      <c r="D4574" s="3"/>
      <c r="E4574" s="3" t="e">
        <f t="shared" si="148"/>
        <v>#N/A</v>
      </c>
      <c r="F4574" s="3" t="e">
        <f t="shared" si="149"/>
        <v>#N/A</v>
      </c>
    </row>
    <row r="4575" spans="2:6" x14ac:dyDescent="0.25">
      <c r="B4575" s="3"/>
      <c r="C4575" s="3"/>
      <c r="D4575" s="3"/>
      <c r="E4575" s="3" t="e">
        <f t="shared" si="148"/>
        <v>#N/A</v>
      </c>
      <c r="F4575" s="3" t="e">
        <f t="shared" si="149"/>
        <v>#N/A</v>
      </c>
    </row>
    <row r="4576" spans="2:6" x14ac:dyDescent="0.25">
      <c r="B4576" s="3"/>
      <c r="C4576" s="3"/>
      <c r="D4576" s="3"/>
      <c r="E4576" s="3" t="e">
        <f t="shared" si="148"/>
        <v>#N/A</v>
      </c>
      <c r="F4576" s="3" t="e">
        <f t="shared" si="149"/>
        <v>#N/A</v>
      </c>
    </row>
    <row r="4577" spans="2:6" x14ac:dyDescent="0.25">
      <c r="B4577" s="3"/>
      <c r="C4577" s="3"/>
      <c r="D4577" s="3"/>
      <c r="E4577" s="3" t="e">
        <f t="shared" si="148"/>
        <v>#N/A</v>
      </c>
      <c r="F4577" s="3" t="e">
        <f t="shared" si="149"/>
        <v>#N/A</v>
      </c>
    </row>
    <row r="4578" spans="2:6" x14ac:dyDescent="0.25">
      <c r="B4578" s="3"/>
      <c r="C4578" s="3"/>
      <c r="D4578" s="3"/>
      <c r="E4578" s="3" t="e">
        <f t="shared" si="148"/>
        <v>#N/A</v>
      </c>
      <c r="F4578" s="3" t="e">
        <f t="shared" si="149"/>
        <v>#N/A</v>
      </c>
    </row>
    <row r="4579" spans="2:6" x14ac:dyDescent="0.25">
      <c r="B4579" s="3"/>
      <c r="C4579" s="3"/>
      <c r="D4579" s="3"/>
      <c r="E4579" s="3" t="e">
        <f t="shared" si="148"/>
        <v>#N/A</v>
      </c>
      <c r="F4579" s="3" t="e">
        <f t="shared" si="149"/>
        <v>#N/A</v>
      </c>
    </row>
    <row r="4580" spans="2:6" x14ac:dyDescent="0.25">
      <c r="B4580" s="3"/>
      <c r="C4580" s="3"/>
      <c r="D4580" s="3"/>
      <c r="E4580" s="3" t="e">
        <f t="shared" si="148"/>
        <v>#N/A</v>
      </c>
      <c r="F4580" s="3" t="e">
        <f t="shared" si="149"/>
        <v>#N/A</v>
      </c>
    </row>
    <row r="4581" spans="2:6" x14ac:dyDescent="0.25">
      <c r="B4581" s="3"/>
      <c r="C4581" s="3"/>
      <c r="D4581" s="3"/>
      <c r="E4581" s="3" t="e">
        <f t="shared" si="148"/>
        <v>#N/A</v>
      </c>
      <c r="F4581" s="3" t="e">
        <f t="shared" si="149"/>
        <v>#N/A</v>
      </c>
    </row>
    <row r="4582" spans="2:6" x14ac:dyDescent="0.25">
      <c r="B4582" s="3"/>
      <c r="C4582" s="3"/>
      <c r="D4582" s="3"/>
      <c r="E4582" s="3" t="e">
        <f t="shared" si="148"/>
        <v>#N/A</v>
      </c>
      <c r="F4582" s="3" t="e">
        <f t="shared" si="149"/>
        <v>#N/A</v>
      </c>
    </row>
    <row r="4583" spans="2:6" x14ac:dyDescent="0.25">
      <c r="B4583" s="3"/>
      <c r="C4583" s="3"/>
      <c r="D4583" s="3"/>
      <c r="E4583" s="3" t="e">
        <f t="shared" si="148"/>
        <v>#N/A</v>
      </c>
      <c r="F4583" s="3" t="e">
        <f t="shared" si="149"/>
        <v>#N/A</v>
      </c>
    </row>
    <row r="4584" spans="2:6" x14ac:dyDescent="0.25">
      <c r="B4584" s="3"/>
      <c r="C4584" s="3"/>
      <c r="D4584" s="3"/>
      <c r="E4584" s="3" t="e">
        <f t="shared" si="148"/>
        <v>#N/A</v>
      </c>
      <c r="F4584" s="3" t="e">
        <f t="shared" si="149"/>
        <v>#N/A</v>
      </c>
    </row>
    <row r="4585" spans="2:6" x14ac:dyDescent="0.25">
      <c r="B4585" s="3"/>
      <c r="C4585" s="3"/>
      <c r="D4585" s="3"/>
      <c r="E4585" s="3" t="e">
        <f t="shared" si="148"/>
        <v>#N/A</v>
      </c>
      <c r="F4585" s="3" t="e">
        <f t="shared" si="149"/>
        <v>#N/A</v>
      </c>
    </row>
    <row r="4586" spans="2:6" x14ac:dyDescent="0.25">
      <c r="B4586" s="3"/>
      <c r="C4586" s="3"/>
      <c r="D4586" s="3"/>
      <c r="E4586" s="3" t="e">
        <f t="shared" si="148"/>
        <v>#N/A</v>
      </c>
      <c r="F4586" s="3" t="e">
        <f t="shared" si="149"/>
        <v>#N/A</v>
      </c>
    </row>
    <row r="4587" spans="2:6" x14ac:dyDescent="0.25">
      <c r="B4587" s="3"/>
      <c r="C4587" s="3"/>
      <c r="D4587" s="3"/>
      <c r="E4587" s="3" t="e">
        <f t="shared" si="148"/>
        <v>#N/A</v>
      </c>
      <c r="F4587" s="3" t="e">
        <f t="shared" si="149"/>
        <v>#N/A</v>
      </c>
    </row>
    <row r="4588" spans="2:6" x14ac:dyDescent="0.25">
      <c r="B4588" s="3"/>
      <c r="C4588" s="3"/>
      <c r="D4588" s="3"/>
      <c r="E4588" s="3" t="e">
        <f t="shared" si="148"/>
        <v>#N/A</v>
      </c>
      <c r="F4588" s="3" t="e">
        <f t="shared" si="149"/>
        <v>#N/A</v>
      </c>
    </row>
    <row r="4589" spans="2:6" x14ac:dyDescent="0.25">
      <c r="B4589" s="3"/>
      <c r="C4589" s="3"/>
      <c r="D4589" s="3"/>
      <c r="E4589" s="3" t="e">
        <f t="shared" si="148"/>
        <v>#N/A</v>
      </c>
      <c r="F4589" s="3" t="e">
        <f t="shared" si="149"/>
        <v>#N/A</v>
      </c>
    </row>
    <row r="4590" spans="2:6" x14ac:dyDescent="0.25">
      <c r="B4590" s="3"/>
      <c r="C4590" s="3"/>
      <c r="D4590" s="3"/>
      <c r="E4590" s="3" t="e">
        <f t="shared" si="148"/>
        <v>#N/A</v>
      </c>
      <c r="F4590" s="3" t="e">
        <f t="shared" si="149"/>
        <v>#N/A</v>
      </c>
    </row>
    <row r="4591" spans="2:6" x14ac:dyDescent="0.25">
      <c r="B4591" s="3"/>
      <c r="C4591" s="3"/>
      <c r="D4591" s="3"/>
      <c r="E4591" s="3" t="e">
        <f t="shared" si="148"/>
        <v>#N/A</v>
      </c>
      <c r="F4591" s="3" t="e">
        <f t="shared" si="149"/>
        <v>#N/A</v>
      </c>
    </row>
    <row r="4592" spans="2:6" x14ac:dyDescent="0.25">
      <c r="B4592" s="3"/>
      <c r="C4592" s="3"/>
      <c r="D4592" s="3"/>
      <c r="E4592" s="3" t="e">
        <f t="shared" si="148"/>
        <v>#N/A</v>
      </c>
      <c r="F4592" s="3" t="e">
        <f t="shared" si="149"/>
        <v>#N/A</v>
      </c>
    </row>
    <row r="4593" spans="2:6" x14ac:dyDescent="0.25">
      <c r="B4593" s="3"/>
      <c r="C4593" s="3"/>
      <c r="D4593" s="3"/>
      <c r="E4593" s="3" t="e">
        <f t="shared" si="148"/>
        <v>#N/A</v>
      </c>
      <c r="F4593" s="3" t="e">
        <f t="shared" si="149"/>
        <v>#N/A</v>
      </c>
    </row>
    <row r="4594" spans="2:6" x14ac:dyDescent="0.25">
      <c r="B4594" s="3"/>
      <c r="C4594" s="3"/>
      <c r="D4594" s="3"/>
      <c r="E4594" s="3" t="e">
        <f t="shared" si="148"/>
        <v>#N/A</v>
      </c>
      <c r="F4594" s="3" t="e">
        <f t="shared" si="149"/>
        <v>#N/A</v>
      </c>
    </row>
    <row r="4595" spans="2:6" x14ac:dyDescent="0.25">
      <c r="B4595" s="3"/>
      <c r="C4595" s="3"/>
      <c r="D4595" s="3"/>
      <c r="E4595" s="3" t="e">
        <f t="shared" si="148"/>
        <v>#N/A</v>
      </c>
      <c r="F4595" s="3" t="e">
        <f t="shared" si="149"/>
        <v>#N/A</v>
      </c>
    </row>
    <row r="4596" spans="2:6" x14ac:dyDescent="0.25">
      <c r="B4596" s="3"/>
      <c r="C4596" s="3"/>
      <c r="D4596" s="3"/>
      <c r="E4596" s="3" t="e">
        <f t="shared" si="148"/>
        <v>#N/A</v>
      </c>
      <c r="F4596" s="3" t="e">
        <f t="shared" si="149"/>
        <v>#N/A</v>
      </c>
    </row>
    <row r="4597" spans="2:6" x14ac:dyDescent="0.25">
      <c r="B4597" s="3"/>
      <c r="C4597" s="3"/>
      <c r="D4597" s="3"/>
      <c r="E4597" s="3" t="e">
        <f t="shared" si="148"/>
        <v>#N/A</v>
      </c>
      <c r="F4597" s="3" t="e">
        <f t="shared" si="149"/>
        <v>#N/A</v>
      </c>
    </row>
    <row r="4598" spans="2:6" x14ac:dyDescent="0.25">
      <c r="B4598" s="3"/>
      <c r="C4598" s="3"/>
      <c r="D4598" s="3"/>
      <c r="E4598" s="3" t="e">
        <f t="shared" si="148"/>
        <v>#N/A</v>
      </c>
      <c r="F4598" s="3" t="e">
        <f t="shared" si="149"/>
        <v>#N/A</v>
      </c>
    </row>
    <row r="4599" spans="2:6" x14ac:dyDescent="0.25">
      <c r="B4599" s="3"/>
      <c r="C4599" s="3"/>
      <c r="D4599" s="3"/>
      <c r="E4599" s="3" t="e">
        <f t="shared" si="148"/>
        <v>#N/A</v>
      </c>
      <c r="F4599" s="3" t="e">
        <f t="shared" si="149"/>
        <v>#N/A</v>
      </c>
    </row>
    <row r="4600" spans="2:6" x14ac:dyDescent="0.25">
      <c r="B4600" s="3"/>
      <c r="C4600" s="3"/>
      <c r="D4600" s="3"/>
      <c r="E4600" s="3" t="e">
        <f t="shared" si="148"/>
        <v>#N/A</v>
      </c>
      <c r="F4600" s="3" t="e">
        <f t="shared" si="149"/>
        <v>#N/A</v>
      </c>
    </row>
    <row r="4601" spans="2:6" x14ac:dyDescent="0.25">
      <c r="B4601" s="3"/>
      <c r="C4601" s="3"/>
      <c r="D4601" s="3"/>
      <c r="E4601" s="3" t="e">
        <f t="shared" si="148"/>
        <v>#N/A</v>
      </c>
      <c r="F4601" s="3" t="e">
        <f t="shared" si="149"/>
        <v>#N/A</v>
      </c>
    </row>
    <row r="4602" spans="2:6" x14ac:dyDescent="0.25">
      <c r="B4602" s="3"/>
      <c r="C4602" s="3"/>
      <c r="D4602" s="3"/>
      <c r="E4602" s="3" t="e">
        <f t="shared" si="148"/>
        <v>#N/A</v>
      </c>
      <c r="F4602" s="3" t="e">
        <f t="shared" si="149"/>
        <v>#N/A</v>
      </c>
    </row>
    <row r="4603" spans="2:6" x14ac:dyDescent="0.25">
      <c r="B4603" s="3"/>
      <c r="C4603" s="3"/>
      <c r="D4603" s="3"/>
      <c r="E4603" s="3" t="e">
        <f t="shared" si="148"/>
        <v>#N/A</v>
      </c>
      <c r="F4603" s="3" t="e">
        <f t="shared" si="149"/>
        <v>#N/A</v>
      </c>
    </row>
    <row r="4604" spans="2:6" x14ac:dyDescent="0.25">
      <c r="B4604" s="3"/>
      <c r="C4604" s="3"/>
      <c r="D4604" s="3"/>
      <c r="E4604" s="3" t="e">
        <f t="shared" si="148"/>
        <v>#N/A</v>
      </c>
      <c r="F4604" s="3" t="e">
        <f t="shared" si="149"/>
        <v>#N/A</v>
      </c>
    </row>
    <row r="4605" spans="2:6" x14ac:dyDescent="0.25">
      <c r="B4605" s="3"/>
      <c r="C4605" s="3"/>
      <c r="D4605" s="3"/>
      <c r="E4605" s="3" t="e">
        <f t="shared" si="148"/>
        <v>#N/A</v>
      </c>
      <c r="F4605" s="3" t="e">
        <f t="shared" si="149"/>
        <v>#N/A</v>
      </c>
    </row>
    <row r="4606" spans="2:6" x14ac:dyDescent="0.25">
      <c r="B4606" s="3"/>
      <c r="C4606" s="3"/>
      <c r="D4606" s="3"/>
      <c r="E4606" s="3" t="e">
        <f t="shared" si="148"/>
        <v>#N/A</v>
      </c>
      <c r="F4606" s="3" t="e">
        <f t="shared" si="149"/>
        <v>#N/A</v>
      </c>
    </row>
    <row r="4607" spans="2:6" x14ac:dyDescent="0.25">
      <c r="B4607" s="3"/>
      <c r="C4607" s="3"/>
      <c r="D4607" s="3"/>
      <c r="E4607" s="3" t="e">
        <f t="shared" si="148"/>
        <v>#N/A</v>
      </c>
      <c r="F4607" s="3" t="e">
        <f t="shared" si="149"/>
        <v>#N/A</v>
      </c>
    </row>
    <row r="4608" spans="2:6" x14ac:dyDescent="0.25">
      <c r="B4608" s="3"/>
      <c r="C4608" s="3"/>
      <c r="D4608" s="3"/>
      <c r="E4608" s="3" t="e">
        <f t="shared" si="148"/>
        <v>#N/A</v>
      </c>
      <c r="F4608" s="3" t="e">
        <f t="shared" si="149"/>
        <v>#N/A</v>
      </c>
    </row>
    <row r="4609" spans="2:6" x14ac:dyDescent="0.25">
      <c r="B4609" s="3"/>
      <c r="C4609" s="3"/>
      <c r="D4609" s="3"/>
      <c r="E4609" s="3" t="e">
        <f t="shared" si="148"/>
        <v>#N/A</v>
      </c>
      <c r="F4609" s="3" t="e">
        <f t="shared" si="149"/>
        <v>#N/A</v>
      </c>
    </row>
    <row r="4610" spans="2:6" x14ac:dyDescent="0.25">
      <c r="B4610" s="3"/>
      <c r="C4610" s="3"/>
      <c r="D4610" s="3"/>
      <c r="E4610" s="3" t="e">
        <f t="shared" si="148"/>
        <v>#N/A</v>
      </c>
      <c r="F4610" s="3" t="e">
        <f t="shared" si="149"/>
        <v>#N/A</v>
      </c>
    </row>
    <row r="4611" spans="2:6" x14ac:dyDescent="0.25">
      <c r="B4611" s="3"/>
      <c r="C4611" s="3"/>
      <c r="D4611" s="3"/>
      <c r="E4611" s="3" t="e">
        <f t="shared" si="148"/>
        <v>#N/A</v>
      </c>
      <c r="F4611" s="3" t="e">
        <f t="shared" si="149"/>
        <v>#N/A</v>
      </c>
    </row>
    <row r="4612" spans="2:6" x14ac:dyDescent="0.25">
      <c r="B4612" s="3"/>
      <c r="C4612" s="3"/>
      <c r="D4612" s="3"/>
      <c r="E4612" s="3" t="e">
        <f t="shared" si="148"/>
        <v>#N/A</v>
      </c>
      <c r="F4612" s="3" t="e">
        <f t="shared" si="149"/>
        <v>#N/A</v>
      </c>
    </row>
    <row r="4613" spans="2:6" x14ac:dyDescent="0.25">
      <c r="B4613" s="3"/>
      <c r="C4613" s="3"/>
      <c r="D4613" s="3"/>
      <c r="E4613" s="3" t="e">
        <f t="shared" si="148"/>
        <v>#N/A</v>
      </c>
      <c r="F4613" s="3" t="e">
        <f t="shared" si="149"/>
        <v>#N/A</v>
      </c>
    </row>
    <row r="4614" spans="2:6" x14ac:dyDescent="0.25">
      <c r="B4614" s="3"/>
      <c r="C4614" s="3"/>
      <c r="D4614" s="3"/>
      <c r="E4614" s="3" t="e">
        <f t="shared" si="148"/>
        <v>#N/A</v>
      </c>
      <c r="F4614" s="3" t="e">
        <f t="shared" si="149"/>
        <v>#N/A</v>
      </c>
    </row>
    <row r="4615" spans="2:6" x14ac:dyDescent="0.25">
      <c r="B4615" s="3"/>
      <c r="C4615" s="3"/>
      <c r="D4615" s="3"/>
      <c r="E4615" s="3" t="e">
        <f t="shared" si="148"/>
        <v>#N/A</v>
      </c>
      <c r="F4615" s="3" t="e">
        <f t="shared" si="149"/>
        <v>#N/A</v>
      </c>
    </row>
    <row r="4616" spans="2:6" x14ac:dyDescent="0.25">
      <c r="B4616" s="3"/>
      <c r="C4616" s="3"/>
      <c r="D4616" s="3"/>
      <c r="E4616" s="3" t="e">
        <f t="shared" si="148"/>
        <v>#N/A</v>
      </c>
      <c r="F4616" s="3" t="e">
        <f t="shared" si="149"/>
        <v>#N/A</v>
      </c>
    </row>
    <row r="4617" spans="2:6" x14ac:dyDescent="0.25">
      <c r="B4617" s="3"/>
      <c r="C4617" s="3"/>
      <c r="D4617" s="3"/>
      <c r="E4617" s="3" t="e">
        <f t="shared" si="148"/>
        <v>#N/A</v>
      </c>
      <c r="F4617" s="3" t="e">
        <f t="shared" si="149"/>
        <v>#N/A</v>
      </c>
    </row>
    <row r="4618" spans="2:6" x14ac:dyDescent="0.25">
      <c r="B4618" s="3"/>
      <c r="C4618" s="3"/>
      <c r="D4618" s="3"/>
      <c r="E4618" s="3" t="e">
        <f t="shared" si="148"/>
        <v>#N/A</v>
      </c>
      <c r="F4618" s="3" t="e">
        <f t="shared" si="149"/>
        <v>#N/A</v>
      </c>
    </row>
    <row r="4619" spans="2:6" x14ac:dyDescent="0.25">
      <c r="B4619" s="3"/>
      <c r="C4619" s="3"/>
      <c r="D4619" s="3"/>
      <c r="E4619" s="3" t="e">
        <f t="shared" si="148"/>
        <v>#N/A</v>
      </c>
      <c r="F4619" s="3" t="e">
        <f t="shared" si="149"/>
        <v>#N/A</v>
      </c>
    </row>
    <row r="4620" spans="2:6" x14ac:dyDescent="0.25">
      <c r="B4620" s="3"/>
      <c r="C4620" s="3"/>
      <c r="D4620" s="3"/>
      <c r="E4620" s="3" t="e">
        <f t="shared" si="148"/>
        <v>#N/A</v>
      </c>
      <c r="F4620" s="3" t="e">
        <f t="shared" si="149"/>
        <v>#N/A</v>
      </c>
    </row>
    <row r="4621" spans="2:6" x14ac:dyDescent="0.25">
      <c r="B4621" s="3"/>
      <c r="C4621" s="3"/>
      <c r="D4621" s="3"/>
      <c r="E4621" s="3" t="e">
        <f t="shared" si="148"/>
        <v>#N/A</v>
      </c>
      <c r="F4621" s="3" t="e">
        <f t="shared" si="149"/>
        <v>#N/A</v>
      </c>
    </row>
    <row r="4622" spans="2:6" x14ac:dyDescent="0.25">
      <c r="B4622" s="3"/>
      <c r="C4622" s="3"/>
      <c r="D4622" s="3"/>
      <c r="E4622" s="3" t="e">
        <f t="shared" ref="E4622:E4685" si="150">VLOOKUP(C4622,I:J,2,0)</f>
        <v>#N/A</v>
      </c>
      <c r="F4622" s="3" t="e">
        <f t="shared" ref="F4622:F4685" si="151">E4622&amp;" "&amp;B4622</f>
        <v>#N/A</v>
      </c>
    </row>
    <row r="4623" spans="2:6" x14ac:dyDescent="0.25">
      <c r="B4623" s="3"/>
      <c r="C4623" s="3"/>
      <c r="D4623" s="3"/>
      <c r="E4623" s="3" t="e">
        <f t="shared" si="150"/>
        <v>#N/A</v>
      </c>
      <c r="F4623" s="3" t="e">
        <f t="shared" si="151"/>
        <v>#N/A</v>
      </c>
    </row>
    <row r="4624" spans="2:6" x14ac:dyDescent="0.25">
      <c r="B4624" s="3"/>
      <c r="C4624" s="3"/>
      <c r="D4624" s="3"/>
      <c r="E4624" s="3" t="e">
        <f t="shared" si="150"/>
        <v>#N/A</v>
      </c>
      <c r="F4624" s="3" t="e">
        <f t="shared" si="151"/>
        <v>#N/A</v>
      </c>
    </row>
    <row r="4625" spans="2:6" x14ac:dyDescent="0.25">
      <c r="B4625" s="3"/>
      <c r="C4625" s="3"/>
      <c r="D4625" s="3"/>
      <c r="E4625" s="3" t="e">
        <f t="shared" si="150"/>
        <v>#N/A</v>
      </c>
      <c r="F4625" s="3" t="e">
        <f t="shared" si="151"/>
        <v>#N/A</v>
      </c>
    </row>
    <row r="4626" spans="2:6" x14ac:dyDescent="0.25">
      <c r="B4626" s="3"/>
      <c r="C4626" s="3"/>
      <c r="D4626" s="3"/>
      <c r="E4626" s="3" t="e">
        <f t="shared" si="150"/>
        <v>#N/A</v>
      </c>
      <c r="F4626" s="3" t="e">
        <f t="shared" si="151"/>
        <v>#N/A</v>
      </c>
    </row>
    <row r="4627" spans="2:6" x14ac:dyDescent="0.25">
      <c r="B4627" s="3"/>
      <c r="C4627" s="3"/>
      <c r="D4627" s="3"/>
      <c r="E4627" s="3" t="e">
        <f t="shared" si="150"/>
        <v>#N/A</v>
      </c>
      <c r="F4627" s="3" t="e">
        <f t="shared" si="151"/>
        <v>#N/A</v>
      </c>
    </row>
    <row r="4628" spans="2:6" x14ac:dyDescent="0.25">
      <c r="B4628" s="3"/>
      <c r="C4628" s="3"/>
      <c r="D4628" s="3"/>
      <c r="E4628" s="3" t="e">
        <f t="shared" si="150"/>
        <v>#N/A</v>
      </c>
      <c r="F4628" s="3" t="e">
        <f t="shared" si="151"/>
        <v>#N/A</v>
      </c>
    </row>
    <row r="4629" spans="2:6" x14ac:dyDescent="0.25">
      <c r="B4629" s="3"/>
      <c r="C4629" s="3"/>
      <c r="D4629" s="3"/>
      <c r="E4629" s="3" t="e">
        <f t="shared" si="150"/>
        <v>#N/A</v>
      </c>
      <c r="F4629" s="3" t="e">
        <f t="shared" si="151"/>
        <v>#N/A</v>
      </c>
    </row>
    <row r="4630" spans="2:6" x14ac:dyDescent="0.25">
      <c r="B4630" s="3"/>
      <c r="C4630" s="3"/>
      <c r="D4630" s="3"/>
      <c r="E4630" s="3" t="e">
        <f t="shared" si="150"/>
        <v>#N/A</v>
      </c>
      <c r="F4630" s="3" t="e">
        <f t="shared" si="151"/>
        <v>#N/A</v>
      </c>
    </row>
    <row r="4631" spans="2:6" x14ac:dyDescent="0.25">
      <c r="B4631" s="3"/>
      <c r="C4631" s="3"/>
      <c r="D4631" s="3"/>
      <c r="E4631" s="3" t="e">
        <f t="shared" si="150"/>
        <v>#N/A</v>
      </c>
      <c r="F4631" s="3" t="e">
        <f t="shared" si="151"/>
        <v>#N/A</v>
      </c>
    </row>
    <row r="4632" spans="2:6" x14ac:dyDescent="0.25">
      <c r="B4632" s="3"/>
      <c r="C4632" s="3"/>
      <c r="D4632" s="3"/>
      <c r="E4632" s="3" t="e">
        <f t="shared" si="150"/>
        <v>#N/A</v>
      </c>
      <c r="F4632" s="3" t="e">
        <f t="shared" si="151"/>
        <v>#N/A</v>
      </c>
    </row>
    <row r="4633" spans="2:6" x14ac:dyDescent="0.25">
      <c r="B4633" s="3"/>
      <c r="C4633" s="3"/>
      <c r="D4633" s="3"/>
      <c r="E4633" s="3" t="e">
        <f t="shared" si="150"/>
        <v>#N/A</v>
      </c>
      <c r="F4633" s="3" t="e">
        <f t="shared" si="151"/>
        <v>#N/A</v>
      </c>
    </row>
    <row r="4634" spans="2:6" x14ac:dyDescent="0.25">
      <c r="B4634" s="3"/>
      <c r="C4634" s="3"/>
      <c r="D4634" s="3"/>
      <c r="E4634" s="3" t="e">
        <f t="shared" si="150"/>
        <v>#N/A</v>
      </c>
      <c r="F4634" s="3" t="e">
        <f t="shared" si="151"/>
        <v>#N/A</v>
      </c>
    </row>
    <row r="4635" spans="2:6" x14ac:dyDescent="0.25">
      <c r="B4635" s="3"/>
      <c r="C4635" s="3"/>
      <c r="D4635" s="3"/>
      <c r="E4635" s="3" t="e">
        <f t="shared" si="150"/>
        <v>#N/A</v>
      </c>
      <c r="F4635" s="3" t="e">
        <f t="shared" si="151"/>
        <v>#N/A</v>
      </c>
    </row>
    <row r="4636" spans="2:6" x14ac:dyDescent="0.25">
      <c r="B4636" s="3"/>
      <c r="C4636" s="3"/>
      <c r="D4636" s="3"/>
      <c r="E4636" s="3" t="e">
        <f t="shared" si="150"/>
        <v>#N/A</v>
      </c>
      <c r="F4636" s="3" t="e">
        <f t="shared" si="151"/>
        <v>#N/A</v>
      </c>
    </row>
    <row r="4637" spans="2:6" x14ac:dyDescent="0.25">
      <c r="B4637" s="3"/>
      <c r="C4637" s="3"/>
      <c r="D4637" s="3"/>
      <c r="E4637" s="3" t="e">
        <f t="shared" si="150"/>
        <v>#N/A</v>
      </c>
      <c r="F4637" s="3" t="e">
        <f t="shared" si="151"/>
        <v>#N/A</v>
      </c>
    </row>
    <row r="4638" spans="2:6" x14ac:dyDescent="0.25">
      <c r="B4638" s="3"/>
      <c r="C4638" s="3"/>
      <c r="D4638" s="3"/>
      <c r="E4638" s="3" t="e">
        <f t="shared" si="150"/>
        <v>#N/A</v>
      </c>
      <c r="F4638" s="3" t="e">
        <f t="shared" si="151"/>
        <v>#N/A</v>
      </c>
    </row>
    <row r="4639" spans="2:6" x14ac:dyDescent="0.25">
      <c r="B4639" s="3"/>
      <c r="C4639" s="3"/>
      <c r="D4639" s="3"/>
      <c r="E4639" s="3" t="e">
        <f t="shared" si="150"/>
        <v>#N/A</v>
      </c>
      <c r="F4639" s="3" t="e">
        <f t="shared" si="151"/>
        <v>#N/A</v>
      </c>
    </row>
    <row r="4640" spans="2:6" x14ac:dyDescent="0.25">
      <c r="B4640" s="3"/>
      <c r="C4640" s="3"/>
      <c r="D4640" s="3"/>
      <c r="E4640" s="3" t="e">
        <f t="shared" si="150"/>
        <v>#N/A</v>
      </c>
      <c r="F4640" s="3" t="e">
        <f t="shared" si="151"/>
        <v>#N/A</v>
      </c>
    </row>
    <row r="4641" spans="2:6" x14ac:dyDescent="0.25">
      <c r="B4641" s="3"/>
      <c r="C4641" s="3"/>
      <c r="D4641" s="3"/>
      <c r="E4641" s="3" t="e">
        <f t="shared" si="150"/>
        <v>#N/A</v>
      </c>
      <c r="F4641" s="3" t="e">
        <f t="shared" si="151"/>
        <v>#N/A</v>
      </c>
    </row>
    <row r="4642" spans="2:6" x14ac:dyDescent="0.25">
      <c r="B4642" s="3"/>
      <c r="C4642" s="3"/>
      <c r="D4642" s="3"/>
      <c r="E4642" s="3" t="e">
        <f t="shared" si="150"/>
        <v>#N/A</v>
      </c>
      <c r="F4642" s="3" t="e">
        <f t="shared" si="151"/>
        <v>#N/A</v>
      </c>
    </row>
    <row r="4643" spans="2:6" x14ac:dyDescent="0.25">
      <c r="B4643" s="3"/>
      <c r="C4643" s="3"/>
      <c r="D4643" s="3"/>
      <c r="E4643" s="3" t="e">
        <f t="shared" si="150"/>
        <v>#N/A</v>
      </c>
      <c r="F4643" s="3" t="e">
        <f t="shared" si="151"/>
        <v>#N/A</v>
      </c>
    </row>
    <row r="4644" spans="2:6" x14ac:dyDescent="0.25">
      <c r="B4644" s="3"/>
      <c r="C4644" s="3"/>
      <c r="D4644" s="3"/>
      <c r="E4644" s="3" t="e">
        <f t="shared" si="150"/>
        <v>#N/A</v>
      </c>
      <c r="F4644" s="3" t="e">
        <f t="shared" si="151"/>
        <v>#N/A</v>
      </c>
    </row>
    <row r="4645" spans="2:6" x14ac:dyDescent="0.25">
      <c r="B4645" s="3"/>
      <c r="C4645" s="3"/>
      <c r="D4645" s="3"/>
      <c r="E4645" s="3" t="e">
        <f t="shared" si="150"/>
        <v>#N/A</v>
      </c>
      <c r="F4645" s="3" t="e">
        <f t="shared" si="151"/>
        <v>#N/A</v>
      </c>
    </row>
    <row r="4646" spans="2:6" x14ac:dyDescent="0.25">
      <c r="B4646" s="3"/>
      <c r="C4646" s="3"/>
      <c r="D4646" s="3"/>
      <c r="E4646" s="3" t="e">
        <f t="shared" si="150"/>
        <v>#N/A</v>
      </c>
      <c r="F4646" s="3" t="e">
        <f t="shared" si="151"/>
        <v>#N/A</v>
      </c>
    </row>
    <row r="4647" spans="2:6" x14ac:dyDescent="0.25">
      <c r="B4647" s="3"/>
      <c r="C4647" s="3"/>
      <c r="D4647" s="3"/>
      <c r="E4647" s="3" t="e">
        <f t="shared" si="150"/>
        <v>#N/A</v>
      </c>
      <c r="F4647" s="3" t="e">
        <f t="shared" si="151"/>
        <v>#N/A</v>
      </c>
    </row>
    <row r="4648" spans="2:6" x14ac:dyDescent="0.25">
      <c r="B4648" s="3"/>
      <c r="C4648" s="3"/>
      <c r="D4648" s="3"/>
      <c r="E4648" s="3" t="e">
        <f t="shared" si="150"/>
        <v>#N/A</v>
      </c>
      <c r="F4648" s="3" t="e">
        <f t="shared" si="151"/>
        <v>#N/A</v>
      </c>
    </row>
    <row r="4649" spans="2:6" x14ac:dyDescent="0.25">
      <c r="B4649" s="3"/>
      <c r="C4649" s="3"/>
      <c r="D4649" s="3"/>
      <c r="E4649" s="3" t="e">
        <f t="shared" si="150"/>
        <v>#N/A</v>
      </c>
      <c r="F4649" s="3" t="e">
        <f t="shared" si="151"/>
        <v>#N/A</v>
      </c>
    </row>
    <row r="4650" spans="2:6" x14ac:dyDescent="0.25">
      <c r="B4650" s="3"/>
      <c r="C4650" s="3"/>
      <c r="D4650" s="3"/>
      <c r="E4650" s="3" t="e">
        <f t="shared" si="150"/>
        <v>#N/A</v>
      </c>
      <c r="F4650" s="3" t="e">
        <f t="shared" si="151"/>
        <v>#N/A</v>
      </c>
    </row>
    <row r="4651" spans="2:6" x14ac:dyDescent="0.25">
      <c r="B4651" s="3"/>
      <c r="C4651" s="3"/>
      <c r="D4651" s="3"/>
      <c r="E4651" s="3" t="e">
        <f t="shared" si="150"/>
        <v>#N/A</v>
      </c>
      <c r="F4651" s="3" t="e">
        <f t="shared" si="151"/>
        <v>#N/A</v>
      </c>
    </row>
    <row r="4652" spans="2:6" x14ac:dyDescent="0.25">
      <c r="B4652" s="3"/>
      <c r="C4652" s="3"/>
      <c r="D4652" s="3"/>
      <c r="E4652" s="3" t="e">
        <f t="shared" si="150"/>
        <v>#N/A</v>
      </c>
      <c r="F4652" s="3" t="e">
        <f t="shared" si="151"/>
        <v>#N/A</v>
      </c>
    </row>
    <row r="4653" spans="2:6" x14ac:dyDescent="0.25">
      <c r="B4653" s="3"/>
      <c r="C4653" s="3"/>
      <c r="D4653" s="3"/>
      <c r="E4653" s="3" t="e">
        <f t="shared" si="150"/>
        <v>#N/A</v>
      </c>
      <c r="F4653" s="3" t="e">
        <f t="shared" si="151"/>
        <v>#N/A</v>
      </c>
    </row>
    <row r="4654" spans="2:6" x14ac:dyDescent="0.25">
      <c r="B4654" s="3"/>
      <c r="C4654" s="3"/>
      <c r="D4654" s="3"/>
      <c r="E4654" s="3" t="e">
        <f t="shared" si="150"/>
        <v>#N/A</v>
      </c>
      <c r="F4654" s="3" t="e">
        <f t="shared" si="151"/>
        <v>#N/A</v>
      </c>
    </row>
    <row r="4655" spans="2:6" x14ac:dyDescent="0.25">
      <c r="B4655" s="3"/>
      <c r="C4655" s="3"/>
      <c r="D4655" s="3"/>
      <c r="E4655" s="3" t="e">
        <f t="shared" si="150"/>
        <v>#N/A</v>
      </c>
      <c r="F4655" s="3" t="e">
        <f t="shared" si="151"/>
        <v>#N/A</v>
      </c>
    </row>
    <row r="4656" spans="2:6" x14ac:dyDescent="0.25">
      <c r="B4656" s="3"/>
      <c r="C4656" s="3"/>
      <c r="D4656" s="3"/>
      <c r="E4656" s="3" t="e">
        <f t="shared" si="150"/>
        <v>#N/A</v>
      </c>
      <c r="F4656" s="3" t="e">
        <f t="shared" si="151"/>
        <v>#N/A</v>
      </c>
    </row>
    <row r="4657" spans="2:6" x14ac:dyDescent="0.25">
      <c r="B4657" s="3"/>
      <c r="C4657" s="3"/>
      <c r="D4657" s="3"/>
      <c r="E4657" s="3" t="e">
        <f t="shared" si="150"/>
        <v>#N/A</v>
      </c>
      <c r="F4657" s="3" t="e">
        <f t="shared" si="151"/>
        <v>#N/A</v>
      </c>
    </row>
    <row r="4658" spans="2:6" x14ac:dyDescent="0.25">
      <c r="B4658" s="3"/>
      <c r="C4658" s="3"/>
      <c r="D4658" s="3"/>
      <c r="E4658" s="3" t="e">
        <f t="shared" si="150"/>
        <v>#N/A</v>
      </c>
      <c r="F4658" s="3" t="e">
        <f t="shared" si="151"/>
        <v>#N/A</v>
      </c>
    </row>
    <row r="4659" spans="2:6" x14ac:dyDescent="0.25">
      <c r="B4659" s="3"/>
      <c r="C4659" s="3"/>
      <c r="D4659" s="3"/>
      <c r="E4659" s="3" t="e">
        <f t="shared" si="150"/>
        <v>#N/A</v>
      </c>
      <c r="F4659" s="3" t="e">
        <f t="shared" si="151"/>
        <v>#N/A</v>
      </c>
    </row>
    <row r="4660" spans="2:6" x14ac:dyDescent="0.25">
      <c r="B4660" s="3"/>
      <c r="C4660" s="3"/>
      <c r="D4660" s="3"/>
      <c r="E4660" s="3" t="e">
        <f t="shared" si="150"/>
        <v>#N/A</v>
      </c>
      <c r="F4660" s="3" t="e">
        <f t="shared" si="151"/>
        <v>#N/A</v>
      </c>
    </row>
    <row r="4661" spans="2:6" x14ac:dyDescent="0.25">
      <c r="B4661" s="3"/>
      <c r="C4661" s="3"/>
      <c r="D4661" s="3"/>
      <c r="E4661" s="3" t="e">
        <f t="shared" si="150"/>
        <v>#N/A</v>
      </c>
      <c r="F4661" s="3" t="e">
        <f t="shared" si="151"/>
        <v>#N/A</v>
      </c>
    </row>
    <row r="4662" spans="2:6" x14ac:dyDescent="0.25">
      <c r="B4662" s="3"/>
      <c r="C4662" s="3"/>
      <c r="D4662" s="3"/>
      <c r="E4662" s="3" t="e">
        <f t="shared" si="150"/>
        <v>#N/A</v>
      </c>
      <c r="F4662" s="3" t="e">
        <f t="shared" si="151"/>
        <v>#N/A</v>
      </c>
    </row>
    <row r="4663" spans="2:6" x14ac:dyDescent="0.25">
      <c r="B4663" s="3"/>
      <c r="C4663" s="3"/>
      <c r="D4663" s="3"/>
      <c r="E4663" s="3" t="e">
        <f t="shared" si="150"/>
        <v>#N/A</v>
      </c>
      <c r="F4663" s="3" t="e">
        <f t="shared" si="151"/>
        <v>#N/A</v>
      </c>
    </row>
    <row r="4664" spans="2:6" x14ac:dyDescent="0.25">
      <c r="B4664" s="3"/>
      <c r="C4664" s="3"/>
      <c r="D4664" s="3"/>
      <c r="E4664" s="3" t="e">
        <f t="shared" si="150"/>
        <v>#N/A</v>
      </c>
      <c r="F4664" s="3" t="e">
        <f t="shared" si="151"/>
        <v>#N/A</v>
      </c>
    </row>
    <row r="4665" spans="2:6" x14ac:dyDescent="0.25">
      <c r="B4665" s="3"/>
      <c r="C4665" s="3"/>
      <c r="D4665" s="3"/>
      <c r="E4665" s="3" t="e">
        <f t="shared" si="150"/>
        <v>#N/A</v>
      </c>
      <c r="F4665" s="3" t="e">
        <f t="shared" si="151"/>
        <v>#N/A</v>
      </c>
    </row>
    <row r="4666" spans="2:6" x14ac:dyDescent="0.25">
      <c r="B4666" s="3"/>
      <c r="C4666" s="3"/>
      <c r="D4666" s="3"/>
      <c r="E4666" s="3" t="e">
        <f t="shared" si="150"/>
        <v>#N/A</v>
      </c>
      <c r="F4666" s="3" t="e">
        <f t="shared" si="151"/>
        <v>#N/A</v>
      </c>
    </row>
    <row r="4667" spans="2:6" x14ac:dyDescent="0.25">
      <c r="B4667" s="3"/>
      <c r="C4667" s="3"/>
      <c r="D4667" s="3"/>
      <c r="E4667" s="3" t="e">
        <f t="shared" si="150"/>
        <v>#N/A</v>
      </c>
      <c r="F4667" s="3" t="e">
        <f t="shared" si="151"/>
        <v>#N/A</v>
      </c>
    </row>
    <row r="4668" spans="2:6" x14ac:dyDescent="0.25">
      <c r="B4668" s="3"/>
      <c r="C4668" s="3"/>
      <c r="D4668" s="3"/>
      <c r="E4668" s="3" t="e">
        <f t="shared" si="150"/>
        <v>#N/A</v>
      </c>
      <c r="F4668" s="3" t="e">
        <f t="shared" si="151"/>
        <v>#N/A</v>
      </c>
    </row>
    <row r="4669" spans="2:6" x14ac:dyDescent="0.25">
      <c r="B4669" s="3"/>
      <c r="C4669" s="3"/>
      <c r="D4669" s="3"/>
      <c r="E4669" s="3" t="e">
        <f t="shared" si="150"/>
        <v>#N/A</v>
      </c>
      <c r="F4669" s="3" t="e">
        <f t="shared" si="151"/>
        <v>#N/A</v>
      </c>
    </row>
    <row r="4670" spans="2:6" x14ac:dyDescent="0.25">
      <c r="B4670" s="3"/>
      <c r="C4670" s="3"/>
      <c r="D4670" s="3"/>
      <c r="E4670" s="3" t="e">
        <f t="shared" si="150"/>
        <v>#N/A</v>
      </c>
      <c r="F4670" s="3" t="e">
        <f t="shared" si="151"/>
        <v>#N/A</v>
      </c>
    </row>
    <row r="4671" spans="2:6" x14ac:dyDescent="0.25">
      <c r="B4671" s="3"/>
      <c r="C4671" s="3"/>
      <c r="D4671" s="3"/>
      <c r="E4671" s="3" t="e">
        <f t="shared" si="150"/>
        <v>#N/A</v>
      </c>
      <c r="F4671" s="3" t="e">
        <f t="shared" si="151"/>
        <v>#N/A</v>
      </c>
    </row>
    <row r="4672" spans="2:6" x14ac:dyDescent="0.25">
      <c r="B4672" s="3"/>
      <c r="C4672" s="3"/>
      <c r="D4672" s="3"/>
      <c r="E4672" s="3" t="e">
        <f t="shared" si="150"/>
        <v>#N/A</v>
      </c>
      <c r="F4672" s="3" t="e">
        <f t="shared" si="151"/>
        <v>#N/A</v>
      </c>
    </row>
    <row r="4673" spans="2:6" x14ac:dyDescent="0.25">
      <c r="B4673" s="3"/>
      <c r="C4673" s="3"/>
      <c r="D4673" s="3"/>
      <c r="E4673" s="3" t="e">
        <f t="shared" si="150"/>
        <v>#N/A</v>
      </c>
      <c r="F4673" s="3" t="e">
        <f t="shared" si="151"/>
        <v>#N/A</v>
      </c>
    </row>
    <row r="4674" spans="2:6" x14ac:dyDescent="0.25">
      <c r="B4674" s="3"/>
      <c r="C4674" s="3"/>
      <c r="D4674" s="3"/>
      <c r="E4674" s="3" t="e">
        <f t="shared" si="150"/>
        <v>#N/A</v>
      </c>
      <c r="F4674" s="3" t="e">
        <f t="shared" si="151"/>
        <v>#N/A</v>
      </c>
    </row>
    <row r="4675" spans="2:6" x14ac:dyDescent="0.25">
      <c r="B4675" s="3"/>
      <c r="C4675" s="3"/>
      <c r="D4675" s="3"/>
      <c r="E4675" s="3" t="e">
        <f t="shared" si="150"/>
        <v>#N/A</v>
      </c>
      <c r="F4675" s="3" t="e">
        <f t="shared" si="151"/>
        <v>#N/A</v>
      </c>
    </row>
    <row r="4676" spans="2:6" x14ac:dyDescent="0.25">
      <c r="B4676" s="3"/>
      <c r="C4676" s="3"/>
      <c r="D4676" s="3"/>
      <c r="E4676" s="3" t="e">
        <f t="shared" si="150"/>
        <v>#N/A</v>
      </c>
      <c r="F4676" s="3" t="e">
        <f t="shared" si="151"/>
        <v>#N/A</v>
      </c>
    </row>
    <row r="4677" spans="2:6" x14ac:dyDescent="0.25">
      <c r="B4677" s="3"/>
      <c r="C4677" s="3"/>
      <c r="D4677" s="3"/>
      <c r="E4677" s="3" t="e">
        <f t="shared" si="150"/>
        <v>#N/A</v>
      </c>
      <c r="F4677" s="3" t="e">
        <f t="shared" si="151"/>
        <v>#N/A</v>
      </c>
    </row>
    <row r="4678" spans="2:6" x14ac:dyDescent="0.25">
      <c r="B4678" s="3"/>
      <c r="C4678" s="3"/>
      <c r="D4678" s="3"/>
      <c r="E4678" s="3" t="e">
        <f t="shared" si="150"/>
        <v>#N/A</v>
      </c>
      <c r="F4678" s="3" t="e">
        <f t="shared" si="151"/>
        <v>#N/A</v>
      </c>
    </row>
    <row r="4679" spans="2:6" x14ac:dyDescent="0.25">
      <c r="B4679" s="3"/>
      <c r="C4679" s="3"/>
      <c r="D4679" s="3"/>
      <c r="E4679" s="3" t="e">
        <f t="shared" si="150"/>
        <v>#N/A</v>
      </c>
      <c r="F4679" s="3" t="e">
        <f t="shared" si="151"/>
        <v>#N/A</v>
      </c>
    </row>
    <row r="4680" spans="2:6" x14ac:dyDescent="0.25">
      <c r="B4680" s="3"/>
      <c r="C4680" s="3"/>
      <c r="D4680" s="3"/>
      <c r="E4680" s="3" t="e">
        <f t="shared" si="150"/>
        <v>#N/A</v>
      </c>
      <c r="F4680" s="3" t="e">
        <f t="shared" si="151"/>
        <v>#N/A</v>
      </c>
    </row>
    <row r="4681" spans="2:6" x14ac:dyDescent="0.25">
      <c r="B4681" s="3"/>
      <c r="C4681" s="3"/>
      <c r="D4681" s="3"/>
      <c r="E4681" s="3" t="e">
        <f t="shared" si="150"/>
        <v>#N/A</v>
      </c>
      <c r="F4681" s="3" t="e">
        <f t="shared" si="151"/>
        <v>#N/A</v>
      </c>
    </row>
    <row r="4682" spans="2:6" x14ac:dyDescent="0.25">
      <c r="B4682" s="3"/>
      <c r="C4682" s="3"/>
      <c r="D4682" s="3"/>
      <c r="E4682" s="3" t="e">
        <f t="shared" si="150"/>
        <v>#N/A</v>
      </c>
      <c r="F4682" s="3" t="e">
        <f t="shared" si="151"/>
        <v>#N/A</v>
      </c>
    </row>
    <row r="4683" spans="2:6" x14ac:dyDescent="0.25">
      <c r="B4683" s="3"/>
      <c r="C4683" s="3"/>
      <c r="D4683" s="3"/>
      <c r="E4683" s="3" t="e">
        <f t="shared" si="150"/>
        <v>#N/A</v>
      </c>
      <c r="F4683" s="3" t="e">
        <f t="shared" si="151"/>
        <v>#N/A</v>
      </c>
    </row>
    <row r="4684" spans="2:6" x14ac:dyDescent="0.25">
      <c r="B4684" s="3"/>
      <c r="C4684" s="3"/>
      <c r="D4684" s="3"/>
      <c r="E4684" s="3" t="e">
        <f t="shared" si="150"/>
        <v>#N/A</v>
      </c>
      <c r="F4684" s="3" t="e">
        <f t="shared" si="151"/>
        <v>#N/A</v>
      </c>
    </row>
    <row r="4685" spans="2:6" x14ac:dyDescent="0.25">
      <c r="B4685" s="3"/>
      <c r="C4685" s="3"/>
      <c r="D4685" s="3"/>
      <c r="E4685" s="3" t="e">
        <f t="shared" si="150"/>
        <v>#N/A</v>
      </c>
      <c r="F4685" s="3" t="e">
        <f t="shared" si="151"/>
        <v>#N/A</v>
      </c>
    </row>
    <row r="4686" spans="2:6" x14ac:dyDescent="0.25">
      <c r="B4686" s="3"/>
      <c r="C4686" s="3"/>
      <c r="D4686" s="3"/>
      <c r="E4686" s="3" t="e">
        <f t="shared" ref="E4686:E4749" si="152">VLOOKUP(C4686,I:J,2,0)</f>
        <v>#N/A</v>
      </c>
      <c r="F4686" s="3" t="e">
        <f t="shared" ref="F4686:F4749" si="153">E4686&amp;" "&amp;B4686</f>
        <v>#N/A</v>
      </c>
    </row>
    <row r="4687" spans="2:6" x14ac:dyDescent="0.25">
      <c r="B4687" s="3"/>
      <c r="C4687" s="3"/>
      <c r="D4687" s="3"/>
      <c r="E4687" s="3" t="e">
        <f t="shared" si="152"/>
        <v>#N/A</v>
      </c>
      <c r="F4687" s="3" t="e">
        <f t="shared" si="153"/>
        <v>#N/A</v>
      </c>
    </row>
    <row r="4688" spans="2:6" x14ac:dyDescent="0.25">
      <c r="B4688" s="3"/>
      <c r="C4688" s="3"/>
      <c r="D4688" s="3"/>
      <c r="E4688" s="3" t="e">
        <f t="shared" si="152"/>
        <v>#N/A</v>
      </c>
      <c r="F4688" s="3" t="e">
        <f t="shared" si="153"/>
        <v>#N/A</v>
      </c>
    </row>
    <row r="4689" spans="2:6" x14ac:dyDescent="0.25">
      <c r="B4689" s="3"/>
      <c r="C4689" s="3"/>
      <c r="D4689" s="3"/>
      <c r="E4689" s="3" t="e">
        <f t="shared" si="152"/>
        <v>#N/A</v>
      </c>
      <c r="F4689" s="3" t="e">
        <f t="shared" si="153"/>
        <v>#N/A</v>
      </c>
    </row>
    <row r="4690" spans="2:6" x14ac:dyDescent="0.25">
      <c r="B4690" s="3"/>
      <c r="C4690" s="3"/>
      <c r="D4690" s="3"/>
      <c r="E4690" s="3" t="e">
        <f t="shared" si="152"/>
        <v>#N/A</v>
      </c>
      <c r="F4690" s="3" t="e">
        <f t="shared" si="153"/>
        <v>#N/A</v>
      </c>
    </row>
    <row r="4691" spans="2:6" x14ac:dyDescent="0.25">
      <c r="B4691" s="3"/>
      <c r="C4691" s="3"/>
      <c r="D4691" s="3"/>
      <c r="E4691" s="3" t="e">
        <f t="shared" si="152"/>
        <v>#N/A</v>
      </c>
      <c r="F4691" s="3" t="e">
        <f t="shared" si="153"/>
        <v>#N/A</v>
      </c>
    </row>
    <row r="4692" spans="2:6" x14ac:dyDescent="0.25">
      <c r="B4692" s="3"/>
      <c r="C4692" s="3"/>
      <c r="D4692" s="3"/>
      <c r="E4692" s="3" t="e">
        <f t="shared" si="152"/>
        <v>#N/A</v>
      </c>
      <c r="F4692" s="3" t="e">
        <f t="shared" si="153"/>
        <v>#N/A</v>
      </c>
    </row>
    <row r="4693" spans="2:6" x14ac:dyDescent="0.25">
      <c r="B4693" s="3"/>
      <c r="C4693" s="3"/>
      <c r="D4693" s="3"/>
      <c r="E4693" s="3" t="e">
        <f t="shared" si="152"/>
        <v>#N/A</v>
      </c>
      <c r="F4693" s="3" t="e">
        <f t="shared" si="153"/>
        <v>#N/A</v>
      </c>
    </row>
    <row r="4694" spans="2:6" x14ac:dyDescent="0.25">
      <c r="B4694" s="3"/>
      <c r="C4694" s="3"/>
      <c r="D4694" s="3"/>
      <c r="E4694" s="3" t="e">
        <f t="shared" si="152"/>
        <v>#N/A</v>
      </c>
      <c r="F4694" s="3" t="e">
        <f t="shared" si="153"/>
        <v>#N/A</v>
      </c>
    </row>
    <row r="4695" spans="2:6" x14ac:dyDescent="0.25">
      <c r="B4695" s="3"/>
      <c r="C4695" s="3"/>
      <c r="D4695" s="3"/>
      <c r="E4695" s="3" t="e">
        <f t="shared" si="152"/>
        <v>#N/A</v>
      </c>
      <c r="F4695" s="3" t="e">
        <f t="shared" si="153"/>
        <v>#N/A</v>
      </c>
    </row>
    <row r="4696" spans="2:6" x14ac:dyDescent="0.25">
      <c r="B4696" s="3"/>
      <c r="C4696" s="3"/>
      <c r="D4696" s="3"/>
      <c r="E4696" s="3" t="e">
        <f t="shared" si="152"/>
        <v>#N/A</v>
      </c>
      <c r="F4696" s="3" t="e">
        <f t="shared" si="153"/>
        <v>#N/A</v>
      </c>
    </row>
    <row r="4697" spans="2:6" x14ac:dyDescent="0.25">
      <c r="B4697" s="3"/>
      <c r="C4697" s="3"/>
      <c r="D4697" s="3"/>
      <c r="E4697" s="3" t="e">
        <f t="shared" si="152"/>
        <v>#N/A</v>
      </c>
      <c r="F4697" s="3" t="e">
        <f t="shared" si="153"/>
        <v>#N/A</v>
      </c>
    </row>
    <row r="4698" spans="2:6" x14ac:dyDescent="0.25">
      <c r="B4698" s="3"/>
      <c r="C4698" s="3"/>
      <c r="D4698" s="3"/>
      <c r="E4698" s="3" t="e">
        <f t="shared" si="152"/>
        <v>#N/A</v>
      </c>
      <c r="F4698" s="3" t="e">
        <f t="shared" si="153"/>
        <v>#N/A</v>
      </c>
    </row>
    <row r="4699" spans="2:6" x14ac:dyDescent="0.25">
      <c r="B4699" s="3"/>
      <c r="C4699" s="3"/>
      <c r="D4699" s="3"/>
      <c r="E4699" s="3" t="e">
        <f t="shared" si="152"/>
        <v>#N/A</v>
      </c>
      <c r="F4699" s="3" t="e">
        <f t="shared" si="153"/>
        <v>#N/A</v>
      </c>
    </row>
    <row r="4700" spans="2:6" x14ac:dyDescent="0.25">
      <c r="B4700" s="3"/>
      <c r="C4700" s="3"/>
      <c r="D4700" s="3"/>
      <c r="E4700" s="3" t="e">
        <f t="shared" si="152"/>
        <v>#N/A</v>
      </c>
      <c r="F4700" s="3" t="e">
        <f t="shared" si="153"/>
        <v>#N/A</v>
      </c>
    </row>
    <row r="4701" spans="2:6" x14ac:dyDescent="0.25">
      <c r="B4701" s="3"/>
      <c r="C4701" s="3"/>
      <c r="D4701" s="3"/>
      <c r="E4701" s="3" t="e">
        <f t="shared" si="152"/>
        <v>#N/A</v>
      </c>
      <c r="F4701" s="3" t="e">
        <f t="shared" si="153"/>
        <v>#N/A</v>
      </c>
    </row>
    <row r="4702" spans="2:6" x14ac:dyDescent="0.25">
      <c r="B4702" s="3"/>
      <c r="C4702" s="3"/>
      <c r="D4702" s="3"/>
      <c r="E4702" s="3" t="e">
        <f t="shared" si="152"/>
        <v>#N/A</v>
      </c>
      <c r="F4702" s="3" t="e">
        <f t="shared" si="153"/>
        <v>#N/A</v>
      </c>
    </row>
    <row r="4703" spans="2:6" x14ac:dyDescent="0.25">
      <c r="B4703" s="3"/>
      <c r="C4703" s="3"/>
      <c r="D4703" s="3"/>
      <c r="E4703" s="3" t="e">
        <f t="shared" si="152"/>
        <v>#N/A</v>
      </c>
      <c r="F4703" s="3" t="e">
        <f t="shared" si="153"/>
        <v>#N/A</v>
      </c>
    </row>
    <row r="4704" spans="2:6" x14ac:dyDescent="0.25">
      <c r="B4704" s="3"/>
      <c r="C4704" s="3"/>
      <c r="D4704" s="3"/>
      <c r="E4704" s="3" t="e">
        <f t="shared" si="152"/>
        <v>#N/A</v>
      </c>
      <c r="F4704" s="3" t="e">
        <f t="shared" si="153"/>
        <v>#N/A</v>
      </c>
    </row>
    <row r="4705" spans="2:6" x14ac:dyDescent="0.25">
      <c r="B4705" s="3"/>
      <c r="C4705" s="3"/>
      <c r="D4705" s="3"/>
      <c r="E4705" s="3" t="e">
        <f t="shared" si="152"/>
        <v>#N/A</v>
      </c>
      <c r="F4705" s="3" t="e">
        <f t="shared" si="153"/>
        <v>#N/A</v>
      </c>
    </row>
    <row r="4706" spans="2:6" x14ac:dyDescent="0.25">
      <c r="B4706" s="3"/>
      <c r="C4706" s="3"/>
      <c r="D4706" s="3"/>
      <c r="E4706" s="3" t="e">
        <f t="shared" si="152"/>
        <v>#N/A</v>
      </c>
      <c r="F4706" s="3" t="e">
        <f t="shared" si="153"/>
        <v>#N/A</v>
      </c>
    </row>
    <row r="4707" spans="2:6" x14ac:dyDescent="0.25">
      <c r="B4707" s="3"/>
      <c r="C4707" s="3"/>
      <c r="D4707" s="3"/>
      <c r="E4707" s="3" t="e">
        <f t="shared" si="152"/>
        <v>#N/A</v>
      </c>
      <c r="F4707" s="3" t="e">
        <f t="shared" si="153"/>
        <v>#N/A</v>
      </c>
    </row>
    <row r="4708" spans="2:6" x14ac:dyDescent="0.25">
      <c r="B4708" s="3"/>
      <c r="C4708" s="3"/>
      <c r="D4708" s="3"/>
      <c r="E4708" s="3" t="e">
        <f t="shared" si="152"/>
        <v>#N/A</v>
      </c>
      <c r="F4708" s="3" t="e">
        <f t="shared" si="153"/>
        <v>#N/A</v>
      </c>
    </row>
    <row r="4709" spans="2:6" x14ac:dyDescent="0.25">
      <c r="B4709" s="3"/>
      <c r="C4709" s="3"/>
      <c r="D4709" s="3"/>
      <c r="E4709" s="3" t="e">
        <f t="shared" si="152"/>
        <v>#N/A</v>
      </c>
      <c r="F4709" s="3" t="e">
        <f t="shared" si="153"/>
        <v>#N/A</v>
      </c>
    </row>
    <row r="4710" spans="2:6" x14ac:dyDescent="0.25">
      <c r="B4710" s="3"/>
      <c r="C4710" s="3"/>
      <c r="D4710" s="3"/>
      <c r="E4710" s="3" t="e">
        <f t="shared" si="152"/>
        <v>#N/A</v>
      </c>
      <c r="F4710" s="3" t="e">
        <f t="shared" si="153"/>
        <v>#N/A</v>
      </c>
    </row>
    <row r="4711" spans="2:6" x14ac:dyDescent="0.25">
      <c r="B4711" s="3"/>
      <c r="C4711" s="3"/>
      <c r="D4711" s="3"/>
      <c r="E4711" s="3" t="e">
        <f t="shared" si="152"/>
        <v>#N/A</v>
      </c>
      <c r="F4711" s="3" t="e">
        <f t="shared" si="153"/>
        <v>#N/A</v>
      </c>
    </row>
    <row r="4712" spans="2:6" x14ac:dyDescent="0.25">
      <c r="B4712" s="3"/>
      <c r="C4712" s="3"/>
      <c r="D4712" s="3"/>
      <c r="E4712" s="3" t="e">
        <f t="shared" si="152"/>
        <v>#N/A</v>
      </c>
      <c r="F4712" s="3" t="e">
        <f t="shared" si="153"/>
        <v>#N/A</v>
      </c>
    </row>
    <row r="4713" spans="2:6" x14ac:dyDescent="0.25">
      <c r="B4713" s="3"/>
      <c r="C4713" s="3"/>
      <c r="D4713" s="3"/>
      <c r="E4713" s="3" t="e">
        <f t="shared" si="152"/>
        <v>#N/A</v>
      </c>
      <c r="F4713" s="3" t="e">
        <f t="shared" si="153"/>
        <v>#N/A</v>
      </c>
    </row>
    <row r="4714" spans="2:6" x14ac:dyDescent="0.25">
      <c r="B4714" s="3"/>
      <c r="C4714" s="3"/>
      <c r="D4714" s="3"/>
      <c r="E4714" s="3" t="e">
        <f t="shared" si="152"/>
        <v>#N/A</v>
      </c>
      <c r="F4714" s="3" t="e">
        <f t="shared" si="153"/>
        <v>#N/A</v>
      </c>
    </row>
    <row r="4715" spans="2:6" x14ac:dyDescent="0.25">
      <c r="B4715" s="3"/>
      <c r="C4715" s="3"/>
      <c r="D4715" s="3"/>
      <c r="E4715" s="3" t="e">
        <f t="shared" si="152"/>
        <v>#N/A</v>
      </c>
      <c r="F4715" s="3" t="e">
        <f t="shared" si="153"/>
        <v>#N/A</v>
      </c>
    </row>
    <row r="4716" spans="2:6" x14ac:dyDescent="0.25">
      <c r="B4716" s="3"/>
      <c r="C4716" s="3"/>
      <c r="D4716" s="3"/>
      <c r="E4716" s="3" t="e">
        <f t="shared" si="152"/>
        <v>#N/A</v>
      </c>
      <c r="F4716" s="3" t="e">
        <f t="shared" si="153"/>
        <v>#N/A</v>
      </c>
    </row>
    <row r="4717" spans="2:6" x14ac:dyDescent="0.25">
      <c r="B4717" s="3"/>
      <c r="C4717" s="3"/>
      <c r="D4717" s="3"/>
      <c r="E4717" s="3" t="e">
        <f t="shared" si="152"/>
        <v>#N/A</v>
      </c>
      <c r="F4717" s="3" t="e">
        <f t="shared" si="153"/>
        <v>#N/A</v>
      </c>
    </row>
    <row r="4718" spans="2:6" x14ac:dyDescent="0.25">
      <c r="B4718" s="3"/>
      <c r="C4718" s="3"/>
      <c r="D4718" s="3"/>
      <c r="E4718" s="3" t="e">
        <f t="shared" si="152"/>
        <v>#N/A</v>
      </c>
      <c r="F4718" s="3" t="e">
        <f t="shared" si="153"/>
        <v>#N/A</v>
      </c>
    </row>
    <row r="4719" spans="2:6" x14ac:dyDescent="0.25">
      <c r="B4719" s="3"/>
      <c r="C4719" s="3"/>
      <c r="D4719" s="3"/>
      <c r="E4719" s="3" t="e">
        <f t="shared" si="152"/>
        <v>#N/A</v>
      </c>
      <c r="F4719" s="3" t="e">
        <f t="shared" si="153"/>
        <v>#N/A</v>
      </c>
    </row>
    <row r="4720" spans="2:6" x14ac:dyDescent="0.25">
      <c r="B4720" s="3"/>
      <c r="C4720" s="3"/>
      <c r="D4720" s="3"/>
      <c r="E4720" s="3" t="e">
        <f t="shared" si="152"/>
        <v>#N/A</v>
      </c>
      <c r="F4720" s="3" t="e">
        <f t="shared" si="153"/>
        <v>#N/A</v>
      </c>
    </row>
    <row r="4721" spans="2:6" x14ac:dyDescent="0.25">
      <c r="B4721" s="3"/>
      <c r="C4721" s="3"/>
      <c r="D4721" s="3"/>
      <c r="E4721" s="3" t="e">
        <f t="shared" si="152"/>
        <v>#N/A</v>
      </c>
      <c r="F4721" s="3" t="e">
        <f t="shared" si="153"/>
        <v>#N/A</v>
      </c>
    </row>
    <row r="4722" spans="2:6" x14ac:dyDescent="0.25">
      <c r="B4722" s="3"/>
      <c r="C4722" s="3"/>
      <c r="D4722" s="3"/>
      <c r="E4722" s="3" t="e">
        <f t="shared" si="152"/>
        <v>#N/A</v>
      </c>
      <c r="F4722" s="3" t="e">
        <f t="shared" si="153"/>
        <v>#N/A</v>
      </c>
    </row>
    <row r="4723" spans="2:6" x14ac:dyDescent="0.25">
      <c r="B4723" s="3"/>
      <c r="C4723" s="3"/>
      <c r="D4723" s="3"/>
      <c r="E4723" s="3" t="e">
        <f t="shared" si="152"/>
        <v>#N/A</v>
      </c>
      <c r="F4723" s="3" t="e">
        <f t="shared" si="153"/>
        <v>#N/A</v>
      </c>
    </row>
    <row r="4724" spans="2:6" x14ac:dyDescent="0.25">
      <c r="B4724" s="3"/>
      <c r="C4724" s="3"/>
      <c r="D4724" s="3"/>
      <c r="E4724" s="3" t="e">
        <f t="shared" si="152"/>
        <v>#N/A</v>
      </c>
      <c r="F4724" s="3" t="e">
        <f t="shared" si="153"/>
        <v>#N/A</v>
      </c>
    </row>
    <row r="4725" spans="2:6" x14ac:dyDescent="0.25">
      <c r="B4725" s="3"/>
      <c r="C4725" s="3"/>
      <c r="D4725" s="3"/>
      <c r="E4725" s="3" t="e">
        <f t="shared" si="152"/>
        <v>#N/A</v>
      </c>
      <c r="F4725" s="3" t="e">
        <f t="shared" si="153"/>
        <v>#N/A</v>
      </c>
    </row>
    <row r="4726" spans="2:6" x14ac:dyDescent="0.25">
      <c r="B4726" s="3"/>
      <c r="C4726" s="3"/>
      <c r="D4726" s="3"/>
      <c r="E4726" s="3" t="e">
        <f t="shared" si="152"/>
        <v>#N/A</v>
      </c>
      <c r="F4726" s="3" t="e">
        <f t="shared" si="153"/>
        <v>#N/A</v>
      </c>
    </row>
    <row r="4727" spans="2:6" x14ac:dyDescent="0.25">
      <c r="B4727" s="3"/>
      <c r="C4727" s="3"/>
      <c r="D4727" s="3"/>
      <c r="E4727" s="3" t="e">
        <f t="shared" si="152"/>
        <v>#N/A</v>
      </c>
      <c r="F4727" s="3" t="e">
        <f t="shared" si="153"/>
        <v>#N/A</v>
      </c>
    </row>
    <row r="4728" spans="2:6" x14ac:dyDescent="0.25">
      <c r="B4728" s="3"/>
      <c r="C4728" s="3"/>
      <c r="D4728" s="3"/>
      <c r="E4728" s="3" t="e">
        <f t="shared" si="152"/>
        <v>#N/A</v>
      </c>
      <c r="F4728" s="3" t="e">
        <f t="shared" si="153"/>
        <v>#N/A</v>
      </c>
    </row>
    <row r="4729" spans="2:6" x14ac:dyDescent="0.25">
      <c r="B4729" s="3"/>
      <c r="C4729" s="3"/>
      <c r="D4729" s="3"/>
      <c r="E4729" s="3" t="e">
        <f t="shared" si="152"/>
        <v>#N/A</v>
      </c>
      <c r="F4729" s="3" t="e">
        <f t="shared" si="153"/>
        <v>#N/A</v>
      </c>
    </row>
    <row r="4730" spans="2:6" x14ac:dyDescent="0.25">
      <c r="B4730" s="3"/>
      <c r="C4730" s="3"/>
      <c r="D4730" s="3"/>
      <c r="E4730" s="3" t="e">
        <f t="shared" si="152"/>
        <v>#N/A</v>
      </c>
      <c r="F4730" s="3" t="e">
        <f t="shared" si="153"/>
        <v>#N/A</v>
      </c>
    </row>
    <row r="4731" spans="2:6" x14ac:dyDescent="0.25">
      <c r="B4731" s="3"/>
      <c r="C4731" s="3"/>
      <c r="D4731" s="3"/>
      <c r="E4731" s="3" t="e">
        <f t="shared" si="152"/>
        <v>#N/A</v>
      </c>
      <c r="F4731" s="3" t="e">
        <f t="shared" si="153"/>
        <v>#N/A</v>
      </c>
    </row>
    <row r="4732" spans="2:6" x14ac:dyDescent="0.25">
      <c r="B4732" s="3"/>
      <c r="C4732" s="3"/>
      <c r="D4732" s="3"/>
      <c r="E4732" s="3" t="e">
        <f t="shared" si="152"/>
        <v>#N/A</v>
      </c>
      <c r="F4732" s="3" t="e">
        <f t="shared" si="153"/>
        <v>#N/A</v>
      </c>
    </row>
    <row r="4733" spans="2:6" x14ac:dyDescent="0.25">
      <c r="B4733" s="3"/>
      <c r="C4733" s="3"/>
      <c r="D4733" s="3"/>
      <c r="E4733" s="3" t="e">
        <f t="shared" si="152"/>
        <v>#N/A</v>
      </c>
      <c r="F4733" s="3" t="e">
        <f t="shared" si="153"/>
        <v>#N/A</v>
      </c>
    </row>
    <row r="4734" spans="2:6" x14ac:dyDescent="0.25">
      <c r="B4734" s="3"/>
      <c r="C4734" s="3"/>
      <c r="D4734" s="3"/>
      <c r="E4734" s="3" t="e">
        <f t="shared" si="152"/>
        <v>#N/A</v>
      </c>
      <c r="F4734" s="3" t="e">
        <f t="shared" si="153"/>
        <v>#N/A</v>
      </c>
    </row>
    <row r="4735" spans="2:6" x14ac:dyDescent="0.25">
      <c r="B4735" s="3"/>
      <c r="C4735" s="3"/>
      <c r="D4735" s="3"/>
      <c r="E4735" s="3" t="e">
        <f t="shared" si="152"/>
        <v>#N/A</v>
      </c>
      <c r="F4735" s="3" t="e">
        <f t="shared" si="153"/>
        <v>#N/A</v>
      </c>
    </row>
    <row r="4736" spans="2:6" x14ac:dyDescent="0.25">
      <c r="B4736" s="3"/>
      <c r="C4736" s="3"/>
      <c r="D4736" s="3"/>
      <c r="E4736" s="3" t="e">
        <f t="shared" si="152"/>
        <v>#N/A</v>
      </c>
      <c r="F4736" s="3" t="e">
        <f t="shared" si="153"/>
        <v>#N/A</v>
      </c>
    </row>
    <row r="4737" spans="2:6" x14ac:dyDescent="0.25">
      <c r="B4737" s="3"/>
      <c r="C4737" s="3"/>
      <c r="D4737" s="3"/>
      <c r="E4737" s="3" t="e">
        <f t="shared" si="152"/>
        <v>#N/A</v>
      </c>
      <c r="F4737" s="3" t="e">
        <f t="shared" si="153"/>
        <v>#N/A</v>
      </c>
    </row>
    <row r="4738" spans="2:6" x14ac:dyDescent="0.25">
      <c r="B4738" s="3"/>
      <c r="C4738" s="3"/>
      <c r="D4738" s="3"/>
      <c r="E4738" s="3" t="e">
        <f t="shared" si="152"/>
        <v>#N/A</v>
      </c>
      <c r="F4738" s="3" t="e">
        <f t="shared" si="153"/>
        <v>#N/A</v>
      </c>
    </row>
    <row r="4739" spans="2:6" x14ac:dyDescent="0.25">
      <c r="B4739" s="3"/>
      <c r="C4739" s="3"/>
      <c r="D4739" s="3"/>
      <c r="E4739" s="3" t="e">
        <f t="shared" si="152"/>
        <v>#N/A</v>
      </c>
      <c r="F4739" s="3" t="e">
        <f t="shared" si="153"/>
        <v>#N/A</v>
      </c>
    </row>
    <row r="4740" spans="2:6" x14ac:dyDescent="0.25">
      <c r="B4740" s="3"/>
      <c r="C4740" s="3"/>
      <c r="D4740" s="3"/>
      <c r="E4740" s="3" t="e">
        <f t="shared" si="152"/>
        <v>#N/A</v>
      </c>
      <c r="F4740" s="3" t="e">
        <f t="shared" si="153"/>
        <v>#N/A</v>
      </c>
    </row>
    <row r="4741" spans="2:6" x14ac:dyDescent="0.25">
      <c r="B4741" s="3"/>
      <c r="C4741" s="3"/>
      <c r="D4741" s="3"/>
      <c r="E4741" s="3" t="e">
        <f t="shared" si="152"/>
        <v>#N/A</v>
      </c>
      <c r="F4741" s="3" t="e">
        <f t="shared" si="153"/>
        <v>#N/A</v>
      </c>
    </row>
    <row r="4742" spans="2:6" x14ac:dyDescent="0.25">
      <c r="B4742" s="3"/>
      <c r="C4742" s="3"/>
      <c r="D4742" s="3"/>
      <c r="E4742" s="3" t="e">
        <f t="shared" si="152"/>
        <v>#N/A</v>
      </c>
      <c r="F4742" s="3" t="e">
        <f t="shared" si="153"/>
        <v>#N/A</v>
      </c>
    </row>
    <row r="4743" spans="2:6" x14ac:dyDescent="0.25">
      <c r="B4743" s="3"/>
      <c r="C4743" s="3"/>
      <c r="D4743" s="3"/>
      <c r="E4743" s="3" t="e">
        <f t="shared" si="152"/>
        <v>#N/A</v>
      </c>
      <c r="F4743" s="3" t="e">
        <f t="shared" si="153"/>
        <v>#N/A</v>
      </c>
    </row>
    <row r="4744" spans="2:6" x14ac:dyDescent="0.25">
      <c r="B4744" s="3"/>
      <c r="C4744" s="3"/>
      <c r="D4744" s="3"/>
      <c r="E4744" s="3" t="e">
        <f t="shared" si="152"/>
        <v>#N/A</v>
      </c>
      <c r="F4744" s="3" t="e">
        <f t="shared" si="153"/>
        <v>#N/A</v>
      </c>
    </row>
    <row r="4745" spans="2:6" x14ac:dyDescent="0.25">
      <c r="B4745" s="3"/>
      <c r="C4745" s="3"/>
      <c r="D4745" s="3"/>
      <c r="E4745" s="3" t="e">
        <f t="shared" si="152"/>
        <v>#N/A</v>
      </c>
      <c r="F4745" s="3" t="e">
        <f t="shared" si="153"/>
        <v>#N/A</v>
      </c>
    </row>
    <row r="4746" spans="2:6" x14ac:dyDescent="0.25">
      <c r="B4746" s="3"/>
      <c r="C4746" s="3"/>
      <c r="D4746" s="3"/>
      <c r="E4746" s="3" t="e">
        <f t="shared" si="152"/>
        <v>#N/A</v>
      </c>
      <c r="F4746" s="3" t="e">
        <f t="shared" si="153"/>
        <v>#N/A</v>
      </c>
    </row>
    <row r="4747" spans="2:6" x14ac:dyDescent="0.25">
      <c r="B4747" s="3"/>
      <c r="C4747" s="3"/>
      <c r="D4747" s="3"/>
      <c r="E4747" s="3" t="e">
        <f t="shared" si="152"/>
        <v>#N/A</v>
      </c>
      <c r="F4747" s="3" t="e">
        <f t="shared" si="153"/>
        <v>#N/A</v>
      </c>
    </row>
    <row r="4748" spans="2:6" x14ac:dyDescent="0.25">
      <c r="B4748" s="3"/>
      <c r="C4748" s="3"/>
      <c r="D4748" s="3"/>
      <c r="E4748" s="3" t="e">
        <f t="shared" si="152"/>
        <v>#N/A</v>
      </c>
      <c r="F4748" s="3" t="e">
        <f t="shared" si="153"/>
        <v>#N/A</v>
      </c>
    </row>
    <row r="4749" spans="2:6" x14ac:dyDescent="0.25">
      <c r="B4749" s="3"/>
      <c r="C4749" s="3"/>
      <c r="D4749" s="3"/>
      <c r="E4749" s="3" t="e">
        <f t="shared" si="152"/>
        <v>#N/A</v>
      </c>
      <c r="F4749" s="3" t="e">
        <f t="shared" si="153"/>
        <v>#N/A</v>
      </c>
    </row>
    <row r="4750" spans="2:6" x14ac:dyDescent="0.25">
      <c r="B4750" s="3"/>
      <c r="C4750" s="3"/>
      <c r="D4750" s="3"/>
      <c r="E4750" s="3" t="e">
        <f t="shared" ref="E4750:E4813" si="154">VLOOKUP(C4750,I:J,2,0)</f>
        <v>#N/A</v>
      </c>
      <c r="F4750" s="3" t="e">
        <f t="shared" ref="F4750:F4813" si="155">E4750&amp;" "&amp;B4750</f>
        <v>#N/A</v>
      </c>
    </row>
    <row r="4751" spans="2:6" x14ac:dyDescent="0.25">
      <c r="B4751" s="3"/>
      <c r="C4751" s="3"/>
      <c r="D4751" s="3"/>
      <c r="E4751" s="3" t="e">
        <f t="shared" si="154"/>
        <v>#N/A</v>
      </c>
      <c r="F4751" s="3" t="e">
        <f t="shared" si="155"/>
        <v>#N/A</v>
      </c>
    </row>
    <row r="4752" spans="2:6" x14ac:dyDescent="0.25">
      <c r="B4752" s="3"/>
      <c r="C4752" s="3"/>
      <c r="D4752" s="3"/>
      <c r="E4752" s="3" t="e">
        <f t="shared" si="154"/>
        <v>#N/A</v>
      </c>
      <c r="F4752" s="3" t="e">
        <f t="shared" si="155"/>
        <v>#N/A</v>
      </c>
    </row>
    <row r="4753" spans="2:6" x14ac:dyDescent="0.25">
      <c r="B4753" s="3"/>
      <c r="C4753" s="3"/>
      <c r="D4753" s="3"/>
      <c r="E4753" s="3" t="e">
        <f t="shared" si="154"/>
        <v>#N/A</v>
      </c>
      <c r="F4753" s="3" t="e">
        <f t="shared" si="155"/>
        <v>#N/A</v>
      </c>
    </row>
    <row r="4754" spans="2:6" x14ac:dyDescent="0.25">
      <c r="B4754" s="3"/>
      <c r="C4754" s="3"/>
      <c r="D4754" s="3"/>
      <c r="E4754" s="3" t="e">
        <f t="shared" si="154"/>
        <v>#N/A</v>
      </c>
      <c r="F4754" s="3" t="e">
        <f t="shared" si="155"/>
        <v>#N/A</v>
      </c>
    </row>
    <row r="4755" spans="2:6" x14ac:dyDescent="0.25">
      <c r="B4755" s="3"/>
      <c r="C4755" s="3"/>
      <c r="D4755" s="3"/>
      <c r="E4755" s="3" t="e">
        <f t="shared" si="154"/>
        <v>#N/A</v>
      </c>
      <c r="F4755" s="3" t="e">
        <f t="shared" si="155"/>
        <v>#N/A</v>
      </c>
    </row>
    <row r="4756" spans="2:6" x14ac:dyDescent="0.25">
      <c r="B4756" s="3"/>
      <c r="C4756" s="3"/>
      <c r="D4756" s="3"/>
      <c r="E4756" s="3" t="e">
        <f t="shared" si="154"/>
        <v>#N/A</v>
      </c>
      <c r="F4756" s="3" t="e">
        <f t="shared" si="155"/>
        <v>#N/A</v>
      </c>
    </row>
    <row r="4757" spans="2:6" x14ac:dyDescent="0.25">
      <c r="B4757" s="3"/>
      <c r="C4757" s="3"/>
      <c r="D4757" s="3"/>
      <c r="E4757" s="3" t="e">
        <f t="shared" si="154"/>
        <v>#N/A</v>
      </c>
      <c r="F4757" s="3" t="e">
        <f t="shared" si="155"/>
        <v>#N/A</v>
      </c>
    </row>
    <row r="4758" spans="2:6" x14ac:dyDescent="0.25">
      <c r="B4758" s="3"/>
      <c r="C4758" s="3"/>
      <c r="D4758" s="3"/>
      <c r="E4758" s="3" t="e">
        <f t="shared" si="154"/>
        <v>#N/A</v>
      </c>
      <c r="F4758" s="3" t="e">
        <f t="shared" si="155"/>
        <v>#N/A</v>
      </c>
    </row>
    <row r="4759" spans="2:6" x14ac:dyDescent="0.25">
      <c r="B4759" s="3"/>
      <c r="C4759" s="3"/>
      <c r="D4759" s="3"/>
      <c r="E4759" s="3" t="e">
        <f t="shared" si="154"/>
        <v>#N/A</v>
      </c>
      <c r="F4759" s="3" t="e">
        <f t="shared" si="155"/>
        <v>#N/A</v>
      </c>
    </row>
    <row r="4760" spans="2:6" x14ac:dyDescent="0.25">
      <c r="B4760" s="3"/>
      <c r="C4760" s="3"/>
      <c r="D4760" s="3"/>
      <c r="E4760" s="3" t="e">
        <f t="shared" si="154"/>
        <v>#N/A</v>
      </c>
      <c r="F4760" s="3" t="e">
        <f t="shared" si="155"/>
        <v>#N/A</v>
      </c>
    </row>
    <row r="4761" spans="2:6" x14ac:dyDescent="0.25">
      <c r="B4761" s="3"/>
      <c r="C4761" s="3"/>
      <c r="D4761" s="3"/>
      <c r="E4761" s="3" t="e">
        <f t="shared" si="154"/>
        <v>#N/A</v>
      </c>
      <c r="F4761" s="3" t="e">
        <f t="shared" si="155"/>
        <v>#N/A</v>
      </c>
    </row>
    <row r="4762" spans="2:6" x14ac:dyDescent="0.25">
      <c r="B4762" s="3"/>
      <c r="C4762" s="3"/>
      <c r="D4762" s="3"/>
      <c r="E4762" s="3" t="e">
        <f t="shared" si="154"/>
        <v>#N/A</v>
      </c>
      <c r="F4762" s="3" t="e">
        <f t="shared" si="155"/>
        <v>#N/A</v>
      </c>
    </row>
    <row r="4763" spans="2:6" x14ac:dyDescent="0.25">
      <c r="B4763" s="3"/>
      <c r="C4763" s="3"/>
      <c r="D4763" s="3"/>
      <c r="E4763" s="3" t="e">
        <f t="shared" si="154"/>
        <v>#N/A</v>
      </c>
      <c r="F4763" s="3" t="e">
        <f t="shared" si="155"/>
        <v>#N/A</v>
      </c>
    </row>
    <row r="4764" spans="2:6" x14ac:dyDescent="0.25">
      <c r="B4764" s="3"/>
      <c r="C4764" s="3"/>
      <c r="D4764" s="3"/>
      <c r="E4764" s="3" t="e">
        <f t="shared" si="154"/>
        <v>#N/A</v>
      </c>
      <c r="F4764" s="3" t="e">
        <f t="shared" si="155"/>
        <v>#N/A</v>
      </c>
    </row>
    <row r="4765" spans="2:6" x14ac:dyDescent="0.25">
      <c r="B4765" s="3"/>
      <c r="C4765" s="3"/>
      <c r="D4765" s="3"/>
      <c r="E4765" s="3" t="e">
        <f t="shared" si="154"/>
        <v>#N/A</v>
      </c>
      <c r="F4765" s="3" t="e">
        <f t="shared" si="155"/>
        <v>#N/A</v>
      </c>
    </row>
    <row r="4766" spans="2:6" x14ac:dyDescent="0.25">
      <c r="B4766" s="3"/>
      <c r="C4766" s="3"/>
      <c r="D4766" s="3"/>
      <c r="E4766" s="3" t="e">
        <f t="shared" si="154"/>
        <v>#N/A</v>
      </c>
      <c r="F4766" s="3" t="e">
        <f t="shared" si="155"/>
        <v>#N/A</v>
      </c>
    </row>
    <row r="4767" spans="2:6" x14ac:dyDescent="0.25">
      <c r="B4767" s="3"/>
      <c r="C4767" s="3"/>
      <c r="D4767" s="3"/>
      <c r="E4767" s="3" t="e">
        <f t="shared" si="154"/>
        <v>#N/A</v>
      </c>
      <c r="F4767" s="3" t="e">
        <f t="shared" si="155"/>
        <v>#N/A</v>
      </c>
    </row>
    <row r="4768" spans="2:6" x14ac:dyDescent="0.25">
      <c r="B4768" s="3"/>
      <c r="C4768" s="3"/>
      <c r="D4768" s="3"/>
      <c r="E4768" s="3" t="e">
        <f t="shared" si="154"/>
        <v>#N/A</v>
      </c>
      <c r="F4768" s="3" t="e">
        <f t="shared" si="155"/>
        <v>#N/A</v>
      </c>
    </row>
    <row r="4769" spans="2:6" x14ac:dyDescent="0.25">
      <c r="B4769" s="3"/>
      <c r="C4769" s="3"/>
      <c r="D4769" s="3"/>
      <c r="E4769" s="3" t="e">
        <f t="shared" si="154"/>
        <v>#N/A</v>
      </c>
      <c r="F4769" s="3" t="e">
        <f t="shared" si="155"/>
        <v>#N/A</v>
      </c>
    </row>
    <row r="4770" spans="2:6" x14ac:dyDescent="0.25">
      <c r="B4770" s="3"/>
      <c r="C4770" s="3"/>
      <c r="D4770" s="3"/>
      <c r="E4770" s="3" t="e">
        <f t="shared" si="154"/>
        <v>#N/A</v>
      </c>
      <c r="F4770" s="3" t="e">
        <f t="shared" si="155"/>
        <v>#N/A</v>
      </c>
    </row>
    <row r="4771" spans="2:6" x14ac:dyDescent="0.25">
      <c r="B4771" s="3"/>
      <c r="C4771" s="3"/>
      <c r="D4771" s="3"/>
      <c r="E4771" s="3" t="e">
        <f t="shared" si="154"/>
        <v>#N/A</v>
      </c>
      <c r="F4771" s="3" t="e">
        <f t="shared" si="155"/>
        <v>#N/A</v>
      </c>
    </row>
    <row r="4772" spans="2:6" x14ac:dyDescent="0.25">
      <c r="B4772" s="3"/>
      <c r="C4772" s="3"/>
      <c r="D4772" s="3"/>
      <c r="E4772" s="3" t="e">
        <f t="shared" si="154"/>
        <v>#N/A</v>
      </c>
      <c r="F4772" s="3" t="e">
        <f t="shared" si="155"/>
        <v>#N/A</v>
      </c>
    </row>
    <row r="4773" spans="2:6" x14ac:dyDescent="0.25">
      <c r="B4773" s="3"/>
      <c r="C4773" s="3"/>
      <c r="D4773" s="3"/>
      <c r="E4773" s="3" t="e">
        <f t="shared" si="154"/>
        <v>#N/A</v>
      </c>
      <c r="F4773" s="3" t="e">
        <f t="shared" si="155"/>
        <v>#N/A</v>
      </c>
    </row>
    <row r="4774" spans="2:6" x14ac:dyDescent="0.25">
      <c r="B4774" s="3"/>
      <c r="C4774" s="3"/>
      <c r="D4774" s="3"/>
      <c r="E4774" s="3" t="e">
        <f t="shared" si="154"/>
        <v>#N/A</v>
      </c>
      <c r="F4774" s="3" t="e">
        <f t="shared" si="155"/>
        <v>#N/A</v>
      </c>
    </row>
    <row r="4775" spans="2:6" x14ac:dyDescent="0.25">
      <c r="B4775" s="3"/>
      <c r="C4775" s="3"/>
      <c r="D4775" s="3"/>
      <c r="E4775" s="3" t="e">
        <f t="shared" si="154"/>
        <v>#N/A</v>
      </c>
      <c r="F4775" s="3" t="e">
        <f t="shared" si="155"/>
        <v>#N/A</v>
      </c>
    </row>
    <row r="4776" spans="2:6" x14ac:dyDescent="0.25">
      <c r="B4776" s="3"/>
      <c r="C4776" s="3"/>
      <c r="D4776" s="3"/>
      <c r="E4776" s="3" t="e">
        <f t="shared" si="154"/>
        <v>#N/A</v>
      </c>
      <c r="F4776" s="3" t="e">
        <f t="shared" si="155"/>
        <v>#N/A</v>
      </c>
    </row>
    <row r="4777" spans="2:6" x14ac:dyDescent="0.25">
      <c r="B4777" s="3"/>
      <c r="C4777" s="3"/>
      <c r="D4777" s="3"/>
      <c r="E4777" s="3" t="e">
        <f t="shared" si="154"/>
        <v>#N/A</v>
      </c>
      <c r="F4777" s="3" t="e">
        <f t="shared" si="155"/>
        <v>#N/A</v>
      </c>
    </row>
    <row r="4778" spans="2:6" x14ac:dyDescent="0.25">
      <c r="B4778" s="3"/>
      <c r="C4778" s="3"/>
      <c r="D4778" s="3"/>
      <c r="E4778" s="3" t="e">
        <f t="shared" si="154"/>
        <v>#N/A</v>
      </c>
      <c r="F4778" s="3" t="e">
        <f t="shared" si="155"/>
        <v>#N/A</v>
      </c>
    </row>
    <row r="4779" spans="2:6" x14ac:dyDescent="0.25">
      <c r="B4779" s="3"/>
      <c r="C4779" s="3"/>
      <c r="D4779" s="3"/>
      <c r="E4779" s="3" t="e">
        <f t="shared" si="154"/>
        <v>#N/A</v>
      </c>
      <c r="F4779" s="3" t="e">
        <f t="shared" si="155"/>
        <v>#N/A</v>
      </c>
    </row>
    <row r="4780" spans="2:6" x14ac:dyDescent="0.25">
      <c r="B4780" s="3"/>
      <c r="C4780" s="3"/>
      <c r="D4780" s="3"/>
      <c r="E4780" s="3" t="e">
        <f t="shared" si="154"/>
        <v>#N/A</v>
      </c>
      <c r="F4780" s="3" t="e">
        <f t="shared" si="155"/>
        <v>#N/A</v>
      </c>
    </row>
    <row r="4781" spans="2:6" x14ac:dyDescent="0.25">
      <c r="B4781" s="3"/>
      <c r="C4781" s="3"/>
      <c r="D4781" s="3"/>
      <c r="E4781" s="3" t="e">
        <f t="shared" si="154"/>
        <v>#N/A</v>
      </c>
      <c r="F4781" s="3" t="e">
        <f t="shared" si="155"/>
        <v>#N/A</v>
      </c>
    </row>
    <row r="4782" spans="2:6" x14ac:dyDescent="0.25">
      <c r="B4782" s="3"/>
      <c r="C4782" s="3"/>
      <c r="D4782" s="3"/>
      <c r="E4782" s="3" t="e">
        <f t="shared" si="154"/>
        <v>#N/A</v>
      </c>
      <c r="F4782" s="3" t="e">
        <f t="shared" si="155"/>
        <v>#N/A</v>
      </c>
    </row>
    <row r="4783" spans="2:6" x14ac:dyDescent="0.25">
      <c r="B4783" s="3"/>
      <c r="C4783" s="3"/>
      <c r="D4783" s="3"/>
      <c r="E4783" s="3" t="e">
        <f t="shared" si="154"/>
        <v>#N/A</v>
      </c>
      <c r="F4783" s="3" t="e">
        <f t="shared" si="155"/>
        <v>#N/A</v>
      </c>
    </row>
    <row r="4784" spans="2:6" x14ac:dyDescent="0.25">
      <c r="B4784" s="3"/>
      <c r="C4784" s="3"/>
      <c r="D4784" s="3"/>
      <c r="E4784" s="3" t="e">
        <f t="shared" si="154"/>
        <v>#N/A</v>
      </c>
      <c r="F4784" s="3" t="e">
        <f t="shared" si="155"/>
        <v>#N/A</v>
      </c>
    </row>
    <row r="4785" spans="2:6" x14ac:dyDescent="0.25">
      <c r="B4785" s="3"/>
      <c r="C4785" s="3"/>
      <c r="D4785" s="3"/>
      <c r="E4785" s="3" t="e">
        <f t="shared" si="154"/>
        <v>#N/A</v>
      </c>
      <c r="F4785" s="3" t="e">
        <f t="shared" si="155"/>
        <v>#N/A</v>
      </c>
    </row>
    <row r="4786" spans="2:6" x14ac:dyDescent="0.25">
      <c r="B4786" s="3"/>
      <c r="C4786" s="3"/>
      <c r="D4786" s="3"/>
      <c r="E4786" s="3" t="e">
        <f t="shared" si="154"/>
        <v>#N/A</v>
      </c>
      <c r="F4786" s="3" t="e">
        <f t="shared" si="155"/>
        <v>#N/A</v>
      </c>
    </row>
    <row r="4787" spans="2:6" x14ac:dyDescent="0.25">
      <c r="B4787" s="3"/>
      <c r="C4787" s="3"/>
      <c r="D4787" s="3"/>
      <c r="E4787" s="3" t="e">
        <f t="shared" si="154"/>
        <v>#N/A</v>
      </c>
      <c r="F4787" s="3" t="e">
        <f t="shared" si="155"/>
        <v>#N/A</v>
      </c>
    </row>
    <row r="4788" spans="2:6" x14ac:dyDescent="0.25">
      <c r="B4788" s="3"/>
      <c r="C4788" s="3"/>
      <c r="D4788" s="3"/>
      <c r="E4788" s="3" t="e">
        <f t="shared" si="154"/>
        <v>#N/A</v>
      </c>
      <c r="F4788" s="3" t="e">
        <f t="shared" si="155"/>
        <v>#N/A</v>
      </c>
    </row>
    <row r="4789" spans="2:6" x14ac:dyDescent="0.25">
      <c r="B4789" s="3"/>
      <c r="C4789" s="3"/>
      <c r="D4789" s="3"/>
      <c r="E4789" s="3" t="e">
        <f t="shared" si="154"/>
        <v>#N/A</v>
      </c>
      <c r="F4789" s="3" t="e">
        <f t="shared" si="155"/>
        <v>#N/A</v>
      </c>
    </row>
    <row r="4790" spans="2:6" x14ac:dyDescent="0.25">
      <c r="B4790" s="3"/>
      <c r="C4790" s="3"/>
      <c r="D4790" s="3"/>
      <c r="E4790" s="3" t="e">
        <f t="shared" si="154"/>
        <v>#N/A</v>
      </c>
      <c r="F4790" s="3" t="e">
        <f t="shared" si="155"/>
        <v>#N/A</v>
      </c>
    </row>
    <row r="4791" spans="2:6" x14ac:dyDescent="0.25">
      <c r="B4791" s="3"/>
      <c r="C4791" s="3"/>
      <c r="D4791" s="3"/>
      <c r="E4791" s="3" t="e">
        <f t="shared" si="154"/>
        <v>#N/A</v>
      </c>
      <c r="F4791" s="3" t="e">
        <f t="shared" si="155"/>
        <v>#N/A</v>
      </c>
    </row>
    <row r="4792" spans="2:6" x14ac:dyDescent="0.25">
      <c r="B4792" s="3"/>
      <c r="C4792" s="3"/>
      <c r="D4792" s="3"/>
      <c r="E4792" s="3" t="e">
        <f t="shared" si="154"/>
        <v>#N/A</v>
      </c>
      <c r="F4792" s="3" t="e">
        <f t="shared" si="155"/>
        <v>#N/A</v>
      </c>
    </row>
    <row r="4793" spans="2:6" x14ac:dyDescent="0.25">
      <c r="B4793" s="3"/>
      <c r="C4793" s="3"/>
      <c r="D4793" s="3"/>
      <c r="E4793" s="3" t="e">
        <f t="shared" si="154"/>
        <v>#N/A</v>
      </c>
      <c r="F4793" s="3" t="e">
        <f t="shared" si="155"/>
        <v>#N/A</v>
      </c>
    </row>
    <row r="4794" spans="2:6" x14ac:dyDescent="0.25">
      <c r="B4794" s="3"/>
      <c r="C4794" s="3"/>
      <c r="D4794" s="3"/>
      <c r="E4794" s="3" t="e">
        <f t="shared" si="154"/>
        <v>#N/A</v>
      </c>
      <c r="F4794" s="3" t="e">
        <f t="shared" si="155"/>
        <v>#N/A</v>
      </c>
    </row>
    <row r="4795" spans="2:6" x14ac:dyDescent="0.25">
      <c r="B4795" s="3"/>
      <c r="C4795" s="3"/>
      <c r="D4795" s="3"/>
      <c r="E4795" s="3" t="e">
        <f t="shared" si="154"/>
        <v>#N/A</v>
      </c>
      <c r="F4795" s="3" t="e">
        <f t="shared" si="155"/>
        <v>#N/A</v>
      </c>
    </row>
    <row r="4796" spans="2:6" x14ac:dyDescent="0.25">
      <c r="B4796" s="3"/>
      <c r="C4796" s="3"/>
      <c r="D4796" s="3"/>
      <c r="E4796" s="3" t="e">
        <f t="shared" si="154"/>
        <v>#N/A</v>
      </c>
      <c r="F4796" s="3" t="e">
        <f t="shared" si="155"/>
        <v>#N/A</v>
      </c>
    </row>
    <row r="4797" spans="2:6" x14ac:dyDescent="0.25">
      <c r="B4797" s="3"/>
      <c r="C4797" s="3"/>
      <c r="D4797" s="3"/>
      <c r="E4797" s="3" t="e">
        <f t="shared" si="154"/>
        <v>#N/A</v>
      </c>
      <c r="F4797" s="3" t="e">
        <f t="shared" si="155"/>
        <v>#N/A</v>
      </c>
    </row>
    <row r="4798" spans="2:6" x14ac:dyDescent="0.25">
      <c r="B4798" s="3"/>
      <c r="C4798" s="3"/>
      <c r="D4798" s="3"/>
      <c r="E4798" s="3" t="e">
        <f t="shared" si="154"/>
        <v>#N/A</v>
      </c>
      <c r="F4798" s="3" t="e">
        <f t="shared" si="155"/>
        <v>#N/A</v>
      </c>
    </row>
    <row r="4799" spans="2:6" x14ac:dyDescent="0.25">
      <c r="B4799" s="3"/>
      <c r="C4799" s="3"/>
      <c r="D4799" s="3"/>
      <c r="E4799" s="3" t="e">
        <f t="shared" si="154"/>
        <v>#N/A</v>
      </c>
      <c r="F4799" s="3" t="e">
        <f t="shared" si="155"/>
        <v>#N/A</v>
      </c>
    </row>
    <row r="4800" spans="2:6" x14ac:dyDescent="0.25">
      <c r="B4800" s="3"/>
      <c r="C4800" s="3"/>
      <c r="D4800" s="3"/>
      <c r="E4800" s="3" t="e">
        <f t="shared" si="154"/>
        <v>#N/A</v>
      </c>
      <c r="F4800" s="3" t="e">
        <f t="shared" si="155"/>
        <v>#N/A</v>
      </c>
    </row>
    <row r="4801" spans="2:6" x14ac:dyDescent="0.25">
      <c r="B4801" s="3"/>
      <c r="C4801" s="3"/>
      <c r="D4801" s="3"/>
      <c r="E4801" s="3" t="e">
        <f t="shared" si="154"/>
        <v>#N/A</v>
      </c>
      <c r="F4801" s="3" t="e">
        <f t="shared" si="155"/>
        <v>#N/A</v>
      </c>
    </row>
    <row r="4802" spans="2:6" x14ac:dyDescent="0.25">
      <c r="B4802" s="3"/>
      <c r="C4802" s="3"/>
      <c r="D4802" s="3"/>
      <c r="E4802" s="3" t="e">
        <f t="shared" si="154"/>
        <v>#N/A</v>
      </c>
      <c r="F4802" s="3" t="e">
        <f t="shared" si="155"/>
        <v>#N/A</v>
      </c>
    </row>
    <row r="4803" spans="2:6" x14ac:dyDescent="0.25">
      <c r="B4803" s="3"/>
      <c r="C4803" s="3"/>
      <c r="D4803" s="3"/>
      <c r="E4803" s="3" t="e">
        <f t="shared" si="154"/>
        <v>#N/A</v>
      </c>
      <c r="F4803" s="3" t="e">
        <f t="shared" si="155"/>
        <v>#N/A</v>
      </c>
    </row>
    <row r="4804" spans="2:6" x14ac:dyDescent="0.25">
      <c r="B4804" s="3"/>
      <c r="C4804" s="3"/>
      <c r="D4804" s="3"/>
      <c r="E4804" s="3" t="e">
        <f t="shared" si="154"/>
        <v>#N/A</v>
      </c>
      <c r="F4804" s="3" t="e">
        <f t="shared" si="155"/>
        <v>#N/A</v>
      </c>
    </row>
    <row r="4805" spans="2:6" x14ac:dyDescent="0.25">
      <c r="B4805" s="3"/>
      <c r="C4805" s="3"/>
      <c r="D4805" s="3"/>
      <c r="E4805" s="3" t="e">
        <f t="shared" si="154"/>
        <v>#N/A</v>
      </c>
      <c r="F4805" s="3" t="e">
        <f t="shared" si="155"/>
        <v>#N/A</v>
      </c>
    </row>
    <row r="4806" spans="2:6" x14ac:dyDescent="0.25">
      <c r="B4806" s="3"/>
      <c r="C4806" s="3"/>
      <c r="D4806" s="3"/>
      <c r="E4806" s="3" t="e">
        <f t="shared" si="154"/>
        <v>#N/A</v>
      </c>
      <c r="F4806" s="3" t="e">
        <f t="shared" si="155"/>
        <v>#N/A</v>
      </c>
    </row>
    <row r="4807" spans="2:6" x14ac:dyDescent="0.25">
      <c r="B4807" s="3"/>
      <c r="C4807" s="3"/>
      <c r="D4807" s="3"/>
      <c r="E4807" s="3" t="e">
        <f t="shared" si="154"/>
        <v>#N/A</v>
      </c>
      <c r="F4807" s="3" t="e">
        <f t="shared" si="155"/>
        <v>#N/A</v>
      </c>
    </row>
    <row r="4808" spans="2:6" x14ac:dyDescent="0.25">
      <c r="B4808" s="3"/>
      <c r="C4808" s="3"/>
      <c r="D4808" s="3"/>
      <c r="E4808" s="3" t="e">
        <f t="shared" si="154"/>
        <v>#N/A</v>
      </c>
      <c r="F4808" s="3" t="e">
        <f t="shared" si="155"/>
        <v>#N/A</v>
      </c>
    </row>
    <row r="4809" spans="2:6" x14ac:dyDescent="0.25">
      <c r="B4809" s="3"/>
      <c r="C4809" s="3"/>
      <c r="D4809" s="3"/>
      <c r="E4809" s="3" t="e">
        <f t="shared" si="154"/>
        <v>#N/A</v>
      </c>
      <c r="F4809" s="3" t="e">
        <f t="shared" si="155"/>
        <v>#N/A</v>
      </c>
    </row>
    <row r="4810" spans="2:6" x14ac:dyDescent="0.25">
      <c r="B4810" s="3"/>
      <c r="C4810" s="3"/>
      <c r="D4810" s="3"/>
      <c r="E4810" s="3" t="e">
        <f t="shared" si="154"/>
        <v>#N/A</v>
      </c>
      <c r="F4810" s="3" t="e">
        <f t="shared" si="155"/>
        <v>#N/A</v>
      </c>
    </row>
    <row r="4811" spans="2:6" x14ac:dyDescent="0.25">
      <c r="B4811" s="3"/>
      <c r="C4811" s="3"/>
      <c r="D4811" s="3"/>
      <c r="E4811" s="3" t="e">
        <f t="shared" si="154"/>
        <v>#N/A</v>
      </c>
      <c r="F4811" s="3" t="e">
        <f t="shared" si="155"/>
        <v>#N/A</v>
      </c>
    </row>
    <row r="4812" spans="2:6" x14ac:dyDescent="0.25">
      <c r="B4812" s="3"/>
      <c r="C4812" s="3"/>
      <c r="D4812" s="3"/>
      <c r="E4812" s="3" t="e">
        <f t="shared" si="154"/>
        <v>#N/A</v>
      </c>
      <c r="F4812" s="3" t="e">
        <f t="shared" si="155"/>
        <v>#N/A</v>
      </c>
    </row>
    <row r="4813" spans="2:6" x14ac:dyDescent="0.25">
      <c r="B4813" s="3"/>
      <c r="C4813" s="3"/>
      <c r="D4813" s="3"/>
      <c r="E4813" s="3" t="e">
        <f t="shared" si="154"/>
        <v>#N/A</v>
      </c>
      <c r="F4813" s="3" t="e">
        <f t="shared" si="155"/>
        <v>#N/A</v>
      </c>
    </row>
    <row r="4814" spans="2:6" x14ac:dyDescent="0.25">
      <c r="B4814" s="3"/>
      <c r="C4814" s="3"/>
      <c r="D4814" s="3"/>
      <c r="E4814" s="3" t="e">
        <f t="shared" ref="E4814:E4877" si="156">VLOOKUP(C4814,I:J,2,0)</f>
        <v>#N/A</v>
      </c>
      <c r="F4814" s="3" t="e">
        <f t="shared" ref="F4814:F4877" si="157">E4814&amp;" "&amp;B4814</f>
        <v>#N/A</v>
      </c>
    </row>
    <row r="4815" spans="2:6" x14ac:dyDescent="0.25">
      <c r="B4815" s="3"/>
      <c r="C4815" s="3"/>
      <c r="D4815" s="3"/>
      <c r="E4815" s="3" t="e">
        <f t="shared" si="156"/>
        <v>#N/A</v>
      </c>
      <c r="F4815" s="3" t="e">
        <f t="shared" si="157"/>
        <v>#N/A</v>
      </c>
    </row>
    <row r="4816" spans="2:6" x14ac:dyDescent="0.25">
      <c r="B4816" s="3"/>
      <c r="C4816" s="3"/>
      <c r="D4816" s="3"/>
      <c r="E4816" s="3" t="e">
        <f t="shared" si="156"/>
        <v>#N/A</v>
      </c>
      <c r="F4816" s="3" t="e">
        <f t="shared" si="157"/>
        <v>#N/A</v>
      </c>
    </row>
    <row r="4817" spans="2:6" x14ac:dyDescent="0.25">
      <c r="B4817" s="3"/>
      <c r="C4817" s="3"/>
      <c r="D4817" s="3"/>
      <c r="E4817" s="3" t="e">
        <f t="shared" si="156"/>
        <v>#N/A</v>
      </c>
      <c r="F4817" s="3" t="e">
        <f t="shared" si="157"/>
        <v>#N/A</v>
      </c>
    </row>
    <row r="4818" spans="2:6" x14ac:dyDescent="0.25">
      <c r="B4818" s="3"/>
      <c r="C4818" s="3"/>
      <c r="D4818" s="3"/>
      <c r="E4818" s="3" t="e">
        <f t="shared" si="156"/>
        <v>#N/A</v>
      </c>
      <c r="F4818" s="3" t="e">
        <f t="shared" si="157"/>
        <v>#N/A</v>
      </c>
    </row>
    <row r="4819" spans="2:6" x14ac:dyDescent="0.25">
      <c r="B4819" s="3"/>
      <c r="C4819" s="3"/>
      <c r="D4819" s="3"/>
      <c r="E4819" s="3" t="e">
        <f t="shared" si="156"/>
        <v>#N/A</v>
      </c>
      <c r="F4819" s="3" t="e">
        <f t="shared" si="157"/>
        <v>#N/A</v>
      </c>
    </row>
    <row r="4820" spans="2:6" x14ac:dyDescent="0.25">
      <c r="B4820" s="3"/>
      <c r="C4820" s="3"/>
      <c r="D4820" s="3"/>
      <c r="E4820" s="3" t="e">
        <f t="shared" si="156"/>
        <v>#N/A</v>
      </c>
      <c r="F4820" s="3" t="e">
        <f t="shared" si="157"/>
        <v>#N/A</v>
      </c>
    </row>
    <row r="4821" spans="2:6" x14ac:dyDescent="0.25">
      <c r="B4821" s="3"/>
      <c r="C4821" s="3"/>
      <c r="D4821" s="3"/>
      <c r="E4821" s="3" t="e">
        <f t="shared" si="156"/>
        <v>#N/A</v>
      </c>
      <c r="F4821" s="3" t="e">
        <f t="shared" si="157"/>
        <v>#N/A</v>
      </c>
    </row>
    <row r="4822" spans="2:6" x14ac:dyDescent="0.25">
      <c r="B4822" s="3"/>
      <c r="C4822" s="3"/>
      <c r="D4822" s="3"/>
      <c r="E4822" s="3" t="e">
        <f t="shared" si="156"/>
        <v>#N/A</v>
      </c>
      <c r="F4822" s="3" t="e">
        <f t="shared" si="157"/>
        <v>#N/A</v>
      </c>
    </row>
    <row r="4823" spans="2:6" x14ac:dyDescent="0.25">
      <c r="B4823" s="3"/>
      <c r="C4823" s="3"/>
      <c r="D4823" s="3"/>
      <c r="E4823" s="3" t="e">
        <f t="shared" si="156"/>
        <v>#N/A</v>
      </c>
      <c r="F4823" s="3" t="e">
        <f t="shared" si="157"/>
        <v>#N/A</v>
      </c>
    </row>
    <row r="4824" spans="2:6" x14ac:dyDescent="0.25">
      <c r="B4824" s="3"/>
      <c r="C4824" s="3"/>
      <c r="D4824" s="3"/>
      <c r="E4824" s="3" t="e">
        <f t="shared" si="156"/>
        <v>#N/A</v>
      </c>
      <c r="F4824" s="3" t="e">
        <f t="shared" si="157"/>
        <v>#N/A</v>
      </c>
    </row>
    <row r="4825" spans="2:6" x14ac:dyDescent="0.25">
      <c r="B4825" s="3"/>
      <c r="C4825" s="3"/>
      <c r="D4825" s="3"/>
      <c r="E4825" s="3" t="e">
        <f t="shared" si="156"/>
        <v>#N/A</v>
      </c>
      <c r="F4825" s="3" t="e">
        <f t="shared" si="157"/>
        <v>#N/A</v>
      </c>
    </row>
    <row r="4826" spans="2:6" x14ac:dyDescent="0.25">
      <c r="B4826" s="3"/>
      <c r="C4826" s="3"/>
      <c r="D4826" s="3"/>
      <c r="E4826" s="3" t="e">
        <f t="shared" si="156"/>
        <v>#N/A</v>
      </c>
      <c r="F4826" s="3" t="e">
        <f t="shared" si="157"/>
        <v>#N/A</v>
      </c>
    </row>
    <row r="4827" spans="2:6" x14ac:dyDescent="0.25">
      <c r="B4827" s="3"/>
      <c r="C4827" s="3"/>
      <c r="D4827" s="3"/>
      <c r="E4827" s="3" t="e">
        <f t="shared" si="156"/>
        <v>#N/A</v>
      </c>
      <c r="F4827" s="3" t="e">
        <f t="shared" si="157"/>
        <v>#N/A</v>
      </c>
    </row>
    <row r="4828" spans="2:6" x14ac:dyDescent="0.25">
      <c r="B4828" s="3"/>
      <c r="C4828" s="3"/>
      <c r="D4828" s="3"/>
      <c r="E4828" s="3" t="e">
        <f t="shared" si="156"/>
        <v>#N/A</v>
      </c>
      <c r="F4828" s="3" t="e">
        <f t="shared" si="157"/>
        <v>#N/A</v>
      </c>
    </row>
    <row r="4829" spans="2:6" x14ac:dyDescent="0.25">
      <c r="B4829" s="3"/>
      <c r="C4829" s="3"/>
      <c r="D4829" s="3"/>
      <c r="E4829" s="3" t="e">
        <f t="shared" si="156"/>
        <v>#N/A</v>
      </c>
      <c r="F4829" s="3" t="e">
        <f t="shared" si="157"/>
        <v>#N/A</v>
      </c>
    </row>
    <row r="4830" spans="2:6" x14ac:dyDescent="0.25">
      <c r="B4830" s="3"/>
      <c r="C4830" s="3"/>
      <c r="D4830" s="3"/>
      <c r="E4830" s="3" t="e">
        <f t="shared" si="156"/>
        <v>#N/A</v>
      </c>
      <c r="F4830" s="3" t="e">
        <f t="shared" si="157"/>
        <v>#N/A</v>
      </c>
    </row>
    <row r="4831" spans="2:6" x14ac:dyDescent="0.25">
      <c r="B4831" s="3"/>
      <c r="C4831" s="3"/>
      <c r="D4831" s="3"/>
      <c r="E4831" s="3" t="e">
        <f t="shared" si="156"/>
        <v>#N/A</v>
      </c>
      <c r="F4831" s="3" t="e">
        <f t="shared" si="157"/>
        <v>#N/A</v>
      </c>
    </row>
    <row r="4832" spans="2:6" x14ac:dyDescent="0.25">
      <c r="B4832" s="3"/>
      <c r="C4832" s="3"/>
      <c r="D4832" s="3"/>
      <c r="E4832" s="3" t="e">
        <f t="shared" si="156"/>
        <v>#N/A</v>
      </c>
      <c r="F4832" s="3" t="e">
        <f t="shared" si="157"/>
        <v>#N/A</v>
      </c>
    </row>
    <row r="4833" spans="2:6" x14ac:dyDescent="0.25">
      <c r="B4833" s="3"/>
      <c r="C4833" s="3"/>
      <c r="D4833" s="3"/>
      <c r="E4833" s="3" t="e">
        <f t="shared" si="156"/>
        <v>#N/A</v>
      </c>
      <c r="F4833" s="3" t="e">
        <f t="shared" si="157"/>
        <v>#N/A</v>
      </c>
    </row>
    <row r="4834" spans="2:6" x14ac:dyDescent="0.25">
      <c r="B4834" s="3"/>
      <c r="C4834" s="3"/>
      <c r="D4834" s="3"/>
      <c r="E4834" s="3" t="e">
        <f t="shared" si="156"/>
        <v>#N/A</v>
      </c>
      <c r="F4834" s="3" t="e">
        <f t="shared" si="157"/>
        <v>#N/A</v>
      </c>
    </row>
    <row r="4835" spans="2:6" x14ac:dyDescent="0.25">
      <c r="B4835" s="3"/>
      <c r="C4835" s="3"/>
      <c r="D4835" s="3"/>
      <c r="E4835" s="3" t="e">
        <f t="shared" si="156"/>
        <v>#N/A</v>
      </c>
      <c r="F4835" s="3" t="e">
        <f t="shared" si="157"/>
        <v>#N/A</v>
      </c>
    </row>
    <row r="4836" spans="2:6" x14ac:dyDescent="0.25">
      <c r="B4836" s="3"/>
      <c r="C4836" s="3"/>
      <c r="D4836" s="3"/>
      <c r="E4836" s="3" t="e">
        <f t="shared" si="156"/>
        <v>#N/A</v>
      </c>
      <c r="F4836" s="3" t="e">
        <f t="shared" si="157"/>
        <v>#N/A</v>
      </c>
    </row>
    <row r="4837" spans="2:6" x14ac:dyDescent="0.25">
      <c r="B4837" s="3"/>
      <c r="C4837" s="3"/>
      <c r="D4837" s="3"/>
      <c r="E4837" s="3" t="e">
        <f t="shared" si="156"/>
        <v>#N/A</v>
      </c>
      <c r="F4837" s="3" t="e">
        <f t="shared" si="157"/>
        <v>#N/A</v>
      </c>
    </row>
    <row r="4838" spans="2:6" x14ac:dyDescent="0.25">
      <c r="B4838" s="3"/>
      <c r="C4838" s="3"/>
      <c r="D4838" s="3"/>
      <c r="E4838" s="3" t="e">
        <f t="shared" si="156"/>
        <v>#N/A</v>
      </c>
      <c r="F4838" s="3" t="e">
        <f t="shared" si="157"/>
        <v>#N/A</v>
      </c>
    </row>
    <row r="4839" spans="2:6" x14ac:dyDescent="0.25">
      <c r="B4839" s="3"/>
      <c r="C4839" s="3"/>
      <c r="D4839" s="3"/>
      <c r="E4839" s="3" t="e">
        <f t="shared" si="156"/>
        <v>#N/A</v>
      </c>
      <c r="F4839" s="3" t="e">
        <f t="shared" si="157"/>
        <v>#N/A</v>
      </c>
    </row>
    <row r="4840" spans="2:6" x14ac:dyDescent="0.25">
      <c r="B4840" s="3"/>
      <c r="C4840" s="3"/>
      <c r="D4840" s="3"/>
      <c r="E4840" s="3" t="e">
        <f t="shared" si="156"/>
        <v>#N/A</v>
      </c>
      <c r="F4840" s="3" t="e">
        <f t="shared" si="157"/>
        <v>#N/A</v>
      </c>
    </row>
    <row r="4841" spans="2:6" x14ac:dyDescent="0.25">
      <c r="B4841" s="3"/>
      <c r="C4841" s="3"/>
      <c r="D4841" s="3"/>
      <c r="E4841" s="3" t="e">
        <f t="shared" si="156"/>
        <v>#N/A</v>
      </c>
      <c r="F4841" s="3" t="e">
        <f t="shared" si="157"/>
        <v>#N/A</v>
      </c>
    </row>
    <row r="4842" spans="2:6" x14ac:dyDescent="0.25">
      <c r="B4842" s="3"/>
      <c r="C4842" s="3"/>
      <c r="D4842" s="3"/>
      <c r="E4842" s="3" t="e">
        <f t="shared" si="156"/>
        <v>#N/A</v>
      </c>
      <c r="F4842" s="3" t="e">
        <f t="shared" si="157"/>
        <v>#N/A</v>
      </c>
    </row>
    <row r="4843" spans="2:6" x14ac:dyDescent="0.25">
      <c r="B4843" s="3"/>
      <c r="C4843" s="3"/>
      <c r="D4843" s="3"/>
      <c r="E4843" s="3" t="e">
        <f t="shared" si="156"/>
        <v>#N/A</v>
      </c>
      <c r="F4843" s="3" t="e">
        <f t="shared" si="157"/>
        <v>#N/A</v>
      </c>
    </row>
    <row r="4844" spans="2:6" x14ac:dyDescent="0.25">
      <c r="B4844" s="3"/>
      <c r="C4844" s="3"/>
      <c r="D4844" s="3"/>
      <c r="E4844" s="3" t="e">
        <f t="shared" si="156"/>
        <v>#N/A</v>
      </c>
      <c r="F4844" s="3" t="e">
        <f t="shared" si="157"/>
        <v>#N/A</v>
      </c>
    </row>
    <row r="4845" spans="2:6" x14ac:dyDescent="0.25">
      <c r="B4845" s="3"/>
      <c r="C4845" s="3"/>
      <c r="D4845" s="3"/>
      <c r="E4845" s="3" t="e">
        <f t="shared" si="156"/>
        <v>#N/A</v>
      </c>
      <c r="F4845" s="3" t="e">
        <f t="shared" si="157"/>
        <v>#N/A</v>
      </c>
    </row>
    <row r="4846" spans="2:6" x14ac:dyDescent="0.25">
      <c r="B4846" s="3"/>
      <c r="C4846" s="3"/>
      <c r="D4846" s="3"/>
      <c r="E4846" s="3" t="e">
        <f t="shared" si="156"/>
        <v>#N/A</v>
      </c>
      <c r="F4846" s="3" t="e">
        <f t="shared" si="157"/>
        <v>#N/A</v>
      </c>
    </row>
    <row r="4847" spans="2:6" x14ac:dyDescent="0.25">
      <c r="B4847" s="3"/>
      <c r="C4847" s="3"/>
      <c r="D4847" s="3"/>
      <c r="E4847" s="3" t="e">
        <f t="shared" si="156"/>
        <v>#N/A</v>
      </c>
      <c r="F4847" s="3" t="e">
        <f t="shared" si="157"/>
        <v>#N/A</v>
      </c>
    </row>
    <row r="4848" spans="2:6" x14ac:dyDescent="0.25">
      <c r="B4848" s="3"/>
      <c r="C4848" s="3"/>
      <c r="D4848" s="3"/>
      <c r="E4848" s="3" t="e">
        <f t="shared" si="156"/>
        <v>#N/A</v>
      </c>
      <c r="F4848" s="3" t="e">
        <f t="shared" si="157"/>
        <v>#N/A</v>
      </c>
    </row>
    <row r="4849" spans="2:6" x14ac:dyDescent="0.25">
      <c r="B4849" s="3"/>
      <c r="C4849" s="3"/>
      <c r="D4849" s="3"/>
      <c r="E4849" s="3" t="e">
        <f t="shared" si="156"/>
        <v>#N/A</v>
      </c>
      <c r="F4849" s="3" t="e">
        <f t="shared" si="157"/>
        <v>#N/A</v>
      </c>
    </row>
    <row r="4850" spans="2:6" x14ac:dyDescent="0.25">
      <c r="B4850" s="3"/>
      <c r="C4850" s="3"/>
      <c r="D4850" s="3"/>
      <c r="E4850" s="3" t="e">
        <f t="shared" si="156"/>
        <v>#N/A</v>
      </c>
      <c r="F4850" s="3" t="e">
        <f t="shared" si="157"/>
        <v>#N/A</v>
      </c>
    </row>
    <row r="4851" spans="2:6" x14ac:dyDescent="0.25">
      <c r="B4851" s="3"/>
      <c r="C4851" s="3"/>
      <c r="D4851" s="3"/>
      <c r="E4851" s="3" t="e">
        <f t="shared" si="156"/>
        <v>#N/A</v>
      </c>
      <c r="F4851" s="3" t="e">
        <f t="shared" si="157"/>
        <v>#N/A</v>
      </c>
    </row>
    <row r="4852" spans="2:6" x14ac:dyDescent="0.25">
      <c r="B4852" s="3"/>
      <c r="C4852" s="3"/>
      <c r="D4852" s="3"/>
      <c r="E4852" s="3" t="e">
        <f t="shared" si="156"/>
        <v>#N/A</v>
      </c>
      <c r="F4852" s="3" t="e">
        <f t="shared" si="157"/>
        <v>#N/A</v>
      </c>
    </row>
    <row r="4853" spans="2:6" x14ac:dyDescent="0.25">
      <c r="B4853" s="3"/>
      <c r="C4853" s="3"/>
      <c r="D4853" s="3"/>
      <c r="E4853" s="3" t="e">
        <f t="shared" si="156"/>
        <v>#N/A</v>
      </c>
      <c r="F4853" s="3" t="e">
        <f t="shared" si="157"/>
        <v>#N/A</v>
      </c>
    </row>
    <row r="4854" spans="2:6" x14ac:dyDescent="0.25">
      <c r="B4854" s="3"/>
      <c r="C4854" s="3"/>
      <c r="D4854" s="3"/>
      <c r="E4854" s="3" t="e">
        <f t="shared" si="156"/>
        <v>#N/A</v>
      </c>
      <c r="F4854" s="3" t="e">
        <f t="shared" si="157"/>
        <v>#N/A</v>
      </c>
    </row>
    <row r="4855" spans="2:6" x14ac:dyDescent="0.25">
      <c r="B4855" s="3"/>
      <c r="C4855" s="3"/>
      <c r="D4855" s="3"/>
      <c r="E4855" s="3" t="e">
        <f t="shared" si="156"/>
        <v>#N/A</v>
      </c>
      <c r="F4855" s="3" t="e">
        <f t="shared" si="157"/>
        <v>#N/A</v>
      </c>
    </row>
    <row r="4856" spans="2:6" x14ac:dyDescent="0.25">
      <c r="B4856" s="3"/>
      <c r="C4856" s="3"/>
      <c r="D4856" s="3"/>
      <c r="E4856" s="3" t="e">
        <f t="shared" si="156"/>
        <v>#N/A</v>
      </c>
      <c r="F4856" s="3" t="e">
        <f t="shared" si="157"/>
        <v>#N/A</v>
      </c>
    </row>
    <row r="4857" spans="2:6" x14ac:dyDescent="0.25">
      <c r="B4857" s="3"/>
      <c r="C4857" s="3"/>
      <c r="D4857" s="3"/>
      <c r="E4857" s="3" t="e">
        <f t="shared" si="156"/>
        <v>#N/A</v>
      </c>
      <c r="F4857" s="3" t="e">
        <f t="shared" si="157"/>
        <v>#N/A</v>
      </c>
    </row>
    <row r="4858" spans="2:6" x14ac:dyDescent="0.25">
      <c r="B4858" s="3"/>
      <c r="C4858" s="3"/>
      <c r="D4858" s="3"/>
      <c r="E4858" s="3" t="e">
        <f t="shared" si="156"/>
        <v>#N/A</v>
      </c>
      <c r="F4858" s="3" t="e">
        <f t="shared" si="157"/>
        <v>#N/A</v>
      </c>
    </row>
    <row r="4859" spans="2:6" x14ac:dyDescent="0.25">
      <c r="B4859" s="3"/>
      <c r="C4859" s="3"/>
      <c r="D4859" s="3"/>
      <c r="E4859" s="3" t="e">
        <f t="shared" si="156"/>
        <v>#N/A</v>
      </c>
      <c r="F4859" s="3" t="e">
        <f t="shared" si="157"/>
        <v>#N/A</v>
      </c>
    </row>
    <row r="4860" spans="2:6" x14ac:dyDescent="0.25">
      <c r="B4860" s="3"/>
      <c r="C4860" s="3"/>
      <c r="D4860" s="3"/>
      <c r="E4860" s="3" t="e">
        <f t="shared" si="156"/>
        <v>#N/A</v>
      </c>
      <c r="F4860" s="3" t="e">
        <f t="shared" si="157"/>
        <v>#N/A</v>
      </c>
    </row>
    <row r="4861" spans="2:6" x14ac:dyDescent="0.25">
      <c r="B4861" s="3"/>
      <c r="C4861" s="3"/>
      <c r="D4861" s="3"/>
      <c r="E4861" s="3" t="e">
        <f t="shared" si="156"/>
        <v>#N/A</v>
      </c>
      <c r="F4861" s="3" t="e">
        <f t="shared" si="157"/>
        <v>#N/A</v>
      </c>
    </row>
    <row r="4862" spans="2:6" x14ac:dyDescent="0.25">
      <c r="B4862" s="3"/>
      <c r="C4862" s="3"/>
      <c r="D4862" s="3"/>
      <c r="E4862" s="3" t="e">
        <f t="shared" si="156"/>
        <v>#N/A</v>
      </c>
      <c r="F4862" s="3" t="e">
        <f t="shared" si="157"/>
        <v>#N/A</v>
      </c>
    </row>
    <row r="4863" spans="2:6" x14ac:dyDescent="0.25">
      <c r="B4863" s="3"/>
      <c r="C4863" s="3"/>
      <c r="D4863" s="3"/>
      <c r="E4863" s="3" t="e">
        <f t="shared" si="156"/>
        <v>#N/A</v>
      </c>
      <c r="F4863" s="3" t="e">
        <f t="shared" si="157"/>
        <v>#N/A</v>
      </c>
    </row>
    <row r="4864" spans="2:6" x14ac:dyDescent="0.25">
      <c r="B4864" s="3"/>
      <c r="C4864" s="3"/>
      <c r="D4864" s="3"/>
      <c r="E4864" s="3" t="e">
        <f t="shared" si="156"/>
        <v>#N/A</v>
      </c>
      <c r="F4864" s="3" t="e">
        <f t="shared" si="157"/>
        <v>#N/A</v>
      </c>
    </row>
    <row r="4865" spans="2:6" x14ac:dyDescent="0.25">
      <c r="B4865" s="3"/>
      <c r="C4865" s="3"/>
      <c r="D4865" s="3"/>
      <c r="E4865" s="3" t="e">
        <f t="shared" si="156"/>
        <v>#N/A</v>
      </c>
      <c r="F4865" s="3" t="e">
        <f t="shared" si="157"/>
        <v>#N/A</v>
      </c>
    </row>
    <row r="4866" spans="2:6" x14ac:dyDescent="0.25">
      <c r="B4866" s="3"/>
      <c r="C4866" s="3"/>
      <c r="D4866" s="3"/>
      <c r="E4866" s="3" t="e">
        <f t="shared" si="156"/>
        <v>#N/A</v>
      </c>
      <c r="F4866" s="3" t="e">
        <f t="shared" si="157"/>
        <v>#N/A</v>
      </c>
    </row>
    <row r="4867" spans="2:6" x14ac:dyDescent="0.25">
      <c r="B4867" s="3"/>
      <c r="C4867" s="3"/>
      <c r="D4867" s="3"/>
      <c r="E4867" s="3" t="e">
        <f t="shared" si="156"/>
        <v>#N/A</v>
      </c>
      <c r="F4867" s="3" t="e">
        <f t="shared" si="157"/>
        <v>#N/A</v>
      </c>
    </row>
    <row r="4868" spans="2:6" x14ac:dyDescent="0.25">
      <c r="B4868" s="3"/>
      <c r="C4868" s="3"/>
      <c r="D4868" s="3"/>
      <c r="E4868" s="3" t="e">
        <f t="shared" si="156"/>
        <v>#N/A</v>
      </c>
      <c r="F4868" s="3" t="e">
        <f t="shared" si="157"/>
        <v>#N/A</v>
      </c>
    </row>
    <row r="4869" spans="2:6" x14ac:dyDescent="0.25">
      <c r="B4869" s="3"/>
      <c r="C4869" s="3"/>
      <c r="D4869" s="3"/>
      <c r="E4869" s="3" t="e">
        <f t="shared" si="156"/>
        <v>#N/A</v>
      </c>
      <c r="F4869" s="3" t="e">
        <f t="shared" si="157"/>
        <v>#N/A</v>
      </c>
    </row>
    <row r="4870" spans="2:6" x14ac:dyDescent="0.25">
      <c r="B4870" s="3"/>
      <c r="C4870" s="3"/>
      <c r="D4870" s="3"/>
      <c r="E4870" s="3" t="e">
        <f t="shared" si="156"/>
        <v>#N/A</v>
      </c>
      <c r="F4870" s="3" t="e">
        <f t="shared" si="157"/>
        <v>#N/A</v>
      </c>
    </row>
    <row r="4871" spans="2:6" x14ac:dyDescent="0.25">
      <c r="B4871" s="3"/>
      <c r="C4871" s="3"/>
      <c r="D4871" s="3"/>
      <c r="E4871" s="3" t="e">
        <f t="shared" si="156"/>
        <v>#N/A</v>
      </c>
      <c r="F4871" s="3" t="e">
        <f t="shared" si="157"/>
        <v>#N/A</v>
      </c>
    </row>
    <row r="4872" spans="2:6" x14ac:dyDescent="0.25">
      <c r="B4872" s="3"/>
      <c r="C4872" s="3"/>
      <c r="D4872" s="3"/>
      <c r="E4872" s="3" t="e">
        <f t="shared" si="156"/>
        <v>#N/A</v>
      </c>
      <c r="F4872" s="3" t="e">
        <f t="shared" si="157"/>
        <v>#N/A</v>
      </c>
    </row>
    <row r="4873" spans="2:6" x14ac:dyDescent="0.25">
      <c r="B4873" s="3"/>
      <c r="C4873" s="3"/>
      <c r="D4873" s="3"/>
      <c r="E4873" s="3" t="e">
        <f t="shared" si="156"/>
        <v>#N/A</v>
      </c>
      <c r="F4873" s="3" t="e">
        <f t="shared" si="157"/>
        <v>#N/A</v>
      </c>
    </row>
    <row r="4874" spans="2:6" x14ac:dyDescent="0.25">
      <c r="B4874" s="3"/>
      <c r="C4874" s="3"/>
      <c r="D4874" s="3"/>
      <c r="E4874" s="3" t="e">
        <f t="shared" si="156"/>
        <v>#N/A</v>
      </c>
      <c r="F4874" s="3" t="e">
        <f t="shared" si="157"/>
        <v>#N/A</v>
      </c>
    </row>
    <row r="4875" spans="2:6" x14ac:dyDescent="0.25">
      <c r="B4875" s="3"/>
      <c r="C4875" s="3"/>
      <c r="D4875" s="3"/>
      <c r="E4875" s="3" t="e">
        <f t="shared" si="156"/>
        <v>#N/A</v>
      </c>
      <c r="F4875" s="3" t="e">
        <f t="shared" si="157"/>
        <v>#N/A</v>
      </c>
    </row>
    <row r="4876" spans="2:6" x14ac:dyDescent="0.25">
      <c r="B4876" s="3"/>
      <c r="C4876" s="3"/>
      <c r="D4876" s="3"/>
      <c r="E4876" s="3" t="e">
        <f t="shared" si="156"/>
        <v>#N/A</v>
      </c>
      <c r="F4876" s="3" t="e">
        <f t="shared" si="157"/>
        <v>#N/A</v>
      </c>
    </row>
    <row r="4877" spans="2:6" x14ac:dyDescent="0.25">
      <c r="B4877" s="3"/>
      <c r="C4877" s="3"/>
      <c r="D4877" s="3"/>
      <c r="E4877" s="3" t="e">
        <f t="shared" si="156"/>
        <v>#N/A</v>
      </c>
      <c r="F4877" s="3" t="e">
        <f t="shared" si="157"/>
        <v>#N/A</v>
      </c>
    </row>
    <row r="4878" spans="2:6" x14ac:dyDescent="0.25">
      <c r="B4878" s="3"/>
      <c r="C4878" s="3"/>
      <c r="D4878" s="3"/>
      <c r="E4878" s="3" t="e">
        <f t="shared" ref="E4878:E4941" si="158">VLOOKUP(C4878,I:J,2,0)</f>
        <v>#N/A</v>
      </c>
      <c r="F4878" s="3" t="e">
        <f t="shared" ref="F4878:F4941" si="159">E4878&amp;" "&amp;B4878</f>
        <v>#N/A</v>
      </c>
    </row>
    <row r="4879" spans="2:6" x14ac:dyDescent="0.25">
      <c r="B4879" s="3"/>
      <c r="C4879" s="3"/>
      <c r="D4879" s="3"/>
      <c r="E4879" s="3" t="e">
        <f t="shared" si="158"/>
        <v>#N/A</v>
      </c>
      <c r="F4879" s="3" t="e">
        <f t="shared" si="159"/>
        <v>#N/A</v>
      </c>
    </row>
    <row r="4880" spans="2:6" x14ac:dyDescent="0.25">
      <c r="B4880" s="3"/>
      <c r="C4880" s="3"/>
      <c r="D4880" s="3"/>
      <c r="E4880" s="3" t="e">
        <f t="shared" si="158"/>
        <v>#N/A</v>
      </c>
      <c r="F4880" s="3" t="e">
        <f t="shared" si="159"/>
        <v>#N/A</v>
      </c>
    </row>
    <row r="4881" spans="2:6" x14ac:dyDescent="0.25">
      <c r="B4881" s="3"/>
      <c r="C4881" s="3"/>
      <c r="D4881" s="3"/>
      <c r="E4881" s="3" t="e">
        <f t="shared" si="158"/>
        <v>#N/A</v>
      </c>
      <c r="F4881" s="3" t="e">
        <f t="shared" si="159"/>
        <v>#N/A</v>
      </c>
    </row>
    <row r="4882" spans="2:6" x14ac:dyDescent="0.25">
      <c r="B4882" s="3"/>
      <c r="C4882" s="3"/>
      <c r="D4882" s="3"/>
      <c r="E4882" s="3" t="e">
        <f t="shared" si="158"/>
        <v>#N/A</v>
      </c>
      <c r="F4882" s="3" t="e">
        <f t="shared" si="159"/>
        <v>#N/A</v>
      </c>
    </row>
    <row r="4883" spans="2:6" x14ac:dyDescent="0.25">
      <c r="B4883" s="3"/>
      <c r="C4883" s="3"/>
      <c r="D4883" s="3"/>
      <c r="E4883" s="3" t="e">
        <f t="shared" si="158"/>
        <v>#N/A</v>
      </c>
      <c r="F4883" s="3" t="e">
        <f t="shared" si="159"/>
        <v>#N/A</v>
      </c>
    </row>
    <row r="4884" spans="2:6" x14ac:dyDescent="0.25">
      <c r="B4884" s="3"/>
      <c r="C4884" s="3"/>
      <c r="D4884" s="3"/>
      <c r="E4884" s="3" t="e">
        <f t="shared" si="158"/>
        <v>#N/A</v>
      </c>
      <c r="F4884" s="3" t="e">
        <f t="shared" si="159"/>
        <v>#N/A</v>
      </c>
    </row>
    <row r="4885" spans="2:6" x14ac:dyDescent="0.25">
      <c r="B4885" s="3"/>
      <c r="C4885" s="3"/>
      <c r="D4885" s="3"/>
      <c r="E4885" s="3" t="e">
        <f t="shared" si="158"/>
        <v>#N/A</v>
      </c>
      <c r="F4885" s="3" t="e">
        <f t="shared" si="159"/>
        <v>#N/A</v>
      </c>
    </row>
    <row r="4886" spans="2:6" x14ac:dyDescent="0.25">
      <c r="B4886" s="3"/>
      <c r="C4886" s="3"/>
      <c r="D4886" s="3"/>
      <c r="E4886" s="3" t="e">
        <f t="shared" si="158"/>
        <v>#N/A</v>
      </c>
      <c r="F4886" s="3" t="e">
        <f t="shared" si="159"/>
        <v>#N/A</v>
      </c>
    </row>
    <row r="4887" spans="2:6" x14ac:dyDescent="0.25">
      <c r="B4887" s="3"/>
      <c r="C4887" s="3"/>
      <c r="D4887" s="3"/>
      <c r="E4887" s="3" t="e">
        <f t="shared" si="158"/>
        <v>#N/A</v>
      </c>
      <c r="F4887" s="3" t="e">
        <f t="shared" si="159"/>
        <v>#N/A</v>
      </c>
    </row>
    <row r="4888" spans="2:6" x14ac:dyDescent="0.25">
      <c r="B4888" s="3"/>
      <c r="C4888" s="3"/>
      <c r="D4888" s="3"/>
      <c r="E4888" s="3" t="e">
        <f t="shared" si="158"/>
        <v>#N/A</v>
      </c>
      <c r="F4888" s="3" t="e">
        <f t="shared" si="159"/>
        <v>#N/A</v>
      </c>
    </row>
    <row r="4889" spans="2:6" x14ac:dyDescent="0.25">
      <c r="B4889" s="3"/>
      <c r="C4889" s="3"/>
      <c r="D4889" s="3"/>
      <c r="E4889" s="3" t="e">
        <f t="shared" si="158"/>
        <v>#N/A</v>
      </c>
      <c r="F4889" s="3" t="e">
        <f t="shared" si="159"/>
        <v>#N/A</v>
      </c>
    </row>
    <row r="4890" spans="2:6" x14ac:dyDescent="0.25">
      <c r="B4890" s="3"/>
      <c r="C4890" s="3"/>
      <c r="D4890" s="3"/>
      <c r="E4890" s="3" t="e">
        <f t="shared" si="158"/>
        <v>#N/A</v>
      </c>
      <c r="F4890" s="3" t="e">
        <f t="shared" si="159"/>
        <v>#N/A</v>
      </c>
    </row>
    <row r="4891" spans="2:6" x14ac:dyDescent="0.25">
      <c r="B4891" s="3"/>
      <c r="C4891" s="3"/>
      <c r="D4891" s="3"/>
      <c r="E4891" s="3" t="e">
        <f t="shared" si="158"/>
        <v>#N/A</v>
      </c>
      <c r="F4891" s="3" t="e">
        <f t="shared" si="159"/>
        <v>#N/A</v>
      </c>
    </row>
    <row r="4892" spans="2:6" x14ac:dyDescent="0.25">
      <c r="B4892" s="3"/>
      <c r="C4892" s="3"/>
      <c r="D4892" s="3"/>
      <c r="E4892" s="3" t="e">
        <f t="shared" si="158"/>
        <v>#N/A</v>
      </c>
      <c r="F4892" s="3" t="e">
        <f t="shared" si="159"/>
        <v>#N/A</v>
      </c>
    </row>
    <row r="4893" spans="2:6" x14ac:dyDescent="0.25">
      <c r="B4893" s="3"/>
      <c r="C4893" s="3"/>
      <c r="D4893" s="3"/>
      <c r="E4893" s="3" t="e">
        <f t="shared" si="158"/>
        <v>#N/A</v>
      </c>
      <c r="F4893" s="3" t="e">
        <f t="shared" si="159"/>
        <v>#N/A</v>
      </c>
    </row>
    <row r="4894" spans="2:6" x14ac:dyDescent="0.25">
      <c r="B4894" s="3"/>
      <c r="C4894" s="3"/>
      <c r="D4894" s="3"/>
      <c r="E4894" s="3" t="e">
        <f t="shared" si="158"/>
        <v>#N/A</v>
      </c>
      <c r="F4894" s="3" t="e">
        <f t="shared" si="159"/>
        <v>#N/A</v>
      </c>
    </row>
    <row r="4895" spans="2:6" x14ac:dyDescent="0.25">
      <c r="B4895" s="3"/>
      <c r="C4895" s="3"/>
      <c r="D4895" s="3"/>
      <c r="E4895" s="3" t="e">
        <f t="shared" si="158"/>
        <v>#N/A</v>
      </c>
      <c r="F4895" s="3" t="e">
        <f t="shared" si="159"/>
        <v>#N/A</v>
      </c>
    </row>
    <row r="4896" spans="2:6" x14ac:dyDescent="0.25">
      <c r="B4896" s="3"/>
      <c r="C4896" s="3"/>
      <c r="D4896" s="3"/>
      <c r="E4896" s="3" t="e">
        <f t="shared" si="158"/>
        <v>#N/A</v>
      </c>
      <c r="F4896" s="3" t="e">
        <f t="shared" si="159"/>
        <v>#N/A</v>
      </c>
    </row>
    <row r="4897" spans="2:6" x14ac:dyDescent="0.25">
      <c r="B4897" s="3"/>
      <c r="C4897" s="3"/>
      <c r="D4897" s="3"/>
      <c r="E4897" s="3" t="e">
        <f t="shared" si="158"/>
        <v>#N/A</v>
      </c>
      <c r="F4897" s="3" t="e">
        <f t="shared" si="159"/>
        <v>#N/A</v>
      </c>
    </row>
    <row r="4898" spans="2:6" x14ac:dyDescent="0.25">
      <c r="B4898" s="3"/>
      <c r="C4898" s="3"/>
      <c r="D4898" s="3"/>
      <c r="E4898" s="3" t="e">
        <f t="shared" si="158"/>
        <v>#N/A</v>
      </c>
      <c r="F4898" s="3" t="e">
        <f t="shared" si="159"/>
        <v>#N/A</v>
      </c>
    </row>
    <row r="4899" spans="2:6" x14ac:dyDescent="0.25">
      <c r="B4899" s="3"/>
      <c r="C4899" s="3"/>
      <c r="D4899" s="3"/>
      <c r="E4899" s="3" t="e">
        <f t="shared" si="158"/>
        <v>#N/A</v>
      </c>
      <c r="F4899" s="3" t="e">
        <f t="shared" si="159"/>
        <v>#N/A</v>
      </c>
    </row>
    <row r="4900" spans="2:6" x14ac:dyDescent="0.25">
      <c r="B4900" s="3"/>
      <c r="C4900" s="3"/>
      <c r="D4900" s="3"/>
      <c r="E4900" s="3" t="e">
        <f t="shared" si="158"/>
        <v>#N/A</v>
      </c>
      <c r="F4900" s="3" t="e">
        <f t="shared" si="159"/>
        <v>#N/A</v>
      </c>
    </row>
    <row r="4901" spans="2:6" x14ac:dyDescent="0.25">
      <c r="B4901" s="3"/>
      <c r="C4901" s="3"/>
      <c r="D4901" s="3"/>
      <c r="E4901" s="3" t="e">
        <f t="shared" si="158"/>
        <v>#N/A</v>
      </c>
      <c r="F4901" s="3" t="e">
        <f t="shared" si="159"/>
        <v>#N/A</v>
      </c>
    </row>
    <row r="4902" spans="2:6" x14ac:dyDescent="0.25">
      <c r="B4902" s="3"/>
      <c r="C4902" s="3"/>
      <c r="D4902" s="3"/>
      <c r="E4902" s="3" t="e">
        <f t="shared" si="158"/>
        <v>#N/A</v>
      </c>
      <c r="F4902" s="3" t="e">
        <f t="shared" si="159"/>
        <v>#N/A</v>
      </c>
    </row>
    <row r="4903" spans="2:6" x14ac:dyDescent="0.25">
      <c r="B4903" s="3"/>
      <c r="C4903" s="3"/>
      <c r="D4903" s="3"/>
      <c r="E4903" s="3" t="e">
        <f t="shared" si="158"/>
        <v>#N/A</v>
      </c>
      <c r="F4903" s="3" t="e">
        <f t="shared" si="159"/>
        <v>#N/A</v>
      </c>
    </row>
    <row r="4904" spans="2:6" x14ac:dyDescent="0.25">
      <c r="B4904" s="3"/>
      <c r="C4904" s="3"/>
      <c r="D4904" s="3"/>
      <c r="E4904" s="3" t="e">
        <f t="shared" si="158"/>
        <v>#N/A</v>
      </c>
      <c r="F4904" s="3" t="e">
        <f t="shared" si="159"/>
        <v>#N/A</v>
      </c>
    </row>
    <row r="4905" spans="2:6" x14ac:dyDescent="0.25">
      <c r="B4905" s="3"/>
      <c r="C4905" s="3"/>
      <c r="D4905" s="3"/>
      <c r="E4905" s="3" t="e">
        <f t="shared" si="158"/>
        <v>#N/A</v>
      </c>
      <c r="F4905" s="3" t="e">
        <f t="shared" si="159"/>
        <v>#N/A</v>
      </c>
    </row>
    <row r="4906" spans="2:6" x14ac:dyDescent="0.25">
      <c r="B4906" s="3"/>
      <c r="C4906" s="3"/>
      <c r="D4906" s="3"/>
      <c r="E4906" s="3" t="e">
        <f t="shared" si="158"/>
        <v>#N/A</v>
      </c>
      <c r="F4906" s="3" t="e">
        <f t="shared" si="159"/>
        <v>#N/A</v>
      </c>
    </row>
    <row r="4907" spans="2:6" x14ac:dyDescent="0.25">
      <c r="B4907" s="3"/>
      <c r="C4907" s="3"/>
      <c r="D4907" s="3"/>
      <c r="E4907" s="3" t="e">
        <f t="shared" si="158"/>
        <v>#N/A</v>
      </c>
      <c r="F4907" s="3" t="e">
        <f t="shared" si="159"/>
        <v>#N/A</v>
      </c>
    </row>
    <row r="4908" spans="2:6" x14ac:dyDescent="0.25">
      <c r="B4908" s="3"/>
      <c r="C4908" s="3"/>
      <c r="D4908" s="3"/>
      <c r="E4908" s="3" t="e">
        <f t="shared" si="158"/>
        <v>#N/A</v>
      </c>
      <c r="F4908" s="3" t="e">
        <f t="shared" si="159"/>
        <v>#N/A</v>
      </c>
    </row>
    <row r="4909" spans="2:6" x14ac:dyDescent="0.25">
      <c r="B4909" s="3"/>
      <c r="C4909" s="3"/>
      <c r="D4909" s="3"/>
      <c r="E4909" s="3" t="e">
        <f t="shared" si="158"/>
        <v>#N/A</v>
      </c>
      <c r="F4909" s="3" t="e">
        <f t="shared" si="159"/>
        <v>#N/A</v>
      </c>
    </row>
    <row r="4910" spans="2:6" x14ac:dyDescent="0.25">
      <c r="B4910" s="3"/>
      <c r="C4910" s="3"/>
      <c r="D4910" s="3"/>
      <c r="E4910" s="3" t="e">
        <f t="shared" si="158"/>
        <v>#N/A</v>
      </c>
      <c r="F4910" s="3" t="e">
        <f t="shared" si="159"/>
        <v>#N/A</v>
      </c>
    </row>
    <row r="4911" spans="2:6" x14ac:dyDescent="0.25">
      <c r="B4911" s="3"/>
      <c r="C4911" s="3"/>
      <c r="D4911" s="3"/>
      <c r="E4911" s="3" t="e">
        <f t="shared" si="158"/>
        <v>#N/A</v>
      </c>
      <c r="F4911" s="3" t="e">
        <f t="shared" si="159"/>
        <v>#N/A</v>
      </c>
    </row>
    <row r="4912" spans="2:6" x14ac:dyDescent="0.25">
      <c r="B4912" s="3"/>
      <c r="C4912" s="3"/>
      <c r="D4912" s="3"/>
      <c r="E4912" s="3" t="e">
        <f t="shared" si="158"/>
        <v>#N/A</v>
      </c>
      <c r="F4912" s="3" t="e">
        <f t="shared" si="159"/>
        <v>#N/A</v>
      </c>
    </row>
    <row r="4913" spans="2:6" x14ac:dyDescent="0.25">
      <c r="B4913" s="3"/>
      <c r="C4913" s="3"/>
      <c r="D4913" s="3"/>
      <c r="E4913" s="3" t="e">
        <f t="shared" si="158"/>
        <v>#N/A</v>
      </c>
      <c r="F4913" s="3" t="e">
        <f t="shared" si="159"/>
        <v>#N/A</v>
      </c>
    </row>
    <row r="4914" spans="2:6" x14ac:dyDescent="0.25">
      <c r="B4914" s="3"/>
      <c r="C4914" s="3"/>
      <c r="D4914" s="3"/>
      <c r="E4914" s="3" t="e">
        <f t="shared" si="158"/>
        <v>#N/A</v>
      </c>
      <c r="F4914" s="3" t="e">
        <f t="shared" si="159"/>
        <v>#N/A</v>
      </c>
    </row>
    <row r="4915" spans="2:6" x14ac:dyDescent="0.25">
      <c r="B4915" s="3"/>
      <c r="C4915" s="3"/>
      <c r="D4915" s="3"/>
      <c r="E4915" s="3" t="e">
        <f t="shared" si="158"/>
        <v>#N/A</v>
      </c>
      <c r="F4915" s="3" t="e">
        <f t="shared" si="159"/>
        <v>#N/A</v>
      </c>
    </row>
    <row r="4916" spans="2:6" x14ac:dyDescent="0.25">
      <c r="B4916" s="3"/>
      <c r="C4916" s="3"/>
      <c r="D4916" s="3"/>
      <c r="E4916" s="3" t="e">
        <f t="shared" si="158"/>
        <v>#N/A</v>
      </c>
      <c r="F4916" s="3" t="e">
        <f t="shared" si="159"/>
        <v>#N/A</v>
      </c>
    </row>
    <row r="4917" spans="2:6" x14ac:dyDescent="0.25">
      <c r="B4917" s="3"/>
      <c r="C4917" s="3"/>
      <c r="D4917" s="3"/>
      <c r="E4917" s="3" t="e">
        <f t="shared" si="158"/>
        <v>#N/A</v>
      </c>
      <c r="F4917" s="3" t="e">
        <f t="shared" si="159"/>
        <v>#N/A</v>
      </c>
    </row>
    <row r="4918" spans="2:6" x14ac:dyDescent="0.25">
      <c r="B4918" s="3"/>
      <c r="C4918" s="3"/>
      <c r="D4918" s="3"/>
      <c r="E4918" s="3" t="e">
        <f t="shared" si="158"/>
        <v>#N/A</v>
      </c>
      <c r="F4918" s="3" t="e">
        <f t="shared" si="159"/>
        <v>#N/A</v>
      </c>
    </row>
    <row r="4919" spans="2:6" x14ac:dyDescent="0.25">
      <c r="B4919" s="3"/>
      <c r="C4919" s="3"/>
      <c r="D4919" s="3"/>
      <c r="E4919" s="3" t="e">
        <f t="shared" si="158"/>
        <v>#N/A</v>
      </c>
      <c r="F4919" s="3" t="e">
        <f t="shared" si="159"/>
        <v>#N/A</v>
      </c>
    </row>
    <row r="4920" spans="2:6" x14ac:dyDescent="0.25">
      <c r="B4920" s="3"/>
      <c r="C4920" s="3"/>
      <c r="D4920" s="3"/>
      <c r="E4920" s="3" t="e">
        <f t="shared" si="158"/>
        <v>#N/A</v>
      </c>
      <c r="F4920" s="3" t="e">
        <f t="shared" si="159"/>
        <v>#N/A</v>
      </c>
    </row>
    <row r="4921" spans="2:6" x14ac:dyDescent="0.25">
      <c r="B4921" s="3"/>
      <c r="C4921" s="3"/>
      <c r="D4921" s="3"/>
      <c r="E4921" s="3" t="e">
        <f t="shared" si="158"/>
        <v>#N/A</v>
      </c>
      <c r="F4921" s="3" t="e">
        <f t="shared" si="159"/>
        <v>#N/A</v>
      </c>
    </row>
    <row r="4922" spans="2:6" x14ac:dyDescent="0.25">
      <c r="B4922" s="3"/>
      <c r="C4922" s="3"/>
      <c r="D4922" s="3"/>
      <c r="E4922" s="3" t="e">
        <f t="shared" si="158"/>
        <v>#N/A</v>
      </c>
      <c r="F4922" s="3" t="e">
        <f t="shared" si="159"/>
        <v>#N/A</v>
      </c>
    </row>
    <row r="4923" spans="2:6" x14ac:dyDescent="0.25">
      <c r="B4923" s="3"/>
      <c r="C4923" s="3"/>
      <c r="D4923" s="3"/>
      <c r="E4923" s="3" t="e">
        <f t="shared" si="158"/>
        <v>#N/A</v>
      </c>
      <c r="F4923" s="3" t="e">
        <f t="shared" si="159"/>
        <v>#N/A</v>
      </c>
    </row>
    <row r="4924" spans="2:6" x14ac:dyDescent="0.25">
      <c r="B4924" s="3"/>
      <c r="C4924" s="3"/>
      <c r="D4924" s="3"/>
      <c r="E4924" s="3" t="e">
        <f t="shared" si="158"/>
        <v>#N/A</v>
      </c>
      <c r="F4924" s="3" t="e">
        <f t="shared" si="159"/>
        <v>#N/A</v>
      </c>
    </row>
    <row r="4925" spans="2:6" x14ac:dyDescent="0.25">
      <c r="B4925" s="3"/>
      <c r="C4925" s="3"/>
      <c r="D4925" s="3"/>
      <c r="E4925" s="3" t="e">
        <f t="shared" si="158"/>
        <v>#N/A</v>
      </c>
      <c r="F4925" s="3" t="e">
        <f t="shared" si="159"/>
        <v>#N/A</v>
      </c>
    </row>
    <row r="4926" spans="2:6" x14ac:dyDescent="0.25">
      <c r="B4926" s="3"/>
      <c r="C4926" s="3"/>
      <c r="D4926" s="3"/>
      <c r="E4926" s="3" t="e">
        <f t="shared" si="158"/>
        <v>#N/A</v>
      </c>
      <c r="F4926" s="3" t="e">
        <f t="shared" si="159"/>
        <v>#N/A</v>
      </c>
    </row>
    <row r="4927" spans="2:6" x14ac:dyDescent="0.25">
      <c r="B4927" s="3"/>
      <c r="C4927" s="3"/>
      <c r="D4927" s="3"/>
      <c r="E4927" s="3" t="e">
        <f t="shared" si="158"/>
        <v>#N/A</v>
      </c>
      <c r="F4927" s="3" t="e">
        <f t="shared" si="159"/>
        <v>#N/A</v>
      </c>
    </row>
    <row r="4928" spans="2:6" x14ac:dyDescent="0.25">
      <c r="B4928" s="3"/>
      <c r="C4928" s="3"/>
      <c r="D4928" s="3"/>
      <c r="E4928" s="3" t="e">
        <f t="shared" si="158"/>
        <v>#N/A</v>
      </c>
      <c r="F4928" s="3" t="e">
        <f t="shared" si="159"/>
        <v>#N/A</v>
      </c>
    </row>
    <row r="4929" spans="2:6" x14ac:dyDescent="0.25">
      <c r="B4929" s="3"/>
      <c r="C4929" s="3"/>
      <c r="D4929" s="3"/>
      <c r="E4929" s="3" t="e">
        <f t="shared" si="158"/>
        <v>#N/A</v>
      </c>
      <c r="F4929" s="3" t="e">
        <f t="shared" si="159"/>
        <v>#N/A</v>
      </c>
    </row>
    <row r="4930" spans="2:6" x14ac:dyDescent="0.25">
      <c r="B4930" s="3"/>
      <c r="C4930" s="3"/>
      <c r="D4930" s="3"/>
      <c r="E4930" s="3" t="e">
        <f t="shared" si="158"/>
        <v>#N/A</v>
      </c>
      <c r="F4930" s="3" t="e">
        <f t="shared" si="159"/>
        <v>#N/A</v>
      </c>
    </row>
    <row r="4931" spans="2:6" x14ac:dyDescent="0.25">
      <c r="B4931" s="3"/>
      <c r="C4931" s="3"/>
      <c r="D4931" s="3"/>
      <c r="E4931" s="3" t="e">
        <f t="shared" si="158"/>
        <v>#N/A</v>
      </c>
      <c r="F4931" s="3" t="e">
        <f t="shared" si="159"/>
        <v>#N/A</v>
      </c>
    </row>
    <row r="4932" spans="2:6" x14ac:dyDescent="0.25">
      <c r="B4932" s="3"/>
      <c r="C4932" s="3"/>
      <c r="D4932" s="3"/>
      <c r="E4932" s="3" t="e">
        <f t="shared" si="158"/>
        <v>#N/A</v>
      </c>
      <c r="F4932" s="3" t="e">
        <f t="shared" si="159"/>
        <v>#N/A</v>
      </c>
    </row>
    <row r="4933" spans="2:6" x14ac:dyDescent="0.25">
      <c r="B4933" s="3"/>
      <c r="C4933" s="3"/>
      <c r="D4933" s="3"/>
      <c r="E4933" s="3" t="e">
        <f t="shared" si="158"/>
        <v>#N/A</v>
      </c>
      <c r="F4933" s="3" t="e">
        <f t="shared" si="159"/>
        <v>#N/A</v>
      </c>
    </row>
    <row r="4934" spans="2:6" x14ac:dyDescent="0.25">
      <c r="B4934" s="3"/>
      <c r="C4934" s="3"/>
      <c r="D4934" s="3"/>
      <c r="E4934" s="3" t="e">
        <f t="shared" si="158"/>
        <v>#N/A</v>
      </c>
      <c r="F4934" s="3" t="e">
        <f t="shared" si="159"/>
        <v>#N/A</v>
      </c>
    </row>
    <row r="4935" spans="2:6" x14ac:dyDescent="0.25">
      <c r="B4935" s="3"/>
      <c r="C4935" s="3"/>
      <c r="D4935" s="3"/>
      <c r="E4935" s="3" t="e">
        <f t="shared" si="158"/>
        <v>#N/A</v>
      </c>
      <c r="F4935" s="3" t="e">
        <f t="shared" si="159"/>
        <v>#N/A</v>
      </c>
    </row>
    <row r="4936" spans="2:6" x14ac:dyDescent="0.25">
      <c r="B4936" s="3"/>
      <c r="C4936" s="3"/>
      <c r="D4936" s="3"/>
      <c r="E4936" s="3" t="e">
        <f t="shared" si="158"/>
        <v>#N/A</v>
      </c>
      <c r="F4936" s="3" t="e">
        <f t="shared" si="159"/>
        <v>#N/A</v>
      </c>
    </row>
    <row r="4937" spans="2:6" x14ac:dyDescent="0.25">
      <c r="B4937" s="3"/>
      <c r="C4937" s="3"/>
      <c r="D4937" s="3"/>
      <c r="E4937" s="3" t="e">
        <f t="shared" si="158"/>
        <v>#N/A</v>
      </c>
      <c r="F4937" s="3" t="e">
        <f t="shared" si="159"/>
        <v>#N/A</v>
      </c>
    </row>
    <row r="4938" spans="2:6" x14ac:dyDescent="0.25">
      <c r="B4938" s="3"/>
      <c r="C4938" s="3"/>
      <c r="D4938" s="3"/>
      <c r="E4938" s="3" t="e">
        <f t="shared" si="158"/>
        <v>#N/A</v>
      </c>
      <c r="F4938" s="3" t="e">
        <f t="shared" si="159"/>
        <v>#N/A</v>
      </c>
    </row>
    <row r="4939" spans="2:6" x14ac:dyDescent="0.25">
      <c r="B4939" s="3"/>
      <c r="C4939" s="3"/>
      <c r="D4939" s="3"/>
      <c r="E4939" s="3" t="e">
        <f t="shared" si="158"/>
        <v>#N/A</v>
      </c>
      <c r="F4939" s="3" t="e">
        <f t="shared" si="159"/>
        <v>#N/A</v>
      </c>
    </row>
    <row r="4940" spans="2:6" x14ac:dyDescent="0.25">
      <c r="B4940" s="3"/>
      <c r="C4940" s="3"/>
      <c r="D4940" s="3"/>
      <c r="E4940" s="3" t="e">
        <f t="shared" si="158"/>
        <v>#N/A</v>
      </c>
      <c r="F4940" s="3" t="e">
        <f t="shared" si="159"/>
        <v>#N/A</v>
      </c>
    </row>
    <row r="4941" spans="2:6" x14ac:dyDescent="0.25">
      <c r="B4941" s="3"/>
      <c r="C4941" s="3"/>
      <c r="D4941" s="3"/>
      <c r="E4941" s="3" t="e">
        <f t="shared" si="158"/>
        <v>#N/A</v>
      </c>
      <c r="F4941" s="3" t="e">
        <f t="shared" si="159"/>
        <v>#N/A</v>
      </c>
    </row>
    <row r="4942" spans="2:6" x14ac:dyDescent="0.25">
      <c r="B4942" s="3"/>
      <c r="C4942" s="3"/>
      <c r="D4942" s="3"/>
      <c r="E4942" s="3" t="e">
        <f t="shared" ref="E4942:E5005" si="160">VLOOKUP(C4942,I:J,2,0)</f>
        <v>#N/A</v>
      </c>
      <c r="F4942" s="3" t="e">
        <f t="shared" ref="F4942:F5005" si="161">E4942&amp;" "&amp;B4942</f>
        <v>#N/A</v>
      </c>
    </row>
    <row r="4943" spans="2:6" x14ac:dyDescent="0.25">
      <c r="B4943" s="3"/>
      <c r="C4943" s="3"/>
      <c r="D4943" s="3"/>
      <c r="E4943" s="3" t="e">
        <f t="shared" si="160"/>
        <v>#N/A</v>
      </c>
      <c r="F4943" s="3" t="e">
        <f t="shared" si="161"/>
        <v>#N/A</v>
      </c>
    </row>
    <row r="4944" spans="2:6" x14ac:dyDescent="0.25">
      <c r="B4944" s="3"/>
      <c r="C4944" s="3"/>
      <c r="D4944" s="3"/>
      <c r="E4944" s="3" t="e">
        <f t="shared" si="160"/>
        <v>#N/A</v>
      </c>
      <c r="F4944" s="3" t="e">
        <f t="shared" si="161"/>
        <v>#N/A</v>
      </c>
    </row>
    <row r="4945" spans="2:6" x14ac:dyDescent="0.25">
      <c r="B4945" s="3"/>
      <c r="C4945" s="3"/>
      <c r="D4945" s="3"/>
      <c r="E4945" s="3" t="e">
        <f t="shared" si="160"/>
        <v>#N/A</v>
      </c>
      <c r="F4945" s="3" t="e">
        <f t="shared" si="161"/>
        <v>#N/A</v>
      </c>
    </row>
    <row r="4946" spans="2:6" x14ac:dyDescent="0.25">
      <c r="B4946" s="3"/>
      <c r="C4946" s="3"/>
      <c r="D4946" s="3"/>
      <c r="E4946" s="3" t="e">
        <f t="shared" si="160"/>
        <v>#N/A</v>
      </c>
      <c r="F4946" s="3" t="e">
        <f t="shared" si="161"/>
        <v>#N/A</v>
      </c>
    </row>
    <row r="4947" spans="2:6" x14ac:dyDescent="0.25">
      <c r="B4947" s="3"/>
      <c r="C4947" s="3"/>
      <c r="D4947" s="3"/>
      <c r="E4947" s="3" t="e">
        <f t="shared" si="160"/>
        <v>#N/A</v>
      </c>
      <c r="F4947" s="3" t="e">
        <f t="shared" si="161"/>
        <v>#N/A</v>
      </c>
    </row>
    <row r="4948" spans="2:6" x14ac:dyDescent="0.25">
      <c r="B4948" s="3"/>
      <c r="C4948" s="3"/>
      <c r="D4948" s="3"/>
      <c r="E4948" s="3" t="e">
        <f t="shared" si="160"/>
        <v>#N/A</v>
      </c>
      <c r="F4948" s="3" t="e">
        <f t="shared" si="161"/>
        <v>#N/A</v>
      </c>
    </row>
    <row r="4949" spans="2:6" x14ac:dyDescent="0.25">
      <c r="B4949" s="3"/>
      <c r="C4949" s="3"/>
      <c r="D4949" s="3"/>
      <c r="E4949" s="3" t="e">
        <f t="shared" si="160"/>
        <v>#N/A</v>
      </c>
      <c r="F4949" s="3" t="e">
        <f t="shared" si="161"/>
        <v>#N/A</v>
      </c>
    </row>
    <row r="4950" spans="2:6" x14ac:dyDescent="0.25">
      <c r="B4950" s="3"/>
      <c r="C4950" s="3"/>
      <c r="D4950" s="3"/>
      <c r="E4950" s="3" t="e">
        <f t="shared" si="160"/>
        <v>#N/A</v>
      </c>
      <c r="F4950" s="3" t="e">
        <f t="shared" si="161"/>
        <v>#N/A</v>
      </c>
    </row>
    <row r="4951" spans="2:6" x14ac:dyDescent="0.25">
      <c r="B4951" s="3"/>
      <c r="C4951" s="3"/>
      <c r="D4951" s="3"/>
      <c r="E4951" s="3" t="e">
        <f t="shared" si="160"/>
        <v>#N/A</v>
      </c>
      <c r="F4951" s="3" t="e">
        <f t="shared" si="161"/>
        <v>#N/A</v>
      </c>
    </row>
    <row r="4952" spans="2:6" x14ac:dyDescent="0.25">
      <c r="B4952" s="3"/>
      <c r="C4952" s="3"/>
      <c r="D4952" s="3"/>
      <c r="E4952" s="3" t="e">
        <f t="shared" si="160"/>
        <v>#N/A</v>
      </c>
      <c r="F4952" s="3" t="e">
        <f t="shared" si="161"/>
        <v>#N/A</v>
      </c>
    </row>
    <row r="4953" spans="2:6" x14ac:dyDescent="0.25">
      <c r="B4953" s="3"/>
      <c r="C4953" s="3"/>
      <c r="D4953" s="3"/>
      <c r="E4953" s="3" t="e">
        <f t="shared" si="160"/>
        <v>#N/A</v>
      </c>
      <c r="F4953" s="3" t="e">
        <f t="shared" si="161"/>
        <v>#N/A</v>
      </c>
    </row>
    <row r="4954" spans="2:6" x14ac:dyDescent="0.25">
      <c r="B4954" s="3"/>
      <c r="C4954" s="3"/>
      <c r="D4954" s="3"/>
      <c r="E4954" s="3" t="e">
        <f t="shared" si="160"/>
        <v>#N/A</v>
      </c>
      <c r="F4954" s="3" t="e">
        <f t="shared" si="161"/>
        <v>#N/A</v>
      </c>
    </row>
    <row r="4955" spans="2:6" x14ac:dyDescent="0.25">
      <c r="B4955" s="3"/>
      <c r="C4955" s="3"/>
      <c r="D4955" s="3"/>
      <c r="E4955" s="3" t="e">
        <f t="shared" si="160"/>
        <v>#N/A</v>
      </c>
      <c r="F4955" s="3" t="e">
        <f t="shared" si="161"/>
        <v>#N/A</v>
      </c>
    </row>
    <row r="4956" spans="2:6" x14ac:dyDescent="0.25">
      <c r="B4956" s="3"/>
      <c r="C4956" s="3"/>
      <c r="D4956" s="3"/>
      <c r="E4956" s="3" t="e">
        <f t="shared" si="160"/>
        <v>#N/A</v>
      </c>
      <c r="F4956" s="3" t="e">
        <f t="shared" si="161"/>
        <v>#N/A</v>
      </c>
    </row>
    <row r="4957" spans="2:6" x14ac:dyDescent="0.25">
      <c r="B4957" s="3"/>
      <c r="C4957" s="3"/>
      <c r="D4957" s="3"/>
      <c r="E4957" s="3" t="e">
        <f t="shared" si="160"/>
        <v>#N/A</v>
      </c>
      <c r="F4957" s="3" t="e">
        <f t="shared" si="161"/>
        <v>#N/A</v>
      </c>
    </row>
    <row r="4958" spans="2:6" x14ac:dyDescent="0.25">
      <c r="B4958" s="3"/>
      <c r="C4958" s="3"/>
      <c r="D4958" s="3"/>
      <c r="E4958" s="3" t="e">
        <f t="shared" si="160"/>
        <v>#N/A</v>
      </c>
      <c r="F4958" s="3" t="e">
        <f t="shared" si="161"/>
        <v>#N/A</v>
      </c>
    </row>
    <row r="4959" spans="2:6" x14ac:dyDescent="0.25">
      <c r="B4959" s="3"/>
      <c r="C4959" s="3"/>
      <c r="D4959" s="3"/>
      <c r="E4959" s="3" t="e">
        <f t="shared" si="160"/>
        <v>#N/A</v>
      </c>
      <c r="F4959" s="3" t="e">
        <f t="shared" si="161"/>
        <v>#N/A</v>
      </c>
    </row>
    <row r="4960" spans="2:6" x14ac:dyDescent="0.25">
      <c r="B4960" s="3"/>
      <c r="C4960" s="3"/>
      <c r="D4960" s="3"/>
      <c r="E4960" s="3" t="e">
        <f t="shared" si="160"/>
        <v>#N/A</v>
      </c>
      <c r="F4960" s="3" t="e">
        <f t="shared" si="161"/>
        <v>#N/A</v>
      </c>
    </row>
    <row r="4961" spans="2:6" x14ac:dyDescent="0.25">
      <c r="B4961" s="3"/>
      <c r="C4961" s="3"/>
      <c r="D4961" s="3"/>
      <c r="E4961" s="3" t="e">
        <f t="shared" si="160"/>
        <v>#N/A</v>
      </c>
      <c r="F4961" s="3" t="e">
        <f t="shared" si="161"/>
        <v>#N/A</v>
      </c>
    </row>
    <row r="4962" spans="2:6" x14ac:dyDescent="0.25">
      <c r="B4962" s="3"/>
      <c r="C4962" s="3"/>
      <c r="D4962" s="3"/>
      <c r="E4962" s="3" t="e">
        <f t="shared" si="160"/>
        <v>#N/A</v>
      </c>
      <c r="F4962" s="3" t="e">
        <f t="shared" si="161"/>
        <v>#N/A</v>
      </c>
    </row>
    <row r="4963" spans="2:6" x14ac:dyDescent="0.25">
      <c r="B4963" s="3"/>
      <c r="C4963" s="3"/>
      <c r="D4963" s="3"/>
      <c r="E4963" s="3" t="e">
        <f t="shared" si="160"/>
        <v>#N/A</v>
      </c>
      <c r="F4963" s="3" t="e">
        <f t="shared" si="161"/>
        <v>#N/A</v>
      </c>
    </row>
    <row r="4964" spans="2:6" x14ac:dyDescent="0.25">
      <c r="B4964" s="3"/>
      <c r="C4964" s="3"/>
      <c r="D4964" s="3"/>
      <c r="E4964" s="3" t="e">
        <f t="shared" si="160"/>
        <v>#N/A</v>
      </c>
      <c r="F4964" s="3" t="e">
        <f t="shared" si="161"/>
        <v>#N/A</v>
      </c>
    </row>
    <row r="4965" spans="2:6" x14ac:dyDescent="0.25">
      <c r="B4965" s="3"/>
      <c r="C4965" s="3"/>
      <c r="D4965" s="3"/>
      <c r="E4965" s="3" t="e">
        <f t="shared" si="160"/>
        <v>#N/A</v>
      </c>
      <c r="F4965" s="3" t="e">
        <f t="shared" si="161"/>
        <v>#N/A</v>
      </c>
    </row>
    <row r="4966" spans="2:6" x14ac:dyDescent="0.25">
      <c r="B4966" s="3"/>
      <c r="C4966" s="3"/>
      <c r="D4966" s="3"/>
      <c r="E4966" s="3" t="e">
        <f t="shared" si="160"/>
        <v>#N/A</v>
      </c>
      <c r="F4966" s="3" t="e">
        <f t="shared" si="161"/>
        <v>#N/A</v>
      </c>
    </row>
    <row r="4967" spans="2:6" x14ac:dyDescent="0.25">
      <c r="B4967" s="3"/>
      <c r="C4967" s="3"/>
      <c r="D4967" s="3"/>
      <c r="E4967" s="3" t="e">
        <f t="shared" si="160"/>
        <v>#N/A</v>
      </c>
      <c r="F4967" s="3" t="e">
        <f t="shared" si="161"/>
        <v>#N/A</v>
      </c>
    </row>
    <row r="4968" spans="2:6" x14ac:dyDescent="0.25">
      <c r="B4968" s="3"/>
      <c r="C4968" s="3"/>
      <c r="D4968" s="3"/>
      <c r="E4968" s="3" t="e">
        <f t="shared" si="160"/>
        <v>#N/A</v>
      </c>
      <c r="F4968" s="3" t="e">
        <f t="shared" si="161"/>
        <v>#N/A</v>
      </c>
    </row>
    <row r="4969" spans="2:6" x14ac:dyDescent="0.25">
      <c r="B4969" s="3"/>
      <c r="C4969" s="3"/>
      <c r="D4969" s="3"/>
      <c r="E4969" s="3" t="e">
        <f t="shared" si="160"/>
        <v>#N/A</v>
      </c>
      <c r="F4969" s="3" t="e">
        <f t="shared" si="161"/>
        <v>#N/A</v>
      </c>
    </row>
    <row r="4970" spans="2:6" x14ac:dyDescent="0.25">
      <c r="B4970" s="3"/>
      <c r="C4970" s="3"/>
      <c r="D4970" s="3"/>
      <c r="E4970" s="3" t="e">
        <f t="shared" si="160"/>
        <v>#N/A</v>
      </c>
      <c r="F4970" s="3" t="e">
        <f t="shared" si="161"/>
        <v>#N/A</v>
      </c>
    </row>
    <row r="4971" spans="2:6" x14ac:dyDescent="0.25">
      <c r="B4971" s="3"/>
      <c r="C4971" s="3"/>
      <c r="D4971" s="3"/>
      <c r="E4971" s="3" t="e">
        <f t="shared" si="160"/>
        <v>#N/A</v>
      </c>
      <c r="F4971" s="3" t="e">
        <f t="shared" si="161"/>
        <v>#N/A</v>
      </c>
    </row>
    <row r="4972" spans="2:6" x14ac:dyDescent="0.25">
      <c r="B4972" s="3"/>
      <c r="C4972" s="3"/>
      <c r="D4972" s="3"/>
      <c r="E4972" s="3" t="e">
        <f t="shared" si="160"/>
        <v>#N/A</v>
      </c>
      <c r="F4972" s="3" t="e">
        <f t="shared" si="161"/>
        <v>#N/A</v>
      </c>
    </row>
    <row r="4973" spans="2:6" x14ac:dyDescent="0.25">
      <c r="B4973" s="3"/>
      <c r="C4973" s="3"/>
      <c r="D4973" s="3"/>
      <c r="E4973" s="3" t="e">
        <f t="shared" si="160"/>
        <v>#N/A</v>
      </c>
      <c r="F4973" s="3" t="e">
        <f t="shared" si="161"/>
        <v>#N/A</v>
      </c>
    </row>
    <row r="4974" spans="2:6" x14ac:dyDescent="0.25">
      <c r="B4974" s="3"/>
      <c r="C4974" s="3"/>
      <c r="D4974" s="3"/>
      <c r="E4974" s="3" t="e">
        <f t="shared" si="160"/>
        <v>#N/A</v>
      </c>
      <c r="F4974" s="3" t="e">
        <f t="shared" si="161"/>
        <v>#N/A</v>
      </c>
    </row>
    <row r="4975" spans="2:6" x14ac:dyDescent="0.25">
      <c r="B4975" s="3"/>
      <c r="C4975" s="3"/>
      <c r="D4975" s="3"/>
      <c r="E4975" s="3" t="e">
        <f t="shared" si="160"/>
        <v>#N/A</v>
      </c>
      <c r="F4975" s="3" t="e">
        <f t="shared" si="161"/>
        <v>#N/A</v>
      </c>
    </row>
    <row r="4976" spans="2:6" x14ac:dyDescent="0.25">
      <c r="B4976" s="3"/>
      <c r="C4976" s="3"/>
      <c r="D4976" s="3"/>
      <c r="E4976" s="3" t="e">
        <f t="shared" si="160"/>
        <v>#N/A</v>
      </c>
      <c r="F4976" s="3" t="e">
        <f t="shared" si="161"/>
        <v>#N/A</v>
      </c>
    </row>
    <row r="4977" spans="2:6" x14ac:dyDescent="0.25">
      <c r="B4977" s="3"/>
      <c r="C4977" s="3"/>
      <c r="D4977" s="3"/>
      <c r="E4977" s="3" t="e">
        <f t="shared" si="160"/>
        <v>#N/A</v>
      </c>
      <c r="F4977" s="3" t="e">
        <f t="shared" si="161"/>
        <v>#N/A</v>
      </c>
    </row>
    <row r="4978" spans="2:6" x14ac:dyDescent="0.25">
      <c r="B4978" s="3"/>
      <c r="C4978" s="3"/>
      <c r="D4978" s="3"/>
      <c r="E4978" s="3" t="e">
        <f t="shared" si="160"/>
        <v>#N/A</v>
      </c>
      <c r="F4978" s="3" t="e">
        <f t="shared" si="161"/>
        <v>#N/A</v>
      </c>
    </row>
    <row r="4979" spans="2:6" x14ac:dyDescent="0.25">
      <c r="B4979" s="3"/>
      <c r="C4979" s="3"/>
      <c r="D4979" s="3"/>
      <c r="E4979" s="3" t="e">
        <f t="shared" si="160"/>
        <v>#N/A</v>
      </c>
      <c r="F4979" s="3" t="e">
        <f t="shared" si="161"/>
        <v>#N/A</v>
      </c>
    </row>
    <row r="4980" spans="2:6" x14ac:dyDescent="0.25">
      <c r="B4980" s="3"/>
      <c r="C4980" s="3"/>
      <c r="D4980" s="3"/>
      <c r="E4980" s="3" t="e">
        <f t="shared" si="160"/>
        <v>#N/A</v>
      </c>
      <c r="F4980" s="3" t="e">
        <f t="shared" si="161"/>
        <v>#N/A</v>
      </c>
    </row>
    <row r="4981" spans="2:6" x14ac:dyDescent="0.25">
      <c r="B4981" s="3"/>
      <c r="C4981" s="3"/>
      <c r="D4981" s="3"/>
      <c r="E4981" s="3" t="e">
        <f t="shared" si="160"/>
        <v>#N/A</v>
      </c>
      <c r="F4981" s="3" t="e">
        <f t="shared" si="161"/>
        <v>#N/A</v>
      </c>
    </row>
    <row r="4982" spans="2:6" x14ac:dyDescent="0.25">
      <c r="B4982" s="3"/>
      <c r="C4982" s="3"/>
      <c r="D4982" s="3"/>
      <c r="E4982" s="3" t="e">
        <f t="shared" si="160"/>
        <v>#N/A</v>
      </c>
      <c r="F4982" s="3" t="e">
        <f t="shared" si="161"/>
        <v>#N/A</v>
      </c>
    </row>
    <row r="4983" spans="2:6" x14ac:dyDescent="0.25">
      <c r="B4983" s="3"/>
      <c r="C4983" s="3"/>
      <c r="D4983" s="3"/>
      <c r="E4983" s="3" t="e">
        <f t="shared" si="160"/>
        <v>#N/A</v>
      </c>
      <c r="F4983" s="3" t="e">
        <f t="shared" si="161"/>
        <v>#N/A</v>
      </c>
    </row>
    <row r="4984" spans="2:6" x14ac:dyDescent="0.25">
      <c r="B4984" s="3"/>
      <c r="C4984" s="3"/>
      <c r="D4984" s="3"/>
      <c r="E4984" s="3" t="e">
        <f t="shared" si="160"/>
        <v>#N/A</v>
      </c>
      <c r="F4984" s="3" t="e">
        <f t="shared" si="161"/>
        <v>#N/A</v>
      </c>
    </row>
    <row r="4985" spans="2:6" x14ac:dyDescent="0.25">
      <c r="B4985" s="3"/>
      <c r="C4985" s="3"/>
      <c r="D4985" s="3"/>
      <c r="E4985" s="3" t="e">
        <f t="shared" si="160"/>
        <v>#N/A</v>
      </c>
      <c r="F4985" s="3" t="e">
        <f t="shared" si="161"/>
        <v>#N/A</v>
      </c>
    </row>
    <row r="4986" spans="2:6" x14ac:dyDescent="0.25">
      <c r="B4986" s="3"/>
      <c r="C4986" s="3"/>
      <c r="D4986" s="3"/>
      <c r="E4986" s="3" t="e">
        <f t="shared" si="160"/>
        <v>#N/A</v>
      </c>
      <c r="F4986" s="3" t="e">
        <f t="shared" si="161"/>
        <v>#N/A</v>
      </c>
    </row>
    <row r="4987" spans="2:6" x14ac:dyDescent="0.25">
      <c r="B4987" s="3"/>
      <c r="C4987" s="3"/>
      <c r="D4987" s="3"/>
      <c r="E4987" s="3" t="e">
        <f t="shared" si="160"/>
        <v>#N/A</v>
      </c>
      <c r="F4987" s="3" t="e">
        <f t="shared" si="161"/>
        <v>#N/A</v>
      </c>
    </row>
    <row r="4988" spans="2:6" x14ac:dyDescent="0.25">
      <c r="B4988" s="3"/>
      <c r="C4988" s="3"/>
      <c r="D4988" s="3"/>
      <c r="E4988" s="3" t="e">
        <f t="shared" si="160"/>
        <v>#N/A</v>
      </c>
      <c r="F4988" s="3" t="e">
        <f t="shared" si="161"/>
        <v>#N/A</v>
      </c>
    </row>
    <row r="4989" spans="2:6" x14ac:dyDescent="0.25">
      <c r="B4989" s="3"/>
      <c r="C4989" s="3"/>
      <c r="D4989" s="3"/>
      <c r="E4989" s="3" t="e">
        <f t="shared" si="160"/>
        <v>#N/A</v>
      </c>
      <c r="F4989" s="3" t="e">
        <f t="shared" si="161"/>
        <v>#N/A</v>
      </c>
    </row>
    <row r="4990" spans="2:6" x14ac:dyDescent="0.25">
      <c r="B4990" s="3"/>
      <c r="C4990" s="3"/>
      <c r="D4990" s="3"/>
      <c r="E4990" s="3" t="e">
        <f t="shared" si="160"/>
        <v>#N/A</v>
      </c>
      <c r="F4990" s="3" t="e">
        <f t="shared" si="161"/>
        <v>#N/A</v>
      </c>
    </row>
    <row r="4991" spans="2:6" x14ac:dyDescent="0.25">
      <c r="B4991" s="3"/>
      <c r="C4991" s="3"/>
      <c r="D4991" s="3"/>
      <c r="E4991" s="3" t="e">
        <f t="shared" si="160"/>
        <v>#N/A</v>
      </c>
      <c r="F4991" s="3" t="e">
        <f t="shared" si="161"/>
        <v>#N/A</v>
      </c>
    </row>
    <row r="4992" spans="2:6" x14ac:dyDescent="0.25">
      <c r="B4992" s="3"/>
      <c r="C4992" s="3"/>
      <c r="D4992" s="3"/>
      <c r="E4992" s="3" t="e">
        <f t="shared" si="160"/>
        <v>#N/A</v>
      </c>
      <c r="F4992" s="3" t="e">
        <f t="shared" si="161"/>
        <v>#N/A</v>
      </c>
    </row>
    <row r="4993" spans="2:6" x14ac:dyDescent="0.25">
      <c r="B4993" s="3"/>
      <c r="C4993" s="3"/>
      <c r="D4993" s="3"/>
      <c r="E4993" s="3" t="e">
        <f t="shared" si="160"/>
        <v>#N/A</v>
      </c>
      <c r="F4993" s="3" t="e">
        <f t="shared" si="161"/>
        <v>#N/A</v>
      </c>
    </row>
    <row r="4994" spans="2:6" x14ac:dyDescent="0.25">
      <c r="B4994" s="3"/>
      <c r="C4994" s="3"/>
      <c r="D4994" s="3"/>
      <c r="E4994" s="3" t="e">
        <f t="shared" si="160"/>
        <v>#N/A</v>
      </c>
      <c r="F4994" s="3" t="e">
        <f t="shared" si="161"/>
        <v>#N/A</v>
      </c>
    </row>
    <row r="4995" spans="2:6" x14ac:dyDescent="0.25">
      <c r="B4995" s="3"/>
      <c r="C4995" s="3"/>
      <c r="D4995" s="3"/>
      <c r="E4995" s="3" t="e">
        <f t="shared" si="160"/>
        <v>#N/A</v>
      </c>
      <c r="F4995" s="3" t="e">
        <f t="shared" si="161"/>
        <v>#N/A</v>
      </c>
    </row>
    <row r="4996" spans="2:6" x14ac:dyDescent="0.25">
      <c r="B4996" s="3"/>
      <c r="C4996" s="3"/>
      <c r="D4996" s="3"/>
      <c r="E4996" s="3" t="e">
        <f t="shared" si="160"/>
        <v>#N/A</v>
      </c>
      <c r="F4996" s="3" t="e">
        <f t="shared" si="161"/>
        <v>#N/A</v>
      </c>
    </row>
    <row r="4997" spans="2:6" x14ac:dyDescent="0.25">
      <c r="B4997" s="3"/>
      <c r="C4997" s="3"/>
      <c r="D4997" s="3"/>
      <c r="E4997" s="3" t="e">
        <f t="shared" si="160"/>
        <v>#N/A</v>
      </c>
      <c r="F4997" s="3" t="e">
        <f t="shared" si="161"/>
        <v>#N/A</v>
      </c>
    </row>
    <row r="4998" spans="2:6" x14ac:dyDescent="0.25">
      <c r="B4998" s="3"/>
      <c r="C4998" s="3"/>
      <c r="D4998" s="3"/>
      <c r="E4998" s="3" t="e">
        <f t="shared" si="160"/>
        <v>#N/A</v>
      </c>
      <c r="F4998" s="3" t="e">
        <f t="shared" si="161"/>
        <v>#N/A</v>
      </c>
    </row>
    <row r="4999" spans="2:6" x14ac:dyDescent="0.25">
      <c r="B4999" s="3"/>
      <c r="C4999" s="3"/>
      <c r="D4999" s="3"/>
      <c r="E4999" s="3" t="e">
        <f t="shared" si="160"/>
        <v>#N/A</v>
      </c>
      <c r="F4999" s="3" t="e">
        <f t="shared" si="161"/>
        <v>#N/A</v>
      </c>
    </row>
    <row r="5000" spans="2:6" x14ac:dyDescent="0.25">
      <c r="B5000" s="3"/>
      <c r="C5000" s="3"/>
      <c r="D5000" s="3"/>
      <c r="E5000" s="3" t="e">
        <f t="shared" si="160"/>
        <v>#N/A</v>
      </c>
      <c r="F5000" s="3" t="e">
        <f t="shared" si="161"/>
        <v>#N/A</v>
      </c>
    </row>
    <row r="5001" spans="2:6" x14ac:dyDescent="0.25">
      <c r="B5001" s="3"/>
      <c r="C5001" s="3"/>
      <c r="D5001" s="3"/>
      <c r="E5001" s="3" t="e">
        <f t="shared" si="160"/>
        <v>#N/A</v>
      </c>
      <c r="F5001" s="3" t="e">
        <f t="shared" si="161"/>
        <v>#N/A</v>
      </c>
    </row>
    <row r="5002" spans="2:6" x14ac:dyDescent="0.25">
      <c r="B5002" s="3"/>
      <c r="C5002" s="3"/>
      <c r="D5002" s="3"/>
      <c r="E5002" s="3" t="e">
        <f t="shared" si="160"/>
        <v>#N/A</v>
      </c>
      <c r="F5002" s="3" t="e">
        <f t="shared" si="161"/>
        <v>#N/A</v>
      </c>
    </row>
    <row r="5003" spans="2:6" x14ac:dyDescent="0.25">
      <c r="B5003" s="3"/>
      <c r="C5003" s="3"/>
      <c r="D5003" s="3"/>
      <c r="E5003" s="3" t="e">
        <f t="shared" si="160"/>
        <v>#N/A</v>
      </c>
      <c r="F5003" s="3" t="e">
        <f t="shared" si="161"/>
        <v>#N/A</v>
      </c>
    </row>
    <row r="5004" spans="2:6" x14ac:dyDescent="0.25">
      <c r="B5004" s="3"/>
      <c r="C5004" s="3"/>
      <c r="D5004" s="3"/>
      <c r="E5004" s="3" t="e">
        <f t="shared" si="160"/>
        <v>#N/A</v>
      </c>
      <c r="F5004" s="3" t="e">
        <f t="shared" si="161"/>
        <v>#N/A</v>
      </c>
    </row>
    <row r="5005" spans="2:6" x14ac:dyDescent="0.25">
      <c r="B5005" s="3"/>
      <c r="C5005" s="3"/>
      <c r="D5005" s="3"/>
      <c r="E5005" s="3" t="e">
        <f t="shared" si="160"/>
        <v>#N/A</v>
      </c>
      <c r="F5005" s="3" t="e">
        <f t="shared" si="161"/>
        <v>#N/A</v>
      </c>
    </row>
    <row r="5006" spans="2:6" x14ac:dyDescent="0.25">
      <c r="B5006" s="3"/>
      <c r="C5006" s="3"/>
      <c r="D5006" s="3"/>
      <c r="E5006" s="3" t="e">
        <f t="shared" ref="E5006:E5069" si="162">VLOOKUP(C5006,I:J,2,0)</f>
        <v>#N/A</v>
      </c>
      <c r="F5006" s="3" t="e">
        <f t="shared" ref="F5006:F5069" si="163">E5006&amp;" "&amp;B5006</f>
        <v>#N/A</v>
      </c>
    </row>
    <row r="5007" spans="2:6" x14ac:dyDescent="0.25">
      <c r="B5007" s="3"/>
      <c r="C5007" s="3"/>
      <c r="D5007" s="3"/>
      <c r="E5007" s="3" t="e">
        <f t="shared" si="162"/>
        <v>#N/A</v>
      </c>
      <c r="F5007" s="3" t="e">
        <f t="shared" si="163"/>
        <v>#N/A</v>
      </c>
    </row>
    <row r="5008" spans="2:6" x14ac:dyDescent="0.25">
      <c r="B5008" s="3"/>
      <c r="C5008" s="3"/>
      <c r="D5008" s="3"/>
      <c r="E5008" s="3" t="e">
        <f t="shared" si="162"/>
        <v>#N/A</v>
      </c>
      <c r="F5008" s="3" t="e">
        <f t="shared" si="163"/>
        <v>#N/A</v>
      </c>
    </row>
    <row r="5009" spans="2:6" x14ac:dyDescent="0.25">
      <c r="B5009" s="3"/>
      <c r="C5009" s="3"/>
      <c r="D5009" s="3"/>
      <c r="E5009" s="3" t="e">
        <f t="shared" si="162"/>
        <v>#N/A</v>
      </c>
      <c r="F5009" s="3" t="e">
        <f t="shared" si="163"/>
        <v>#N/A</v>
      </c>
    </row>
    <row r="5010" spans="2:6" x14ac:dyDescent="0.25">
      <c r="B5010" s="3"/>
      <c r="C5010" s="3"/>
      <c r="D5010" s="3"/>
      <c r="E5010" s="3" t="e">
        <f t="shared" si="162"/>
        <v>#N/A</v>
      </c>
      <c r="F5010" s="3" t="e">
        <f t="shared" si="163"/>
        <v>#N/A</v>
      </c>
    </row>
    <row r="5011" spans="2:6" x14ac:dyDescent="0.25">
      <c r="B5011" s="3"/>
      <c r="C5011" s="3"/>
      <c r="D5011" s="3"/>
      <c r="E5011" s="3" t="e">
        <f t="shared" si="162"/>
        <v>#N/A</v>
      </c>
      <c r="F5011" s="3" t="e">
        <f t="shared" si="163"/>
        <v>#N/A</v>
      </c>
    </row>
    <row r="5012" spans="2:6" x14ac:dyDescent="0.25">
      <c r="B5012" s="3"/>
      <c r="C5012" s="3"/>
      <c r="D5012" s="3"/>
      <c r="E5012" s="3" t="e">
        <f t="shared" si="162"/>
        <v>#N/A</v>
      </c>
      <c r="F5012" s="3" t="e">
        <f t="shared" si="163"/>
        <v>#N/A</v>
      </c>
    </row>
    <row r="5013" spans="2:6" x14ac:dyDescent="0.25">
      <c r="B5013" s="3"/>
      <c r="C5013" s="3"/>
      <c r="D5013" s="3"/>
      <c r="E5013" s="3" t="e">
        <f t="shared" si="162"/>
        <v>#N/A</v>
      </c>
      <c r="F5013" s="3" t="e">
        <f t="shared" si="163"/>
        <v>#N/A</v>
      </c>
    </row>
    <row r="5014" spans="2:6" x14ac:dyDescent="0.25">
      <c r="B5014" s="3"/>
      <c r="C5014" s="3"/>
      <c r="D5014" s="3"/>
      <c r="E5014" s="3" t="e">
        <f t="shared" si="162"/>
        <v>#N/A</v>
      </c>
      <c r="F5014" s="3" t="e">
        <f t="shared" si="163"/>
        <v>#N/A</v>
      </c>
    </row>
    <row r="5015" spans="2:6" x14ac:dyDescent="0.25">
      <c r="B5015" s="3"/>
      <c r="C5015" s="3"/>
      <c r="D5015" s="3"/>
      <c r="E5015" s="3" t="e">
        <f t="shared" si="162"/>
        <v>#N/A</v>
      </c>
      <c r="F5015" s="3" t="e">
        <f t="shared" si="163"/>
        <v>#N/A</v>
      </c>
    </row>
    <row r="5016" spans="2:6" x14ac:dyDescent="0.25">
      <c r="B5016" s="3"/>
      <c r="C5016" s="3"/>
      <c r="D5016" s="3"/>
      <c r="E5016" s="3" t="e">
        <f t="shared" si="162"/>
        <v>#N/A</v>
      </c>
      <c r="F5016" s="3" t="e">
        <f t="shared" si="163"/>
        <v>#N/A</v>
      </c>
    </row>
    <row r="5017" spans="2:6" x14ac:dyDescent="0.25">
      <c r="B5017" s="3"/>
      <c r="C5017" s="3"/>
      <c r="D5017" s="3"/>
      <c r="E5017" s="3" t="e">
        <f t="shared" si="162"/>
        <v>#N/A</v>
      </c>
      <c r="F5017" s="3" t="e">
        <f t="shared" si="163"/>
        <v>#N/A</v>
      </c>
    </row>
    <row r="5018" spans="2:6" x14ac:dyDescent="0.25">
      <c r="B5018" s="3"/>
      <c r="C5018" s="3"/>
      <c r="D5018" s="3"/>
      <c r="E5018" s="3" t="e">
        <f t="shared" si="162"/>
        <v>#N/A</v>
      </c>
      <c r="F5018" s="3" t="e">
        <f t="shared" si="163"/>
        <v>#N/A</v>
      </c>
    </row>
    <row r="5019" spans="2:6" x14ac:dyDescent="0.25">
      <c r="B5019" s="3"/>
      <c r="C5019" s="3"/>
      <c r="D5019" s="3"/>
      <c r="E5019" s="3" t="e">
        <f t="shared" si="162"/>
        <v>#N/A</v>
      </c>
      <c r="F5019" s="3" t="e">
        <f t="shared" si="163"/>
        <v>#N/A</v>
      </c>
    </row>
    <row r="5020" spans="2:6" x14ac:dyDescent="0.25">
      <c r="B5020" s="3"/>
      <c r="C5020" s="3"/>
      <c r="D5020" s="3"/>
      <c r="E5020" s="3" t="e">
        <f t="shared" si="162"/>
        <v>#N/A</v>
      </c>
      <c r="F5020" s="3" t="e">
        <f t="shared" si="163"/>
        <v>#N/A</v>
      </c>
    </row>
    <row r="5021" spans="2:6" x14ac:dyDescent="0.25">
      <c r="B5021" s="3"/>
      <c r="C5021" s="3"/>
      <c r="D5021" s="3"/>
      <c r="E5021" s="3" t="e">
        <f t="shared" si="162"/>
        <v>#N/A</v>
      </c>
      <c r="F5021" s="3" t="e">
        <f t="shared" si="163"/>
        <v>#N/A</v>
      </c>
    </row>
    <row r="5022" spans="2:6" x14ac:dyDescent="0.25">
      <c r="B5022" s="3"/>
      <c r="C5022" s="3"/>
      <c r="D5022" s="3"/>
      <c r="E5022" s="3" t="e">
        <f t="shared" si="162"/>
        <v>#N/A</v>
      </c>
      <c r="F5022" s="3" t="e">
        <f t="shared" si="163"/>
        <v>#N/A</v>
      </c>
    </row>
    <row r="5023" spans="2:6" x14ac:dyDescent="0.25">
      <c r="B5023" s="3"/>
      <c r="C5023" s="3"/>
      <c r="D5023" s="3"/>
      <c r="E5023" s="3" t="e">
        <f t="shared" si="162"/>
        <v>#N/A</v>
      </c>
      <c r="F5023" s="3" t="e">
        <f t="shared" si="163"/>
        <v>#N/A</v>
      </c>
    </row>
    <row r="5024" spans="2:6" x14ac:dyDescent="0.25">
      <c r="B5024" s="3"/>
      <c r="C5024" s="3"/>
      <c r="D5024" s="3"/>
      <c r="E5024" s="3" t="e">
        <f t="shared" si="162"/>
        <v>#N/A</v>
      </c>
      <c r="F5024" s="3" t="e">
        <f t="shared" si="163"/>
        <v>#N/A</v>
      </c>
    </row>
    <row r="5025" spans="2:6" x14ac:dyDescent="0.25">
      <c r="B5025" s="3"/>
      <c r="C5025" s="3"/>
      <c r="D5025" s="3"/>
      <c r="E5025" s="3" t="e">
        <f t="shared" si="162"/>
        <v>#N/A</v>
      </c>
      <c r="F5025" s="3" t="e">
        <f t="shared" si="163"/>
        <v>#N/A</v>
      </c>
    </row>
    <row r="5026" spans="2:6" x14ac:dyDescent="0.25">
      <c r="B5026" s="3"/>
      <c r="C5026" s="3"/>
      <c r="D5026" s="3"/>
      <c r="E5026" s="3" t="e">
        <f t="shared" si="162"/>
        <v>#N/A</v>
      </c>
      <c r="F5026" s="3" t="e">
        <f t="shared" si="163"/>
        <v>#N/A</v>
      </c>
    </row>
    <row r="5027" spans="2:6" x14ac:dyDescent="0.25">
      <c r="B5027" s="3"/>
      <c r="C5027" s="3"/>
      <c r="D5027" s="3"/>
      <c r="E5027" s="3" t="e">
        <f t="shared" si="162"/>
        <v>#N/A</v>
      </c>
      <c r="F5027" s="3" t="e">
        <f t="shared" si="163"/>
        <v>#N/A</v>
      </c>
    </row>
    <row r="5028" spans="2:6" x14ac:dyDescent="0.25">
      <c r="B5028" s="3"/>
      <c r="C5028" s="3"/>
      <c r="D5028" s="3"/>
      <c r="E5028" s="3" t="e">
        <f t="shared" si="162"/>
        <v>#N/A</v>
      </c>
      <c r="F5028" s="3" t="e">
        <f t="shared" si="163"/>
        <v>#N/A</v>
      </c>
    </row>
    <row r="5029" spans="2:6" x14ac:dyDescent="0.25">
      <c r="B5029" s="3"/>
      <c r="C5029" s="3"/>
      <c r="D5029" s="3"/>
      <c r="E5029" s="3" t="e">
        <f t="shared" si="162"/>
        <v>#N/A</v>
      </c>
      <c r="F5029" s="3" t="e">
        <f t="shared" si="163"/>
        <v>#N/A</v>
      </c>
    </row>
    <row r="5030" spans="2:6" x14ac:dyDescent="0.25">
      <c r="B5030" s="3"/>
      <c r="C5030" s="3"/>
      <c r="D5030" s="3"/>
      <c r="E5030" s="3" t="e">
        <f t="shared" si="162"/>
        <v>#N/A</v>
      </c>
      <c r="F5030" s="3" t="e">
        <f t="shared" si="163"/>
        <v>#N/A</v>
      </c>
    </row>
    <row r="5031" spans="2:6" x14ac:dyDescent="0.25">
      <c r="B5031" s="3"/>
      <c r="C5031" s="3"/>
      <c r="D5031" s="3"/>
      <c r="E5031" s="3" t="e">
        <f t="shared" si="162"/>
        <v>#N/A</v>
      </c>
      <c r="F5031" s="3" t="e">
        <f t="shared" si="163"/>
        <v>#N/A</v>
      </c>
    </row>
    <row r="5032" spans="2:6" x14ac:dyDescent="0.25">
      <c r="B5032" s="3"/>
      <c r="C5032" s="3"/>
      <c r="D5032" s="3"/>
      <c r="E5032" s="3" t="e">
        <f t="shared" si="162"/>
        <v>#N/A</v>
      </c>
      <c r="F5032" s="3" t="e">
        <f t="shared" si="163"/>
        <v>#N/A</v>
      </c>
    </row>
    <row r="5033" spans="2:6" x14ac:dyDescent="0.25">
      <c r="B5033" s="3"/>
      <c r="C5033" s="3"/>
      <c r="D5033" s="3"/>
      <c r="E5033" s="3" t="e">
        <f t="shared" si="162"/>
        <v>#N/A</v>
      </c>
      <c r="F5033" s="3" t="e">
        <f t="shared" si="163"/>
        <v>#N/A</v>
      </c>
    </row>
    <row r="5034" spans="2:6" x14ac:dyDescent="0.25">
      <c r="B5034" s="3"/>
      <c r="C5034" s="3"/>
      <c r="D5034" s="3"/>
      <c r="E5034" s="3" t="e">
        <f t="shared" si="162"/>
        <v>#N/A</v>
      </c>
      <c r="F5034" s="3" t="e">
        <f t="shared" si="163"/>
        <v>#N/A</v>
      </c>
    </row>
    <row r="5035" spans="2:6" x14ac:dyDescent="0.25">
      <c r="B5035" s="3"/>
      <c r="C5035" s="3"/>
      <c r="D5035" s="3"/>
      <c r="E5035" s="3" t="e">
        <f t="shared" si="162"/>
        <v>#N/A</v>
      </c>
      <c r="F5035" s="3" t="e">
        <f t="shared" si="163"/>
        <v>#N/A</v>
      </c>
    </row>
    <row r="5036" spans="2:6" x14ac:dyDescent="0.25">
      <c r="B5036" s="3"/>
      <c r="C5036" s="3"/>
      <c r="D5036" s="3"/>
      <c r="E5036" s="3" t="e">
        <f t="shared" si="162"/>
        <v>#N/A</v>
      </c>
      <c r="F5036" s="3" t="e">
        <f t="shared" si="163"/>
        <v>#N/A</v>
      </c>
    </row>
    <row r="5037" spans="2:6" x14ac:dyDescent="0.25">
      <c r="B5037" s="3"/>
      <c r="C5037" s="3"/>
      <c r="D5037" s="3"/>
      <c r="E5037" s="3" t="e">
        <f t="shared" si="162"/>
        <v>#N/A</v>
      </c>
      <c r="F5037" s="3" t="e">
        <f t="shared" si="163"/>
        <v>#N/A</v>
      </c>
    </row>
    <row r="5038" spans="2:6" x14ac:dyDescent="0.25">
      <c r="B5038" s="3"/>
      <c r="C5038" s="3"/>
      <c r="D5038" s="3"/>
      <c r="E5038" s="3" t="e">
        <f t="shared" si="162"/>
        <v>#N/A</v>
      </c>
      <c r="F5038" s="3" t="e">
        <f t="shared" si="163"/>
        <v>#N/A</v>
      </c>
    </row>
    <row r="5039" spans="2:6" x14ac:dyDescent="0.25">
      <c r="B5039" s="3"/>
      <c r="C5039" s="3"/>
      <c r="D5039" s="3"/>
      <c r="E5039" s="3" t="e">
        <f t="shared" si="162"/>
        <v>#N/A</v>
      </c>
      <c r="F5039" s="3" t="e">
        <f t="shared" si="163"/>
        <v>#N/A</v>
      </c>
    </row>
    <row r="5040" spans="2:6" x14ac:dyDescent="0.25">
      <c r="B5040" s="3"/>
      <c r="C5040" s="3"/>
      <c r="D5040" s="3"/>
      <c r="E5040" s="3" t="e">
        <f t="shared" si="162"/>
        <v>#N/A</v>
      </c>
      <c r="F5040" s="3" t="e">
        <f t="shared" si="163"/>
        <v>#N/A</v>
      </c>
    </row>
    <row r="5041" spans="2:6" x14ac:dyDescent="0.25">
      <c r="B5041" s="3"/>
      <c r="C5041" s="3"/>
      <c r="D5041" s="3"/>
      <c r="E5041" s="3" t="e">
        <f t="shared" si="162"/>
        <v>#N/A</v>
      </c>
      <c r="F5041" s="3" t="e">
        <f t="shared" si="163"/>
        <v>#N/A</v>
      </c>
    </row>
    <row r="5042" spans="2:6" x14ac:dyDescent="0.25">
      <c r="B5042" s="3"/>
      <c r="C5042" s="3"/>
      <c r="D5042" s="3"/>
      <c r="E5042" s="3" t="e">
        <f t="shared" si="162"/>
        <v>#N/A</v>
      </c>
      <c r="F5042" s="3" t="e">
        <f t="shared" si="163"/>
        <v>#N/A</v>
      </c>
    </row>
    <row r="5043" spans="2:6" x14ac:dyDescent="0.25">
      <c r="B5043" s="3"/>
      <c r="C5043" s="3"/>
      <c r="D5043" s="3"/>
      <c r="E5043" s="3" t="e">
        <f t="shared" si="162"/>
        <v>#N/A</v>
      </c>
      <c r="F5043" s="3" t="e">
        <f t="shared" si="163"/>
        <v>#N/A</v>
      </c>
    </row>
    <row r="5044" spans="2:6" x14ac:dyDescent="0.25">
      <c r="B5044" s="3"/>
      <c r="C5044" s="3"/>
      <c r="D5044" s="3"/>
      <c r="E5044" s="3" t="e">
        <f t="shared" si="162"/>
        <v>#N/A</v>
      </c>
      <c r="F5044" s="3" t="e">
        <f t="shared" si="163"/>
        <v>#N/A</v>
      </c>
    </row>
    <row r="5045" spans="2:6" x14ac:dyDescent="0.25">
      <c r="B5045" s="3"/>
      <c r="C5045" s="3"/>
      <c r="D5045" s="3"/>
      <c r="E5045" s="3" t="e">
        <f t="shared" si="162"/>
        <v>#N/A</v>
      </c>
      <c r="F5045" s="3" t="e">
        <f t="shared" si="163"/>
        <v>#N/A</v>
      </c>
    </row>
    <row r="5046" spans="2:6" x14ac:dyDescent="0.25">
      <c r="B5046" s="3"/>
      <c r="C5046" s="3"/>
      <c r="D5046" s="3"/>
      <c r="E5046" s="3" t="e">
        <f t="shared" si="162"/>
        <v>#N/A</v>
      </c>
      <c r="F5046" s="3" t="e">
        <f t="shared" si="163"/>
        <v>#N/A</v>
      </c>
    </row>
    <row r="5047" spans="2:6" x14ac:dyDescent="0.25">
      <c r="B5047" s="3"/>
      <c r="C5047" s="3"/>
      <c r="D5047" s="3"/>
      <c r="E5047" s="3" t="e">
        <f t="shared" si="162"/>
        <v>#N/A</v>
      </c>
      <c r="F5047" s="3" t="e">
        <f t="shared" si="163"/>
        <v>#N/A</v>
      </c>
    </row>
    <row r="5048" spans="2:6" x14ac:dyDescent="0.25">
      <c r="B5048" s="3"/>
      <c r="C5048" s="3"/>
      <c r="D5048" s="3"/>
      <c r="E5048" s="3" t="e">
        <f t="shared" si="162"/>
        <v>#N/A</v>
      </c>
      <c r="F5048" s="3" t="e">
        <f t="shared" si="163"/>
        <v>#N/A</v>
      </c>
    </row>
    <row r="5049" spans="2:6" x14ac:dyDescent="0.25">
      <c r="B5049" s="3"/>
      <c r="C5049" s="3"/>
      <c r="D5049" s="3"/>
      <c r="E5049" s="3" t="e">
        <f t="shared" si="162"/>
        <v>#N/A</v>
      </c>
      <c r="F5049" s="3" t="e">
        <f t="shared" si="163"/>
        <v>#N/A</v>
      </c>
    </row>
    <row r="5050" spans="2:6" x14ac:dyDescent="0.25">
      <c r="B5050" s="3"/>
      <c r="C5050" s="3"/>
      <c r="D5050" s="3"/>
      <c r="E5050" s="3" t="e">
        <f t="shared" si="162"/>
        <v>#N/A</v>
      </c>
      <c r="F5050" s="3" t="e">
        <f t="shared" si="163"/>
        <v>#N/A</v>
      </c>
    </row>
    <row r="5051" spans="2:6" x14ac:dyDescent="0.25">
      <c r="B5051" s="3"/>
      <c r="C5051" s="3"/>
      <c r="D5051" s="3"/>
      <c r="E5051" s="3" t="e">
        <f t="shared" si="162"/>
        <v>#N/A</v>
      </c>
      <c r="F5051" s="3" t="e">
        <f t="shared" si="163"/>
        <v>#N/A</v>
      </c>
    </row>
    <row r="5052" spans="2:6" x14ac:dyDescent="0.25">
      <c r="B5052" s="3"/>
      <c r="C5052" s="3"/>
      <c r="D5052" s="3"/>
      <c r="E5052" s="3" t="e">
        <f t="shared" si="162"/>
        <v>#N/A</v>
      </c>
      <c r="F5052" s="3" t="e">
        <f t="shared" si="163"/>
        <v>#N/A</v>
      </c>
    </row>
    <row r="5053" spans="2:6" x14ac:dyDescent="0.25">
      <c r="B5053" s="3"/>
      <c r="C5053" s="3"/>
      <c r="D5053" s="3"/>
      <c r="E5053" s="3" t="e">
        <f t="shared" si="162"/>
        <v>#N/A</v>
      </c>
      <c r="F5053" s="3" t="e">
        <f t="shared" si="163"/>
        <v>#N/A</v>
      </c>
    </row>
    <row r="5054" spans="2:6" x14ac:dyDescent="0.25">
      <c r="B5054" s="3"/>
      <c r="C5054" s="3"/>
      <c r="D5054" s="3"/>
      <c r="E5054" s="3" t="e">
        <f t="shared" si="162"/>
        <v>#N/A</v>
      </c>
      <c r="F5054" s="3" t="e">
        <f t="shared" si="163"/>
        <v>#N/A</v>
      </c>
    </row>
    <row r="5055" spans="2:6" x14ac:dyDescent="0.25">
      <c r="B5055" s="3"/>
      <c r="C5055" s="3"/>
      <c r="D5055" s="3"/>
      <c r="E5055" s="3" t="e">
        <f t="shared" si="162"/>
        <v>#N/A</v>
      </c>
      <c r="F5055" s="3" t="e">
        <f t="shared" si="163"/>
        <v>#N/A</v>
      </c>
    </row>
    <row r="5056" spans="2:6" x14ac:dyDescent="0.25">
      <c r="B5056" s="3"/>
      <c r="C5056" s="3"/>
      <c r="D5056" s="3"/>
      <c r="E5056" s="3" t="e">
        <f t="shared" si="162"/>
        <v>#N/A</v>
      </c>
      <c r="F5056" s="3" t="e">
        <f t="shared" si="163"/>
        <v>#N/A</v>
      </c>
    </row>
    <row r="5057" spans="2:6" x14ac:dyDescent="0.25">
      <c r="B5057" s="3"/>
      <c r="C5057" s="3"/>
      <c r="D5057" s="3"/>
      <c r="E5057" s="3" t="e">
        <f t="shared" si="162"/>
        <v>#N/A</v>
      </c>
      <c r="F5057" s="3" t="e">
        <f t="shared" si="163"/>
        <v>#N/A</v>
      </c>
    </row>
    <row r="5058" spans="2:6" x14ac:dyDescent="0.25">
      <c r="B5058" s="3"/>
      <c r="C5058" s="3"/>
      <c r="D5058" s="3"/>
      <c r="E5058" s="3" t="e">
        <f t="shared" si="162"/>
        <v>#N/A</v>
      </c>
      <c r="F5058" s="3" t="e">
        <f t="shared" si="163"/>
        <v>#N/A</v>
      </c>
    </row>
    <row r="5059" spans="2:6" x14ac:dyDescent="0.25">
      <c r="B5059" s="3"/>
      <c r="C5059" s="3"/>
      <c r="D5059" s="3"/>
      <c r="E5059" s="3" t="e">
        <f t="shared" si="162"/>
        <v>#N/A</v>
      </c>
      <c r="F5059" s="3" t="e">
        <f t="shared" si="163"/>
        <v>#N/A</v>
      </c>
    </row>
    <row r="5060" spans="2:6" x14ac:dyDescent="0.25">
      <c r="B5060" s="3"/>
      <c r="C5060" s="3"/>
      <c r="D5060" s="3"/>
      <c r="E5060" s="3" t="e">
        <f t="shared" si="162"/>
        <v>#N/A</v>
      </c>
      <c r="F5060" s="3" t="e">
        <f t="shared" si="163"/>
        <v>#N/A</v>
      </c>
    </row>
    <row r="5061" spans="2:6" x14ac:dyDescent="0.25">
      <c r="B5061" s="3"/>
      <c r="C5061" s="3"/>
      <c r="D5061" s="3"/>
      <c r="E5061" s="3" t="e">
        <f t="shared" si="162"/>
        <v>#N/A</v>
      </c>
      <c r="F5061" s="3" t="e">
        <f t="shared" si="163"/>
        <v>#N/A</v>
      </c>
    </row>
    <row r="5062" spans="2:6" x14ac:dyDescent="0.25">
      <c r="B5062" s="3"/>
      <c r="C5062" s="3"/>
      <c r="D5062" s="3"/>
      <c r="E5062" s="3" t="e">
        <f t="shared" si="162"/>
        <v>#N/A</v>
      </c>
      <c r="F5062" s="3" t="e">
        <f t="shared" si="163"/>
        <v>#N/A</v>
      </c>
    </row>
    <row r="5063" spans="2:6" x14ac:dyDescent="0.25">
      <c r="B5063" s="3"/>
      <c r="C5063" s="3"/>
      <c r="D5063" s="3"/>
      <c r="E5063" s="3" t="e">
        <f t="shared" si="162"/>
        <v>#N/A</v>
      </c>
      <c r="F5063" s="3" t="e">
        <f t="shared" si="163"/>
        <v>#N/A</v>
      </c>
    </row>
    <row r="5064" spans="2:6" x14ac:dyDescent="0.25">
      <c r="B5064" s="3"/>
      <c r="C5064" s="3"/>
      <c r="D5064" s="3"/>
      <c r="E5064" s="3" t="e">
        <f t="shared" si="162"/>
        <v>#N/A</v>
      </c>
      <c r="F5064" s="3" t="e">
        <f t="shared" si="163"/>
        <v>#N/A</v>
      </c>
    </row>
    <row r="5065" spans="2:6" x14ac:dyDescent="0.25">
      <c r="B5065" s="3"/>
      <c r="C5065" s="3"/>
      <c r="D5065" s="3"/>
      <c r="E5065" s="3" t="e">
        <f t="shared" si="162"/>
        <v>#N/A</v>
      </c>
      <c r="F5065" s="3" t="e">
        <f t="shared" si="163"/>
        <v>#N/A</v>
      </c>
    </row>
    <row r="5066" spans="2:6" x14ac:dyDescent="0.25">
      <c r="B5066" s="3"/>
      <c r="C5066" s="3"/>
      <c r="D5066" s="3"/>
      <c r="E5066" s="3" t="e">
        <f t="shared" si="162"/>
        <v>#N/A</v>
      </c>
      <c r="F5066" s="3" t="e">
        <f t="shared" si="163"/>
        <v>#N/A</v>
      </c>
    </row>
    <row r="5067" spans="2:6" x14ac:dyDescent="0.25">
      <c r="B5067" s="3"/>
      <c r="C5067" s="3"/>
      <c r="D5067" s="3"/>
      <c r="E5067" s="3" t="e">
        <f t="shared" si="162"/>
        <v>#N/A</v>
      </c>
      <c r="F5067" s="3" t="e">
        <f t="shared" si="163"/>
        <v>#N/A</v>
      </c>
    </row>
    <row r="5068" spans="2:6" x14ac:dyDescent="0.25">
      <c r="B5068" s="3"/>
      <c r="C5068" s="3"/>
      <c r="D5068" s="3"/>
      <c r="E5068" s="3" t="e">
        <f t="shared" si="162"/>
        <v>#N/A</v>
      </c>
      <c r="F5068" s="3" t="e">
        <f t="shared" si="163"/>
        <v>#N/A</v>
      </c>
    </row>
    <row r="5069" spans="2:6" x14ac:dyDescent="0.25">
      <c r="B5069" s="3"/>
      <c r="C5069" s="3"/>
      <c r="D5069" s="3"/>
      <c r="E5069" s="3" t="e">
        <f t="shared" si="162"/>
        <v>#N/A</v>
      </c>
      <c r="F5069" s="3" t="e">
        <f t="shared" si="163"/>
        <v>#N/A</v>
      </c>
    </row>
    <row r="5070" spans="2:6" x14ac:dyDescent="0.25">
      <c r="B5070" s="3"/>
      <c r="C5070" s="3"/>
      <c r="D5070" s="3"/>
      <c r="E5070" s="3" t="e">
        <f t="shared" ref="E5070:E5133" si="164">VLOOKUP(C5070,I:J,2,0)</f>
        <v>#N/A</v>
      </c>
      <c r="F5070" s="3" t="e">
        <f t="shared" ref="F5070:F5133" si="165">E5070&amp;" "&amp;B5070</f>
        <v>#N/A</v>
      </c>
    </row>
    <row r="5071" spans="2:6" x14ac:dyDescent="0.25">
      <c r="B5071" s="3"/>
      <c r="C5071" s="3"/>
      <c r="D5071" s="3"/>
      <c r="E5071" s="3" t="e">
        <f t="shared" si="164"/>
        <v>#N/A</v>
      </c>
      <c r="F5071" s="3" t="e">
        <f t="shared" si="165"/>
        <v>#N/A</v>
      </c>
    </row>
    <row r="5072" spans="2:6" x14ac:dyDescent="0.25">
      <c r="B5072" s="3"/>
      <c r="C5072" s="3"/>
      <c r="D5072" s="3"/>
      <c r="E5072" s="3" t="e">
        <f t="shared" si="164"/>
        <v>#N/A</v>
      </c>
      <c r="F5072" s="3" t="e">
        <f t="shared" si="165"/>
        <v>#N/A</v>
      </c>
    </row>
    <row r="5073" spans="2:6" x14ac:dyDescent="0.25">
      <c r="B5073" s="3"/>
      <c r="C5073" s="3"/>
      <c r="D5073" s="3"/>
      <c r="E5073" s="3" t="e">
        <f t="shared" si="164"/>
        <v>#N/A</v>
      </c>
      <c r="F5073" s="3" t="e">
        <f t="shared" si="165"/>
        <v>#N/A</v>
      </c>
    </row>
    <row r="5074" spans="2:6" x14ac:dyDescent="0.25">
      <c r="B5074" s="3"/>
      <c r="C5074" s="3"/>
      <c r="D5074" s="3"/>
      <c r="E5074" s="3" t="e">
        <f t="shared" si="164"/>
        <v>#N/A</v>
      </c>
      <c r="F5074" s="3" t="e">
        <f t="shared" si="165"/>
        <v>#N/A</v>
      </c>
    </row>
    <row r="5075" spans="2:6" x14ac:dyDescent="0.25">
      <c r="B5075" s="3"/>
      <c r="C5075" s="3"/>
      <c r="D5075" s="3"/>
      <c r="E5075" s="3" t="e">
        <f t="shared" si="164"/>
        <v>#N/A</v>
      </c>
      <c r="F5075" s="3" t="e">
        <f t="shared" si="165"/>
        <v>#N/A</v>
      </c>
    </row>
    <row r="5076" spans="2:6" x14ac:dyDescent="0.25">
      <c r="B5076" s="3"/>
      <c r="C5076" s="3"/>
      <c r="D5076" s="3"/>
      <c r="E5076" s="3" t="e">
        <f t="shared" si="164"/>
        <v>#N/A</v>
      </c>
      <c r="F5076" s="3" t="e">
        <f t="shared" si="165"/>
        <v>#N/A</v>
      </c>
    </row>
    <row r="5077" spans="2:6" x14ac:dyDescent="0.25">
      <c r="B5077" s="3"/>
      <c r="C5077" s="3"/>
      <c r="D5077" s="3"/>
      <c r="E5077" s="3" t="e">
        <f t="shared" si="164"/>
        <v>#N/A</v>
      </c>
      <c r="F5077" s="3" t="e">
        <f t="shared" si="165"/>
        <v>#N/A</v>
      </c>
    </row>
    <row r="5078" spans="2:6" x14ac:dyDescent="0.25">
      <c r="B5078" s="3"/>
      <c r="C5078" s="3"/>
      <c r="D5078" s="3"/>
      <c r="E5078" s="3" t="e">
        <f t="shared" si="164"/>
        <v>#N/A</v>
      </c>
      <c r="F5078" s="3" t="e">
        <f t="shared" si="165"/>
        <v>#N/A</v>
      </c>
    </row>
    <row r="5079" spans="2:6" x14ac:dyDescent="0.25">
      <c r="B5079" s="3"/>
      <c r="C5079" s="3"/>
      <c r="D5079" s="3"/>
      <c r="E5079" s="3" t="e">
        <f t="shared" si="164"/>
        <v>#N/A</v>
      </c>
      <c r="F5079" s="3" t="e">
        <f t="shared" si="165"/>
        <v>#N/A</v>
      </c>
    </row>
    <row r="5080" spans="2:6" x14ac:dyDescent="0.25">
      <c r="B5080" s="3"/>
      <c r="C5080" s="3"/>
      <c r="D5080" s="3"/>
      <c r="E5080" s="3" t="e">
        <f t="shared" si="164"/>
        <v>#N/A</v>
      </c>
      <c r="F5080" s="3" t="e">
        <f t="shared" si="165"/>
        <v>#N/A</v>
      </c>
    </row>
    <row r="5081" spans="2:6" x14ac:dyDescent="0.25">
      <c r="B5081" s="3"/>
      <c r="C5081" s="3"/>
      <c r="D5081" s="3"/>
      <c r="E5081" s="3" t="e">
        <f t="shared" si="164"/>
        <v>#N/A</v>
      </c>
      <c r="F5081" s="3" t="e">
        <f t="shared" si="165"/>
        <v>#N/A</v>
      </c>
    </row>
    <row r="5082" spans="2:6" x14ac:dyDescent="0.25">
      <c r="B5082" s="3"/>
      <c r="C5082" s="3"/>
      <c r="D5082" s="3"/>
      <c r="E5082" s="3" t="e">
        <f t="shared" si="164"/>
        <v>#N/A</v>
      </c>
      <c r="F5082" s="3" t="e">
        <f t="shared" si="165"/>
        <v>#N/A</v>
      </c>
    </row>
    <row r="5083" spans="2:6" x14ac:dyDescent="0.25">
      <c r="B5083" s="3"/>
      <c r="C5083" s="3"/>
      <c r="D5083" s="3"/>
      <c r="E5083" s="3" t="e">
        <f t="shared" si="164"/>
        <v>#N/A</v>
      </c>
      <c r="F5083" s="3" t="e">
        <f t="shared" si="165"/>
        <v>#N/A</v>
      </c>
    </row>
    <row r="5084" spans="2:6" x14ac:dyDescent="0.25">
      <c r="B5084" s="3"/>
      <c r="C5084" s="3"/>
      <c r="D5084" s="3"/>
      <c r="E5084" s="3" t="e">
        <f t="shared" si="164"/>
        <v>#N/A</v>
      </c>
      <c r="F5084" s="3" t="e">
        <f t="shared" si="165"/>
        <v>#N/A</v>
      </c>
    </row>
    <row r="5085" spans="2:6" x14ac:dyDescent="0.25">
      <c r="B5085" s="3"/>
      <c r="C5085" s="3"/>
      <c r="D5085" s="3"/>
      <c r="E5085" s="3" t="e">
        <f t="shared" si="164"/>
        <v>#N/A</v>
      </c>
      <c r="F5085" s="3" t="e">
        <f t="shared" si="165"/>
        <v>#N/A</v>
      </c>
    </row>
    <row r="5086" spans="2:6" x14ac:dyDescent="0.25">
      <c r="B5086" s="3"/>
      <c r="C5086" s="3"/>
      <c r="D5086" s="3"/>
      <c r="E5086" s="3" t="e">
        <f t="shared" si="164"/>
        <v>#N/A</v>
      </c>
      <c r="F5086" s="3" t="e">
        <f t="shared" si="165"/>
        <v>#N/A</v>
      </c>
    </row>
    <row r="5087" spans="2:6" x14ac:dyDescent="0.25">
      <c r="B5087" s="3"/>
      <c r="C5087" s="3"/>
      <c r="D5087" s="3"/>
      <c r="E5087" s="3" t="e">
        <f t="shared" si="164"/>
        <v>#N/A</v>
      </c>
      <c r="F5087" s="3" t="e">
        <f t="shared" si="165"/>
        <v>#N/A</v>
      </c>
    </row>
    <row r="5088" spans="2:6" x14ac:dyDescent="0.25">
      <c r="B5088" s="3"/>
      <c r="C5088" s="3"/>
      <c r="D5088" s="3"/>
      <c r="E5088" s="3" t="e">
        <f t="shared" si="164"/>
        <v>#N/A</v>
      </c>
      <c r="F5088" s="3" t="e">
        <f t="shared" si="165"/>
        <v>#N/A</v>
      </c>
    </row>
    <row r="5089" spans="2:6" x14ac:dyDescent="0.25">
      <c r="B5089" s="3"/>
      <c r="C5089" s="3"/>
      <c r="D5089" s="3"/>
      <c r="E5089" s="3" t="e">
        <f t="shared" si="164"/>
        <v>#N/A</v>
      </c>
      <c r="F5089" s="3" t="e">
        <f t="shared" si="165"/>
        <v>#N/A</v>
      </c>
    </row>
    <row r="5090" spans="2:6" x14ac:dyDescent="0.25">
      <c r="B5090" s="3"/>
      <c r="C5090" s="3"/>
      <c r="D5090" s="3"/>
      <c r="E5090" s="3" t="e">
        <f t="shared" si="164"/>
        <v>#N/A</v>
      </c>
      <c r="F5090" s="3" t="e">
        <f t="shared" si="165"/>
        <v>#N/A</v>
      </c>
    </row>
    <row r="5091" spans="2:6" x14ac:dyDescent="0.25">
      <c r="B5091" s="3"/>
      <c r="C5091" s="3"/>
      <c r="D5091" s="3"/>
      <c r="E5091" s="3" t="e">
        <f t="shared" si="164"/>
        <v>#N/A</v>
      </c>
      <c r="F5091" s="3" t="e">
        <f t="shared" si="165"/>
        <v>#N/A</v>
      </c>
    </row>
    <row r="5092" spans="2:6" x14ac:dyDescent="0.25">
      <c r="B5092" s="3"/>
      <c r="C5092" s="3"/>
      <c r="D5092" s="3"/>
      <c r="E5092" s="3" t="e">
        <f t="shared" si="164"/>
        <v>#N/A</v>
      </c>
      <c r="F5092" s="3" t="e">
        <f t="shared" si="165"/>
        <v>#N/A</v>
      </c>
    </row>
    <row r="5093" spans="2:6" x14ac:dyDescent="0.25">
      <c r="B5093" s="3"/>
      <c r="C5093" s="3"/>
      <c r="D5093" s="3"/>
      <c r="E5093" s="3" t="e">
        <f t="shared" si="164"/>
        <v>#N/A</v>
      </c>
      <c r="F5093" s="3" t="e">
        <f t="shared" si="165"/>
        <v>#N/A</v>
      </c>
    </row>
    <row r="5094" spans="2:6" x14ac:dyDescent="0.25">
      <c r="B5094" s="3"/>
      <c r="C5094" s="3"/>
      <c r="D5094" s="3"/>
      <c r="E5094" s="3" t="e">
        <f t="shared" si="164"/>
        <v>#N/A</v>
      </c>
      <c r="F5094" s="3" t="e">
        <f t="shared" si="165"/>
        <v>#N/A</v>
      </c>
    </row>
    <row r="5095" spans="2:6" x14ac:dyDescent="0.25">
      <c r="B5095" s="3"/>
      <c r="C5095" s="3"/>
      <c r="D5095" s="3"/>
      <c r="E5095" s="3" t="e">
        <f t="shared" si="164"/>
        <v>#N/A</v>
      </c>
      <c r="F5095" s="3" t="e">
        <f t="shared" si="165"/>
        <v>#N/A</v>
      </c>
    </row>
    <row r="5096" spans="2:6" x14ac:dyDescent="0.25">
      <c r="B5096" s="3"/>
      <c r="C5096" s="3"/>
      <c r="D5096" s="3"/>
      <c r="E5096" s="3" t="e">
        <f t="shared" si="164"/>
        <v>#N/A</v>
      </c>
      <c r="F5096" s="3" t="e">
        <f t="shared" si="165"/>
        <v>#N/A</v>
      </c>
    </row>
    <row r="5097" spans="2:6" x14ac:dyDescent="0.25">
      <c r="B5097" s="3"/>
      <c r="C5097" s="3"/>
      <c r="D5097" s="3"/>
      <c r="E5097" s="3" t="e">
        <f t="shared" si="164"/>
        <v>#N/A</v>
      </c>
      <c r="F5097" s="3" t="e">
        <f t="shared" si="165"/>
        <v>#N/A</v>
      </c>
    </row>
    <row r="5098" spans="2:6" x14ac:dyDescent="0.25">
      <c r="B5098" s="3"/>
      <c r="C5098" s="3"/>
      <c r="D5098" s="3"/>
      <c r="E5098" s="3" t="e">
        <f t="shared" si="164"/>
        <v>#N/A</v>
      </c>
      <c r="F5098" s="3" t="e">
        <f t="shared" si="165"/>
        <v>#N/A</v>
      </c>
    </row>
    <row r="5099" spans="2:6" x14ac:dyDescent="0.25">
      <c r="B5099" s="3"/>
      <c r="C5099" s="3"/>
      <c r="D5099" s="3"/>
      <c r="E5099" s="3" t="e">
        <f t="shared" si="164"/>
        <v>#N/A</v>
      </c>
      <c r="F5099" s="3" t="e">
        <f t="shared" si="165"/>
        <v>#N/A</v>
      </c>
    </row>
    <row r="5100" spans="2:6" x14ac:dyDescent="0.25">
      <c r="B5100" s="3"/>
      <c r="C5100" s="3"/>
      <c r="D5100" s="3"/>
      <c r="E5100" s="3" t="e">
        <f t="shared" si="164"/>
        <v>#N/A</v>
      </c>
      <c r="F5100" s="3" t="e">
        <f t="shared" si="165"/>
        <v>#N/A</v>
      </c>
    </row>
    <row r="5101" spans="2:6" x14ac:dyDescent="0.25">
      <c r="B5101" s="3"/>
      <c r="C5101" s="3"/>
      <c r="D5101" s="3"/>
      <c r="E5101" s="3" t="e">
        <f t="shared" si="164"/>
        <v>#N/A</v>
      </c>
      <c r="F5101" s="3" t="e">
        <f t="shared" si="165"/>
        <v>#N/A</v>
      </c>
    </row>
    <row r="5102" spans="2:6" x14ac:dyDescent="0.25">
      <c r="B5102" s="3"/>
      <c r="C5102" s="3"/>
      <c r="D5102" s="3"/>
      <c r="E5102" s="3" t="e">
        <f t="shared" si="164"/>
        <v>#N/A</v>
      </c>
      <c r="F5102" s="3" t="e">
        <f t="shared" si="165"/>
        <v>#N/A</v>
      </c>
    </row>
    <row r="5103" spans="2:6" x14ac:dyDescent="0.25">
      <c r="B5103" s="3"/>
      <c r="C5103" s="3"/>
      <c r="D5103" s="3"/>
      <c r="E5103" s="3" t="e">
        <f t="shared" si="164"/>
        <v>#N/A</v>
      </c>
      <c r="F5103" s="3" t="e">
        <f t="shared" si="165"/>
        <v>#N/A</v>
      </c>
    </row>
    <row r="5104" spans="2:6" x14ac:dyDescent="0.25">
      <c r="B5104" s="3"/>
      <c r="C5104" s="3"/>
      <c r="D5104" s="3"/>
      <c r="E5104" s="3" t="e">
        <f t="shared" si="164"/>
        <v>#N/A</v>
      </c>
      <c r="F5104" s="3" t="e">
        <f t="shared" si="165"/>
        <v>#N/A</v>
      </c>
    </row>
    <row r="5105" spans="2:6" x14ac:dyDescent="0.25">
      <c r="B5105" s="3"/>
      <c r="C5105" s="3"/>
      <c r="D5105" s="3"/>
      <c r="E5105" s="3" t="e">
        <f t="shared" si="164"/>
        <v>#N/A</v>
      </c>
      <c r="F5105" s="3" t="e">
        <f t="shared" si="165"/>
        <v>#N/A</v>
      </c>
    </row>
    <row r="5106" spans="2:6" x14ac:dyDescent="0.25">
      <c r="B5106" s="3"/>
      <c r="C5106" s="3"/>
      <c r="D5106" s="3"/>
      <c r="E5106" s="3" t="e">
        <f t="shared" si="164"/>
        <v>#N/A</v>
      </c>
      <c r="F5106" s="3" t="e">
        <f t="shared" si="165"/>
        <v>#N/A</v>
      </c>
    </row>
    <row r="5107" spans="2:6" x14ac:dyDescent="0.25">
      <c r="B5107" s="3"/>
      <c r="C5107" s="3"/>
      <c r="D5107" s="3"/>
      <c r="E5107" s="3" t="e">
        <f t="shared" si="164"/>
        <v>#N/A</v>
      </c>
      <c r="F5107" s="3" t="e">
        <f t="shared" si="165"/>
        <v>#N/A</v>
      </c>
    </row>
    <row r="5108" spans="2:6" x14ac:dyDescent="0.25">
      <c r="B5108" s="3"/>
      <c r="C5108" s="3"/>
      <c r="D5108" s="3"/>
      <c r="E5108" s="3" t="e">
        <f t="shared" si="164"/>
        <v>#N/A</v>
      </c>
      <c r="F5108" s="3" t="e">
        <f t="shared" si="165"/>
        <v>#N/A</v>
      </c>
    </row>
    <row r="5109" spans="2:6" x14ac:dyDescent="0.25">
      <c r="B5109" s="3"/>
      <c r="C5109" s="3"/>
      <c r="D5109" s="3"/>
      <c r="E5109" s="3" t="e">
        <f t="shared" si="164"/>
        <v>#N/A</v>
      </c>
      <c r="F5109" s="3" t="e">
        <f t="shared" si="165"/>
        <v>#N/A</v>
      </c>
    </row>
    <row r="5110" spans="2:6" x14ac:dyDescent="0.25">
      <c r="B5110" s="3"/>
      <c r="C5110" s="3"/>
      <c r="D5110" s="3"/>
      <c r="E5110" s="3" t="e">
        <f t="shared" si="164"/>
        <v>#N/A</v>
      </c>
      <c r="F5110" s="3" t="e">
        <f t="shared" si="165"/>
        <v>#N/A</v>
      </c>
    </row>
    <row r="5111" spans="2:6" x14ac:dyDescent="0.25">
      <c r="B5111" s="3"/>
      <c r="C5111" s="3"/>
      <c r="D5111" s="3"/>
      <c r="E5111" s="3" t="e">
        <f t="shared" si="164"/>
        <v>#N/A</v>
      </c>
      <c r="F5111" s="3" t="e">
        <f t="shared" si="165"/>
        <v>#N/A</v>
      </c>
    </row>
    <row r="5112" spans="2:6" x14ac:dyDescent="0.25">
      <c r="B5112" s="3"/>
      <c r="C5112" s="3"/>
      <c r="D5112" s="3"/>
      <c r="E5112" s="3" t="e">
        <f t="shared" si="164"/>
        <v>#N/A</v>
      </c>
      <c r="F5112" s="3" t="e">
        <f t="shared" si="165"/>
        <v>#N/A</v>
      </c>
    </row>
    <row r="5113" spans="2:6" x14ac:dyDescent="0.25">
      <c r="B5113" s="3"/>
      <c r="C5113" s="3"/>
      <c r="D5113" s="3"/>
      <c r="E5113" s="3" t="e">
        <f t="shared" si="164"/>
        <v>#N/A</v>
      </c>
      <c r="F5113" s="3" t="e">
        <f t="shared" si="165"/>
        <v>#N/A</v>
      </c>
    </row>
    <row r="5114" spans="2:6" x14ac:dyDescent="0.25">
      <c r="B5114" s="3"/>
      <c r="C5114" s="3"/>
      <c r="D5114" s="3"/>
      <c r="E5114" s="3" t="e">
        <f t="shared" si="164"/>
        <v>#N/A</v>
      </c>
      <c r="F5114" s="3" t="e">
        <f t="shared" si="165"/>
        <v>#N/A</v>
      </c>
    </row>
    <row r="5115" spans="2:6" x14ac:dyDescent="0.25">
      <c r="B5115" s="3"/>
      <c r="C5115" s="3"/>
      <c r="D5115" s="3"/>
      <c r="E5115" s="3" t="e">
        <f t="shared" si="164"/>
        <v>#N/A</v>
      </c>
      <c r="F5115" s="3" t="e">
        <f t="shared" si="165"/>
        <v>#N/A</v>
      </c>
    </row>
    <row r="5116" spans="2:6" x14ac:dyDescent="0.25">
      <c r="B5116" s="3"/>
      <c r="C5116" s="3"/>
      <c r="D5116" s="3"/>
      <c r="E5116" s="3" t="e">
        <f t="shared" si="164"/>
        <v>#N/A</v>
      </c>
      <c r="F5116" s="3" t="e">
        <f t="shared" si="165"/>
        <v>#N/A</v>
      </c>
    </row>
    <row r="5117" spans="2:6" x14ac:dyDescent="0.25">
      <c r="B5117" s="3"/>
      <c r="C5117" s="3"/>
      <c r="D5117" s="3"/>
      <c r="E5117" s="3" t="e">
        <f t="shared" si="164"/>
        <v>#N/A</v>
      </c>
      <c r="F5117" s="3" t="e">
        <f t="shared" si="165"/>
        <v>#N/A</v>
      </c>
    </row>
    <row r="5118" spans="2:6" x14ac:dyDescent="0.25">
      <c r="B5118" s="3"/>
      <c r="C5118" s="3"/>
      <c r="D5118" s="3"/>
      <c r="E5118" s="3" t="e">
        <f t="shared" si="164"/>
        <v>#N/A</v>
      </c>
      <c r="F5118" s="3" t="e">
        <f t="shared" si="165"/>
        <v>#N/A</v>
      </c>
    </row>
    <row r="5119" spans="2:6" x14ac:dyDescent="0.25">
      <c r="B5119" s="3"/>
      <c r="C5119" s="3"/>
      <c r="D5119" s="3"/>
      <c r="E5119" s="3" t="e">
        <f t="shared" si="164"/>
        <v>#N/A</v>
      </c>
      <c r="F5119" s="3" t="e">
        <f t="shared" si="165"/>
        <v>#N/A</v>
      </c>
    </row>
    <row r="5120" spans="2:6" x14ac:dyDescent="0.25">
      <c r="B5120" s="3"/>
      <c r="C5120" s="3"/>
      <c r="D5120" s="3"/>
      <c r="E5120" s="3" t="e">
        <f t="shared" si="164"/>
        <v>#N/A</v>
      </c>
      <c r="F5120" s="3" t="e">
        <f t="shared" si="165"/>
        <v>#N/A</v>
      </c>
    </row>
    <row r="5121" spans="2:6" x14ac:dyDescent="0.25">
      <c r="B5121" s="3"/>
      <c r="C5121" s="3"/>
      <c r="D5121" s="3"/>
      <c r="E5121" s="3" t="e">
        <f t="shared" si="164"/>
        <v>#N/A</v>
      </c>
      <c r="F5121" s="3" t="e">
        <f t="shared" si="165"/>
        <v>#N/A</v>
      </c>
    </row>
    <row r="5122" spans="2:6" x14ac:dyDescent="0.25">
      <c r="B5122" s="3"/>
      <c r="C5122" s="3"/>
      <c r="D5122" s="3"/>
      <c r="E5122" s="3" t="e">
        <f t="shared" si="164"/>
        <v>#N/A</v>
      </c>
      <c r="F5122" s="3" t="e">
        <f t="shared" si="165"/>
        <v>#N/A</v>
      </c>
    </row>
    <row r="5123" spans="2:6" x14ac:dyDescent="0.25">
      <c r="B5123" s="3"/>
      <c r="C5123" s="3"/>
      <c r="D5123" s="3"/>
      <c r="E5123" s="3" t="e">
        <f t="shared" si="164"/>
        <v>#N/A</v>
      </c>
      <c r="F5123" s="3" t="e">
        <f t="shared" si="165"/>
        <v>#N/A</v>
      </c>
    </row>
    <row r="5124" spans="2:6" x14ac:dyDescent="0.25">
      <c r="B5124" s="3"/>
      <c r="C5124" s="3"/>
      <c r="D5124" s="3"/>
      <c r="E5124" s="3" t="e">
        <f t="shared" si="164"/>
        <v>#N/A</v>
      </c>
      <c r="F5124" s="3" t="e">
        <f t="shared" si="165"/>
        <v>#N/A</v>
      </c>
    </row>
    <row r="5125" spans="2:6" x14ac:dyDescent="0.25">
      <c r="B5125" s="3"/>
      <c r="C5125" s="3"/>
      <c r="D5125" s="3"/>
      <c r="E5125" s="3" t="e">
        <f t="shared" si="164"/>
        <v>#N/A</v>
      </c>
      <c r="F5125" s="3" t="e">
        <f t="shared" si="165"/>
        <v>#N/A</v>
      </c>
    </row>
    <row r="5126" spans="2:6" x14ac:dyDescent="0.25">
      <c r="B5126" s="3"/>
      <c r="C5126" s="3"/>
      <c r="D5126" s="3"/>
      <c r="E5126" s="3" t="e">
        <f t="shared" si="164"/>
        <v>#N/A</v>
      </c>
      <c r="F5126" s="3" t="e">
        <f t="shared" si="165"/>
        <v>#N/A</v>
      </c>
    </row>
    <row r="5127" spans="2:6" x14ac:dyDescent="0.25">
      <c r="B5127" s="3"/>
      <c r="C5127" s="3"/>
      <c r="D5127" s="3"/>
      <c r="E5127" s="3" t="e">
        <f t="shared" si="164"/>
        <v>#N/A</v>
      </c>
      <c r="F5127" s="3" t="e">
        <f t="shared" si="165"/>
        <v>#N/A</v>
      </c>
    </row>
    <row r="5128" spans="2:6" x14ac:dyDescent="0.25">
      <c r="B5128" s="3"/>
      <c r="C5128" s="3"/>
      <c r="D5128" s="3"/>
      <c r="E5128" s="3" t="e">
        <f t="shared" si="164"/>
        <v>#N/A</v>
      </c>
      <c r="F5128" s="3" t="e">
        <f t="shared" si="165"/>
        <v>#N/A</v>
      </c>
    </row>
    <row r="5129" spans="2:6" x14ac:dyDescent="0.25">
      <c r="B5129" s="3"/>
      <c r="C5129" s="3"/>
      <c r="D5129" s="3"/>
      <c r="E5129" s="3" t="e">
        <f t="shared" si="164"/>
        <v>#N/A</v>
      </c>
      <c r="F5129" s="3" t="e">
        <f t="shared" si="165"/>
        <v>#N/A</v>
      </c>
    </row>
    <row r="5130" spans="2:6" x14ac:dyDescent="0.25">
      <c r="B5130" s="3"/>
      <c r="C5130" s="3"/>
      <c r="D5130" s="3"/>
      <c r="E5130" s="3" t="e">
        <f t="shared" si="164"/>
        <v>#N/A</v>
      </c>
      <c r="F5130" s="3" t="e">
        <f t="shared" si="165"/>
        <v>#N/A</v>
      </c>
    </row>
    <row r="5131" spans="2:6" x14ac:dyDescent="0.25">
      <c r="B5131" s="3"/>
      <c r="C5131" s="3"/>
      <c r="D5131" s="3"/>
      <c r="E5131" s="3" t="e">
        <f t="shared" si="164"/>
        <v>#N/A</v>
      </c>
      <c r="F5131" s="3" t="e">
        <f t="shared" si="165"/>
        <v>#N/A</v>
      </c>
    </row>
    <row r="5132" spans="2:6" x14ac:dyDescent="0.25">
      <c r="B5132" s="3"/>
      <c r="C5132" s="3"/>
      <c r="D5132" s="3"/>
      <c r="E5132" s="3" t="e">
        <f t="shared" si="164"/>
        <v>#N/A</v>
      </c>
      <c r="F5132" s="3" t="e">
        <f t="shared" si="165"/>
        <v>#N/A</v>
      </c>
    </row>
    <row r="5133" spans="2:6" x14ac:dyDescent="0.25">
      <c r="B5133" s="3"/>
      <c r="C5133" s="3"/>
      <c r="D5133" s="3"/>
      <c r="E5133" s="3" t="e">
        <f t="shared" si="164"/>
        <v>#N/A</v>
      </c>
      <c r="F5133" s="3" t="e">
        <f t="shared" si="165"/>
        <v>#N/A</v>
      </c>
    </row>
    <row r="5134" spans="2:6" x14ac:dyDescent="0.25">
      <c r="B5134" s="3"/>
      <c r="C5134" s="3"/>
      <c r="D5134" s="3"/>
      <c r="E5134" s="3" t="e">
        <f t="shared" ref="E5134:E5197" si="166">VLOOKUP(C5134,I:J,2,0)</f>
        <v>#N/A</v>
      </c>
      <c r="F5134" s="3" t="e">
        <f t="shared" ref="F5134:F5197" si="167">E5134&amp;" "&amp;B5134</f>
        <v>#N/A</v>
      </c>
    </row>
    <row r="5135" spans="2:6" x14ac:dyDescent="0.25">
      <c r="B5135" s="3"/>
      <c r="C5135" s="3"/>
      <c r="D5135" s="3"/>
      <c r="E5135" s="3" t="e">
        <f t="shared" si="166"/>
        <v>#N/A</v>
      </c>
      <c r="F5135" s="3" t="e">
        <f t="shared" si="167"/>
        <v>#N/A</v>
      </c>
    </row>
    <row r="5136" spans="2:6" x14ac:dyDescent="0.25">
      <c r="B5136" s="3"/>
      <c r="C5136" s="3"/>
      <c r="D5136" s="3"/>
      <c r="E5136" s="3" t="e">
        <f t="shared" si="166"/>
        <v>#N/A</v>
      </c>
      <c r="F5136" s="3" t="e">
        <f t="shared" si="167"/>
        <v>#N/A</v>
      </c>
    </row>
    <row r="5137" spans="2:6" x14ac:dyDescent="0.25">
      <c r="B5137" s="3"/>
      <c r="C5137" s="3"/>
      <c r="D5137" s="3"/>
      <c r="E5137" s="3" t="e">
        <f t="shared" si="166"/>
        <v>#N/A</v>
      </c>
      <c r="F5137" s="3" t="e">
        <f t="shared" si="167"/>
        <v>#N/A</v>
      </c>
    </row>
    <row r="5138" spans="2:6" x14ac:dyDescent="0.25">
      <c r="B5138" s="3"/>
      <c r="C5138" s="3"/>
      <c r="D5138" s="3"/>
      <c r="E5138" s="3" t="e">
        <f t="shared" si="166"/>
        <v>#N/A</v>
      </c>
      <c r="F5138" s="3" t="e">
        <f t="shared" si="167"/>
        <v>#N/A</v>
      </c>
    </row>
    <row r="5139" spans="2:6" x14ac:dyDescent="0.25">
      <c r="B5139" s="3"/>
      <c r="C5139" s="3"/>
      <c r="D5139" s="3"/>
      <c r="E5139" s="3" t="e">
        <f t="shared" si="166"/>
        <v>#N/A</v>
      </c>
      <c r="F5139" s="3" t="e">
        <f t="shared" si="167"/>
        <v>#N/A</v>
      </c>
    </row>
    <row r="5140" spans="2:6" x14ac:dyDescent="0.25">
      <c r="B5140" s="3"/>
      <c r="C5140" s="3"/>
      <c r="D5140" s="3"/>
      <c r="E5140" s="3" t="e">
        <f t="shared" si="166"/>
        <v>#N/A</v>
      </c>
      <c r="F5140" s="3" t="e">
        <f t="shared" si="167"/>
        <v>#N/A</v>
      </c>
    </row>
    <row r="5141" spans="2:6" x14ac:dyDescent="0.25">
      <c r="B5141" s="3"/>
      <c r="C5141" s="3"/>
      <c r="D5141" s="3"/>
      <c r="E5141" s="3" t="e">
        <f t="shared" si="166"/>
        <v>#N/A</v>
      </c>
      <c r="F5141" s="3" t="e">
        <f t="shared" si="167"/>
        <v>#N/A</v>
      </c>
    </row>
    <row r="5142" spans="2:6" x14ac:dyDescent="0.25">
      <c r="B5142" s="3"/>
      <c r="C5142" s="3"/>
      <c r="D5142" s="3"/>
      <c r="E5142" s="3" t="e">
        <f t="shared" si="166"/>
        <v>#N/A</v>
      </c>
      <c r="F5142" s="3" t="e">
        <f t="shared" si="167"/>
        <v>#N/A</v>
      </c>
    </row>
    <row r="5143" spans="2:6" x14ac:dyDescent="0.25">
      <c r="B5143" s="3"/>
      <c r="C5143" s="3"/>
      <c r="D5143" s="3"/>
      <c r="E5143" s="3" t="e">
        <f t="shared" si="166"/>
        <v>#N/A</v>
      </c>
      <c r="F5143" s="3" t="e">
        <f t="shared" si="167"/>
        <v>#N/A</v>
      </c>
    </row>
    <row r="5144" spans="2:6" x14ac:dyDescent="0.25">
      <c r="B5144" s="3"/>
      <c r="C5144" s="3"/>
      <c r="D5144" s="3"/>
      <c r="E5144" s="3" t="e">
        <f t="shared" si="166"/>
        <v>#N/A</v>
      </c>
      <c r="F5144" s="3" t="e">
        <f t="shared" si="167"/>
        <v>#N/A</v>
      </c>
    </row>
    <row r="5145" spans="2:6" x14ac:dyDescent="0.25">
      <c r="B5145" s="3"/>
      <c r="C5145" s="3"/>
      <c r="D5145" s="3"/>
      <c r="E5145" s="3" t="e">
        <f t="shared" si="166"/>
        <v>#N/A</v>
      </c>
      <c r="F5145" s="3" t="e">
        <f t="shared" si="167"/>
        <v>#N/A</v>
      </c>
    </row>
    <row r="5146" spans="2:6" x14ac:dyDescent="0.25">
      <c r="B5146" s="3"/>
      <c r="C5146" s="3"/>
      <c r="D5146" s="3"/>
      <c r="E5146" s="3" t="e">
        <f t="shared" si="166"/>
        <v>#N/A</v>
      </c>
      <c r="F5146" s="3" t="e">
        <f t="shared" si="167"/>
        <v>#N/A</v>
      </c>
    </row>
    <row r="5147" spans="2:6" x14ac:dyDescent="0.25">
      <c r="B5147" s="3"/>
      <c r="C5147" s="3"/>
      <c r="D5147" s="3"/>
      <c r="E5147" s="3" t="e">
        <f t="shared" si="166"/>
        <v>#N/A</v>
      </c>
      <c r="F5147" s="3" t="e">
        <f t="shared" si="167"/>
        <v>#N/A</v>
      </c>
    </row>
    <row r="5148" spans="2:6" x14ac:dyDescent="0.25">
      <c r="B5148" s="3"/>
      <c r="C5148" s="3"/>
      <c r="D5148" s="3"/>
      <c r="E5148" s="3" t="e">
        <f t="shared" si="166"/>
        <v>#N/A</v>
      </c>
      <c r="F5148" s="3" t="e">
        <f t="shared" si="167"/>
        <v>#N/A</v>
      </c>
    </row>
    <row r="5149" spans="2:6" x14ac:dyDescent="0.25">
      <c r="B5149" s="3"/>
      <c r="C5149" s="3"/>
      <c r="D5149" s="3"/>
      <c r="E5149" s="3" t="e">
        <f t="shared" si="166"/>
        <v>#N/A</v>
      </c>
      <c r="F5149" s="3" t="e">
        <f t="shared" si="167"/>
        <v>#N/A</v>
      </c>
    </row>
    <row r="5150" spans="2:6" x14ac:dyDescent="0.25">
      <c r="B5150" s="3"/>
      <c r="C5150" s="3"/>
      <c r="D5150" s="3"/>
      <c r="E5150" s="3" t="e">
        <f t="shared" si="166"/>
        <v>#N/A</v>
      </c>
      <c r="F5150" s="3" t="e">
        <f t="shared" si="167"/>
        <v>#N/A</v>
      </c>
    </row>
    <row r="5151" spans="2:6" x14ac:dyDescent="0.25">
      <c r="B5151" s="3"/>
      <c r="C5151" s="3"/>
      <c r="D5151" s="3"/>
      <c r="E5151" s="3" t="e">
        <f t="shared" si="166"/>
        <v>#N/A</v>
      </c>
      <c r="F5151" s="3" t="e">
        <f t="shared" si="167"/>
        <v>#N/A</v>
      </c>
    </row>
    <row r="5152" spans="2:6" x14ac:dyDescent="0.25">
      <c r="B5152" s="3"/>
      <c r="C5152" s="3"/>
      <c r="D5152" s="3"/>
      <c r="E5152" s="3" t="e">
        <f t="shared" si="166"/>
        <v>#N/A</v>
      </c>
      <c r="F5152" s="3" t="e">
        <f t="shared" si="167"/>
        <v>#N/A</v>
      </c>
    </row>
    <row r="5153" spans="2:6" x14ac:dyDescent="0.25">
      <c r="B5153" s="3"/>
      <c r="C5153" s="3"/>
      <c r="D5153" s="3"/>
      <c r="E5153" s="3" t="e">
        <f t="shared" si="166"/>
        <v>#N/A</v>
      </c>
      <c r="F5153" s="3" t="e">
        <f t="shared" si="167"/>
        <v>#N/A</v>
      </c>
    </row>
    <row r="5154" spans="2:6" x14ac:dyDescent="0.25">
      <c r="B5154" s="3"/>
      <c r="C5154" s="3"/>
      <c r="D5154" s="3"/>
      <c r="E5154" s="3" t="e">
        <f t="shared" si="166"/>
        <v>#N/A</v>
      </c>
      <c r="F5154" s="3" t="e">
        <f t="shared" si="167"/>
        <v>#N/A</v>
      </c>
    </row>
    <row r="5155" spans="2:6" x14ac:dyDescent="0.25">
      <c r="B5155" s="3"/>
      <c r="C5155" s="3"/>
      <c r="D5155" s="3"/>
      <c r="E5155" s="3" t="e">
        <f t="shared" si="166"/>
        <v>#N/A</v>
      </c>
      <c r="F5155" s="3" t="e">
        <f t="shared" si="167"/>
        <v>#N/A</v>
      </c>
    </row>
    <row r="5156" spans="2:6" x14ac:dyDescent="0.25">
      <c r="B5156" s="3"/>
      <c r="C5156" s="3"/>
      <c r="D5156" s="3"/>
      <c r="E5156" s="3" t="e">
        <f t="shared" si="166"/>
        <v>#N/A</v>
      </c>
      <c r="F5156" s="3" t="e">
        <f t="shared" si="167"/>
        <v>#N/A</v>
      </c>
    </row>
    <row r="5157" spans="2:6" x14ac:dyDescent="0.25">
      <c r="B5157" s="3"/>
      <c r="C5157" s="3"/>
      <c r="D5157" s="3"/>
      <c r="E5157" s="3" t="e">
        <f t="shared" si="166"/>
        <v>#N/A</v>
      </c>
      <c r="F5157" s="3" t="e">
        <f t="shared" si="167"/>
        <v>#N/A</v>
      </c>
    </row>
    <row r="5158" spans="2:6" x14ac:dyDescent="0.25">
      <c r="B5158" s="3"/>
      <c r="C5158" s="3"/>
      <c r="D5158" s="3"/>
      <c r="E5158" s="3" t="e">
        <f t="shared" si="166"/>
        <v>#N/A</v>
      </c>
      <c r="F5158" s="3" t="e">
        <f t="shared" si="167"/>
        <v>#N/A</v>
      </c>
    </row>
    <row r="5159" spans="2:6" x14ac:dyDescent="0.25">
      <c r="B5159" s="3"/>
      <c r="C5159" s="3"/>
      <c r="D5159" s="3"/>
      <c r="E5159" s="3" t="e">
        <f t="shared" si="166"/>
        <v>#N/A</v>
      </c>
      <c r="F5159" s="3" t="e">
        <f t="shared" si="167"/>
        <v>#N/A</v>
      </c>
    </row>
    <row r="5160" spans="2:6" x14ac:dyDescent="0.25">
      <c r="B5160" s="3"/>
      <c r="C5160" s="3"/>
      <c r="D5160" s="3"/>
      <c r="E5160" s="3" t="e">
        <f t="shared" si="166"/>
        <v>#N/A</v>
      </c>
      <c r="F5160" s="3" t="e">
        <f t="shared" si="167"/>
        <v>#N/A</v>
      </c>
    </row>
    <row r="5161" spans="2:6" x14ac:dyDescent="0.25">
      <c r="B5161" s="3"/>
      <c r="C5161" s="3"/>
      <c r="D5161" s="3"/>
      <c r="E5161" s="3" t="e">
        <f t="shared" si="166"/>
        <v>#N/A</v>
      </c>
      <c r="F5161" s="3" t="e">
        <f t="shared" si="167"/>
        <v>#N/A</v>
      </c>
    </row>
    <row r="5162" spans="2:6" x14ac:dyDescent="0.25">
      <c r="B5162" s="3"/>
      <c r="C5162" s="3"/>
      <c r="D5162" s="3"/>
      <c r="E5162" s="3" t="e">
        <f t="shared" si="166"/>
        <v>#N/A</v>
      </c>
      <c r="F5162" s="3" t="e">
        <f t="shared" si="167"/>
        <v>#N/A</v>
      </c>
    </row>
    <row r="5163" spans="2:6" x14ac:dyDescent="0.25">
      <c r="B5163" s="3"/>
      <c r="C5163" s="3"/>
      <c r="D5163" s="3"/>
      <c r="E5163" s="3" t="e">
        <f t="shared" si="166"/>
        <v>#N/A</v>
      </c>
      <c r="F5163" s="3" t="e">
        <f t="shared" si="167"/>
        <v>#N/A</v>
      </c>
    </row>
    <row r="5164" spans="2:6" x14ac:dyDescent="0.25">
      <c r="B5164" s="3"/>
      <c r="C5164" s="3"/>
      <c r="D5164" s="3"/>
      <c r="E5164" s="3" t="e">
        <f t="shared" si="166"/>
        <v>#N/A</v>
      </c>
      <c r="F5164" s="3" t="e">
        <f t="shared" si="167"/>
        <v>#N/A</v>
      </c>
    </row>
    <row r="5165" spans="2:6" x14ac:dyDescent="0.25">
      <c r="B5165" s="3"/>
      <c r="C5165" s="3"/>
      <c r="D5165" s="3"/>
      <c r="E5165" s="3" t="e">
        <f t="shared" si="166"/>
        <v>#N/A</v>
      </c>
      <c r="F5165" s="3" t="e">
        <f t="shared" si="167"/>
        <v>#N/A</v>
      </c>
    </row>
    <row r="5166" spans="2:6" x14ac:dyDescent="0.25">
      <c r="B5166" s="3"/>
      <c r="C5166" s="3"/>
      <c r="D5166" s="3"/>
      <c r="E5166" s="3" t="e">
        <f t="shared" si="166"/>
        <v>#N/A</v>
      </c>
      <c r="F5166" s="3" t="e">
        <f t="shared" si="167"/>
        <v>#N/A</v>
      </c>
    </row>
    <row r="5167" spans="2:6" x14ac:dyDescent="0.25">
      <c r="B5167" s="3"/>
      <c r="C5167" s="3"/>
      <c r="D5167" s="3"/>
      <c r="E5167" s="3" t="e">
        <f t="shared" si="166"/>
        <v>#N/A</v>
      </c>
      <c r="F5167" s="3" t="e">
        <f t="shared" si="167"/>
        <v>#N/A</v>
      </c>
    </row>
    <row r="5168" spans="2:6" x14ac:dyDescent="0.25">
      <c r="B5168" s="3"/>
      <c r="C5168" s="3"/>
      <c r="D5168" s="3"/>
      <c r="E5168" s="3" t="e">
        <f t="shared" si="166"/>
        <v>#N/A</v>
      </c>
      <c r="F5168" s="3" t="e">
        <f t="shared" si="167"/>
        <v>#N/A</v>
      </c>
    </row>
    <row r="5169" spans="2:6" x14ac:dyDescent="0.25">
      <c r="B5169" s="3"/>
      <c r="C5169" s="3"/>
      <c r="D5169" s="3"/>
      <c r="E5169" s="3" t="e">
        <f t="shared" si="166"/>
        <v>#N/A</v>
      </c>
      <c r="F5169" s="3" t="e">
        <f t="shared" si="167"/>
        <v>#N/A</v>
      </c>
    </row>
    <row r="5170" spans="2:6" x14ac:dyDescent="0.25">
      <c r="B5170" s="3"/>
      <c r="C5170" s="3"/>
      <c r="D5170" s="3"/>
      <c r="E5170" s="3" t="e">
        <f t="shared" si="166"/>
        <v>#N/A</v>
      </c>
      <c r="F5170" s="3" t="e">
        <f t="shared" si="167"/>
        <v>#N/A</v>
      </c>
    </row>
    <row r="5171" spans="2:6" x14ac:dyDescent="0.25">
      <c r="B5171" s="3"/>
      <c r="C5171" s="3"/>
      <c r="D5171" s="3"/>
      <c r="E5171" s="3" t="e">
        <f t="shared" si="166"/>
        <v>#N/A</v>
      </c>
      <c r="F5171" s="3" t="e">
        <f t="shared" si="167"/>
        <v>#N/A</v>
      </c>
    </row>
    <row r="5172" spans="2:6" x14ac:dyDescent="0.25">
      <c r="B5172" s="3"/>
      <c r="C5172" s="3"/>
      <c r="D5172" s="3"/>
      <c r="E5172" s="3" t="e">
        <f t="shared" si="166"/>
        <v>#N/A</v>
      </c>
      <c r="F5172" s="3" t="e">
        <f t="shared" si="167"/>
        <v>#N/A</v>
      </c>
    </row>
    <row r="5173" spans="2:6" x14ac:dyDescent="0.25">
      <c r="B5173" s="3"/>
      <c r="C5173" s="3"/>
      <c r="D5173" s="3"/>
      <c r="E5173" s="3" t="e">
        <f t="shared" si="166"/>
        <v>#N/A</v>
      </c>
      <c r="F5173" s="3" t="e">
        <f t="shared" si="167"/>
        <v>#N/A</v>
      </c>
    </row>
    <row r="5174" spans="2:6" x14ac:dyDescent="0.25">
      <c r="B5174" s="3"/>
      <c r="C5174" s="3"/>
      <c r="D5174" s="3"/>
      <c r="E5174" s="3" t="e">
        <f t="shared" si="166"/>
        <v>#N/A</v>
      </c>
      <c r="F5174" s="3" t="e">
        <f t="shared" si="167"/>
        <v>#N/A</v>
      </c>
    </row>
    <row r="5175" spans="2:6" x14ac:dyDescent="0.25">
      <c r="B5175" s="3"/>
      <c r="C5175" s="3"/>
      <c r="D5175" s="3"/>
      <c r="E5175" s="3" t="e">
        <f t="shared" si="166"/>
        <v>#N/A</v>
      </c>
      <c r="F5175" s="3" t="e">
        <f t="shared" si="167"/>
        <v>#N/A</v>
      </c>
    </row>
    <row r="5176" spans="2:6" x14ac:dyDescent="0.25">
      <c r="B5176" s="3"/>
      <c r="C5176" s="3"/>
      <c r="D5176" s="3"/>
      <c r="E5176" s="3" t="e">
        <f t="shared" si="166"/>
        <v>#N/A</v>
      </c>
      <c r="F5176" s="3" t="e">
        <f t="shared" si="167"/>
        <v>#N/A</v>
      </c>
    </row>
    <row r="5177" spans="2:6" x14ac:dyDescent="0.25">
      <c r="B5177" s="3"/>
      <c r="C5177" s="3"/>
      <c r="D5177" s="3"/>
      <c r="E5177" s="3" t="e">
        <f t="shared" si="166"/>
        <v>#N/A</v>
      </c>
      <c r="F5177" s="3" t="e">
        <f t="shared" si="167"/>
        <v>#N/A</v>
      </c>
    </row>
    <row r="5178" spans="2:6" x14ac:dyDescent="0.25">
      <c r="B5178" s="3"/>
      <c r="C5178" s="3"/>
      <c r="D5178" s="3"/>
      <c r="E5178" s="3" t="e">
        <f t="shared" si="166"/>
        <v>#N/A</v>
      </c>
      <c r="F5178" s="3" t="e">
        <f t="shared" si="167"/>
        <v>#N/A</v>
      </c>
    </row>
    <row r="5179" spans="2:6" x14ac:dyDescent="0.25">
      <c r="B5179" s="3"/>
      <c r="C5179" s="3"/>
      <c r="D5179" s="3"/>
      <c r="E5179" s="3" t="e">
        <f t="shared" si="166"/>
        <v>#N/A</v>
      </c>
      <c r="F5179" s="3" t="e">
        <f t="shared" si="167"/>
        <v>#N/A</v>
      </c>
    </row>
    <row r="5180" spans="2:6" x14ac:dyDescent="0.25">
      <c r="B5180" s="3"/>
      <c r="C5180" s="3"/>
      <c r="D5180" s="3"/>
      <c r="E5180" s="3" t="e">
        <f t="shared" si="166"/>
        <v>#N/A</v>
      </c>
      <c r="F5180" s="3" t="e">
        <f t="shared" si="167"/>
        <v>#N/A</v>
      </c>
    </row>
    <row r="5181" spans="2:6" x14ac:dyDescent="0.25">
      <c r="B5181" s="3"/>
      <c r="C5181" s="3"/>
      <c r="D5181" s="3"/>
      <c r="E5181" s="3" t="e">
        <f t="shared" si="166"/>
        <v>#N/A</v>
      </c>
      <c r="F5181" s="3" t="e">
        <f t="shared" si="167"/>
        <v>#N/A</v>
      </c>
    </row>
    <row r="5182" spans="2:6" x14ac:dyDescent="0.25">
      <c r="B5182" s="3"/>
      <c r="C5182" s="3"/>
      <c r="D5182" s="3"/>
      <c r="E5182" s="3" t="e">
        <f t="shared" si="166"/>
        <v>#N/A</v>
      </c>
      <c r="F5182" s="3" t="e">
        <f t="shared" si="167"/>
        <v>#N/A</v>
      </c>
    </row>
    <row r="5183" spans="2:6" x14ac:dyDescent="0.25">
      <c r="B5183" s="3"/>
      <c r="C5183" s="3"/>
      <c r="D5183" s="3"/>
      <c r="E5183" s="3" t="e">
        <f t="shared" si="166"/>
        <v>#N/A</v>
      </c>
      <c r="F5183" s="3" t="e">
        <f t="shared" si="167"/>
        <v>#N/A</v>
      </c>
    </row>
    <row r="5184" spans="2:6" x14ac:dyDescent="0.25">
      <c r="B5184" s="3"/>
      <c r="C5184" s="3"/>
      <c r="D5184" s="3"/>
      <c r="E5184" s="3" t="e">
        <f t="shared" si="166"/>
        <v>#N/A</v>
      </c>
      <c r="F5184" s="3" t="e">
        <f t="shared" si="167"/>
        <v>#N/A</v>
      </c>
    </row>
    <row r="5185" spans="2:6" x14ac:dyDescent="0.25">
      <c r="B5185" s="3"/>
      <c r="C5185" s="3"/>
      <c r="D5185" s="3"/>
      <c r="E5185" s="3" t="e">
        <f t="shared" si="166"/>
        <v>#N/A</v>
      </c>
      <c r="F5185" s="3" t="e">
        <f t="shared" si="167"/>
        <v>#N/A</v>
      </c>
    </row>
    <row r="5186" spans="2:6" x14ac:dyDescent="0.25">
      <c r="B5186" s="3"/>
      <c r="C5186" s="3"/>
      <c r="D5186" s="3"/>
      <c r="E5186" s="3" t="e">
        <f t="shared" si="166"/>
        <v>#N/A</v>
      </c>
      <c r="F5186" s="3" t="e">
        <f t="shared" si="167"/>
        <v>#N/A</v>
      </c>
    </row>
    <row r="5187" spans="2:6" x14ac:dyDescent="0.25">
      <c r="B5187" s="3"/>
      <c r="C5187" s="3"/>
      <c r="D5187" s="3"/>
      <c r="E5187" s="3" t="e">
        <f t="shared" si="166"/>
        <v>#N/A</v>
      </c>
      <c r="F5187" s="3" t="e">
        <f t="shared" si="167"/>
        <v>#N/A</v>
      </c>
    </row>
    <row r="5188" spans="2:6" x14ac:dyDescent="0.25">
      <c r="B5188" s="3"/>
      <c r="C5188" s="3"/>
      <c r="D5188" s="3"/>
      <c r="E5188" s="3" t="e">
        <f t="shared" si="166"/>
        <v>#N/A</v>
      </c>
      <c r="F5188" s="3" t="e">
        <f t="shared" si="167"/>
        <v>#N/A</v>
      </c>
    </row>
    <row r="5189" spans="2:6" x14ac:dyDescent="0.25">
      <c r="B5189" s="3"/>
      <c r="C5189" s="3"/>
      <c r="D5189" s="3"/>
      <c r="E5189" s="3" t="e">
        <f t="shared" si="166"/>
        <v>#N/A</v>
      </c>
      <c r="F5189" s="3" t="e">
        <f t="shared" si="167"/>
        <v>#N/A</v>
      </c>
    </row>
    <row r="5190" spans="2:6" x14ac:dyDescent="0.25">
      <c r="B5190" s="3"/>
      <c r="C5190" s="3"/>
      <c r="D5190" s="3"/>
      <c r="E5190" s="3" t="e">
        <f t="shared" si="166"/>
        <v>#N/A</v>
      </c>
      <c r="F5190" s="3" t="e">
        <f t="shared" si="167"/>
        <v>#N/A</v>
      </c>
    </row>
    <row r="5191" spans="2:6" x14ac:dyDescent="0.25">
      <c r="B5191" s="3"/>
      <c r="C5191" s="3"/>
      <c r="D5191" s="3"/>
      <c r="E5191" s="3" t="e">
        <f t="shared" si="166"/>
        <v>#N/A</v>
      </c>
      <c r="F5191" s="3" t="e">
        <f t="shared" si="167"/>
        <v>#N/A</v>
      </c>
    </row>
    <row r="5192" spans="2:6" x14ac:dyDescent="0.25">
      <c r="B5192" s="3"/>
      <c r="C5192" s="3"/>
      <c r="D5192" s="3"/>
      <c r="E5192" s="3" t="e">
        <f t="shared" si="166"/>
        <v>#N/A</v>
      </c>
      <c r="F5192" s="3" t="e">
        <f t="shared" si="167"/>
        <v>#N/A</v>
      </c>
    </row>
    <row r="5193" spans="2:6" x14ac:dyDescent="0.25">
      <c r="B5193" s="3"/>
      <c r="C5193" s="3"/>
      <c r="D5193" s="3"/>
      <c r="E5193" s="3" t="e">
        <f t="shared" si="166"/>
        <v>#N/A</v>
      </c>
      <c r="F5193" s="3" t="e">
        <f t="shared" si="167"/>
        <v>#N/A</v>
      </c>
    </row>
    <row r="5194" spans="2:6" x14ac:dyDescent="0.25">
      <c r="B5194" s="3"/>
      <c r="C5194" s="3"/>
      <c r="D5194" s="3"/>
      <c r="E5194" s="3" t="e">
        <f t="shared" si="166"/>
        <v>#N/A</v>
      </c>
      <c r="F5194" s="3" t="e">
        <f t="shared" si="167"/>
        <v>#N/A</v>
      </c>
    </row>
    <row r="5195" spans="2:6" x14ac:dyDescent="0.25">
      <c r="B5195" s="3"/>
      <c r="C5195" s="3"/>
      <c r="D5195" s="3"/>
      <c r="E5195" s="3" t="e">
        <f t="shared" si="166"/>
        <v>#N/A</v>
      </c>
      <c r="F5195" s="3" t="e">
        <f t="shared" si="167"/>
        <v>#N/A</v>
      </c>
    </row>
    <row r="5196" spans="2:6" x14ac:dyDescent="0.25">
      <c r="B5196" s="3"/>
      <c r="C5196" s="3"/>
      <c r="D5196" s="3"/>
      <c r="E5196" s="3" t="e">
        <f t="shared" si="166"/>
        <v>#N/A</v>
      </c>
      <c r="F5196" s="3" t="e">
        <f t="shared" si="167"/>
        <v>#N/A</v>
      </c>
    </row>
    <row r="5197" spans="2:6" x14ac:dyDescent="0.25">
      <c r="B5197" s="3"/>
      <c r="C5197" s="3"/>
      <c r="D5197" s="3"/>
      <c r="E5197" s="3" t="e">
        <f t="shared" si="166"/>
        <v>#N/A</v>
      </c>
      <c r="F5197" s="3" t="e">
        <f t="shared" si="167"/>
        <v>#N/A</v>
      </c>
    </row>
    <row r="5198" spans="2:6" x14ac:dyDescent="0.25">
      <c r="B5198" s="3"/>
      <c r="C5198" s="3"/>
      <c r="D5198" s="3"/>
      <c r="E5198" s="3" t="e">
        <f t="shared" ref="E5198:E5261" si="168">VLOOKUP(C5198,I:J,2,0)</f>
        <v>#N/A</v>
      </c>
      <c r="F5198" s="3" t="e">
        <f t="shared" ref="F5198:F5261" si="169">E5198&amp;" "&amp;B5198</f>
        <v>#N/A</v>
      </c>
    </row>
    <row r="5199" spans="2:6" x14ac:dyDescent="0.25">
      <c r="B5199" s="3"/>
      <c r="C5199" s="3"/>
      <c r="D5199" s="3"/>
      <c r="E5199" s="3" t="e">
        <f t="shared" si="168"/>
        <v>#N/A</v>
      </c>
      <c r="F5199" s="3" t="e">
        <f t="shared" si="169"/>
        <v>#N/A</v>
      </c>
    </row>
    <row r="5200" spans="2:6" x14ac:dyDescent="0.25">
      <c r="B5200" s="3"/>
      <c r="C5200" s="3"/>
      <c r="D5200" s="3"/>
      <c r="E5200" s="3" t="e">
        <f t="shared" si="168"/>
        <v>#N/A</v>
      </c>
      <c r="F5200" s="3" t="e">
        <f t="shared" si="169"/>
        <v>#N/A</v>
      </c>
    </row>
    <row r="5201" spans="2:6" x14ac:dyDescent="0.25">
      <c r="B5201" s="3"/>
      <c r="C5201" s="3"/>
      <c r="D5201" s="3"/>
      <c r="E5201" s="3" t="e">
        <f t="shared" si="168"/>
        <v>#N/A</v>
      </c>
      <c r="F5201" s="3" t="e">
        <f t="shared" si="169"/>
        <v>#N/A</v>
      </c>
    </row>
    <row r="5202" spans="2:6" x14ac:dyDescent="0.25">
      <c r="B5202" s="3"/>
      <c r="C5202" s="3"/>
      <c r="D5202" s="3"/>
      <c r="E5202" s="3" t="e">
        <f t="shared" si="168"/>
        <v>#N/A</v>
      </c>
      <c r="F5202" s="3" t="e">
        <f t="shared" si="169"/>
        <v>#N/A</v>
      </c>
    </row>
    <row r="5203" spans="2:6" x14ac:dyDescent="0.25">
      <c r="B5203" s="3"/>
      <c r="C5203" s="3"/>
      <c r="D5203" s="3"/>
      <c r="E5203" s="3" t="e">
        <f t="shared" si="168"/>
        <v>#N/A</v>
      </c>
      <c r="F5203" s="3" t="e">
        <f t="shared" si="169"/>
        <v>#N/A</v>
      </c>
    </row>
    <row r="5204" spans="2:6" x14ac:dyDescent="0.25">
      <c r="B5204" s="3"/>
      <c r="C5204" s="3"/>
      <c r="D5204" s="3"/>
      <c r="E5204" s="3" t="e">
        <f t="shared" si="168"/>
        <v>#N/A</v>
      </c>
      <c r="F5204" s="3" t="e">
        <f t="shared" si="169"/>
        <v>#N/A</v>
      </c>
    </row>
    <row r="5205" spans="2:6" x14ac:dyDescent="0.25">
      <c r="B5205" s="3"/>
      <c r="C5205" s="3"/>
      <c r="D5205" s="3"/>
      <c r="E5205" s="3" t="e">
        <f t="shared" si="168"/>
        <v>#N/A</v>
      </c>
      <c r="F5205" s="3" t="e">
        <f t="shared" si="169"/>
        <v>#N/A</v>
      </c>
    </row>
    <row r="5206" spans="2:6" x14ac:dyDescent="0.25">
      <c r="B5206" s="3"/>
      <c r="C5206" s="3"/>
      <c r="D5206" s="3"/>
      <c r="E5206" s="3" t="e">
        <f t="shared" si="168"/>
        <v>#N/A</v>
      </c>
      <c r="F5206" s="3" t="e">
        <f t="shared" si="169"/>
        <v>#N/A</v>
      </c>
    </row>
    <row r="5207" spans="2:6" x14ac:dyDescent="0.25">
      <c r="B5207" s="3"/>
      <c r="C5207" s="3"/>
      <c r="D5207" s="3"/>
      <c r="E5207" s="3" t="e">
        <f t="shared" si="168"/>
        <v>#N/A</v>
      </c>
      <c r="F5207" s="3" t="e">
        <f t="shared" si="169"/>
        <v>#N/A</v>
      </c>
    </row>
    <row r="5208" spans="2:6" x14ac:dyDescent="0.25">
      <c r="B5208" s="3"/>
      <c r="C5208" s="3"/>
      <c r="D5208" s="3"/>
      <c r="E5208" s="3" t="e">
        <f t="shared" si="168"/>
        <v>#N/A</v>
      </c>
      <c r="F5208" s="3" t="e">
        <f t="shared" si="169"/>
        <v>#N/A</v>
      </c>
    </row>
    <row r="5209" spans="2:6" x14ac:dyDescent="0.25">
      <c r="B5209" s="3"/>
      <c r="C5209" s="3"/>
      <c r="D5209" s="3"/>
      <c r="E5209" s="3" t="e">
        <f t="shared" si="168"/>
        <v>#N/A</v>
      </c>
      <c r="F5209" s="3" t="e">
        <f t="shared" si="169"/>
        <v>#N/A</v>
      </c>
    </row>
    <row r="5210" spans="2:6" x14ac:dyDescent="0.25">
      <c r="B5210" s="3"/>
      <c r="C5210" s="3"/>
      <c r="D5210" s="3"/>
      <c r="E5210" s="3" t="e">
        <f t="shared" si="168"/>
        <v>#N/A</v>
      </c>
      <c r="F5210" s="3" t="e">
        <f t="shared" si="169"/>
        <v>#N/A</v>
      </c>
    </row>
    <row r="5211" spans="2:6" x14ac:dyDescent="0.25">
      <c r="B5211" s="3"/>
      <c r="C5211" s="3"/>
      <c r="D5211" s="3"/>
      <c r="E5211" s="3" t="e">
        <f t="shared" si="168"/>
        <v>#N/A</v>
      </c>
      <c r="F5211" s="3" t="e">
        <f t="shared" si="169"/>
        <v>#N/A</v>
      </c>
    </row>
    <row r="5212" spans="2:6" x14ac:dyDescent="0.25">
      <c r="B5212" s="3"/>
      <c r="C5212" s="3"/>
      <c r="D5212" s="3"/>
      <c r="E5212" s="3" t="e">
        <f t="shared" si="168"/>
        <v>#N/A</v>
      </c>
      <c r="F5212" s="3" t="e">
        <f t="shared" si="169"/>
        <v>#N/A</v>
      </c>
    </row>
    <row r="5213" spans="2:6" x14ac:dyDescent="0.25">
      <c r="B5213" s="3"/>
      <c r="C5213" s="3"/>
      <c r="D5213" s="3"/>
      <c r="E5213" s="3" t="e">
        <f t="shared" si="168"/>
        <v>#N/A</v>
      </c>
      <c r="F5213" s="3" t="e">
        <f t="shared" si="169"/>
        <v>#N/A</v>
      </c>
    </row>
    <row r="5214" spans="2:6" x14ac:dyDescent="0.25">
      <c r="B5214" s="3"/>
      <c r="C5214" s="3"/>
      <c r="D5214" s="3"/>
      <c r="E5214" s="3" t="e">
        <f t="shared" si="168"/>
        <v>#N/A</v>
      </c>
      <c r="F5214" s="3" t="e">
        <f t="shared" si="169"/>
        <v>#N/A</v>
      </c>
    </row>
    <row r="5215" spans="2:6" x14ac:dyDescent="0.25">
      <c r="B5215" s="3"/>
      <c r="C5215" s="3"/>
      <c r="D5215" s="3"/>
      <c r="E5215" s="3" t="e">
        <f t="shared" si="168"/>
        <v>#N/A</v>
      </c>
      <c r="F5215" s="3" t="e">
        <f t="shared" si="169"/>
        <v>#N/A</v>
      </c>
    </row>
    <row r="5216" spans="2:6" x14ac:dyDescent="0.25">
      <c r="B5216" s="3"/>
      <c r="C5216" s="3"/>
      <c r="D5216" s="3"/>
      <c r="E5216" s="3" t="e">
        <f t="shared" si="168"/>
        <v>#N/A</v>
      </c>
      <c r="F5216" s="3" t="e">
        <f t="shared" si="169"/>
        <v>#N/A</v>
      </c>
    </row>
    <row r="5217" spans="2:6" x14ac:dyDescent="0.25">
      <c r="B5217" s="3"/>
      <c r="C5217" s="3"/>
      <c r="D5217" s="3"/>
      <c r="E5217" s="3" t="e">
        <f t="shared" si="168"/>
        <v>#N/A</v>
      </c>
      <c r="F5217" s="3" t="e">
        <f t="shared" si="169"/>
        <v>#N/A</v>
      </c>
    </row>
    <row r="5218" spans="2:6" x14ac:dyDescent="0.25">
      <c r="B5218" s="3"/>
      <c r="C5218" s="3"/>
      <c r="D5218" s="3"/>
      <c r="E5218" s="3" t="e">
        <f t="shared" si="168"/>
        <v>#N/A</v>
      </c>
      <c r="F5218" s="3" t="e">
        <f t="shared" si="169"/>
        <v>#N/A</v>
      </c>
    </row>
    <row r="5219" spans="2:6" x14ac:dyDescent="0.25">
      <c r="B5219" s="3"/>
      <c r="C5219" s="3"/>
      <c r="D5219" s="3"/>
      <c r="E5219" s="3" t="e">
        <f t="shared" si="168"/>
        <v>#N/A</v>
      </c>
      <c r="F5219" s="3" t="e">
        <f t="shared" si="169"/>
        <v>#N/A</v>
      </c>
    </row>
    <row r="5220" spans="2:6" x14ac:dyDescent="0.25">
      <c r="B5220" s="3"/>
      <c r="C5220" s="3"/>
      <c r="D5220" s="3"/>
      <c r="E5220" s="3" t="e">
        <f t="shared" si="168"/>
        <v>#N/A</v>
      </c>
      <c r="F5220" s="3" t="e">
        <f t="shared" si="169"/>
        <v>#N/A</v>
      </c>
    </row>
    <row r="5221" spans="2:6" x14ac:dyDescent="0.25">
      <c r="B5221" s="3"/>
      <c r="C5221" s="3"/>
      <c r="D5221" s="3"/>
      <c r="E5221" s="3" t="e">
        <f t="shared" si="168"/>
        <v>#N/A</v>
      </c>
      <c r="F5221" s="3" t="e">
        <f t="shared" si="169"/>
        <v>#N/A</v>
      </c>
    </row>
    <row r="5222" spans="2:6" x14ac:dyDescent="0.25">
      <c r="B5222" s="3"/>
      <c r="C5222" s="3"/>
      <c r="D5222" s="3"/>
      <c r="E5222" s="3" t="e">
        <f t="shared" si="168"/>
        <v>#N/A</v>
      </c>
      <c r="F5222" s="3" t="e">
        <f t="shared" si="169"/>
        <v>#N/A</v>
      </c>
    </row>
    <row r="5223" spans="2:6" x14ac:dyDescent="0.25">
      <c r="B5223" s="3"/>
      <c r="C5223" s="3"/>
      <c r="D5223" s="3"/>
      <c r="E5223" s="3" t="e">
        <f t="shared" si="168"/>
        <v>#N/A</v>
      </c>
      <c r="F5223" s="3" t="e">
        <f t="shared" si="169"/>
        <v>#N/A</v>
      </c>
    </row>
    <row r="5224" spans="2:6" x14ac:dyDescent="0.25">
      <c r="B5224" s="3"/>
      <c r="C5224" s="3"/>
      <c r="D5224" s="3"/>
      <c r="E5224" s="3" t="e">
        <f t="shared" si="168"/>
        <v>#N/A</v>
      </c>
      <c r="F5224" s="3" t="e">
        <f t="shared" si="169"/>
        <v>#N/A</v>
      </c>
    </row>
    <row r="5225" spans="2:6" x14ac:dyDescent="0.25">
      <c r="B5225" s="3"/>
      <c r="C5225" s="3"/>
      <c r="D5225" s="3"/>
      <c r="E5225" s="3" t="e">
        <f t="shared" si="168"/>
        <v>#N/A</v>
      </c>
      <c r="F5225" s="3" t="e">
        <f t="shared" si="169"/>
        <v>#N/A</v>
      </c>
    </row>
    <row r="5226" spans="2:6" x14ac:dyDescent="0.25">
      <c r="B5226" s="3"/>
      <c r="C5226" s="3"/>
      <c r="D5226" s="3"/>
      <c r="E5226" s="3" t="e">
        <f t="shared" si="168"/>
        <v>#N/A</v>
      </c>
      <c r="F5226" s="3" t="e">
        <f t="shared" si="169"/>
        <v>#N/A</v>
      </c>
    </row>
    <row r="5227" spans="2:6" x14ac:dyDescent="0.25">
      <c r="B5227" s="3"/>
      <c r="C5227" s="3"/>
      <c r="D5227" s="3"/>
      <c r="E5227" s="3" t="e">
        <f t="shared" si="168"/>
        <v>#N/A</v>
      </c>
      <c r="F5227" s="3" t="e">
        <f t="shared" si="169"/>
        <v>#N/A</v>
      </c>
    </row>
    <row r="5228" spans="2:6" x14ac:dyDescent="0.25">
      <c r="B5228" s="3"/>
      <c r="C5228" s="3"/>
      <c r="D5228" s="3"/>
      <c r="E5228" s="3" t="e">
        <f t="shared" si="168"/>
        <v>#N/A</v>
      </c>
      <c r="F5228" s="3" t="e">
        <f t="shared" si="169"/>
        <v>#N/A</v>
      </c>
    </row>
    <row r="5229" spans="2:6" x14ac:dyDescent="0.25">
      <c r="B5229" s="3"/>
      <c r="C5229" s="3"/>
      <c r="D5229" s="3"/>
      <c r="E5229" s="3" t="e">
        <f t="shared" si="168"/>
        <v>#N/A</v>
      </c>
      <c r="F5229" s="3" t="e">
        <f t="shared" si="169"/>
        <v>#N/A</v>
      </c>
    </row>
    <row r="5230" spans="2:6" x14ac:dyDescent="0.25">
      <c r="B5230" s="3"/>
      <c r="C5230" s="3"/>
      <c r="D5230" s="3"/>
      <c r="E5230" s="3" t="e">
        <f t="shared" si="168"/>
        <v>#N/A</v>
      </c>
      <c r="F5230" s="3" t="e">
        <f t="shared" si="169"/>
        <v>#N/A</v>
      </c>
    </row>
    <row r="5231" spans="2:6" x14ac:dyDescent="0.25">
      <c r="B5231" s="3"/>
      <c r="C5231" s="3"/>
      <c r="D5231" s="3"/>
      <c r="E5231" s="3" t="e">
        <f t="shared" si="168"/>
        <v>#N/A</v>
      </c>
      <c r="F5231" s="3" t="e">
        <f t="shared" si="169"/>
        <v>#N/A</v>
      </c>
    </row>
    <row r="5232" spans="2:6" x14ac:dyDescent="0.25">
      <c r="B5232" s="3"/>
      <c r="C5232" s="3"/>
      <c r="D5232" s="3"/>
      <c r="E5232" s="3" t="e">
        <f t="shared" si="168"/>
        <v>#N/A</v>
      </c>
      <c r="F5232" s="3" t="e">
        <f t="shared" si="169"/>
        <v>#N/A</v>
      </c>
    </row>
    <row r="5233" spans="2:6" x14ac:dyDescent="0.25">
      <c r="B5233" s="3"/>
      <c r="C5233" s="3"/>
      <c r="D5233" s="3"/>
      <c r="E5233" s="3" t="e">
        <f t="shared" si="168"/>
        <v>#N/A</v>
      </c>
      <c r="F5233" s="3" t="e">
        <f t="shared" si="169"/>
        <v>#N/A</v>
      </c>
    </row>
    <row r="5234" spans="2:6" x14ac:dyDescent="0.25">
      <c r="B5234" s="3"/>
      <c r="C5234" s="3"/>
      <c r="D5234" s="3"/>
      <c r="E5234" s="3" t="e">
        <f t="shared" si="168"/>
        <v>#N/A</v>
      </c>
      <c r="F5234" s="3" t="e">
        <f t="shared" si="169"/>
        <v>#N/A</v>
      </c>
    </row>
    <row r="5235" spans="2:6" x14ac:dyDescent="0.25">
      <c r="B5235" s="3"/>
      <c r="C5235" s="3"/>
      <c r="D5235" s="3"/>
      <c r="E5235" s="3" t="e">
        <f t="shared" si="168"/>
        <v>#N/A</v>
      </c>
      <c r="F5235" s="3" t="e">
        <f t="shared" si="169"/>
        <v>#N/A</v>
      </c>
    </row>
    <row r="5236" spans="2:6" x14ac:dyDescent="0.25">
      <c r="B5236" s="3"/>
      <c r="C5236" s="3"/>
      <c r="D5236" s="3"/>
      <c r="E5236" s="3" t="e">
        <f t="shared" si="168"/>
        <v>#N/A</v>
      </c>
      <c r="F5236" s="3" t="e">
        <f t="shared" si="169"/>
        <v>#N/A</v>
      </c>
    </row>
    <row r="5237" spans="2:6" x14ac:dyDescent="0.25">
      <c r="B5237" s="3"/>
      <c r="C5237" s="3"/>
      <c r="D5237" s="3"/>
      <c r="E5237" s="3" t="e">
        <f t="shared" si="168"/>
        <v>#N/A</v>
      </c>
      <c r="F5237" s="3" t="e">
        <f t="shared" si="169"/>
        <v>#N/A</v>
      </c>
    </row>
    <row r="5238" spans="2:6" x14ac:dyDescent="0.25">
      <c r="B5238" s="3"/>
      <c r="C5238" s="3"/>
      <c r="D5238" s="3"/>
      <c r="E5238" s="3" t="e">
        <f t="shared" si="168"/>
        <v>#N/A</v>
      </c>
      <c r="F5238" s="3" t="e">
        <f t="shared" si="169"/>
        <v>#N/A</v>
      </c>
    </row>
    <row r="5239" spans="2:6" x14ac:dyDescent="0.25">
      <c r="B5239" s="3"/>
      <c r="C5239" s="3"/>
      <c r="D5239" s="3"/>
      <c r="E5239" s="3" t="e">
        <f t="shared" si="168"/>
        <v>#N/A</v>
      </c>
      <c r="F5239" s="3" t="e">
        <f t="shared" si="169"/>
        <v>#N/A</v>
      </c>
    </row>
    <row r="5240" spans="2:6" x14ac:dyDescent="0.25">
      <c r="B5240" s="3"/>
      <c r="C5240" s="3"/>
      <c r="D5240" s="3"/>
      <c r="E5240" s="3" t="e">
        <f t="shared" si="168"/>
        <v>#N/A</v>
      </c>
      <c r="F5240" s="3" t="e">
        <f t="shared" si="169"/>
        <v>#N/A</v>
      </c>
    </row>
    <row r="5241" spans="2:6" x14ac:dyDescent="0.25">
      <c r="B5241" s="3"/>
      <c r="C5241" s="3"/>
      <c r="D5241" s="3"/>
      <c r="E5241" s="3" t="e">
        <f t="shared" si="168"/>
        <v>#N/A</v>
      </c>
      <c r="F5241" s="3" t="e">
        <f t="shared" si="169"/>
        <v>#N/A</v>
      </c>
    </row>
    <row r="5242" spans="2:6" x14ac:dyDescent="0.25">
      <c r="B5242" s="3"/>
      <c r="C5242" s="3"/>
      <c r="D5242" s="3"/>
      <c r="E5242" s="3" t="e">
        <f t="shared" si="168"/>
        <v>#N/A</v>
      </c>
      <c r="F5242" s="3" t="e">
        <f t="shared" si="169"/>
        <v>#N/A</v>
      </c>
    </row>
    <row r="5243" spans="2:6" x14ac:dyDescent="0.25">
      <c r="B5243" s="3"/>
      <c r="C5243" s="3"/>
      <c r="D5243" s="3"/>
      <c r="E5243" s="3" t="e">
        <f t="shared" si="168"/>
        <v>#N/A</v>
      </c>
      <c r="F5243" s="3" t="e">
        <f t="shared" si="169"/>
        <v>#N/A</v>
      </c>
    </row>
    <row r="5244" spans="2:6" x14ac:dyDescent="0.25">
      <c r="B5244" s="3"/>
      <c r="C5244" s="3"/>
      <c r="D5244" s="3"/>
      <c r="E5244" s="3" t="e">
        <f t="shared" si="168"/>
        <v>#N/A</v>
      </c>
      <c r="F5244" s="3" t="e">
        <f t="shared" si="169"/>
        <v>#N/A</v>
      </c>
    </row>
    <row r="5245" spans="2:6" x14ac:dyDescent="0.25">
      <c r="B5245" s="3"/>
      <c r="C5245" s="3"/>
      <c r="D5245" s="3"/>
      <c r="E5245" s="3" t="e">
        <f t="shared" si="168"/>
        <v>#N/A</v>
      </c>
      <c r="F5245" s="3" t="e">
        <f t="shared" si="169"/>
        <v>#N/A</v>
      </c>
    </row>
    <row r="5246" spans="2:6" x14ac:dyDescent="0.25">
      <c r="B5246" s="3"/>
      <c r="C5246" s="3"/>
      <c r="D5246" s="3"/>
      <c r="E5246" s="3" t="e">
        <f t="shared" si="168"/>
        <v>#N/A</v>
      </c>
      <c r="F5246" s="3" t="e">
        <f t="shared" si="169"/>
        <v>#N/A</v>
      </c>
    </row>
    <row r="5247" spans="2:6" x14ac:dyDescent="0.25">
      <c r="B5247" s="3"/>
      <c r="C5247" s="3"/>
      <c r="D5247" s="3"/>
      <c r="E5247" s="3" t="e">
        <f t="shared" si="168"/>
        <v>#N/A</v>
      </c>
      <c r="F5247" s="3" t="e">
        <f t="shared" si="169"/>
        <v>#N/A</v>
      </c>
    </row>
    <row r="5248" spans="2:6" x14ac:dyDescent="0.25">
      <c r="B5248" s="3"/>
      <c r="C5248" s="3"/>
      <c r="D5248" s="3"/>
      <c r="E5248" s="3" t="e">
        <f t="shared" si="168"/>
        <v>#N/A</v>
      </c>
      <c r="F5248" s="3" t="e">
        <f t="shared" si="169"/>
        <v>#N/A</v>
      </c>
    </row>
    <row r="5249" spans="2:6" x14ac:dyDescent="0.25">
      <c r="B5249" s="3"/>
      <c r="C5249" s="3"/>
      <c r="D5249" s="3"/>
      <c r="E5249" s="3" t="e">
        <f t="shared" si="168"/>
        <v>#N/A</v>
      </c>
      <c r="F5249" s="3" t="e">
        <f t="shared" si="169"/>
        <v>#N/A</v>
      </c>
    </row>
    <row r="5250" spans="2:6" x14ac:dyDescent="0.25">
      <c r="B5250" s="3"/>
      <c r="C5250" s="3"/>
      <c r="D5250" s="3"/>
      <c r="E5250" s="3" t="e">
        <f t="shared" si="168"/>
        <v>#N/A</v>
      </c>
      <c r="F5250" s="3" t="e">
        <f t="shared" si="169"/>
        <v>#N/A</v>
      </c>
    </row>
    <row r="5251" spans="2:6" x14ac:dyDescent="0.25">
      <c r="B5251" s="3"/>
      <c r="C5251" s="3"/>
      <c r="D5251" s="3"/>
      <c r="E5251" s="3" t="e">
        <f t="shared" si="168"/>
        <v>#N/A</v>
      </c>
      <c r="F5251" s="3" t="e">
        <f t="shared" si="169"/>
        <v>#N/A</v>
      </c>
    </row>
    <row r="5252" spans="2:6" x14ac:dyDescent="0.25">
      <c r="B5252" s="3"/>
      <c r="C5252" s="3"/>
      <c r="D5252" s="3"/>
      <c r="E5252" s="3" t="e">
        <f t="shared" si="168"/>
        <v>#N/A</v>
      </c>
      <c r="F5252" s="3" t="e">
        <f t="shared" si="169"/>
        <v>#N/A</v>
      </c>
    </row>
    <row r="5253" spans="2:6" x14ac:dyDescent="0.25">
      <c r="B5253" s="3"/>
      <c r="C5253" s="3"/>
      <c r="D5253" s="3"/>
      <c r="E5253" s="3" t="e">
        <f t="shared" si="168"/>
        <v>#N/A</v>
      </c>
      <c r="F5253" s="3" t="e">
        <f t="shared" si="169"/>
        <v>#N/A</v>
      </c>
    </row>
    <row r="5254" spans="2:6" x14ac:dyDescent="0.25">
      <c r="B5254" s="3"/>
      <c r="C5254" s="3"/>
      <c r="D5254" s="3"/>
      <c r="E5254" s="3" t="e">
        <f t="shared" si="168"/>
        <v>#N/A</v>
      </c>
      <c r="F5254" s="3" t="e">
        <f t="shared" si="169"/>
        <v>#N/A</v>
      </c>
    </row>
    <row r="5255" spans="2:6" x14ac:dyDescent="0.25">
      <c r="B5255" s="3"/>
      <c r="C5255" s="3"/>
      <c r="D5255" s="3"/>
      <c r="E5255" s="3" t="e">
        <f t="shared" si="168"/>
        <v>#N/A</v>
      </c>
      <c r="F5255" s="3" t="e">
        <f t="shared" si="169"/>
        <v>#N/A</v>
      </c>
    </row>
    <row r="5256" spans="2:6" x14ac:dyDescent="0.25">
      <c r="B5256" s="3"/>
      <c r="C5256" s="3"/>
      <c r="D5256" s="3"/>
      <c r="E5256" s="3" t="e">
        <f t="shared" si="168"/>
        <v>#N/A</v>
      </c>
      <c r="F5256" s="3" t="e">
        <f t="shared" si="169"/>
        <v>#N/A</v>
      </c>
    </row>
    <row r="5257" spans="2:6" x14ac:dyDescent="0.25">
      <c r="B5257" s="3"/>
      <c r="C5257" s="3"/>
      <c r="D5257" s="3"/>
      <c r="E5257" s="3" t="e">
        <f t="shared" si="168"/>
        <v>#N/A</v>
      </c>
      <c r="F5257" s="3" t="e">
        <f t="shared" si="169"/>
        <v>#N/A</v>
      </c>
    </row>
    <row r="5258" spans="2:6" x14ac:dyDescent="0.25">
      <c r="B5258" s="3"/>
      <c r="C5258" s="3"/>
      <c r="D5258" s="3"/>
      <c r="E5258" s="3" t="e">
        <f t="shared" si="168"/>
        <v>#N/A</v>
      </c>
      <c r="F5258" s="3" t="e">
        <f t="shared" si="169"/>
        <v>#N/A</v>
      </c>
    </row>
    <row r="5259" spans="2:6" x14ac:dyDescent="0.25">
      <c r="B5259" s="3"/>
      <c r="C5259" s="3"/>
      <c r="D5259" s="3"/>
      <c r="E5259" s="3" t="e">
        <f t="shared" si="168"/>
        <v>#N/A</v>
      </c>
      <c r="F5259" s="3" t="e">
        <f t="shared" si="169"/>
        <v>#N/A</v>
      </c>
    </row>
    <row r="5260" spans="2:6" x14ac:dyDescent="0.25">
      <c r="B5260" s="3"/>
      <c r="C5260" s="3"/>
      <c r="D5260" s="3"/>
      <c r="E5260" s="3" t="e">
        <f t="shared" si="168"/>
        <v>#N/A</v>
      </c>
      <c r="F5260" s="3" t="e">
        <f t="shared" si="169"/>
        <v>#N/A</v>
      </c>
    </row>
    <row r="5261" spans="2:6" x14ac:dyDescent="0.25">
      <c r="B5261" s="3"/>
      <c r="C5261" s="3"/>
      <c r="D5261" s="3"/>
      <c r="E5261" s="3" t="e">
        <f t="shared" si="168"/>
        <v>#N/A</v>
      </c>
      <c r="F5261" s="3" t="e">
        <f t="shared" si="169"/>
        <v>#N/A</v>
      </c>
    </row>
    <row r="5262" spans="2:6" x14ac:dyDescent="0.25">
      <c r="B5262" s="3"/>
      <c r="C5262" s="3"/>
      <c r="D5262" s="3"/>
      <c r="E5262" s="3" t="e">
        <f t="shared" ref="E5262:E5325" si="170">VLOOKUP(C5262,I:J,2,0)</f>
        <v>#N/A</v>
      </c>
      <c r="F5262" s="3" t="e">
        <f t="shared" ref="F5262:F5325" si="171">E5262&amp;" "&amp;B5262</f>
        <v>#N/A</v>
      </c>
    </row>
    <row r="5263" spans="2:6" x14ac:dyDescent="0.25">
      <c r="B5263" s="3"/>
      <c r="C5263" s="3"/>
      <c r="D5263" s="3"/>
      <c r="E5263" s="3" t="e">
        <f t="shared" si="170"/>
        <v>#N/A</v>
      </c>
      <c r="F5263" s="3" t="e">
        <f t="shared" si="171"/>
        <v>#N/A</v>
      </c>
    </row>
    <row r="5264" spans="2:6" x14ac:dyDescent="0.25">
      <c r="B5264" s="3"/>
      <c r="C5264" s="3"/>
      <c r="D5264" s="3"/>
      <c r="E5264" s="3" t="e">
        <f t="shared" si="170"/>
        <v>#N/A</v>
      </c>
      <c r="F5264" s="3" t="e">
        <f t="shared" si="171"/>
        <v>#N/A</v>
      </c>
    </row>
    <row r="5265" spans="2:6" x14ac:dyDescent="0.25">
      <c r="B5265" s="3"/>
      <c r="C5265" s="3"/>
      <c r="D5265" s="3"/>
      <c r="E5265" s="3" t="e">
        <f t="shared" si="170"/>
        <v>#N/A</v>
      </c>
      <c r="F5265" s="3" t="e">
        <f t="shared" si="171"/>
        <v>#N/A</v>
      </c>
    </row>
    <row r="5266" spans="2:6" x14ac:dyDescent="0.25">
      <c r="B5266" s="3"/>
      <c r="C5266" s="3"/>
      <c r="D5266" s="3"/>
      <c r="E5266" s="3" t="e">
        <f t="shared" si="170"/>
        <v>#N/A</v>
      </c>
      <c r="F5266" s="3" t="e">
        <f t="shared" si="171"/>
        <v>#N/A</v>
      </c>
    </row>
    <row r="5267" spans="2:6" x14ac:dyDescent="0.25">
      <c r="B5267" s="3"/>
      <c r="C5267" s="3"/>
      <c r="D5267" s="3"/>
      <c r="E5267" s="3" t="e">
        <f t="shared" si="170"/>
        <v>#N/A</v>
      </c>
      <c r="F5267" s="3" t="e">
        <f t="shared" si="171"/>
        <v>#N/A</v>
      </c>
    </row>
    <row r="5268" spans="2:6" x14ac:dyDescent="0.25">
      <c r="B5268" s="3"/>
      <c r="C5268" s="3"/>
      <c r="D5268" s="3"/>
      <c r="E5268" s="3" t="e">
        <f t="shared" si="170"/>
        <v>#N/A</v>
      </c>
      <c r="F5268" s="3" t="e">
        <f t="shared" si="171"/>
        <v>#N/A</v>
      </c>
    </row>
    <row r="5269" spans="2:6" x14ac:dyDescent="0.25">
      <c r="B5269" s="3"/>
      <c r="C5269" s="3"/>
      <c r="D5269" s="3"/>
      <c r="E5269" s="3" t="e">
        <f t="shared" si="170"/>
        <v>#N/A</v>
      </c>
      <c r="F5269" s="3" t="e">
        <f t="shared" si="171"/>
        <v>#N/A</v>
      </c>
    </row>
    <row r="5270" spans="2:6" x14ac:dyDescent="0.25">
      <c r="B5270" s="3"/>
      <c r="C5270" s="3"/>
      <c r="D5270" s="3"/>
      <c r="E5270" s="3" t="e">
        <f t="shared" si="170"/>
        <v>#N/A</v>
      </c>
      <c r="F5270" s="3" t="e">
        <f t="shared" si="171"/>
        <v>#N/A</v>
      </c>
    </row>
    <row r="5271" spans="2:6" x14ac:dyDescent="0.25">
      <c r="B5271" s="3"/>
      <c r="C5271" s="3"/>
      <c r="D5271" s="3"/>
      <c r="E5271" s="3" t="e">
        <f t="shared" si="170"/>
        <v>#N/A</v>
      </c>
      <c r="F5271" s="3" t="e">
        <f t="shared" si="171"/>
        <v>#N/A</v>
      </c>
    </row>
    <row r="5272" spans="2:6" x14ac:dyDescent="0.25">
      <c r="B5272" s="3"/>
      <c r="C5272" s="3"/>
      <c r="D5272" s="3"/>
      <c r="E5272" s="3" t="e">
        <f t="shared" si="170"/>
        <v>#N/A</v>
      </c>
      <c r="F5272" s="3" t="e">
        <f t="shared" si="171"/>
        <v>#N/A</v>
      </c>
    </row>
    <row r="5273" spans="2:6" x14ac:dyDescent="0.25">
      <c r="B5273" s="3"/>
      <c r="C5273" s="3"/>
      <c r="D5273" s="3"/>
      <c r="E5273" s="3" t="e">
        <f t="shared" si="170"/>
        <v>#N/A</v>
      </c>
      <c r="F5273" s="3" t="e">
        <f t="shared" si="171"/>
        <v>#N/A</v>
      </c>
    </row>
    <row r="5274" spans="2:6" x14ac:dyDescent="0.25">
      <c r="B5274" s="3"/>
      <c r="C5274" s="3"/>
      <c r="D5274" s="3"/>
      <c r="E5274" s="3" t="e">
        <f t="shared" si="170"/>
        <v>#N/A</v>
      </c>
      <c r="F5274" s="3" t="e">
        <f t="shared" si="171"/>
        <v>#N/A</v>
      </c>
    </row>
    <row r="5275" spans="2:6" x14ac:dyDescent="0.25">
      <c r="B5275" s="3"/>
      <c r="C5275" s="3"/>
      <c r="D5275" s="3"/>
      <c r="E5275" s="3" t="e">
        <f t="shared" si="170"/>
        <v>#N/A</v>
      </c>
      <c r="F5275" s="3" t="e">
        <f t="shared" si="171"/>
        <v>#N/A</v>
      </c>
    </row>
    <row r="5276" spans="2:6" x14ac:dyDescent="0.25">
      <c r="B5276" s="3"/>
      <c r="C5276" s="3"/>
      <c r="D5276" s="3"/>
      <c r="E5276" s="3" t="e">
        <f t="shared" si="170"/>
        <v>#N/A</v>
      </c>
      <c r="F5276" s="3" t="e">
        <f t="shared" si="171"/>
        <v>#N/A</v>
      </c>
    </row>
    <row r="5277" spans="2:6" x14ac:dyDescent="0.25">
      <c r="B5277" s="3"/>
      <c r="C5277" s="3"/>
      <c r="D5277" s="3"/>
      <c r="E5277" s="3" t="e">
        <f t="shared" si="170"/>
        <v>#N/A</v>
      </c>
      <c r="F5277" s="3" t="e">
        <f t="shared" si="171"/>
        <v>#N/A</v>
      </c>
    </row>
    <row r="5278" spans="2:6" x14ac:dyDescent="0.25">
      <c r="B5278" s="3"/>
      <c r="C5278" s="3"/>
      <c r="D5278" s="3"/>
      <c r="E5278" s="3" t="e">
        <f t="shared" si="170"/>
        <v>#N/A</v>
      </c>
      <c r="F5278" s="3" t="e">
        <f t="shared" si="171"/>
        <v>#N/A</v>
      </c>
    </row>
    <row r="5279" spans="2:6" x14ac:dyDescent="0.25">
      <c r="B5279" s="3"/>
      <c r="C5279" s="3"/>
      <c r="D5279" s="3"/>
      <c r="E5279" s="3" t="e">
        <f t="shared" si="170"/>
        <v>#N/A</v>
      </c>
      <c r="F5279" s="3" t="e">
        <f t="shared" si="171"/>
        <v>#N/A</v>
      </c>
    </row>
    <row r="5280" spans="2:6" x14ac:dyDescent="0.25">
      <c r="B5280" s="3"/>
      <c r="C5280" s="3"/>
      <c r="D5280" s="3"/>
      <c r="E5280" s="3" t="e">
        <f t="shared" si="170"/>
        <v>#N/A</v>
      </c>
      <c r="F5280" s="3" t="e">
        <f t="shared" si="171"/>
        <v>#N/A</v>
      </c>
    </row>
    <row r="5281" spans="2:6" x14ac:dyDescent="0.25">
      <c r="B5281" s="3"/>
      <c r="C5281" s="3"/>
      <c r="D5281" s="3"/>
      <c r="E5281" s="3" t="e">
        <f t="shared" si="170"/>
        <v>#N/A</v>
      </c>
      <c r="F5281" s="3" t="e">
        <f t="shared" si="171"/>
        <v>#N/A</v>
      </c>
    </row>
    <row r="5282" spans="2:6" x14ac:dyDescent="0.25">
      <c r="B5282" s="3"/>
      <c r="C5282" s="3"/>
      <c r="D5282" s="3"/>
      <c r="E5282" s="3" t="e">
        <f t="shared" si="170"/>
        <v>#N/A</v>
      </c>
      <c r="F5282" s="3" t="e">
        <f t="shared" si="171"/>
        <v>#N/A</v>
      </c>
    </row>
    <row r="5283" spans="2:6" x14ac:dyDescent="0.25">
      <c r="B5283" s="3"/>
      <c r="C5283" s="3"/>
      <c r="D5283" s="3"/>
      <c r="E5283" s="3" t="e">
        <f t="shared" si="170"/>
        <v>#N/A</v>
      </c>
      <c r="F5283" s="3" t="e">
        <f t="shared" si="171"/>
        <v>#N/A</v>
      </c>
    </row>
    <row r="5284" spans="2:6" x14ac:dyDescent="0.25">
      <c r="B5284" s="3"/>
      <c r="C5284" s="3"/>
      <c r="D5284" s="3"/>
      <c r="E5284" s="3" t="e">
        <f t="shared" si="170"/>
        <v>#N/A</v>
      </c>
      <c r="F5284" s="3" t="e">
        <f t="shared" si="171"/>
        <v>#N/A</v>
      </c>
    </row>
    <row r="5285" spans="2:6" x14ac:dyDescent="0.25">
      <c r="B5285" s="3"/>
      <c r="C5285" s="3"/>
      <c r="D5285" s="3"/>
      <c r="E5285" s="3" t="e">
        <f t="shared" si="170"/>
        <v>#N/A</v>
      </c>
      <c r="F5285" s="3" t="e">
        <f t="shared" si="171"/>
        <v>#N/A</v>
      </c>
    </row>
    <row r="5286" spans="2:6" x14ac:dyDescent="0.25">
      <c r="B5286" s="3"/>
      <c r="C5286" s="3"/>
      <c r="D5286" s="3"/>
      <c r="E5286" s="3" t="e">
        <f t="shared" si="170"/>
        <v>#N/A</v>
      </c>
      <c r="F5286" s="3" t="e">
        <f t="shared" si="171"/>
        <v>#N/A</v>
      </c>
    </row>
    <row r="5287" spans="2:6" x14ac:dyDescent="0.25">
      <c r="B5287" s="3"/>
      <c r="C5287" s="3"/>
      <c r="D5287" s="3"/>
      <c r="E5287" s="3" t="e">
        <f t="shared" si="170"/>
        <v>#N/A</v>
      </c>
      <c r="F5287" s="3" t="e">
        <f t="shared" si="171"/>
        <v>#N/A</v>
      </c>
    </row>
    <row r="5288" spans="2:6" x14ac:dyDescent="0.25">
      <c r="B5288" s="3"/>
      <c r="C5288" s="3"/>
      <c r="D5288" s="3"/>
      <c r="E5288" s="3" t="e">
        <f t="shared" si="170"/>
        <v>#N/A</v>
      </c>
      <c r="F5288" s="3" t="e">
        <f t="shared" si="171"/>
        <v>#N/A</v>
      </c>
    </row>
    <row r="5289" spans="2:6" x14ac:dyDescent="0.25">
      <c r="B5289" s="3"/>
      <c r="C5289" s="3"/>
      <c r="D5289" s="3"/>
      <c r="E5289" s="3" t="e">
        <f t="shared" si="170"/>
        <v>#N/A</v>
      </c>
      <c r="F5289" s="3" t="e">
        <f t="shared" si="171"/>
        <v>#N/A</v>
      </c>
    </row>
    <row r="5290" spans="2:6" x14ac:dyDescent="0.25">
      <c r="B5290" s="3"/>
      <c r="C5290" s="3"/>
      <c r="D5290" s="3"/>
      <c r="E5290" s="3" t="e">
        <f t="shared" si="170"/>
        <v>#N/A</v>
      </c>
      <c r="F5290" s="3" t="e">
        <f t="shared" si="171"/>
        <v>#N/A</v>
      </c>
    </row>
    <row r="5291" spans="2:6" x14ac:dyDescent="0.25">
      <c r="B5291" s="3"/>
      <c r="C5291" s="3"/>
      <c r="D5291" s="3"/>
      <c r="E5291" s="3" t="e">
        <f t="shared" si="170"/>
        <v>#N/A</v>
      </c>
      <c r="F5291" s="3" t="e">
        <f t="shared" si="171"/>
        <v>#N/A</v>
      </c>
    </row>
    <row r="5292" spans="2:6" x14ac:dyDescent="0.25">
      <c r="B5292" s="3"/>
      <c r="C5292" s="3"/>
      <c r="D5292" s="3"/>
      <c r="E5292" s="3" t="e">
        <f t="shared" si="170"/>
        <v>#N/A</v>
      </c>
      <c r="F5292" s="3" t="e">
        <f t="shared" si="171"/>
        <v>#N/A</v>
      </c>
    </row>
    <row r="5293" spans="2:6" x14ac:dyDescent="0.25">
      <c r="B5293" s="3"/>
      <c r="C5293" s="3"/>
      <c r="D5293" s="3"/>
      <c r="E5293" s="3" t="e">
        <f t="shared" si="170"/>
        <v>#N/A</v>
      </c>
      <c r="F5293" s="3" t="e">
        <f t="shared" si="171"/>
        <v>#N/A</v>
      </c>
    </row>
    <row r="5294" spans="2:6" x14ac:dyDescent="0.25">
      <c r="B5294" s="3"/>
      <c r="C5294" s="3"/>
      <c r="D5294" s="3"/>
      <c r="E5294" s="3" t="e">
        <f t="shared" si="170"/>
        <v>#N/A</v>
      </c>
      <c r="F5294" s="3" t="e">
        <f t="shared" si="171"/>
        <v>#N/A</v>
      </c>
    </row>
    <row r="5295" spans="2:6" x14ac:dyDescent="0.25">
      <c r="B5295" s="3"/>
      <c r="C5295" s="3"/>
      <c r="D5295" s="3"/>
      <c r="E5295" s="3" t="e">
        <f t="shared" si="170"/>
        <v>#N/A</v>
      </c>
      <c r="F5295" s="3" t="e">
        <f t="shared" si="171"/>
        <v>#N/A</v>
      </c>
    </row>
    <row r="5296" spans="2:6" x14ac:dyDescent="0.25">
      <c r="B5296" s="3"/>
      <c r="C5296" s="3"/>
      <c r="D5296" s="3"/>
      <c r="E5296" s="3" t="e">
        <f t="shared" si="170"/>
        <v>#N/A</v>
      </c>
      <c r="F5296" s="3" t="e">
        <f t="shared" si="171"/>
        <v>#N/A</v>
      </c>
    </row>
    <row r="5297" spans="2:6" x14ac:dyDescent="0.25">
      <c r="B5297" s="3"/>
      <c r="C5297" s="3"/>
      <c r="D5297" s="3"/>
      <c r="E5297" s="3" t="e">
        <f t="shared" si="170"/>
        <v>#N/A</v>
      </c>
      <c r="F5297" s="3" t="e">
        <f t="shared" si="171"/>
        <v>#N/A</v>
      </c>
    </row>
    <row r="5298" spans="2:6" x14ac:dyDescent="0.25">
      <c r="B5298" s="3"/>
      <c r="C5298" s="3"/>
      <c r="D5298" s="3"/>
      <c r="E5298" s="3" t="e">
        <f t="shared" si="170"/>
        <v>#N/A</v>
      </c>
      <c r="F5298" s="3" t="e">
        <f t="shared" si="171"/>
        <v>#N/A</v>
      </c>
    </row>
    <row r="5299" spans="2:6" x14ac:dyDescent="0.25">
      <c r="B5299" s="3"/>
      <c r="C5299" s="3"/>
      <c r="D5299" s="3"/>
      <c r="E5299" s="3" t="e">
        <f t="shared" si="170"/>
        <v>#N/A</v>
      </c>
      <c r="F5299" s="3" t="e">
        <f t="shared" si="171"/>
        <v>#N/A</v>
      </c>
    </row>
    <row r="5300" spans="2:6" x14ac:dyDescent="0.25">
      <c r="B5300" s="3"/>
      <c r="C5300" s="3"/>
      <c r="D5300" s="3"/>
      <c r="E5300" s="3" t="e">
        <f t="shared" si="170"/>
        <v>#N/A</v>
      </c>
      <c r="F5300" s="3" t="e">
        <f t="shared" si="171"/>
        <v>#N/A</v>
      </c>
    </row>
    <row r="5301" spans="2:6" x14ac:dyDescent="0.25">
      <c r="B5301" s="3"/>
      <c r="C5301" s="3"/>
      <c r="D5301" s="3"/>
      <c r="E5301" s="3" t="e">
        <f t="shared" si="170"/>
        <v>#N/A</v>
      </c>
      <c r="F5301" s="3" t="e">
        <f t="shared" si="171"/>
        <v>#N/A</v>
      </c>
    </row>
    <row r="5302" spans="2:6" x14ac:dyDescent="0.25">
      <c r="B5302" s="3"/>
      <c r="C5302" s="3"/>
      <c r="D5302" s="3"/>
      <c r="E5302" s="3" t="e">
        <f t="shared" si="170"/>
        <v>#N/A</v>
      </c>
      <c r="F5302" s="3" t="e">
        <f t="shared" si="171"/>
        <v>#N/A</v>
      </c>
    </row>
    <row r="5303" spans="2:6" x14ac:dyDescent="0.25">
      <c r="B5303" s="3"/>
      <c r="C5303" s="3"/>
      <c r="D5303" s="3"/>
      <c r="E5303" s="3" t="e">
        <f t="shared" si="170"/>
        <v>#N/A</v>
      </c>
      <c r="F5303" s="3" t="e">
        <f t="shared" si="171"/>
        <v>#N/A</v>
      </c>
    </row>
    <row r="5304" spans="2:6" x14ac:dyDescent="0.25">
      <c r="B5304" s="3"/>
      <c r="C5304" s="3"/>
      <c r="D5304" s="3"/>
      <c r="E5304" s="3" t="e">
        <f t="shared" si="170"/>
        <v>#N/A</v>
      </c>
      <c r="F5304" s="3" t="e">
        <f t="shared" si="171"/>
        <v>#N/A</v>
      </c>
    </row>
    <row r="5305" spans="2:6" x14ac:dyDescent="0.25">
      <c r="B5305" s="3"/>
      <c r="C5305" s="3"/>
      <c r="D5305" s="3"/>
      <c r="E5305" s="3" t="e">
        <f t="shared" si="170"/>
        <v>#N/A</v>
      </c>
      <c r="F5305" s="3" t="e">
        <f t="shared" si="171"/>
        <v>#N/A</v>
      </c>
    </row>
    <row r="5306" spans="2:6" x14ac:dyDescent="0.25">
      <c r="B5306" s="3"/>
      <c r="C5306" s="3"/>
      <c r="D5306" s="3"/>
      <c r="E5306" s="3" t="e">
        <f t="shared" si="170"/>
        <v>#N/A</v>
      </c>
      <c r="F5306" s="3" t="e">
        <f t="shared" si="171"/>
        <v>#N/A</v>
      </c>
    </row>
    <row r="5307" spans="2:6" x14ac:dyDescent="0.25">
      <c r="B5307" s="3"/>
      <c r="C5307" s="3"/>
      <c r="D5307" s="3"/>
      <c r="E5307" s="3" t="e">
        <f t="shared" si="170"/>
        <v>#N/A</v>
      </c>
      <c r="F5307" s="3" t="e">
        <f t="shared" si="171"/>
        <v>#N/A</v>
      </c>
    </row>
    <row r="5308" spans="2:6" x14ac:dyDescent="0.25">
      <c r="B5308" s="3"/>
      <c r="C5308" s="3"/>
      <c r="D5308" s="3"/>
      <c r="E5308" s="3" t="e">
        <f t="shared" si="170"/>
        <v>#N/A</v>
      </c>
      <c r="F5308" s="3" t="e">
        <f t="shared" si="171"/>
        <v>#N/A</v>
      </c>
    </row>
    <row r="5309" spans="2:6" x14ac:dyDescent="0.25">
      <c r="B5309" s="3"/>
      <c r="C5309" s="3"/>
      <c r="D5309" s="3"/>
      <c r="E5309" s="3" t="e">
        <f t="shared" si="170"/>
        <v>#N/A</v>
      </c>
      <c r="F5309" s="3" t="e">
        <f t="shared" si="171"/>
        <v>#N/A</v>
      </c>
    </row>
    <row r="5310" spans="2:6" x14ac:dyDescent="0.25">
      <c r="B5310" s="3"/>
      <c r="C5310" s="3"/>
      <c r="D5310" s="3"/>
      <c r="E5310" s="3" t="e">
        <f t="shared" si="170"/>
        <v>#N/A</v>
      </c>
      <c r="F5310" s="3" t="e">
        <f t="shared" si="171"/>
        <v>#N/A</v>
      </c>
    </row>
    <row r="5311" spans="2:6" x14ac:dyDescent="0.25">
      <c r="B5311" s="3"/>
      <c r="C5311" s="3"/>
      <c r="D5311" s="3"/>
      <c r="E5311" s="3" t="e">
        <f t="shared" si="170"/>
        <v>#N/A</v>
      </c>
      <c r="F5311" s="3" t="e">
        <f t="shared" si="171"/>
        <v>#N/A</v>
      </c>
    </row>
    <row r="5312" spans="2:6" x14ac:dyDescent="0.25">
      <c r="B5312" s="3"/>
      <c r="C5312" s="3"/>
      <c r="D5312" s="3"/>
      <c r="E5312" s="3" t="e">
        <f t="shared" si="170"/>
        <v>#N/A</v>
      </c>
      <c r="F5312" s="3" t="e">
        <f t="shared" si="171"/>
        <v>#N/A</v>
      </c>
    </row>
    <row r="5313" spans="2:6" x14ac:dyDescent="0.25">
      <c r="B5313" s="3"/>
      <c r="C5313" s="3"/>
      <c r="D5313" s="3"/>
      <c r="E5313" s="3" t="e">
        <f t="shared" si="170"/>
        <v>#N/A</v>
      </c>
      <c r="F5313" s="3" t="e">
        <f t="shared" si="171"/>
        <v>#N/A</v>
      </c>
    </row>
    <row r="5314" spans="2:6" x14ac:dyDescent="0.25">
      <c r="B5314" s="3"/>
      <c r="C5314" s="3"/>
      <c r="D5314" s="3"/>
      <c r="E5314" s="3" t="e">
        <f t="shared" si="170"/>
        <v>#N/A</v>
      </c>
      <c r="F5314" s="3" t="e">
        <f t="shared" si="171"/>
        <v>#N/A</v>
      </c>
    </row>
    <row r="5315" spans="2:6" x14ac:dyDescent="0.25">
      <c r="B5315" s="3"/>
      <c r="C5315" s="3"/>
      <c r="D5315" s="3"/>
      <c r="E5315" s="3" t="e">
        <f t="shared" si="170"/>
        <v>#N/A</v>
      </c>
      <c r="F5315" s="3" t="e">
        <f t="shared" si="171"/>
        <v>#N/A</v>
      </c>
    </row>
    <row r="5316" spans="2:6" x14ac:dyDescent="0.25">
      <c r="B5316" s="3"/>
      <c r="C5316" s="3"/>
      <c r="D5316" s="3"/>
      <c r="E5316" s="3" t="e">
        <f t="shared" si="170"/>
        <v>#N/A</v>
      </c>
      <c r="F5316" s="3" t="e">
        <f t="shared" si="171"/>
        <v>#N/A</v>
      </c>
    </row>
    <row r="5317" spans="2:6" x14ac:dyDescent="0.25">
      <c r="B5317" s="3"/>
      <c r="C5317" s="3"/>
      <c r="D5317" s="3"/>
      <c r="E5317" s="3" t="e">
        <f t="shared" si="170"/>
        <v>#N/A</v>
      </c>
      <c r="F5317" s="3" t="e">
        <f t="shared" si="171"/>
        <v>#N/A</v>
      </c>
    </row>
    <row r="5318" spans="2:6" x14ac:dyDescent="0.25">
      <c r="B5318" s="3"/>
      <c r="C5318" s="3"/>
      <c r="D5318" s="3"/>
      <c r="E5318" s="3" t="e">
        <f t="shared" si="170"/>
        <v>#N/A</v>
      </c>
      <c r="F5318" s="3" t="e">
        <f t="shared" si="171"/>
        <v>#N/A</v>
      </c>
    </row>
    <row r="5319" spans="2:6" x14ac:dyDescent="0.25">
      <c r="B5319" s="3"/>
      <c r="C5319" s="3"/>
      <c r="D5319" s="3"/>
      <c r="E5319" s="3" t="e">
        <f t="shared" si="170"/>
        <v>#N/A</v>
      </c>
      <c r="F5319" s="3" t="e">
        <f t="shared" si="171"/>
        <v>#N/A</v>
      </c>
    </row>
    <row r="5320" spans="2:6" x14ac:dyDescent="0.25">
      <c r="B5320" s="3"/>
      <c r="C5320" s="3"/>
      <c r="D5320" s="3"/>
      <c r="E5320" s="3" t="e">
        <f t="shared" si="170"/>
        <v>#N/A</v>
      </c>
      <c r="F5320" s="3" t="e">
        <f t="shared" si="171"/>
        <v>#N/A</v>
      </c>
    </row>
    <row r="5321" spans="2:6" x14ac:dyDescent="0.25">
      <c r="B5321" s="3"/>
      <c r="C5321" s="3"/>
      <c r="D5321" s="3"/>
      <c r="E5321" s="3" t="e">
        <f t="shared" si="170"/>
        <v>#N/A</v>
      </c>
      <c r="F5321" s="3" t="e">
        <f t="shared" si="171"/>
        <v>#N/A</v>
      </c>
    </row>
    <row r="5322" spans="2:6" x14ac:dyDescent="0.25">
      <c r="B5322" s="3"/>
      <c r="C5322" s="3"/>
      <c r="D5322" s="3"/>
      <c r="E5322" s="3" t="e">
        <f t="shared" si="170"/>
        <v>#N/A</v>
      </c>
      <c r="F5322" s="3" t="e">
        <f t="shared" si="171"/>
        <v>#N/A</v>
      </c>
    </row>
    <row r="5323" spans="2:6" x14ac:dyDescent="0.25">
      <c r="B5323" s="3"/>
      <c r="C5323" s="3"/>
      <c r="D5323" s="3"/>
      <c r="E5323" s="3" t="e">
        <f t="shared" si="170"/>
        <v>#N/A</v>
      </c>
      <c r="F5323" s="3" t="e">
        <f t="shared" si="171"/>
        <v>#N/A</v>
      </c>
    </row>
    <row r="5324" spans="2:6" x14ac:dyDescent="0.25">
      <c r="B5324" s="3"/>
      <c r="C5324" s="3"/>
      <c r="D5324" s="3"/>
      <c r="E5324" s="3" t="e">
        <f t="shared" si="170"/>
        <v>#N/A</v>
      </c>
      <c r="F5324" s="3" t="e">
        <f t="shared" si="171"/>
        <v>#N/A</v>
      </c>
    </row>
    <row r="5325" spans="2:6" x14ac:dyDescent="0.25">
      <c r="B5325" s="3"/>
      <c r="C5325" s="3"/>
      <c r="D5325" s="3"/>
      <c r="E5325" s="3" t="e">
        <f t="shared" si="170"/>
        <v>#N/A</v>
      </c>
      <c r="F5325" s="3" t="e">
        <f t="shared" si="171"/>
        <v>#N/A</v>
      </c>
    </row>
    <row r="5326" spans="2:6" x14ac:dyDescent="0.25">
      <c r="B5326" s="3"/>
      <c r="C5326" s="3"/>
      <c r="D5326" s="3"/>
      <c r="E5326" s="3" t="e">
        <f t="shared" ref="E5326:E5389" si="172">VLOOKUP(C5326,I:J,2,0)</f>
        <v>#N/A</v>
      </c>
      <c r="F5326" s="3" t="e">
        <f t="shared" ref="F5326:F5389" si="173">E5326&amp;" "&amp;B5326</f>
        <v>#N/A</v>
      </c>
    </row>
    <row r="5327" spans="2:6" x14ac:dyDescent="0.25">
      <c r="B5327" s="3"/>
      <c r="C5327" s="3"/>
      <c r="D5327" s="3"/>
      <c r="E5327" s="3" t="e">
        <f t="shared" si="172"/>
        <v>#N/A</v>
      </c>
      <c r="F5327" s="3" t="e">
        <f t="shared" si="173"/>
        <v>#N/A</v>
      </c>
    </row>
    <row r="5328" spans="2:6" x14ac:dyDescent="0.25">
      <c r="B5328" s="3"/>
      <c r="C5328" s="3"/>
      <c r="D5328" s="3"/>
      <c r="E5328" s="3" t="e">
        <f t="shared" si="172"/>
        <v>#N/A</v>
      </c>
      <c r="F5328" s="3" t="e">
        <f t="shared" si="173"/>
        <v>#N/A</v>
      </c>
    </row>
    <row r="5329" spans="2:6" x14ac:dyDescent="0.25">
      <c r="B5329" s="3"/>
      <c r="C5329" s="3"/>
      <c r="D5329" s="3"/>
      <c r="E5329" s="3" t="e">
        <f t="shared" si="172"/>
        <v>#N/A</v>
      </c>
      <c r="F5329" s="3" t="e">
        <f t="shared" si="173"/>
        <v>#N/A</v>
      </c>
    </row>
    <row r="5330" spans="2:6" x14ac:dyDescent="0.25">
      <c r="B5330" s="3"/>
      <c r="C5330" s="3"/>
      <c r="D5330" s="3"/>
      <c r="E5330" s="3" t="e">
        <f t="shared" si="172"/>
        <v>#N/A</v>
      </c>
      <c r="F5330" s="3" t="e">
        <f t="shared" si="173"/>
        <v>#N/A</v>
      </c>
    </row>
    <row r="5331" spans="2:6" x14ac:dyDescent="0.25">
      <c r="B5331" s="3"/>
      <c r="C5331" s="3"/>
      <c r="D5331" s="3"/>
      <c r="E5331" s="3" t="e">
        <f t="shared" si="172"/>
        <v>#N/A</v>
      </c>
      <c r="F5331" s="3" t="e">
        <f t="shared" si="173"/>
        <v>#N/A</v>
      </c>
    </row>
    <row r="5332" spans="2:6" x14ac:dyDescent="0.25">
      <c r="B5332" s="3"/>
      <c r="C5332" s="3"/>
      <c r="D5332" s="3"/>
      <c r="E5332" s="3" t="e">
        <f t="shared" si="172"/>
        <v>#N/A</v>
      </c>
      <c r="F5332" s="3" t="e">
        <f t="shared" si="173"/>
        <v>#N/A</v>
      </c>
    </row>
    <row r="5333" spans="2:6" x14ac:dyDescent="0.25">
      <c r="B5333" s="3"/>
      <c r="C5333" s="3"/>
      <c r="D5333" s="3"/>
      <c r="E5333" s="3" t="e">
        <f t="shared" si="172"/>
        <v>#N/A</v>
      </c>
      <c r="F5333" s="3" t="e">
        <f t="shared" si="173"/>
        <v>#N/A</v>
      </c>
    </row>
    <row r="5334" spans="2:6" x14ac:dyDescent="0.25">
      <c r="B5334" s="3"/>
      <c r="C5334" s="3"/>
      <c r="D5334" s="3"/>
      <c r="E5334" s="3" t="e">
        <f t="shared" si="172"/>
        <v>#N/A</v>
      </c>
      <c r="F5334" s="3" t="e">
        <f t="shared" si="173"/>
        <v>#N/A</v>
      </c>
    </row>
    <row r="5335" spans="2:6" x14ac:dyDescent="0.25">
      <c r="B5335" s="3"/>
      <c r="C5335" s="3"/>
      <c r="D5335" s="3"/>
      <c r="E5335" s="3" t="e">
        <f t="shared" si="172"/>
        <v>#N/A</v>
      </c>
      <c r="F5335" s="3" t="e">
        <f t="shared" si="173"/>
        <v>#N/A</v>
      </c>
    </row>
    <row r="5336" spans="2:6" x14ac:dyDescent="0.25">
      <c r="B5336" s="3"/>
      <c r="C5336" s="3"/>
      <c r="D5336" s="3"/>
      <c r="E5336" s="3" t="e">
        <f t="shared" si="172"/>
        <v>#N/A</v>
      </c>
      <c r="F5336" s="3" t="e">
        <f t="shared" si="173"/>
        <v>#N/A</v>
      </c>
    </row>
    <row r="5337" spans="2:6" x14ac:dyDescent="0.25">
      <c r="B5337" s="3"/>
      <c r="C5337" s="3"/>
      <c r="D5337" s="3"/>
      <c r="E5337" s="3" t="e">
        <f t="shared" si="172"/>
        <v>#N/A</v>
      </c>
      <c r="F5337" s="3" t="e">
        <f t="shared" si="173"/>
        <v>#N/A</v>
      </c>
    </row>
    <row r="5338" spans="2:6" x14ac:dyDescent="0.25">
      <c r="B5338" s="3"/>
      <c r="C5338" s="3"/>
      <c r="D5338" s="3"/>
      <c r="E5338" s="3" t="e">
        <f t="shared" si="172"/>
        <v>#N/A</v>
      </c>
      <c r="F5338" s="3" t="e">
        <f t="shared" si="173"/>
        <v>#N/A</v>
      </c>
    </row>
    <row r="5339" spans="2:6" x14ac:dyDescent="0.25">
      <c r="B5339" s="3"/>
      <c r="C5339" s="3"/>
      <c r="D5339" s="3"/>
      <c r="E5339" s="3" t="e">
        <f t="shared" si="172"/>
        <v>#N/A</v>
      </c>
      <c r="F5339" s="3" t="e">
        <f t="shared" si="173"/>
        <v>#N/A</v>
      </c>
    </row>
    <row r="5340" spans="2:6" x14ac:dyDescent="0.25">
      <c r="B5340" s="3"/>
      <c r="C5340" s="3"/>
      <c r="D5340" s="3"/>
      <c r="E5340" s="3" t="e">
        <f t="shared" si="172"/>
        <v>#N/A</v>
      </c>
      <c r="F5340" s="3" t="e">
        <f t="shared" si="173"/>
        <v>#N/A</v>
      </c>
    </row>
    <row r="5341" spans="2:6" x14ac:dyDescent="0.25">
      <c r="B5341" s="3"/>
      <c r="C5341" s="3"/>
      <c r="D5341" s="3"/>
      <c r="E5341" s="3" t="e">
        <f t="shared" si="172"/>
        <v>#N/A</v>
      </c>
      <c r="F5341" s="3" t="e">
        <f t="shared" si="173"/>
        <v>#N/A</v>
      </c>
    </row>
    <row r="5342" spans="2:6" x14ac:dyDescent="0.25">
      <c r="B5342" s="3"/>
      <c r="C5342" s="3"/>
      <c r="D5342" s="3"/>
      <c r="E5342" s="3" t="e">
        <f t="shared" si="172"/>
        <v>#N/A</v>
      </c>
      <c r="F5342" s="3" t="e">
        <f t="shared" si="173"/>
        <v>#N/A</v>
      </c>
    </row>
    <row r="5343" spans="2:6" x14ac:dyDescent="0.25">
      <c r="B5343" s="3"/>
      <c r="C5343" s="3"/>
      <c r="D5343" s="3"/>
      <c r="E5343" s="3" t="e">
        <f t="shared" si="172"/>
        <v>#N/A</v>
      </c>
      <c r="F5343" s="3" t="e">
        <f t="shared" si="173"/>
        <v>#N/A</v>
      </c>
    </row>
    <row r="5344" spans="2:6" x14ac:dyDescent="0.25">
      <c r="B5344" s="3"/>
      <c r="C5344" s="3"/>
      <c r="D5344" s="3"/>
      <c r="E5344" s="3" t="e">
        <f t="shared" si="172"/>
        <v>#N/A</v>
      </c>
      <c r="F5344" s="3" t="e">
        <f t="shared" si="173"/>
        <v>#N/A</v>
      </c>
    </row>
    <row r="5345" spans="2:6" x14ac:dyDescent="0.25">
      <c r="B5345" s="3"/>
      <c r="C5345" s="3"/>
      <c r="D5345" s="3"/>
      <c r="E5345" s="3" t="e">
        <f t="shared" si="172"/>
        <v>#N/A</v>
      </c>
      <c r="F5345" s="3" t="e">
        <f t="shared" si="173"/>
        <v>#N/A</v>
      </c>
    </row>
    <row r="5346" spans="2:6" x14ac:dyDescent="0.25">
      <c r="B5346" s="3"/>
      <c r="C5346" s="3"/>
      <c r="D5346" s="3"/>
      <c r="E5346" s="3" t="e">
        <f t="shared" si="172"/>
        <v>#N/A</v>
      </c>
      <c r="F5346" s="3" t="e">
        <f t="shared" si="173"/>
        <v>#N/A</v>
      </c>
    </row>
    <row r="5347" spans="2:6" x14ac:dyDescent="0.25">
      <c r="B5347" s="3"/>
      <c r="C5347" s="3"/>
      <c r="D5347" s="3"/>
      <c r="E5347" s="3" t="e">
        <f t="shared" si="172"/>
        <v>#N/A</v>
      </c>
      <c r="F5347" s="3" t="e">
        <f t="shared" si="173"/>
        <v>#N/A</v>
      </c>
    </row>
    <row r="5348" spans="2:6" x14ac:dyDescent="0.25">
      <c r="B5348" s="3"/>
      <c r="C5348" s="3"/>
      <c r="D5348" s="3"/>
      <c r="E5348" s="3" t="e">
        <f t="shared" si="172"/>
        <v>#N/A</v>
      </c>
      <c r="F5348" s="3" t="e">
        <f t="shared" si="173"/>
        <v>#N/A</v>
      </c>
    </row>
    <row r="5349" spans="2:6" x14ac:dyDescent="0.25">
      <c r="B5349" s="3"/>
      <c r="C5349" s="3"/>
      <c r="D5349" s="3"/>
      <c r="E5349" s="3" t="e">
        <f t="shared" si="172"/>
        <v>#N/A</v>
      </c>
      <c r="F5349" s="3" t="e">
        <f t="shared" si="173"/>
        <v>#N/A</v>
      </c>
    </row>
    <row r="5350" spans="2:6" x14ac:dyDescent="0.25">
      <c r="B5350" s="3"/>
      <c r="C5350" s="3"/>
      <c r="D5350" s="3"/>
      <c r="E5350" s="3" t="e">
        <f t="shared" si="172"/>
        <v>#N/A</v>
      </c>
      <c r="F5350" s="3" t="e">
        <f t="shared" si="173"/>
        <v>#N/A</v>
      </c>
    </row>
    <row r="5351" spans="2:6" x14ac:dyDescent="0.25">
      <c r="B5351" s="3"/>
      <c r="C5351" s="3"/>
      <c r="D5351" s="3"/>
      <c r="E5351" s="3" t="e">
        <f t="shared" si="172"/>
        <v>#N/A</v>
      </c>
      <c r="F5351" s="3" t="e">
        <f t="shared" si="173"/>
        <v>#N/A</v>
      </c>
    </row>
    <row r="5352" spans="2:6" x14ac:dyDescent="0.25">
      <c r="B5352" s="3"/>
      <c r="C5352" s="3"/>
      <c r="D5352" s="3"/>
      <c r="E5352" s="3" t="e">
        <f t="shared" si="172"/>
        <v>#N/A</v>
      </c>
      <c r="F5352" s="3" t="e">
        <f t="shared" si="173"/>
        <v>#N/A</v>
      </c>
    </row>
    <row r="5353" spans="2:6" x14ac:dyDescent="0.25">
      <c r="B5353" s="3"/>
      <c r="C5353" s="3"/>
      <c r="D5353" s="3"/>
      <c r="E5353" s="3" t="e">
        <f t="shared" si="172"/>
        <v>#N/A</v>
      </c>
      <c r="F5353" s="3" t="e">
        <f t="shared" si="173"/>
        <v>#N/A</v>
      </c>
    </row>
    <row r="5354" spans="2:6" x14ac:dyDescent="0.25">
      <c r="B5354" s="3"/>
      <c r="C5354" s="3"/>
      <c r="D5354" s="3"/>
      <c r="E5354" s="3" t="e">
        <f t="shared" si="172"/>
        <v>#N/A</v>
      </c>
      <c r="F5354" s="3" t="e">
        <f t="shared" si="173"/>
        <v>#N/A</v>
      </c>
    </row>
    <row r="5355" spans="2:6" x14ac:dyDescent="0.25">
      <c r="B5355" s="3"/>
      <c r="C5355" s="3"/>
      <c r="D5355" s="3"/>
      <c r="E5355" s="3" t="e">
        <f t="shared" si="172"/>
        <v>#N/A</v>
      </c>
      <c r="F5355" s="3" t="e">
        <f t="shared" si="173"/>
        <v>#N/A</v>
      </c>
    </row>
    <row r="5356" spans="2:6" x14ac:dyDescent="0.25">
      <c r="B5356" s="3"/>
      <c r="C5356" s="3"/>
      <c r="D5356" s="3"/>
      <c r="E5356" s="3" t="e">
        <f t="shared" si="172"/>
        <v>#N/A</v>
      </c>
      <c r="F5356" s="3" t="e">
        <f t="shared" si="173"/>
        <v>#N/A</v>
      </c>
    </row>
    <row r="5357" spans="2:6" x14ac:dyDescent="0.25">
      <c r="B5357" s="3"/>
      <c r="C5357" s="3"/>
      <c r="D5357" s="3"/>
      <c r="E5357" s="3" t="e">
        <f t="shared" si="172"/>
        <v>#N/A</v>
      </c>
      <c r="F5357" s="3" t="e">
        <f t="shared" si="173"/>
        <v>#N/A</v>
      </c>
    </row>
    <row r="5358" spans="2:6" x14ac:dyDescent="0.25">
      <c r="B5358" s="3"/>
      <c r="C5358" s="3"/>
      <c r="D5358" s="3"/>
      <c r="E5358" s="3" t="e">
        <f t="shared" si="172"/>
        <v>#N/A</v>
      </c>
      <c r="F5358" s="3" t="e">
        <f t="shared" si="173"/>
        <v>#N/A</v>
      </c>
    </row>
    <row r="5359" spans="2:6" x14ac:dyDescent="0.25">
      <c r="B5359" s="3"/>
      <c r="C5359" s="3"/>
      <c r="D5359" s="3"/>
      <c r="E5359" s="3" t="e">
        <f t="shared" si="172"/>
        <v>#N/A</v>
      </c>
      <c r="F5359" s="3" t="e">
        <f t="shared" si="173"/>
        <v>#N/A</v>
      </c>
    </row>
    <row r="5360" spans="2:6" x14ac:dyDescent="0.25">
      <c r="B5360" s="3"/>
      <c r="C5360" s="3"/>
      <c r="D5360" s="3"/>
      <c r="E5360" s="3" t="e">
        <f t="shared" si="172"/>
        <v>#N/A</v>
      </c>
      <c r="F5360" s="3" t="e">
        <f t="shared" si="173"/>
        <v>#N/A</v>
      </c>
    </row>
    <row r="5361" spans="2:6" x14ac:dyDescent="0.25">
      <c r="B5361" s="3"/>
      <c r="C5361" s="3"/>
      <c r="D5361" s="3"/>
      <c r="E5361" s="3" t="e">
        <f t="shared" si="172"/>
        <v>#N/A</v>
      </c>
      <c r="F5361" s="3" t="e">
        <f t="shared" si="173"/>
        <v>#N/A</v>
      </c>
    </row>
    <row r="5362" spans="2:6" x14ac:dyDescent="0.25">
      <c r="B5362" s="3"/>
      <c r="C5362" s="3"/>
      <c r="D5362" s="3"/>
      <c r="E5362" s="3" t="e">
        <f t="shared" si="172"/>
        <v>#N/A</v>
      </c>
      <c r="F5362" s="3" t="e">
        <f t="shared" si="173"/>
        <v>#N/A</v>
      </c>
    </row>
    <row r="5363" spans="2:6" x14ac:dyDescent="0.25">
      <c r="B5363" s="3"/>
      <c r="C5363" s="3"/>
      <c r="D5363" s="3"/>
      <c r="E5363" s="3" t="e">
        <f t="shared" si="172"/>
        <v>#N/A</v>
      </c>
      <c r="F5363" s="3" t="e">
        <f t="shared" si="173"/>
        <v>#N/A</v>
      </c>
    </row>
    <row r="5364" spans="2:6" x14ac:dyDescent="0.25">
      <c r="B5364" s="3"/>
      <c r="C5364" s="3"/>
      <c r="D5364" s="3"/>
      <c r="E5364" s="3" t="e">
        <f t="shared" si="172"/>
        <v>#N/A</v>
      </c>
      <c r="F5364" s="3" t="e">
        <f t="shared" si="173"/>
        <v>#N/A</v>
      </c>
    </row>
    <row r="5365" spans="2:6" x14ac:dyDescent="0.25">
      <c r="B5365" s="3"/>
      <c r="C5365" s="3"/>
      <c r="D5365" s="3"/>
      <c r="E5365" s="3" t="e">
        <f t="shared" si="172"/>
        <v>#N/A</v>
      </c>
      <c r="F5365" s="3" t="e">
        <f t="shared" si="173"/>
        <v>#N/A</v>
      </c>
    </row>
    <row r="5366" spans="2:6" x14ac:dyDescent="0.25">
      <c r="B5366" s="3"/>
      <c r="C5366" s="3"/>
      <c r="D5366" s="3"/>
      <c r="E5366" s="3" t="e">
        <f t="shared" si="172"/>
        <v>#N/A</v>
      </c>
      <c r="F5366" s="3" t="e">
        <f t="shared" si="173"/>
        <v>#N/A</v>
      </c>
    </row>
    <row r="5367" spans="2:6" x14ac:dyDescent="0.25">
      <c r="B5367" s="3"/>
      <c r="C5367" s="3"/>
      <c r="D5367" s="3"/>
      <c r="E5367" s="3" t="e">
        <f t="shared" si="172"/>
        <v>#N/A</v>
      </c>
      <c r="F5367" s="3" t="e">
        <f t="shared" si="173"/>
        <v>#N/A</v>
      </c>
    </row>
    <row r="5368" spans="2:6" x14ac:dyDescent="0.25">
      <c r="B5368" s="3"/>
      <c r="C5368" s="3"/>
      <c r="D5368" s="3"/>
      <c r="E5368" s="3" t="e">
        <f t="shared" si="172"/>
        <v>#N/A</v>
      </c>
      <c r="F5368" s="3" t="e">
        <f t="shared" si="173"/>
        <v>#N/A</v>
      </c>
    </row>
    <row r="5369" spans="2:6" x14ac:dyDescent="0.25">
      <c r="B5369" s="3"/>
      <c r="C5369" s="3"/>
      <c r="D5369" s="3"/>
      <c r="E5369" s="3" t="e">
        <f t="shared" si="172"/>
        <v>#N/A</v>
      </c>
      <c r="F5369" s="3" t="e">
        <f t="shared" si="173"/>
        <v>#N/A</v>
      </c>
    </row>
    <row r="5370" spans="2:6" x14ac:dyDescent="0.25">
      <c r="B5370" s="3"/>
      <c r="C5370" s="3"/>
      <c r="D5370" s="3"/>
      <c r="E5370" s="3" t="e">
        <f t="shared" si="172"/>
        <v>#N/A</v>
      </c>
      <c r="F5370" s="3" t="e">
        <f t="shared" si="173"/>
        <v>#N/A</v>
      </c>
    </row>
    <row r="5371" spans="2:6" x14ac:dyDescent="0.25">
      <c r="B5371" s="3"/>
      <c r="C5371" s="3"/>
      <c r="D5371" s="3"/>
      <c r="E5371" s="3" t="e">
        <f t="shared" si="172"/>
        <v>#N/A</v>
      </c>
      <c r="F5371" s="3" t="e">
        <f t="shared" si="173"/>
        <v>#N/A</v>
      </c>
    </row>
    <row r="5372" spans="2:6" x14ac:dyDescent="0.25">
      <c r="B5372" s="3"/>
      <c r="C5372" s="3"/>
      <c r="D5372" s="3"/>
      <c r="E5372" s="3" t="e">
        <f t="shared" si="172"/>
        <v>#N/A</v>
      </c>
      <c r="F5372" s="3" t="e">
        <f t="shared" si="173"/>
        <v>#N/A</v>
      </c>
    </row>
    <row r="5373" spans="2:6" x14ac:dyDescent="0.25">
      <c r="B5373" s="3"/>
      <c r="C5373" s="3"/>
      <c r="D5373" s="3"/>
      <c r="E5373" s="3" t="e">
        <f t="shared" si="172"/>
        <v>#N/A</v>
      </c>
      <c r="F5373" s="3" t="e">
        <f t="shared" si="173"/>
        <v>#N/A</v>
      </c>
    </row>
    <row r="5374" spans="2:6" x14ac:dyDescent="0.25">
      <c r="B5374" s="3"/>
      <c r="C5374" s="3"/>
      <c r="D5374" s="3"/>
      <c r="E5374" s="3" t="e">
        <f t="shared" si="172"/>
        <v>#N/A</v>
      </c>
      <c r="F5374" s="3" t="e">
        <f t="shared" si="173"/>
        <v>#N/A</v>
      </c>
    </row>
    <row r="5375" spans="2:6" x14ac:dyDescent="0.25">
      <c r="B5375" s="3"/>
      <c r="C5375" s="3"/>
      <c r="D5375" s="3"/>
      <c r="E5375" s="3" t="e">
        <f t="shared" si="172"/>
        <v>#N/A</v>
      </c>
      <c r="F5375" s="3" t="e">
        <f t="shared" si="173"/>
        <v>#N/A</v>
      </c>
    </row>
    <row r="5376" spans="2:6" x14ac:dyDescent="0.25">
      <c r="B5376" s="3"/>
      <c r="C5376" s="3"/>
      <c r="D5376" s="3"/>
      <c r="E5376" s="3" t="e">
        <f t="shared" si="172"/>
        <v>#N/A</v>
      </c>
      <c r="F5376" s="3" t="e">
        <f t="shared" si="173"/>
        <v>#N/A</v>
      </c>
    </row>
    <row r="5377" spans="2:6" x14ac:dyDescent="0.25">
      <c r="B5377" s="3"/>
      <c r="C5377" s="3"/>
      <c r="D5377" s="3"/>
      <c r="E5377" s="3" t="e">
        <f t="shared" si="172"/>
        <v>#N/A</v>
      </c>
      <c r="F5377" s="3" t="e">
        <f t="shared" si="173"/>
        <v>#N/A</v>
      </c>
    </row>
    <row r="5378" spans="2:6" x14ac:dyDescent="0.25">
      <c r="B5378" s="3"/>
      <c r="C5378" s="3"/>
      <c r="D5378" s="3"/>
      <c r="E5378" s="3" t="e">
        <f t="shared" si="172"/>
        <v>#N/A</v>
      </c>
      <c r="F5378" s="3" t="e">
        <f t="shared" si="173"/>
        <v>#N/A</v>
      </c>
    </row>
    <row r="5379" spans="2:6" x14ac:dyDescent="0.25">
      <c r="B5379" s="3"/>
      <c r="C5379" s="3"/>
      <c r="D5379" s="3"/>
      <c r="E5379" s="3" t="e">
        <f t="shared" si="172"/>
        <v>#N/A</v>
      </c>
      <c r="F5379" s="3" t="e">
        <f t="shared" si="173"/>
        <v>#N/A</v>
      </c>
    </row>
    <row r="5380" spans="2:6" x14ac:dyDescent="0.25">
      <c r="B5380" s="3"/>
      <c r="C5380" s="3"/>
      <c r="D5380" s="3"/>
      <c r="E5380" s="3" t="e">
        <f t="shared" si="172"/>
        <v>#N/A</v>
      </c>
      <c r="F5380" s="3" t="e">
        <f t="shared" si="173"/>
        <v>#N/A</v>
      </c>
    </row>
    <row r="5381" spans="2:6" x14ac:dyDescent="0.25">
      <c r="B5381" s="3"/>
      <c r="C5381" s="3"/>
      <c r="D5381" s="3"/>
      <c r="E5381" s="3" t="e">
        <f t="shared" si="172"/>
        <v>#N/A</v>
      </c>
      <c r="F5381" s="3" t="e">
        <f t="shared" si="173"/>
        <v>#N/A</v>
      </c>
    </row>
    <row r="5382" spans="2:6" x14ac:dyDescent="0.25">
      <c r="B5382" s="3"/>
      <c r="C5382" s="3"/>
      <c r="D5382" s="3"/>
      <c r="E5382" s="3" t="e">
        <f t="shared" si="172"/>
        <v>#N/A</v>
      </c>
      <c r="F5382" s="3" t="e">
        <f t="shared" si="173"/>
        <v>#N/A</v>
      </c>
    </row>
    <row r="5383" spans="2:6" x14ac:dyDescent="0.25">
      <c r="B5383" s="3"/>
      <c r="C5383" s="3"/>
      <c r="D5383" s="3"/>
      <c r="E5383" s="3" t="e">
        <f t="shared" si="172"/>
        <v>#N/A</v>
      </c>
      <c r="F5383" s="3" t="e">
        <f t="shared" si="173"/>
        <v>#N/A</v>
      </c>
    </row>
    <row r="5384" spans="2:6" x14ac:dyDescent="0.25">
      <c r="B5384" s="3"/>
      <c r="C5384" s="3"/>
      <c r="D5384" s="3"/>
      <c r="E5384" s="3" t="e">
        <f t="shared" si="172"/>
        <v>#N/A</v>
      </c>
      <c r="F5384" s="3" t="e">
        <f t="shared" si="173"/>
        <v>#N/A</v>
      </c>
    </row>
    <row r="5385" spans="2:6" x14ac:dyDescent="0.25">
      <c r="B5385" s="3"/>
      <c r="C5385" s="3"/>
      <c r="D5385" s="3"/>
      <c r="E5385" s="3" t="e">
        <f t="shared" si="172"/>
        <v>#N/A</v>
      </c>
      <c r="F5385" s="3" t="e">
        <f t="shared" si="173"/>
        <v>#N/A</v>
      </c>
    </row>
    <row r="5386" spans="2:6" x14ac:dyDescent="0.25">
      <c r="B5386" s="3"/>
      <c r="C5386" s="3"/>
      <c r="D5386" s="3"/>
      <c r="E5386" s="3" t="e">
        <f t="shared" si="172"/>
        <v>#N/A</v>
      </c>
      <c r="F5386" s="3" t="e">
        <f t="shared" si="173"/>
        <v>#N/A</v>
      </c>
    </row>
    <row r="5387" spans="2:6" x14ac:dyDescent="0.25">
      <c r="B5387" s="3"/>
      <c r="C5387" s="3"/>
      <c r="D5387" s="3"/>
      <c r="E5387" s="3" t="e">
        <f t="shared" si="172"/>
        <v>#N/A</v>
      </c>
      <c r="F5387" s="3" t="e">
        <f t="shared" si="173"/>
        <v>#N/A</v>
      </c>
    </row>
    <row r="5388" spans="2:6" x14ac:dyDescent="0.25">
      <c r="B5388" s="3"/>
      <c r="C5388" s="3"/>
      <c r="D5388" s="3"/>
      <c r="E5388" s="3" t="e">
        <f t="shared" si="172"/>
        <v>#N/A</v>
      </c>
      <c r="F5388" s="3" t="e">
        <f t="shared" si="173"/>
        <v>#N/A</v>
      </c>
    </row>
    <row r="5389" spans="2:6" x14ac:dyDescent="0.25">
      <c r="B5389" s="3"/>
      <c r="C5389" s="3"/>
      <c r="D5389" s="3"/>
      <c r="E5389" s="3" t="e">
        <f t="shared" si="172"/>
        <v>#N/A</v>
      </c>
      <c r="F5389" s="3" t="e">
        <f t="shared" si="173"/>
        <v>#N/A</v>
      </c>
    </row>
    <row r="5390" spans="2:6" x14ac:dyDescent="0.25">
      <c r="B5390" s="3"/>
      <c r="C5390" s="3"/>
      <c r="D5390" s="3"/>
      <c r="E5390" s="3" t="e">
        <f t="shared" ref="E5390:E5453" si="174">VLOOKUP(C5390,I:J,2,0)</f>
        <v>#N/A</v>
      </c>
      <c r="F5390" s="3" t="e">
        <f t="shared" ref="F5390:F5453" si="175">E5390&amp;" "&amp;B5390</f>
        <v>#N/A</v>
      </c>
    </row>
    <row r="5391" spans="2:6" x14ac:dyDescent="0.25">
      <c r="B5391" s="3"/>
      <c r="C5391" s="3"/>
      <c r="D5391" s="3"/>
      <c r="E5391" s="3" t="e">
        <f t="shared" si="174"/>
        <v>#N/A</v>
      </c>
      <c r="F5391" s="3" t="e">
        <f t="shared" si="175"/>
        <v>#N/A</v>
      </c>
    </row>
    <row r="5392" spans="2:6" x14ac:dyDescent="0.25">
      <c r="B5392" s="3"/>
      <c r="C5392" s="3"/>
      <c r="D5392" s="3"/>
      <c r="E5392" s="3" t="e">
        <f t="shared" si="174"/>
        <v>#N/A</v>
      </c>
      <c r="F5392" s="3" t="e">
        <f t="shared" si="175"/>
        <v>#N/A</v>
      </c>
    </row>
    <row r="5393" spans="2:6" x14ac:dyDescent="0.25">
      <c r="B5393" s="3"/>
      <c r="C5393" s="3"/>
      <c r="D5393" s="3"/>
      <c r="E5393" s="3" t="e">
        <f t="shared" si="174"/>
        <v>#N/A</v>
      </c>
      <c r="F5393" s="3" t="e">
        <f t="shared" si="175"/>
        <v>#N/A</v>
      </c>
    </row>
    <row r="5394" spans="2:6" x14ac:dyDescent="0.25">
      <c r="B5394" s="3"/>
      <c r="C5394" s="3"/>
      <c r="D5394" s="3"/>
      <c r="E5394" s="3" t="e">
        <f t="shared" si="174"/>
        <v>#N/A</v>
      </c>
      <c r="F5394" s="3" t="e">
        <f t="shared" si="175"/>
        <v>#N/A</v>
      </c>
    </row>
    <row r="5395" spans="2:6" x14ac:dyDescent="0.25">
      <c r="B5395" s="3"/>
      <c r="C5395" s="3"/>
      <c r="D5395" s="3"/>
      <c r="E5395" s="3" t="e">
        <f t="shared" si="174"/>
        <v>#N/A</v>
      </c>
      <c r="F5395" s="3" t="e">
        <f t="shared" si="175"/>
        <v>#N/A</v>
      </c>
    </row>
    <row r="5396" spans="2:6" x14ac:dyDescent="0.25">
      <c r="B5396" s="3"/>
      <c r="C5396" s="3"/>
      <c r="D5396" s="3"/>
      <c r="E5396" s="3" t="e">
        <f t="shared" si="174"/>
        <v>#N/A</v>
      </c>
      <c r="F5396" s="3" t="e">
        <f t="shared" si="175"/>
        <v>#N/A</v>
      </c>
    </row>
    <row r="5397" spans="2:6" x14ac:dyDescent="0.25">
      <c r="B5397" s="3"/>
      <c r="C5397" s="3"/>
      <c r="D5397" s="3"/>
      <c r="E5397" s="3" t="e">
        <f t="shared" si="174"/>
        <v>#N/A</v>
      </c>
      <c r="F5397" s="3" t="e">
        <f t="shared" si="175"/>
        <v>#N/A</v>
      </c>
    </row>
    <row r="5398" spans="2:6" x14ac:dyDescent="0.25">
      <c r="B5398" s="3"/>
      <c r="C5398" s="3"/>
      <c r="D5398" s="3"/>
      <c r="E5398" s="3" t="e">
        <f t="shared" si="174"/>
        <v>#N/A</v>
      </c>
      <c r="F5398" s="3" t="e">
        <f t="shared" si="175"/>
        <v>#N/A</v>
      </c>
    </row>
    <row r="5399" spans="2:6" x14ac:dyDescent="0.25">
      <c r="B5399" s="3"/>
      <c r="C5399" s="3"/>
      <c r="D5399" s="3"/>
      <c r="E5399" s="3" t="e">
        <f t="shared" si="174"/>
        <v>#N/A</v>
      </c>
      <c r="F5399" s="3" t="e">
        <f t="shared" si="175"/>
        <v>#N/A</v>
      </c>
    </row>
    <row r="5400" spans="2:6" x14ac:dyDescent="0.25">
      <c r="B5400" s="3"/>
      <c r="C5400" s="3"/>
      <c r="D5400" s="3"/>
      <c r="E5400" s="3" t="e">
        <f t="shared" si="174"/>
        <v>#N/A</v>
      </c>
      <c r="F5400" s="3" t="e">
        <f t="shared" si="175"/>
        <v>#N/A</v>
      </c>
    </row>
    <row r="5401" spans="2:6" x14ac:dyDescent="0.25">
      <c r="B5401" s="3"/>
      <c r="C5401" s="3"/>
      <c r="D5401" s="3"/>
      <c r="E5401" s="3" t="e">
        <f t="shared" si="174"/>
        <v>#N/A</v>
      </c>
      <c r="F5401" s="3" t="e">
        <f t="shared" si="175"/>
        <v>#N/A</v>
      </c>
    </row>
    <row r="5402" spans="2:6" x14ac:dyDescent="0.25">
      <c r="B5402" s="3"/>
      <c r="C5402" s="3"/>
      <c r="D5402" s="3"/>
      <c r="E5402" s="3" t="e">
        <f t="shared" si="174"/>
        <v>#N/A</v>
      </c>
      <c r="F5402" s="3" t="e">
        <f t="shared" si="175"/>
        <v>#N/A</v>
      </c>
    </row>
    <row r="5403" spans="2:6" x14ac:dyDescent="0.25">
      <c r="B5403" s="3"/>
      <c r="C5403" s="3"/>
      <c r="D5403" s="3"/>
      <c r="E5403" s="3" t="e">
        <f t="shared" si="174"/>
        <v>#N/A</v>
      </c>
      <c r="F5403" s="3" t="e">
        <f t="shared" si="175"/>
        <v>#N/A</v>
      </c>
    </row>
    <row r="5404" spans="2:6" x14ac:dyDescent="0.25">
      <c r="B5404" s="3"/>
      <c r="C5404" s="3"/>
      <c r="D5404" s="3"/>
      <c r="E5404" s="3" t="e">
        <f t="shared" si="174"/>
        <v>#N/A</v>
      </c>
      <c r="F5404" s="3" t="e">
        <f t="shared" si="175"/>
        <v>#N/A</v>
      </c>
    </row>
    <row r="5405" spans="2:6" x14ac:dyDescent="0.25">
      <c r="B5405" s="3"/>
      <c r="C5405" s="3"/>
      <c r="D5405" s="3"/>
      <c r="E5405" s="3" t="e">
        <f t="shared" si="174"/>
        <v>#N/A</v>
      </c>
      <c r="F5405" s="3" t="e">
        <f t="shared" si="175"/>
        <v>#N/A</v>
      </c>
    </row>
    <row r="5406" spans="2:6" x14ac:dyDescent="0.25">
      <c r="B5406" s="3"/>
      <c r="C5406" s="3"/>
      <c r="D5406" s="3"/>
      <c r="E5406" s="3" t="e">
        <f t="shared" si="174"/>
        <v>#N/A</v>
      </c>
      <c r="F5406" s="3" t="e">
        <f t="shared" si="175"/>
        <v>#N/A</v>
      </c>
    </row>
    <row r="5407" spans="2:6" x14ac:dyDescent="0.25">
      <c r="B5407" s="3"/>
      <c r="C5407" s="3"/>
      <c r="D5407" s="3"/>
      <c r="E5407" s="3" t="e">
        <f t="shared" si="174"/>
        <v>#N/A</v>
      </c>
      <c r="F5407" s="3" t="e">
        <f t="shared" si="175"/>
        <v>#N/A</v>
      </c>
    </row>
    <row r="5408" spans="2:6" x14ac:dyDescent="0.25">
      <c r="B5408" s="3"/>
      <c r="C5408" s="3"/>
      <c r="D5408" s="3"/>
      <c r="E5408" s="3" t="e">
        <f t="shared" si="174"/>
        <v>#N/A</v>
      </c>
      <c r="F5408" s="3" t="e">
        <f t="shared" si="175"/>
        <v>#N/A</v>
      </c>
    </row>
    <row r="5409" spans="2:6" x14ac:dyDescent="0.25">
      <c r="B5409" s="3"/>
      <c r="C5409" s="3"/>
      <c r="D5409" s="3"/>
      <c r="E5409" s="3" t="e">
        <f t="shared" si="174"/>
        <v>#N/A</v>
      </c>
      <c r="F5409" s="3" t="e">
        <f t="shared" si="175"/>
        <v>#N/A</v>
      </c>
    </row>
    <row r="5410" spans="2:6" x14ac:dyDescent="0.25">
      <c r="B5410" s="3"/>
      <c r="C5410" s="3"/>
      <c r="D5410" s="3"/>
      <c r="E5410" s="3" t="e">
        <f t="shared" si="174"/>
        <v>#N/A</v>
      </c>
      <c r="F5410" s="3" t="e">
        <f t="shared" si="175"/>
        <v>#N/A</v>
      </c>
    </row>
    <row r="5411" spans="2:6" x14ac:dyDescent="0.25">
      <c r="B5411" s="3"/>
      <c r="C5411" s="3"/>
      <c r="D5411" s="3"/>
      <c r="E5411" s="3" t="e">
        <f t="shared" si="174"/>
        <v>#N/A</v>
      </c>
      <c r="F5411" s="3" t="e">
        <f t="shared" si="175"/>
        <v>#N/A</v>
      </c>
    </row>
    <row r="5412" spans="2:6" x14ac:dyDescent="0.25">
      <c r="B5412" s="3"/>
      <c r="C5412" s="3"/>
      <c r="D5412" s="3"/>
      <c r="E5412" s="3" t="e">
        <f t="shared" si="174"/>
        <v>#N/A</v>
      </c>
      <c r="F5412" s="3" t="e">
        <f t="shared" si="175"/>
        <v>#N/A</v>
      </c>
    </row>
    <row r="5413" spans="2:6" x14ac:dyDescent="0.25">
      <c r="B5413" s="3"/>
      <c r="C5413" s="3"/>
      <c r="D5413" s="3"/>
      <c r="E5413" s="3" t="e">
        <f t="shared" si="174"/>
        <v>#N/A</v>
      </c>
      <c r="F5413" s="3" t="e">
        <f t="shared" si="175"/>
        <v>#N/A</v>
      </c>
    </row>
    <row r="5414" spans="2:6" x14ac:dyDescent="0.25">
      <c r="B5414" s="3"/>
      <c r="C5414" s="3"/>
      <c r="D5414" s="3"/>
      <c r="E5414" s="3" t="e">
        <f t="shared" si="174"/>
        <v>#N/A</v>
      </c>
      <c r="F5414" s="3" t="e">
        <f t="shared" si="175"/>
        <v>#N/A</v>
      </c>
    </row>
    <row r="5415" spans="2:6" x14ac:dyDescent="0.25">
      <c r="B5415" s="3"/>
      <c r="C5415" s="3"/>
      <c r="D5415" s="3"/>
      <c r="E5415" s="3" t="e">
        <f t="shared" si="174"/>
        <v>#N/A</v>
      </c>
      <c r="F5415" s="3" t="e">
        <f t="shared" si="175"/>
        <v>#N/A</v>
      </c>
    </row>
    <row r="5416" spans="2:6" x14ac:dyDescent="0.25">
      <c r="B5416" s="3"/>
      <c r="C5416" s="3"/>
      <c r="D5416" s="3"/>
      <c r="E5416" s="3" t="e">
        <f t="shared" si="174"/>
        <v>#N/A</v>
      </c>
      <c r="F5416" s="3" t="e">
        <f t="shared" si="175"/>
        <v>#N/A</v>
      </c>
    </row>
    <row r="5417" spans="2:6" x14ac:dyDescent="0.25">
      <c r="B5417" s="3"/>
      <c r="C5417" s="3"/>
      <c r="D5417" s="3"/>
      <c r="E5417" s="3" t="e">
        <f t="shared" si="174"/>
        <v>#N/A</v>
      </c>
      <c r="F5417" s="3" t="e">
        <f t="shared" si="175"/>
        <v>#N/A</v>
      </c>
    </row>
    <row r="5418" spans="2:6" x14ac:dyDescent="0.25">
      <c r="B5418" s="3"/>
      <c r="C5418" s="3"/>
      <c r="D5418" s="3"/>
      <c r="E5418" s="3" t="e">
        <f t="shared" si="174"/>
        <v>#N/A</v>
      </c>
      <c r="F5418" s="3" t="e">
        <f t="shared" si="175"/>
        <v>#N/A</v>
      </c>
    </row>
    <row r="5419" spans="2:6" x14ac:dyDescent="0.25">
      <c r="B5419" s="3"/>
      <c r="C5419" s="3"/>
      <c r="D5419" s="3"/>
      <c r="E5419" s="3" t="e">
        <f t="shared" si="174"/>
        <v>#N/A</v>
      </c>
      <c r="F5419" s="3" t="e">
        <f t="shared" si="175"/>
        <v>#N/A</v>
      </c>
    </row>
    <row r="5420" spans="2:6" x14ac:dyDescent="0.25">
      <c r="B5420" s="3"/>
      <c r="C5420" s="3"/>
      <c r="D5420" s="3"/>
      <c r="E5420" s="3" t="e">
        <f t="shared" si="174"/>
        <v>#N/A</v>
      </c>
      <c r="F5420" s="3" t="e">
        <f t="shared" si="175"/>
        <v>#N/A</v>
      </c>
    </row>
    <row r="5421" spans="2:6" x14ac:dyDescent="0.25">
      <c r="B5421" s="3"/>
      <c r="C5421" s="3"/>
      <c r="D5421" s="3"/>
      <c r="E5421" s="3" t="e">
        <f t="shared" si="174"/>
        <v>#N/A</v>
      </c>
      <c r="F5421" s="3" t="e">
        <f t="shared" si="175"/>
        <v>#N/A</v>
      </c>
    </row>
    <row r="5422" spans="2:6" x14ac:dyDescent="0.25">
      <c r="B5422" s="3"/>
      <c r="C5422" s="3"/>
      <c r="D5422" s="3"/>
      <c r="E5422" s="3" t="e">
        <f t="shared" si="174"/>
        <v>#N/A</v>
      </c>
      <c r="F5422" s="3" t="e">
        <f t="shared" si="175"/>
        <v>#N/A</v>
      </c>
    </row>
    <row r="5423" spans="2:6" x14ac:dyDescent="0.25">
      <c r="B5423" s="3"/>
      <c r="C5423" s="3"/>
      <c r="D5423" s="3"/>
      <c r="E5423" s="3" t="e">
        <f t="shared" si="174"/>
        <v>#N/A</v>
      </c>
      <c r="F5423" s="3" t="e">
        <f t="shared" si="175"/>
        <v>#N/A</v>
      </c>
    </row>
    <row r="5424" spans="2:6" x14ac:dyDescent="0.25">
      <c r="B5424" s="3"/>
      <c r="C5424" s="3"/>
      <c r="D5424" s="3"/>
      <c r="E5424" s="3" t="e">
        <f t="shared" si="174"/>
        <v>#N/A</v>
      </c>
      <c r="F5424" s="3" t="e">
        <f t="shared" si="175"/>
        <v>#N/A</v>
      </c>
    </row>
    <row r="5425" spans="2:6" x14ac:dyDescent="0.25">
      <c r="B5425" s="3"/>
      <c r="C5425" s="3"/>
      <c r="D5425" s="3"/>
      <c r="E5425" s="3" t="e">
        <f t="shared" si="174"/>
        <v>#N/A</v>
      </c>
      <c r="F5425" s="3" t="e">
        <f t="shared" si="175"/>
        <v>#N/A</v>
      </c>
    </row>
    <row r="5426" spans="2:6" x14ac:dyDescent="0.25">
      <c r="B5426" s="3"/>
      <c r="C5426" s="3"/>
      <c r="D5426" s="3"/>
      <c r="E5426" s="3" t="e">
        <f t="shared" si="174"/>
        <v>#N/A</v>
      </c>
      <c r="F5426" s="3" t="e">
        <f t="shared" si="175"/>
        <v>#N/A</v>
      </c>
    </row>
    <row r="5427" spans="2:6" x14ac:dyDescent="0.25">
      <c r="B5427" s="3"/>
      <c r="C5427" s="3"/>
      <c r="D5427" s="3"/>
      <c r="E5427" s="3" t="e">
        <f t="shared" si="174"/>
        <v>#N/A</v>
      </c>
      <c r="F5427" s="3" t="e">
        <f t="shared" si="175"/>
        <v>#N/A</v>
      </c>
    </row>
    <row r="5428" spans="2:6" x14ac:dyDescent="0.25">
      <c r="B5428" s="3"/>
      <c r="C5428" s="3"/>
      <c r="D5428" s="3"/>
      <c r="E5428" s="3" t="e">
        <f t="shared" si="174"/>
        <v>#N/A</v>
      </c>
      <c r="F5428" s="3" t="e">
        <f t="shared" si="175"/>
        <v>#N/A</v>
      </c>
    </row>
    <row r="5429" spans="2:6" x14ac:dyDescent="0.25">
      <c r="B5429" s="3"/>
      <c r="C5429" s="3"/>
      <c r="D5429" s="3"/>
      <c r="E5429" s="3" t="e">
        <f t="shared" si="174"/>
        <v>#N/A</v>
      </c>
      <c r="F5429" s="3" t="e">
        <f t="shared" si="175"/>
        <v>#N/A</v>
      </c>
    </row>
    <row r="5430" spans="2:6" x14ac:dyDescent="0.25">
      <c r="B5430" s="3"/>
      <c r="C5430" s="3"/>
      <c r="D5430" s="3"/>
      <c r="E5430" s="3" t="e">
        <f t="shared" si="174"/>
        <v>#N/A</v>
      </c>
      <c r="F5430" s="3" t="e">
        <f t="shared" si="175"/>
        <v>#N/A</v>
      </c>
    </row>
    <row r="5431" spans="2:6" x14ac:dyDescent="0.25">
      <c r="B5431" s="3"/>
      <c r="C5431" s="3"/>
      <c r="D5431" s="3"/>
      <c r="E5431" s="3" t="e">
        <f t="shared" si="174"/>
        <v>#N/A</v>
      </c>
      <c r="F5431" s="3" t="e">
        <f t="shared" si="175"/>
        <v>#N/A</v>
      </c>
    </row>
    <row r="5432" spans="2:6" x14ac:dyDescent="0.25">
      <c r="B5432" s="3"/>
      <c r="C5432" s="3"/>
      <c r="D5432" s="3"/>
      <c r="E5432" s="3" t="e">
        <f t="shared" si="174"/>
        <v>#N/A</v>
      </c>
      <c r="F5432" s="3" t="e">
        <f t="shared" si="175"/>
        <v>#N/A</v>
      </c>
    </row>
    <row r="5433" spans="2:6" x14ac:dyDescent="0.25">
      <c r="B5433" s="3"/>
      <c r="C5433" s="3"/>
      <c r="D5433" s="3"/>
      <c r="E5433" s="3" t="e">
        <f t="shared" si="174"/>
        <v>#N/A</v>
      </c>
      <c r="F5433" s="3" t="e">
        <f t="shared" si="175"/>
        <v>#N/A</v>
      </c>
    </row>
    <row r="5434" spans="2:6" x14ac:dyDescent="0.25">
      <c r="B5434" s="3"/>
      <c r="C5434" s="3"/>
      <c r="D5434" s="3"/>
      <c r="E5434" s="3" t="e">
        <f t="shared" si="174"/>
        <v>#N/A</v>
      </c>
      <c r="F5434" s="3" t="e">
        <f t="shared" si="175"/>
        <v>#N/A</v>
      </c>
    </row>
    <row r="5435" spans="2:6" x14ac:dyDescent="0.25">
      <c r="B5435" s="3"/>
      <c r="C5435" s="3"/>
      <c r="D5435" s="3"/>
      <c r="E5435" s="3" t="e">
        <f t="shared" si="174"/>
        <v>#N/A</v>
      </c>
      <c r="F5435" s="3" t="e">
        <f t="shared" si="175"/>
        <v>#N/A</v>
      </c>
    </row>
    <row r="5436" spans="2:6" x14ac:dyDescent="0.25">
      <c r="B5436" s="3"/>
      <c r="C5436" s="3"/>
      <c r="D5436" s="3"/>
      <c r="E5436" s="3" t="e">
        <f t="shared" si="174"/>
        <v>#N/A</v>
      </c>
      <c r="F5436" s="3" t="e">
        <f t="shared" si="175"/>
        <v>#N/A</v>
      </c>
    </row>
    <row r="5437" spans="2:6" x14ac:dyDescent="0.25">
      <c r="B5437" s="3"/>
      <c r="C5437" s="3"/>
      <c r="D5437" s="3"/>
      <c r="E5437" s="3" t="e">
        <f t="shared" si="174"/>
        <v>#N/A</v>
      </c>
      <c r="F5437" s="3" t="e">
        <f t="shared" si="175"/>
        <v>#N/A</v>
      </c>
    </row>
    <row r="5438" spans="2:6" x14ac:dyDescent="0.25">
      <c r="B5438" s="3"/>
      <c r="C5438" s="3"/>
      <c r="D5438" s="3"/>
      <c r="E5438" s="3" t="e">
        <f t="shared" si="174"/>
        <v>#N/A</v>
      </c>
      <c r="F5438" s="3" t="e">
        <f t="shared" si="175"/>
        <v>#N/A</v>
      </c>
    </row>
    <row r="5439" spans="2:6" x14ac:dyDescent="0.25">
      <c r="B5439" s="3"/>
      <c r="C5439" s="3"/>
      <c r="D5439" s="3"/>
      <c r="E5439" s="3" t="e">
        <f t="shared" si="174"/>
        <v>#N/A</v>
      </c>
      <c r="F5439" s="3" t="e">
        <f t="shared" si="175"/>
        <v>#N/A</v>
      </c>
    </row>
    <row r="5440" spans="2:6" x14ac:dyDescent="0.25">
      <c r="B5440" s="3"/>
      <c r="C5440" s="3"/>
      <c r="D5440" s="3"/>
      <c r="E5440" s="3" t="e">
        <f t="shared" si="174"/>
        <v>#N/A</v>
      </c>
      <c r="F5440" s="3" t="e">
        <f t="shared" si="175"/>
        <v>#N/A</v>
      </c>
    </row>
    <row r="5441" spans="2:6" x14ac:dyDescent="0.25">
      <c r="B5441" s="3"/>
      <c r="C5441" s="3"/>
      <c r="D5441" s="3"/>
      <c r="E5441" s="3" t="e">
        <f t="shared" si="174"/>
        <v>#N/A</v>
      </c>
      <c r="F5441" s="3" t="e">
        <f t="shared" si="175"/>
        <v>#N/A</v>
      </c>
    </row>
    <row r="5442" spans="2:6" x14ac:dyDescent="0.25">
      <c r="B5442" s="3"/>
      <c r="C5442" s="3"/>
      <c r="D5442" s="3"/>
      <c r="E5442" s="3" t="e">
        <f t="shared" si="174"/>
        <v>#N/A</v>
      </c>
      <c r="F5442" s="3" t="e">
        <f t="shared" si="175"/>
        <v>#N/A</v>
      </c>
    </row>
    <row r="5443" spans="2:6" x14ac:dyDescent="0.25">
      <c r="B5443" s="3"/>
      <c r="C5443" s="3"/>
      <c r="D5443" s="3"/>
      <c r="E5443" s="3" t="e">
        <f t="shared" si="174"/>
        <v>#N/A</v>
      </c>
      <c r="F5443" s="3" t="e">
        <f t="shared" si="175"/>
        <v>#N/A</v>
      </c>
    </row>
    <row r="5444" spans="2:6" x14ac:dyDescent="0.25">
      <c r="B5444" s="3"/>
      <c r="C5444" s="3"/>
      <c r="D5444" s="3"/>
      <c r="E5444" s="3" t="e">
        <f t="shared" si="174"/>
        <v>#N/A</v>
      </c>
      <c r="F5444" s="3" t="e">
        <f t="shared" si="175"/>
        <v>#N/A</v>
      </c>
    </row>
    <row r="5445" spans="2:6" x14ac:dyDescent="0.25">
      <c r="B5445" s="3"/>
      <c r="C5445" s="3"/>
      <c r="D5445" s="3"/>
      <c r="E5445" s="3" t="e">
        <f t="shared" si="174"/>
        <v>#N/A</v>
      </c>
      <c r="F5445" s="3" t="e">
        <f t="shared" si="175"/>
        <v>#N/A</v>
      </c>
    </row>
    <row r="5446" spans="2:6" x14ac:dyDescent="0.25">
      <c r="B5446" s="3"/>
      <c r="C5446" s="3"/>
      <c r="D5446" s="3"/>
      <c r="E5446" s="3" t="e">
        <f t="shared" si="174"/>
        <v>#N/A</v>
      </c>
      <c r="F5446" s="3" t="e">
        <f t="shared" si="175"/>
        <v>#N/A</v>
      </c>
    </row>
    <row r="5447" spans="2:6" x14ac:dyDescent="0.25">
      <c r="B5447" s="3"/>
      <c r="C5447" s="3"/>
      <c r="D5447" s="3"/>
      <c r="E5447" s="3" t="e">
        <f t="shared" si="174"/>
        <v>#N/A</v>
      </c>
      <c r="F5447" s="3" t="e">
        <f t="shared" si="175"/>
        <v>#N/A</v>
      </c>
    </row>
    <row r="5448" spans="2:6" x14ac:dyDescent="0.25">
      <c r="B5448" s="3"/>
      <c r="C5448" s="3"/>
      <c r="D5448" s="3"/>
      <c r="E5448" s="3" t="e">
        <f t="shared" si="174"/>
        <v>#N/A</v>
      </c>
      <c r="F5448" s="3" t="e">
        <f t="shared" si="175"/>
        <v>#N/A</v>
      </c>
    </row>
    <row r="5449" spans="2:6" x14ac:dyDescent="0.25">
      <c r="B5449" s="3"/>
      <c r="C5449" s="3"/>
      <c r="D5449" s="3"/>
      <c r="E5449" s="3" t="e">
        <f t="shared" si="174"/>
        <v>#N/A</v>
      </c>
      <c r="F5449" s="3" t="e">
        <f t="shared" si="175"/>
        <v>#N/A</v>
      </c>
    </row>
    <row r="5450" spans="2:6" x14ac:dyDescent="0.25">
      <c r="B5450" s="3"/>
      <c r="C5450" s="3"/>
      <c r="D5450" s="3"/>
      <c r="E5450" s="3" t="e">
        <f t="shared" si="174"/>
        <v>#N/A</v>
      </c>
      <c r="F5450" s="3" t="e">
        <f t="shared" si="175"/>
        <v>#N/A</v>
      </c>
    </row>
    <row r="5451" spans="2:6" x14ac:dyDescent="0.25">
      <c r="B5451" s="3"/>
      <c r="C5451" s="3"/>
      <c r="D5451" s="3"/>
      <c r="E5451" s="3" t="e">
        <f t="shared" si="174"/>
        <v>#N/A</v>
      </c>
      <c r="F5451" s="3" t="e">
        <f t="shared" si="175"/>
        <v>#N/A</v>
      </c>
    </row>
    <row r="5452" spans="2:6" x14ac:dyDescent="0.25">
      <c r="B5452" s="3"/>
      <c r="C5452" s="3"/>
      <c r="D5452" s="3"/>
      <c r="E5452" s="3" t="e">
        <f t="shared" si="174"/>
        <v>#N/A</v>
      </c>
      <c r="F5452" s="3" t="e">
        <f t="shared" si="175"/>
        <v>#N/A</v>
      </c>
    </row>
    <row r="5453" spans="2:6" x14ac:dyDescent="0.25">
      <c r="B5453" s="3"/>
      <c r="C5453" s="3"/>
      <c r="D5453" s="3"/>
      <c r="E5453" s="3" t="e">
        <f t="shared" si="174"/>
        <v>#N/A</v>
      </c>
      <c r="F5453" s="3" t="e">
        <f t="shared" si="175"/>
        <v>#N/A</v>
      </c>
    </row>
    <row r="5454" spans="2:6" x14ac:dyDescent="0.25">
      <c r="B5454" s="3"/>
      <c r="C5454" s="3"/>
      <c r="D5454" s="3"/>
      <c r="E5454" s="3" t="e">
        <f t="shared" ref="E5454:E5517" si="176">VLOOKUP(C5454,I:J,2,0)</f>
        <v>#N/A</v>
      </c>
      <c r="F5454" s="3" t="e">
        <f t="shared" ref="F5454:F5517" si="177">E5454&amp;" "&amp;B5454</f>
        <v>#N/A</v>
      </c>
    </row>
    <row r="5455" spans="2:6" x14ac:dyDescent="0.25">
      <c r="B5455" s="3"/>
      <c r="C5455" s="3"/>
      <c r="D5455" s="3"/>
      <c r="E5455" s="3" t="e">
        <f t="shared" si="176"/>
        <v>#N/A</v>
      </c>
      <c r="F5455" s="3" t="e">
        <f t="shared" si="177"/>
        <v>#N/A</v>
      </c>
    </row>
    <row r="5456" spans="2:6" x14ac:dyDescent="0.25">
      <c r="B5456" s="3"/>
      <c r="C5456" s="3"/>
      <c r="D5456" s="3"/>
      <c r="E5456" s="3" t="e">
        <f t="shared" si="176"/>
        <v>#N/A</v>
      </c>
      <c r="F5456" s="3" t="e">
        <f t="shared" si="177"/>
        <v>#N/A</v>
      </c>
    </row>
    <row r="5457" spans="2:6" x14ac:dyDescent="0.25">
      <c r="B5457" s="3"/>
      <c r="C5457" s="3"/>
      <c r="D5457" s="3"/>
      <c r="E5457" s="3" t="e">
        <f t="shared" si="176"/>
        <v>#N/A</v>
      </c>
      <c r="F5457" s="3" t="e">
        <f t="shared" si="177"/>
        <v>#N/A</v>
      </c>
    </row>
    <row r="5458" spans="2:6" x14ac:dyDescent="0.25">
      <c r="B5458" s="3"/>
      <c r="C5458" s="3"/>
      <c r="D5458" s="3"/>
      <c r="E5458" s="3" t="e">
        <f t="shared" si="176"/>
        <v>#N/A</v>
      </c>
      <c r="F5458" s="3" t="e">
        <f t="shared" si="177"/>
        <v>#N/A</v>
      </c>
    </row>
    <row r="5459" spans="2:6" x14ac:dyDescent="0.25">
      <c r="B5459" s="3"/>
      <c r="C5459" s="3"/>
      <c r="D5459" s="3"/>
      <c r="E5459" s="3" t="e">
        <f t="shared" si="176"/>
        <v>#N/A</v>
      </c>
      <c r="F5459" s="3" t="e">
        <f t="shared" si="177"/>
        <v>#N/A</v>
      </c>
    </row>
    <row r="5460" spans="2:6" x14ac:dyDescent="0.25">
      <c r="B5460" s="3"/>
      <c r="C5460" s="3"/>
      <c r="D5460" s="3"/>
      <c r="E5460" s="3" t="e">
        <f t="shared" si="176"/>
        <v>#N/A</v>
      </c>
      <c r="F5460" s="3" t="e">
        <f t="shared" si="177"/>
        <v>#N/A</v>
      </c>
    </row>
    <row r="5461" spans="2:6" x14ac:dyDescent="0.25">
      <c r="B5461" s="3"/>
      <c r="C5461" s="3"/>
      <c r="D5461" s="3"/>
      <c r="E5461" s="3" t="e">
        <f t="shared" si="176"/>
        <v>#N/A</v>
      </c>
      <c r="F5461" s="3" t="e">
        <f t="shared" si="177"/>
        <v>#N/A</v>
      </c>
    </row>
    <row r="5462" spans="2:6" x14ac:dyDescent="0.25">
      <c r="B5462" s="3"/>
      <c r="C5462" s="3"/>
      <c r="D5462" s="3"/>
      <c r="E5462" s="3" t="e">
        <f t="shared" si="176"/>
        <v>#N/A</v>
      </c>
      <c r="F5462" s="3" t="e">
        <f t="shared" si="177"/>
        <v>#N/A</v>
      </c>
    </row>
    <row r="5463" spans="2:6" x14ac:dyDescent="0.25">
      <c r="B5463" s="3"/>
      <c r="C5463" s="3"/>
      <c r="D5463" s="3"/>
      <c r="E5463" s="3" t="e">
        <f t="shared" si="176"/>
        <v>#N/A</v>
      </c>
      <c r="F5463" s="3" t="e">
        <f t="shared" si="177"/>
        <v>#N/A</v>
      </c>
    </row>
    <row r="5464" spans="2:6" x14ac:dyDescent="0.25">
      <c r="B5464" s="3"/>
      <c r="C5464" s="3"/>
      <c r="D5464" s="3"/>
      <c r="E5464" s="3" t="e">
        <f t="shared" si="176"/>
        <v>#N/A</v>
      </c>
      <c r="F5464" s="3" t="e">
        <f t="shared" si="177"/>
        <v>#N/A</v>
      </c>
    </row>
    <row r="5465" spans="2:6" x14ac:dyDescent="0.25">
      <c r="B5465" s="3"/>
      <c r="C5465" s="3"/>
      <c r="D5465" s="3"/>
      <c r="E5465" s="3" t="e">
        <f t="shared" si="176"/>
        <v>#N/A</v>
      </c>
      <c r="F5465" s="3" t="e">
        <f t="shared" si="177"/>
        <v>#N/A</v>
      </c>
    </row>
    <row r="5466" spans="2:6" x14ac:dyDescent="0.25">
      <c r="B5466" s="3"/>
      <c r="C5466" s="3"/>
      <c r="D5466" s="3"/>
      <c r="E5466" s="3" t="e">
        <f t="shared" si="176"/>
        <v>#N/A</v>
      </c>
      <c r="F5466" s="3" t="e">
        <f t="shared" si="177"/>
        <v>#N/A</v>
      </c>
    </row>
    <row r="5467" spans="2:6" x14ac:dyDescent="0.25">
      <c r="B5467" s="3"/>
      <c r="C5467" s="3"/>
      <c r="D5467" s="3"/>
      <c r="E5467" s="3" t="e">
        <f t="shared" si="176"/>
        <v>#N/A</v>
      </c>
      <c r="F5467" s="3" t="e">
        <f t="shared" si="177"/>
        <v>#N/A</v>
      </c>
    </row>
    <row r="5468" spans="2:6" x14ac:dyDescent="0.25">
      <c r="B5468" s="3"/>
      <c r="C5468" s="3"/>
      <c r="D5468" s="3"/>
      <c r="E5468" s="3" t="e">
        <f t="shared" si="176"/>
        <v>#N/A</v>
      </c>
      <c r="F5468" s="3" t="e">
        <f t="shared" si="177"/>
        <v>#N/A</v>
      </c>
    </row>
    <row r="5469" spans="2:6" x14ac:dyDescent="0.25">
      <c r="B5469" s="3"/>
      <c r="C5469" s="3"/>
      <c r="D5469" s="3"/>
      <c r="E5469" s="3" t="e">
        <f t="shared" si="176"/>
        <v>#N/A</v>
      </c>
      <c r="F5469" s="3" t="e">
        <f t="shared" si="177"/>
        <v>#N/A</v>
      </c>
    </row>
    <row r="5470" spans="2:6" x14ac:dyDescent="0.25">
      <c r="B5470" s="3"/>
      <c r="C5470" s="3"/>
      <c r="D5470" s="3"/>
      <c r="E5470" s="3" t="e">
        <f t="shared" si="176"/>
        <v>#N/A</v>
      </c>
      <c r="F5470" s="3" t="e">
        <f t="shared" si="177"/>
        <v>#N/A</v>
      </c>
    </row>
    <row r="5471" spans="2:6" x14ac:dyDescent="0.25">
      <c r="B5471" s="3"/>
      <c r="C5471" s="3"/>
      <c r="D5471" s="3"/>
      <c r="E5471" s="3" t="e">
        <f t="shared" si="176"/>
        <v>#N/A</v>
      </c>
      <c r="F5471" s="3" t="e">
        <f t="shared" si="177"/>
        <v>#N/A</v>
      </c>
    </row>
    <row r="5472" spans="2:6" x14ac:dyDescent="0.25">
      <c r="B5472" s="3"/>
      <c r="C5472" s="3"/>
      <c r="D5472" s="3"/>
      <c r="E5472" s="3" t="e">
        <f t="shared" si="176"/>
        <v>#N/A</v>
      </c>
      <c r="F5472" s="3" t="e">
        <f t="shared" si="177"/>
        <v>#N/A</v>
      </c>
    </row>
    <row r="5473" spans="2:6" x14ac:dyDescent="0.25">
      <c r="B5473" s="3"/>
      <c r="C5473" s="3"/>
      <c r="D5473" s="3"/>
      <c r="E5473" s="3" t="e">
        <f t="shared" si="176"/>
        <v>#N/A</v>
      </c>
      <c r="F5473" s="3" t="e">
        <f t="shared" si="177"/>
        <v>#N/A</v>
      </c>
    </row>
    <row r="5474" spans="2:6" x14ac:dyDescent="0.25">
      <c r="B5474" s="3"/>
      <c r="C5474" s="3"/>
      <c r="D5474" s="3"/>
      <c r="E5474" s="3" t="e">
        <f t="shared" si="176"/>
        <v>#N/A</v>
      </c>
      <c r="F5474" s="3" t="e">
        <f t="shared" si="177"/>
        <v>#N/A</v>
      </c>
    </row>
    <row r="5475" spans="2:6" x14ac:dyDescent="0.25">
      <c r="B5475" s="3"/>
      <c r="C5475" s="3"/>
      <c r="D5475" s="3"/>
      <c r="E5475" s="3" t="e">
        <f t="shared" si="176"/>
        <v>#N/A</v>
      </c>
      <c r="F5475" s="3" t="e">
        <f t="shared" si="177"/>
        <v>#N/A</v>
      </c>
    </row>
    <row r="5476" spans="2:6" x14ac:dyDescent="0.25">
      <c r="B5476" s="3"/>
      <c r="C5476" s="3"/>
      <c r="D5476" s="3"/>
      <c r="E5476" s="3" t="e">
        <f t="shared" si="176"/>
        <v>#N/A</v>
      </c>
      <c r="F5476" s="3" t="e">
        <f t="shared" si="177"/>
        <v>#N/A</v>
      </c>
    </row>
    <row r="5477" spans="2:6" x14ac:dyDescent="0.25">
      <c r="B5477" s="3"/>
      <c r="C5477" s="3"/>
      <c r="D5477" s="3"/>
      <c r="E5477" s="3" t="e">
        <f t="shared" si="176"/>
        <v>#N/A</v>
      </c>
      <c r="F5477" s="3" t="e">
        <f t="shared" si="177"/>
        <v>#N/A</v>
      </c>
    </row>
    <row r="5478" spans="2:6" x14ac:dyDescent="0.25">
      <c r="B5478" s="3"/>
      <c r="C5478" s="3"/>
      <c r="D5478" s="3"/>
      <c r="E5478" s="3" t="e">
        <f t="shared" si="176"/>
        <v>#N/A</v>
      </c>
      <c r="F5478" s="3" t="e">
        <f t="shared" si="177"/>
        <v>#N/A</v>
      </c>
    </row>
    <row r="5479" spans="2:6" x14ac:dyDescent="0.25">
      <c r="B5479" s="3"/>
      <c r="C5479" s="3"/>
      <c r="D5479" s="3"/>
      <c r="E5479" s="3" t="e">
        <f t="shared" si="176"/>
        <v>#N/A</v>
      </c>
      <c r="F5479" s="3" t="e">
        <f t="shared" si="177"/>
        <v>#N/A</v>
      </c>
    </row>
    <row r="5480" spans="2:6" x14ac:dyDescent="0.25">
      <c r="B5480" s="3"/>
      <c r="C5480" s="3"/>
      <c r="D5480" s="3"/>
      <c r="E5480" s="3" t="e">
        <f t="shared" si="176"/>
        <v>#N/A</v>
      </c>
      <c r="F5480" s="3" t="e">
        <f t="shared" si="177"/>
        <v>#N/A</v>
      </c>
    </row>
    <row r="5481" spans="2:6" x14ac:dyDescent="0.25">
      <c r="B5481" s="3"/>
      <c r="C5481" s="3"/>
      <c r="D5481" s="3"/>
      <c r="E5481" s="3" t="e">
        <f t="shared" si="176"/>
        <v>#N/A</v>
      </c>
      <c r="F5481" s="3" t="e">
        <f t="shared" si="177"/>
        <v>#N/A</v>
      </c>
    </row>
    <row r="5482" spans="2:6" x14ac:dyDescent="0.25">
      <c r="B5482" s="3"/>
      <c r="C5482" s="3"/>
      <c r="D5482" s="3"/>
      <c r="E5482" s="3" t="e">
        <f t="shared" si="176"/>
        <v>#N/A</v>
      </c>
      <c r="F5482" s="3" t="e">
        <f t="shared" si="177"/>
        <v>#N/A</v>
      </c>
    </row>
    <row r="5483" spans="2:6" x14ac:dyDescent="0.25">
      <c r="B5483" s="3"/>
      <c r="C5483" s="3"/>
      <c r="D5483" s="3"/>
      <c r="E5483" s="3" t="e">
        <f t="shared" si="176"/>
        <v>#N/A</v>
      </c>
      <c r="F5483" s="3" t="e">
        <f t="shared" si="177"/>
        <v>#N/A</v>
      </c>
    </row>
    <row r="5484" spans="2:6" x14ac:dyDescent="0.25">
      <c r="B5484" s="3"/>
      <c r="C5484" s="3"/>
      <c r="D5484" s="3"/>
      <c r="E5484" s="3" t="e">
        <f t="shared" si="176"/>
        <v>#N/A</v>
      </c>
      <c r="F5484" s="3" t="e">
        <f t="shared" si="177"/>
        <v>#N/A</v>
      </c>
    </row>
    <row r="5485" spans="2:6" x14ac:dyDescent="0.25">
      <c r="B5485" s="3"/>
      <c r="C5485" s="3"/>
      <c r="D5485" s="3"/>
      <c r="E5485" s="3" t="e">
        <f t="shared" si="176"/>
        <v>#N/A</v>
      </c>
      <c r="F5485" s="3" t="e">
        <f t="shared" si="177"/>
        <v>#N/A</v>
      </c>
    </row>
    <row r="5486" spans="2:6" x14ac:dyDescent="0.25">
      <c r="B5486" s="3"/>
      <c r="C5486" s="3"/>
      <c r="D5486" s="3"/>
      <c r="E5486" s="3" t="e">
        <f t="shared" si="176"/>
        <v>#N/A</v>
      </c>
      <c r="F5486" s="3" t="e">
        <f t="shared" si="177"/>
        <v>#N/A</v>
      </c>
    </row>
    <row r="5487" spans="2:6" x14ac:dyDescent="0.25">
      <c r="B5487" s="3"/>
      <c r="C5487" s="3"/>
      <c r="D5487" s="3"/>
      <c r="E5487" s="3" t="e">
        <f t="shared" si="176"/>
        <v>#N/A</v>
      </c>
      <c r="F5487" s="3" t="e">
        <f t="shared" si="177"/>
        <v>#N/A</v>
      </c>
    </row>
    <row r="5488" spans="2:6" x14ac:dyDescent="0.25">
      <c r="B5488" s="3"/>
      <c r="C5488" s="3"/>
      <c r="D5488" s="3"/>
      <c r="E5488" s="3" t="e">
        <f t="shared" si="176"/>
        <v>#N/A</v>
      </c>
      <c r="F5488" s="3" t="e">
        <f t="shared" si="177"/>
        <v>#N/A</v>
      </c>
    </row>
    <row r="5489" spans="2:6" x14ac:dyDescent="0.25">
      <c r="B5489" s="3"/>
      <c r="C5489" s="3"/>
      <c r="D5489" s="3"/>
      <c r="E5489" s="3" t="e">
        <f t="shared" si="176"/>
        <v>#N/A</v>
      </c>
      <c r="F5489" s="3" t="e">
        <f t="shared" si="177"/>
        <v>#N/A</v>
      </c>
    </row>
    <row r="5490" spans="2:6" x14ac:dyDescent="0.25">
      <c r="B5490" s="3"/>
      <c r="C5490" s="3"/>
      <c r="D5490" s="3"/>
      <c r="E5490" s="3" t="e">
        <f t="shared" si="176"/>
        <v>#N/A</v>
      </c>
      <c r="F5490" s="3" t="e">
        <f t="shared" si="177"/>
        <v>#N/A</v>
      </c>
    </row>
    <row r="5491" spans="2:6" x14ac:dyDescent="0.25">
      <c r="B5491" s="3"/>
      <c r="C5491" s="3"/>
      <c r="D5491" s="3"/>
      <c r="E5491" s="3" t="e">
        <f t="shared" si="176"/>
        <v>#N/A</v>
      </c>
      <c r="F5491" s="3" t="e">
        <f t="shared" si="177"/>
        <v>#N/A</v>
      </c>
    </row>
    <row r="5492" spans="2:6" x14ac:dyDescent="0.25">
      <c r="B5492" s="3"/>
      <c r="C5492" s="3"/>
      <c r="D5492" s="3"/>
      <c r="E5492" s="3" t="e">
        <f t="shared" si="176"/>
        <v>#N/A</v>
      </c>
      <c r="F5492" s="3" t="e">
        <f t="shared" si="177"/>
        <v>#N/A</v>
      </c>
    </row>
    <row r="5493" spans="2:6" x14ac:dyDescent="0.25">
      <c r="B5493" s="3"/>
      <c r="C5493" s="3"/>
      <c r="D5493" s="3"/>
      <c r="E5493" s="3" t="e">
        <f t="shared" si="176"/>
        <v>#N/A</v>
      </c>
      <c r="F5493" s="3" t="e">
        <f t="shared" si="177"/>
        <v>#N/A</v>
      </c>
    </row>
    <row r="5494" spans="2:6" x14ac:dyDescent="0.25">
      <c r="B5494" s="3"/>
      <c r="C5494" s="3"/>
      <c r="D5494" s="3"/>
      <c r="E5494" s="3" t="e">
        <f t="shared" si="176"/>
        <v>#N/A</v>
      </c>
      <c r="F5494" s="3" t="e">
        <f t="shared" si="177"/>
        <v>#N/A</v>
      </c>
    </row>
    <row r="5495" spans="2:6" x14ac:dyDescent="0.25">
      <c r="B5495" s="3"/>
      <c r="C5495" s="3"/>
      <c r="D5495" s="3"/>
      <c r="E5495" s="3" t="e">
        <f t="shared" si="176"/>
        <v>#N/A</v>
      </c>
      <c r="F5495" s="3" t="e">
        <f t="shared" si="177"/>
        <v>#N/A</v>
      </c>
    </row>
    <row r="5496" spans="2:6" x14ac:dyDescent="0.25">
      <c r="B5496" s="3"/>
      <c r="C5496" s="3"/>
      <c r="D5496" s="3"/>
      <c r="E5496" s="3" t="e">
        <f t="shared" si="176"/>
        <v>#N/A</v>
      </c>
      <c r="F5496" s="3" t="e">
        <f t="shared" si="177"/>
        <v>#N/A</v>
      </c>
    </row>
    <row r="5497" spans="2:6" x14ac:dyDescent="0.25">
      <c r="B5497" s="3"/>
      <c r="C5497" s="3"/>
      <c r="D5497" s="3"/>
      <c r="E5497" s="3" t="e">
        <f t="shared" si="176"/>
        <v>#N/A</v>
      </c>
      <c r="F5497" s="3" t="e">
        <f t="shared" si="177"/>
        <v>#N/A</v>
      </c>
    </row>
    <row r="5498" spans="2:6" x14ac:dyDescent="0.25">
      <c r="B5498" s="3"/>
      <c r="C5498" s="3"/>
      <c r="D5498" s="3"/>
      <c r="E5498" s="3" t="e">
        <f t="shared" si="176"/>
        <v>#N/A</v>
      </c>
      <c r="F5498" s="3" t="e">
        <f t="shared" si="177"/>
        <v>#N/A</v>
      </c>
    </row>
    <row r="5499" spans="2:6" x14ac:dyDescent="0.25">
      <c r="B5499" s="3"/>
      <c r="C5499" s="3"/>
      <c r="D5499" s="3"/>
      <c r="E5499" s="3" t="e">
        <f t="shared" si="176"/>
        <v>#N/A</v>
      </c>
      <c r="F5499" s="3" t="e">
        <f t="shared" si="177"/>
        <v>#N/A</v>
      </c>
    </row>
    <row r="5500" spans="2:6" x14ac:dyDescent="0.25">
      <c r="B5500" s="3"/>
      <c r="C5500" s="3"/>
      <c r="D5500" s="3"/>
      <c r="E5500" s="3" t="e">
        <f t="shared" si="176"/>
        <v>#N/A</v>
      </c>
      <c r="F5500" s="3" t="e">
        <f t="shared" si="177"/>
        <v>#N/A</v>
      </c>
    </row>
    <row r="5501" spans="2:6" x14ac:dyDescent="0.25">
      <c r="B5501" s="3"/>
      <c r="C5501" s="3"/>
      <c r="D5501" s="3"/>
      <c r="E5501" s="3" t="e">
        <f t="shared" si="176"/>
        <v>#N/A</v>
      </c>
      <c r="F5501" s="3" t="e">
        <f t="shared" si="177"/>
        <v>#N/A</v>
      </c>
    </row>
    <row r="5502" spans="2:6" x14ac:dyDescent="0.25">
      <c r="B5502" s="3"/>
      <c r="C5502" s="3"/>
      <c r="D5502" s="3"/>
      <c r="E5502" s="3" t="e">
        <f t="shared" si="176"/>
        <v>#N/A</v>
      </c>
      <c r="F5502" s="3" t="e">
        <f t="shared" si="177"/>
        <v>#N/A</v>
      </c>
    </row>
    <row r="5503" spans="2:6" x14ac:dyDescent="0.25">
      <c r="B5503" s="3"/>
      <c r="C5503" s="3"/>
      <c r="D5503" s="3"/>
      <c r="E5503" s="3" t="e">
        <f t="shared" si="176"/>
        <v>#N/A</v>
      </c>
      <c r="F5503" s="3" t="e">
        <f t="shared" si="177"/>
        <v>#N/A</v>
      </c>
    </row>
    <row r="5504" spans="2:6" x14ac:dyDescent="0.25">
      <c r="B5504" s="3"/>
      <c r="C5504" s="3"/>
      <c r="D5504" s="3"/>
      <c r="E5504" s="3" t="e">
        <f t="shared" si="176"/>
        <v>#N/A</v>
      </c>
      <c r="F5504" s="3" t="e">
        <f t="shared" si="177"/>
        <v>#N/A</v>
      </c>
    </row>
    <row r="5505" spans="2:6" x14ac:dyDescent="0.25">
      <c r="B5505" s="3"/>
      <c r="C5505" s="3"/>
      <c r="D5505" s="3"/>
      <c r="E5505" s="3" t="e">
        <f t="shared" si="176"/>
        <v>#N/A</v>
      </c>
      <c r="F5505" s="3" t="e">
        <f t="shared" si="177"/>
        <v>#N/A</v>
      </c>
    </row>
    <row r="5506" spans="2:6" x14ac:dyDescent="0.25">
      <c r="B5506" s="3"/>
      <c r="C5506" s="3"/>
      <c r="D5506" s="3"/>
      <c r="E5506" s="3" t="e">
        <f t="shared" si="176"/>
        <v>#N/A</v>
      </c>
      <c r="F5506" s="3" t="e">
        <f t="shared" si="177"/>
        <v>#N/A</v>
      </c>
    </row>
    <row r="5507" spans="2:6" x14ac:dyDescent="0.25">
      <c r="B5507" s="3"/>
      <c r="C5507" s="3"/>
      <c r="D5507" s="3"/>
      <c r="E5507" s="3" t="e">
        <f t="shared" si="176"/>
        <v>#N/A</v>
      </c>
      <c r="F5507" s="3" t="e">
        <f t="shared" si="177"/>
        <v>#N/A</v>
      </c>
    </row>
    <row r="5508" spans="2:6" x14ac:dyDescent="0.25">
      <c r="B5508" s="3"/>
      <c r="C5508" s="3"/>
      <c r="D5508" s="3"/>
      <c r="E5508" s="3" t="e">
        <f t="shared" si="176"/>
        <v>#N/A</v>
      </c>
      <c r="F5508" s="3" t="e">
        <f t="shared" si="177"/>
        <v>#N/A</v>
      </c>
    </row>
    <row r="5509" spans="2:6" x14ac:dyDescent="0.25">
      <c r="B5509" s="3"/>
      <c r="C5509" s="3"/>
      <c r="D5509" s="3"/>
      <c r="E5509" s="3" t="e">
        <f t="shared" si="176"/>
        <v>#N/A</v>
      </c>
      <c r="F5509" s="3" t="e">
        <f t="shared" si="177"/>
        <v>#N/A</v>
      </c>
    </row>
    <row r="5510" spans="2:6" x14ac:dyDescent="0.25">
      <c r="B5510" s="3"/>
      <c r="C5510" s="3"/>
      <c r="D5510" s="3"/>
      <c r="E5510" s="3" t="e">
        <f t="shared" si="176"/>
        <v>#N/A</v>
      </c>
      <c r="F5510" s="3" t="e">
        <f t="shared" si="177"/>
        <v>#N/A</v>
      </c>
    </row>
    <row r="5511" spans="2:6" x14ac:dyDescent="0.25">
      <c r="B5511" s="3"/>
      <c r="C5511" s="3"/>
      <c r="D5511" s="3"/>
      <c r="E5511" s="3" t="e">
        <f t="shared" si="176"/>
        <v>#N/A</v>
      </c>
      <c r="F5511" s="3" t="e">
        <f t="shared" si="177"/>
        <v>#N/A</v>
      </c>
    </row>
    <row r="5512" spans="2:6" x14ac:dyDescent="0.25">
      <c r="B5512" s="3"/>
      <c r="C5512" s="3"/>
      <c r="D5512" s="3"/>
      <c r="E5512" s="3" t="e">
        <f t="shared" si="176"/>
        <v>#N/A</v>
      </c>
      <c r="F5512" s="3" t="e">
        <f t="shared" si="177"/>
        <v>#N/A</v>
      </c>
    </row>
    <row r="5513" spans="2:6" x14ac:dyDescent="0.25">
      <c r="B5513" s="3"/>
      <c r="C5513" s="3"/>
      <c r="D5513" s="3"/>
      <c r="E5513" s="3" t="e">
        <f t="shared" si="176"/>
        <v>#N/A</v>
      </c>
      <c r="F5513" s="3" t="e">
        <f t="shared" si="177"/>
        <v>#N/A</v>
      </c>
    </row>
    <row r="5514" spans="2:6" x14ac:dyDescent="0.25">
      <c r="B5514" s="3"/>
      <c r="C5514" s="3"/>
      <c r="D5514" s="3"/>
      <c r="E5514" s="3" t="e">
        <f t="shared" si="176"/>
        <v>#N/A</v>
      </c>
      <c r="F5514" s="3" t="e">
        <f t="shared" si="177"/>
        <v>#N/A</v>
      </c>
    </row>
    <row r="5515" spans="2:6" x14ac:dyDescent="0.25">
      <c r="B5515" s="3"/>
      <c r="C5515" s="3"/>
      <c r="D5515" s="3"/>
      <c r="E5515" s="3" t="e">
        <f t="shared" si="176"/>
        <v>#N/A</v>
      </c>
      <c r="F5515" s="3" t="e">
        <f t="shared" si="177"/>
        <v>#N/A</v>
      </c>
    </row>
    <row r="5516" spans="2:6" x14ac:dyDescent="0.25">
      <c r="B5516" s="3"/>
      <c r="C5516" s="3"/>
      <c r="D5516" s="3"/>
      <c r="E5516" s="3" t="e">
        <f t="shared" si="176"/>
        <v>#N/A</v>
      </c>
      <c r="F5516" s="3" t="e">
        <f t="shared" si="177"/>
        <v>#N/A</v>
      </c>
    </row>
    <row r="5517" spans="2:6" x14ac:dyDescent="0.25">
      <c r="B5517" s="3"/>
      <c r="C5517" s="3"/>
      <c r="D5517" s="3"/>
      <c r="E5517" s="3" t="e">
        <f t="shared" si="176"/>
        <v>#N/A</v>
      </c>
      <c r="F5517" s="3" t="e">
        <f t="shared" si="177"/>
        <v>#N/A</v>
      </c>
    </row>
    <row r="5518" spans="2:6" x14ac:dyDescent="0.25">
      <c r="B5518" s="3"/>
      <c r="C5518" s="3"/>
      <c r="D5518" s="3"/>
      <c r="E5518" s="3" t="e">
        <f t="shared" ref="E5518:E5581" si="178">VLOOKUP(C5518,I:J,2,0)</f>
        <v>#N/A</v>
      </c>
      <c r="F5518" s="3" t="e">
        <f t="shared" ref="F5518:F5581" si="179">E5518&amp;" "&amp;B5518</f>
        <v>#N/A</v>
      </c>
    </row>
    <row r="5519" spans="2:6" x14ac:dyDescent="0.25">
      <c r="B5519" s="3"/>
      <c r="C5519" s="3"/>
      <c r="D5519" s="3"/>
      <c r="E5519" s="3" t="e">
        <f t="shared" si="178"/>
        <v>#N/A</v>
      </c>
      <c r="F5519" s="3" t="e">
        <f t="shared" si="179"/>
        <v>#N/A</v>
      </c>
    </row>
    <row r="5520" spans="2:6" x14ac:dyDescent="0.25">
      <c r="B5520" s="3"/>
      <c r="C5520" s="3"/>
      <c r="D5520" s="3"/>
      <c r="E5520" s="3" t="e">
        <f t="shared" si="178"/>
        <v>#N/A</v>
      </c>
      <c r="F5520" s="3" t="e">
        <f t="shared" si="179"/>
        <v>#N/A</v>
      </c>
    </row>
    <row r="5521" spans="2:6" x14ac:dyDescent="0.25">
      <c r="B5521" s="3"/>
      <c r="C5521" s="3"/>
      <c r="D5521" s="3"/>
      <c r="E5521" s="3" t="e">
        <f t="shared" si="178"/>
        <v>#N/A</v>
      </c>
      <c r="F5521" s="3" t="e">
        <f t="shared" si="179"/>
        <v>#N/A</v>
      </c>
    </row>
    <row r="5522" spans="2:6" x14ac:dyDescent="0.25">
      <c r="B5522" s="3"/>
      <c r="C5522" s="3"/>
      <c r="D5522" s="3"/>
      <c r="E5522" s="3" t="e">
        <f t="shared" si="178"/>
        <v>#N/A</v>
      </c>
      <c r="F5522" s="3" t="e">
        <f t="shared" si="179"/>
        <v>#N/A</v>
      </c>
    </row>
    <row r="5523" spans="2:6" x14ac:dyDescent="0.25">
      <c r="B5523" s="3"/>
      <c r="C5523" s="3"/>
      <c r="D5523" s="3"/>
      <c r="E5523" s="3" t="e">
        <f t="shared" si="178"/>
        <v>#N/A</v>
      </c>
      <c r="F5523" s="3" t="e">
        <f t="shared" si="179"/>
        <v>#N/A</v>
      </c>
    </row>
    <row r="5524" spans="2:6" x14ac:dyDescent="0.25">
      <c r="B5524" s="3"/>
      <c r="C5524" s="3"/>
      <c r="D5524" s="3"/>
      <c r="E5524" s="3" t="e">
        <f t="shared" si="178"/>
        <v>#N/A</v>
      </c>
      <c r="F5524" s="3" t="e">
        <f t="shared" si="179"/>
        <v>#N/A</v>
      </c>
    </row>
    <row r="5525" spans="2:6" x14ac:dyDescent="0.25">
      <c r="B5525" s="3"/>
      <c r="C5525" s="3"/>
      <c r="D5525" s="3"/>
      <c r="E5525" s="3" t="e">
        <f t="shared" si="178"/>
        <v>#N/A</v>
      </c>
      <c r="F5525" s="3" t="e">
        <f t="shared" si="179"/>
        <v>#N/A</v>
      </c>
    </row>
    <row r="5526" spans="2:6" x14ac:dyDescent="0.25">
      <c r="B5526" s="3"/>
      <c r="C5526" s="3"/>
      <c r="D5526" s="3"/>
      <c r="E5526" s="3" t="e">
        <f t="shared" si="178"/>
        <v>#N/A</v>
      </c>
      <c r="F5526" s="3" t="e">
        <f t="shared" si="179"/>
        <v>#N/A</v>
      </c>
    </row>
    <row r="5527" spans="2:6" x14ac:dyDescent="0.25">
      <c r="B5527" s="3"/>
      <c r="C5527" s="3"/>
      <c r="D5527" s="3"/>
      <c r="E5527" s="3" t="e">
        <f t="shared" si="178"/>
        <v>#N/A</v>
      </c>
      <c r="F5527" s="3" t="e">
        <f t="shared" si="179"/>
        <v>#N/A</v>
      </c>
    </row>
    <row r="5528" spans="2:6" x14ac:dyDescent="0.25">
      <c r="B5528" s="3"/>
      <c r="C5528" s="3"/>
      <c r="D5528" s="3"/>
      <c r="E5528" s="3" t="e">
        <f t="shared" si="178"/>
        <v>#N/A</v>
      </c>
      <c r="F5528" s="3" t="e">
        <f t="shared" si="179"/>
        <v>#N/A</v>
      </c>
    </row>
    <row r="5529" spans="2:6" x14ac:dyDescent="0.25">
      <c r="B5529" s="3"/>
      <c r="C5529" s="3"/>
      <c r="D5529" s="3"/>
      <c r="E5529" s="3" t="e">
        <f t="shared" si="178"/>
        <v>#N/A</v>
      </c>
      <c r="F5529" s="3" t="e">
        <f t="shared" si="179"/>
        <v>#N/A</v>
      </c>
    </row>
    <row r="5530" spans="2:6" x14ac:dyDescent="0.25">
      <c r="B5530" s="3"/>
      <c r="C5530" s="3"/>
      <c r="D5530" s="3"/>
      <c r="E5530" s="3" t="e">
        <f t="shared" si="178"/>
        <v>#N/A</v>
      </c>
      <c r="F5530" s="3" t="e">
        <f t="shared" si="179"/>
        <v>#N/A</v>
      </c>
    </row>
    <row r="5531" spans="2:6" x14ac:dyDescent="0.25">
      <c r="B5531" s="3"/>
      <c r="C5531" s="3"/>
      <c r="D5531" s="3"/>
      <c r="E5531" s="3" t="e">
        <f t="shared" si="178"/>
        <v>#N/A</v>
      </c>
      <c r="F5531" s="3" t="e">
        <f t="shared" si="179"/>
        <v>#N/A</v>
      </c>
    </row>
    <row r="5532" spans="2:6" x14ac:dyDescent="0.25">
      <c r="B5532" s="3"/>
      <c r="C5532" s="3"/>
      <c r="D5532" s="3"/>
      <c r="E5532" s="3" t="e">
        <f t="shared" si="178"/>
        <v>#N/A</v>
      </c>
      <c r="F5532" s="3" t="e">
        <f t="shared" si="179"/>
        <v>#N/A</v>
      </c>
    </row>
    <row r="5533" spans="2:6" x14ac:dyDescent="0.25">
      <c r="B5533" s="3"/>
      <c r="C5533" s="3"/>
      <c r="D5533" s="3"/>
      <c r="E5533" s="3" t="e">
        <f t="shared" si="178"/>
        <v>#N/A</v>
      </c>
      <c r="F5533" s="3" t="e">
        <f t="shared" si="179"/>
        <v>#N/A</v>
      </c>
    </row>
    <row r="5534" spans="2:6" x14ac:dyDescent="0.25">
      <c r="B5534" s="3"/>
      <c r="C5534" s="3"/>
      <c r="D5534" s="3"/>
      <c r="E5534" s="3" t="e">
        <f t="shared" si="178"/>
        <v>#N/A</v>
      </c>
      <c r="F5534" s="3" t="e">
        <f t="shared" si="179"/>
        <v>#N/A</v>
      </c>
    </row>
    <row r="5535" spans="2:6" x14ac:dyDescent="0.25">
      <c r="B5535" s="3"/>
      <c r="C5535" s="3"/>
      <c r="D5535" s="3"/>
      <c r="E5535" s="3" t="e">
        <f t="shared" si="178"/>
        <v>#N/A</v>
      </c>
      <c r="F5535" s="3" t="e">
        <f t="shared" si="179"/>
        <v>#N/A</v>
      </c>
    </row>
    <row r="5536" spans="2:6" x14ac:dyDescent="0.25">
      <c r="B5536" s="3"/>
      <c r="C5536" s="3"/>
      <c r="D5536" s="3"/>
      <c r="E5536" s="3" t="e">
        <f t="shared" si="178"/>
        <v>#N/A</v>
      </c>
      <c r="F5536" s="3" t="e">
        <f t="shared" si="179"/>
        <v>#N/A</v>
      </c>
    </row>
    <row r="5537" spans="2:6" x14ac:dyDescent="0.25">
      <c r="B5537" s="3"/>
      <c r="C5537" s="3"/>
      <c r="D5537" s="3"/>
      <c r="E5537" s="3" t="e">
        <f t="shared" si="178"/>
        <v>#N/A</v>
      </c>
      <c r="F5537" s="3" t="e">
        <f t="shared" si="179"/>
        <v>#N/A</v>
      </c>
    </row>
    <row r="5538" spans="2:6" x14ac:dyDescent="0.25">
      <c r="B5538" s="3"/>
      <c r="C5538" s="3"/>
      <c r="D5538" s="3"/>
      <c r="E5538" s="3" t="e">
        <f t="shared" si="178"/>
        <v>#N/A</v>
      </c>
      <c r="F5538" s="3" t="e">
        <f t="shared" si="179"/>
        <v>#N/A</v>
      </c>
    </row>
    <row r="5539" spans="2:6" x14ac:dyDescent="0.25">
      <c r="B5539" s="3"/>
      <c r="C5539" s="3"/>
      <c r="D5539" s="3"/>
      <c r="E5539" s="3" t="e">
        <f t="shared" si="178"/>
        <v>#N/A</v>
      </c>
      <c r="F5539" s="3" t="e">
        <f t="shared" si="179"/>
        <v>#N/A</v>
      </c>
    </row>
    <row r="5540" spans="2:6" x14ac:dyDescent="0.25">
      <c r="B5540" s="3"/>
      <c r="C5540" s="3"/>
      <c r="D5540" s="3"/>
      <c r="E5540" s="3" t="e">
        <f t="shared" si="178"/>
        <v>#N/A</v>
      </c>
      <c r="F5540" s="3" t="e">
        <f t="shared" si="179"/>
        <v>#N/A</v>
      </c>
    </row>
    <row r="5541" spans="2:6" x14ac:dyDescent="0.25">
      <c r="B5541" s="3"/>
      <c r="C5541" s="3"/>
      <c r="D5541" s="3"/>
      <c r="E5541" s="3" t="e">
        <f t="shared" si="178"/>
        <v>#N/A</v>
      </c>
      <c r="F5541" s="3" t="e">
        <f t="shared" si="179"/>
        <v>#N/A</v>
      </c>
    </row>
    <row r="5542" spans="2:6" x14ac:dyDescent="0.25">
      <c r="B5542" s="3"/>
      <c r="C5542" s="3"/>
      <c r="D5542" s="3"/>
      <c r="E5542" s="3" t="e">
        <f t="shared" si="178"/>
        <v>#N/A</v>
      </c>
      <c r="F5542" s="3" t="e">
        <f t="shared" si="179"/>
        <v>#N/A</v>
      </c>
    </row>
    <row r="5543" spans="2:6" x14ac:dyDescent="0.25">
      <c r="B5543" s="3"/>
      <c r="C5543" s="3"/>
      <c r="D5543" s="3"/>
      <c r="E5543" s="3" t="e">
        <f t="shared" si="178"/>
        <v>#N/A</v>
      </c>
      <c r="F5543" s="3" t="e">
        <f t="shared" si="179"/>
        <v>#N/A</v>
      </c>
    </row>
    <row r="5544" spans="2:6" x14ac:dyDescent="0.25">
      <c r="B5544" s="3"/>
      <c r="C5544" s="3"/>
      <c r="D5544" s="3"/>
      <c r="E5544" s="3" t="e">
        <f t="shared" si="178"/>
        <v>#N/A</v>
      </c>
      <c r="F5544" s="3" t="e">
        <f t="shared" si="179"/>
        <v>#N/A</v>
      </c>
    </row>
    <row r="5545" spans="2:6" x14ac:dyDescent="0.25">
      <c r="B5545" s="3"/>
      <c r="C5545" s="3"/>
      <c r="D5545" s="3"/>
      <c r="E5545" s="3" t="e">
        <f t="shared" si="178"/>
        <v>#N/A</v>
      </c>
      <c r="F5545" s="3" t="e">
        <f t="shared" si="179"/>
        <v>#N/A</v>
      </c>
    </row>
    <row r="5546" spans="2:6" x14ac:dyDescent="0.25">
      <c r="B5546" s="3"/>
      <c r="C5546" s="3"/>
      <c r="D5546" s="3"/>
      <c r="E5546" s="3" t="e">
        <f t="shared" si="178"/>
        <v>#N/A</v>
      </c>
      <c r="F5546" s="3" t="e">
        <f t="shared" si="179"/>
        <v>#N/A</v>
      </c>
    </row>
    <row r="5547" spans="2:6" x14ac:dyDescent="0.25">
      <c r="B5547" s="3"/>
      <c r="C5547" s="3"/>
      <c r="D5547" s="3"/>
      <c r="E5547" s="3" t="e">
        <f t="shared" si="178"/>
        <v>#N/A</v>
      </c>
      <c r="F5547" s="3" t="e">
        <f t="shared" si="179"/>
        <v>#N/A</v>
      </c>
    </row>
    <row r="5548" spans="2:6" x14ac:dyDescent="0.25">
      <c r="B5548" s="3"/>
      <c r="C5548" s="3"/>
      <c r="D5548" s="3"/>
      <c r="E5548" s="3" t="e">
        <f t="shared" si="178"/>
        <v>#N/A</v>
      </c>
      <c r="F5548" s="3" t="e">
        <f t="shared" si="179"/>
        <v>#N/A</v>
      </c>
    </row>
    <row r="5549" spans="2:6" x14ac:dyDescent="0.25">
      <c r="B5549" s="3"/>
      <c r="C5549" s="3"/>
      <c r="D5549" s="3"/>
      <c r="E5549" s="3" t="e">
        <f t="shared" si="178"/>
        <v>#N/A</v>
      </c>
      <c r="F5549" s="3" t="e">
        <f t="shared" si="179"/>
        <v>#N/A</v>
      </c>
    </row>
    <row r="5550" spans="2:6" x14ac:dyDescent="0.25">
      <c r="B5550" s="3"/>
      <c r="C5550" s="3"/>
      <c r="D5550" s="3"/>
      <c r="E5550" s="3" t="e">
        <f t="shared" si="178"/>
        <v>#N/A</v>
      </c>
      <c r="F5550" s="3" t="e">
        <f t="shared" si="179"/>
        <v>#N/A</v>
      </c>
    </row>
    <row r="5551" spans="2:6" x14ac:dyDescent="0.25">
      <c r="B5551" s="3"/>
      <c r="C5551" s="3"/>
      <c r="D5551" s="3"/>
      <c r="E5551" s="3" t="e">
        <f t="shared" si="178"/>
        <v>#N/A</v>
      </c>
      <c r="F5551" s="3" t="e">
        <f t="shared" si="179"/>
        <v>#N/A</v>
      </c>
    </row>
    <row r="5552" spans="2:6" x14ac:dyDescent="0.25">
      <c r="B5552" s="3"/>
      <c r="C5552" s="3"/>
      <c r="D5552" s="3"/>
      <c r="E5552" s="3" t="e">
        <f t="shared" si="178"/>
        <v>#N/A</v>
      </c>
      <c r="F5552" s="3" t="e">
        <f t="shared" si="179"/>
        <v>#N/A</v>
      </c>
    </row>
    <row r="5553" spans="2:6" x14ac:dyDescent="0.25">
      <c r="B5553" s="3"/>
      <c r="C5553" s="3"/>
      <c r="D5553" s="3"/>
      <c r="E5553" s="3" t="e">
        <f t="shared" si="178"/>
        <v>#N/A</v>
      </c>
      <c r="F5553" s="3" t="e">
        <f t="shared" si="179"/>
        <v>#N/A</v>
      </c>
    </row>
    <row r="5554" spans="2:6" x14ac:dyDescent="0.25">
      <c r="B5554" s="3"/>
      <c r="C5554" s="3"/>
      <c r="D5554" s="3"/>
      <c r="E5554" s="3" t="e">
        <f t="shared" si="178"/>
        <v>#N/A</v>
      </c>
      <c r="F5554" s="3" t="e">
        <f t="shared" si="179"/>
        <v>#N/A</v>
      </c>
    </row>
    <row r="5555" spans="2:6" x14ac:dyDescent="0.25">
      <c r="B5555" s="3"/>
      <c r="C5555" s="3"/>
      <c r="D5555" s="3"/>
      <c r="E5555" s="3" t="e">
        <f t="shared" si="178"/>
        <v>#N/A</v>
      </c>
      <c r="F5555" s="3" t="e">
        <f t="shared" si="179"/>
        <v>#N/A</v>
      </c>
    </row>
    <row r="5556" spans="2:6" x14ac:dyDescent="0.25">
      <c r="B5556" s="3"/>
      <c r="C5556" s="3"/>
      <c r="D5556" s="3"/>
      <c r="E5556" s="3" t="e">
        <f t="shared" si="178"/>
        <v>#N/A</v>
      </c>
      <c r="F5556" s="3" t="e">
        <f t="shared" si="179"/>
        <v>#N/A</v>
      </c>
    </row>
    <row r="5557" spans="2:6" x14ac:dyDescent="0.25">
      <c r="B5557" s="3"/>
      <c r="C5557" s="3"/>
      <c r="D5557" s="3"/>
      <c r="E5557" s="3" t="e">
        <f t="shared" si="178"/>
        <v>#N/A</v>
      </c>
      <c r="F5557" s="3" t="e">
        <f t="shared" si="179"/>
        <v>#N/A</v>
      </c>
    </row>
    <row r="5558" spans="2:6" x14ac:dyDescent="0.25">
      <c r="B5558" s="3"/>
      <c r="C5558" s="3"/>
      <c r="D5558" s="3"/>
      <c r="E5558" s="3" t="e">
        <f t="shared" si="178"/>
        <v>#N/A</v>
      </c>
      <c r="F5558" s="3" t="e">
        <f t="shared" si="179"/>
        <v>#N/A</v>
      </c>
    </row>
    <row r="5559" spans="2:6" x14ac:dyDescent="0.25">
      <c r="B5559" s="3"/>
      <c r="C5559" s="3"/>
      <c r="D5559" s="3"/>
      <c r="E5559" s="3" t="e">
        <f t="shared" si="178"/>
        <v>#N/A</v>
      </c>
      <c r="F5559" s="3" t="e">
        <f t="shared" si="179"/>
        <v>#N/A</v>
      </c>
    </row>
    <row r="5560" spans="2:6" x14ac:dyDescent="0.25">
      <c r="B5560" s="3"/>
      <c r="C5560" s="3"/>
      <c r="D5560" s="3"/>
      <c r="E5560" s="3" t="e">
        <f t="shared" si="178"/>
        <v>#N/A</v>
      </c>
      <c r="F5560" s="3" t="e">
        <f t="shared" si="179"/>
        <v>#N/A</v>
      </c>
    </row>
    <row r="5561" spans="2:6" x14ac:dyDescent="0.25">
      <c r="B5561" s="3"/>
      <c r="C5561" s="3"/>
      <c r="D5561" s="3"/>
      <c r="E5561" s="3" t="e">
        <f t="shared" si="178"/>
        <v>#N/A</v>
      </c>
      <c r="F5561" s="3" t="e">
        <f t="shared" si="179"/>
        <v>#N/A</v>
      </c>
    </row>
    <row r="5562" spans="2:6" x14ac:dyDescent="0.25">
      <c r="B5562" s="3"/>
      <c r="C5562" s="3"/>
      <c r="D5562" s="3"/>
      <c r="E5562" s="3" t="e">
        <f t="shared" si="178"/>
        <v>#N/A</v>
      </c>
      <c r="F5562" s="3" t="e">
        <f t="shared" si="179"/>
        <v>#N/A</v>
      </c>
    </row>
    <row r="5563" spans="2:6" x14ac:dyDescent="0.25">
      <c r="B5563" s="3"/>
      <c r="C5563" s="3"/>
      <c r="D5563" s="3"/>
      <c r="E5563" s="3" t="e">
        <f t="shared" si="178"/>
        <v>#N/A</v>
      </c>
      <c r="F5563" s="3" t="e">
        <f t="shared" si="179"/>
        <v>#N/A</v>
      </c>
    </row>
    <row r="5564" spans="2:6" x14ac:dyDescent="0.25">
      <c r="B5564" s="3"/>
      <c r="C5564" s="3"/>
      <c r="D5564" s="3"/>
      <c r="E5564" s="3" t="e">
        <f t="shared" si="178"/>
        <v>#N/A</v>
      </c>
      <c r="F5564" s="3" t="e">
        <f t="shared" si="179"/>
        <v>#N/A</v>
      </c>
    </row>
    <row r="5565" spans="2:6" x14ac:dyDescent="0.25">
      <c r="B5565" s="3"/>
      <c r="C5565" s="3"/>
      <c r="D5565" s="3"/>
      <c r="E5565" s="3" t="e">
        <f t="shared" si="178"/>
        <v>#N/A</v>
      </c>
      <c r="F5565" s="3" t="e">
        <f t="shared" si="179"/>
        <v>#N/A</v>
      </c>
    </row>
    <row r="5566" spans="2:6" x14ac:dyDescent="0.25">
      <c r="B5566" s="3"/>
      <c r="C5566" s="3"/>
      <c r="D5566" s="3"/>
      <c r="E5566" s="3" t="e">
        <f t="shared" si="178"/>
        <v>#N/A</v>
      </c>
      <c r="F5566" s="3" t="e">
        <f t="shared" si="179"/>
        <v>#N/A</v>
      </c>
    </row>
    <row r="5567" spans="2:6" x14ac:dyDescent="0.25">
      <c r="B5567" s="3"/>
      <c r="C5567" s="3"/>
      <c r="D5567" s="3"/>
      <c r="E5567" s="3" t="e">
        <f t="shared" si="178"/>
        <v>#N/A</v>
      </c>
      <c r="F5567" s="3" t="e">
        <f t="shared" si="179"/>
        <v>#N/A</v>
      </c>
    </row>
    <row r="5568" spans="2:6" x14ac:dyDescent="0.25">
      <c r="B5568" s="3"/>
      <c r="C5568" s="3"/>
      <c r="D5568" s="3"/>
      <c r="E5568" s="3" t="e">
        <f t="shared" si="178"/>
        <v>#N/A</v>
      </c>
      <c r="F5568" s="3" t="e">
        <f t="shared" si="179"/>
        <v>#N/A</v>
      </c>
    </row>
    <row r="5569" spans="2:6" x14ac:dyDescent="0.25">
      <c r="B5569" s="3"/>
      <c r="C5569" s="3"/>
      <c r="D5569" s="3"/>
      <c r="E5569" s="3" t="e">
        <f t="shared" si="178"/>
        <v>#N/A</v>
      </c>
      <c r="F5569" s="3" t="e">
        <f t="shared" si="179"/>
        <v>#N/A</v>
      </c>
    </row>
    <row r="5570" spans="2:6" x14ac:dyDescent="0.25">
      <c r="B5570" s="3"/>
      <c r="C5570" s="3"/>
      <c r="D5570" s="3"/>
      <c r="E5570" s="3" t="e">
        <f t="shared" si="178"/>
        <v>#N/A</v>
      </c>
      <c r="F5570" s="3" t="e">
        <f t="shared" si="179"/>
        <v>#N/A</v>
      </c>
    </row>
    <row r="5571" spans="2:6" x14ac:dyDescent="0.25">
      <c r="B5571" s="3"/>
      <c r="C5571" s="3"/>
      <c r="D5571" s="3"/>
      <c r="E5571" s="3" t="e">
        <f t="shared" si="178"/>
        <v>#N/A</v>
      </c>
      <c r="F5571" s="3" t="e">
        <f t="shared" si="179"/>
        <v>#N/A</v>
      </c>
    </row>
    <row r="5572" spans="2:6" x14ac:dyDescent="0.25">
      <c r="B5572" s="3"/>
      <c r="C5572" s="3"/>
      <c r="D5572" s="3"/>
      <c r="E5572" s="3" t="e">
        <f t="shared" si="178"/>
        <v>#N/A</v>
      </c>
      <c r="F5572" s="3" t="e">
        <f t="shared" si="179"/>
        <v>#N/A</v>
      </c>
    </row>
    <row r="5573" spans="2:6" x14ac:dyDescent="0.25">
      <c r="B5573" s="3"/>
      <c r="C5573" s="3"/>
      <c r="D5573" s="3"/>
      <c r="E5573" s="3" t="e">
        <f t="shared" si="178"/>
        <v>#N/A</v>
      </c>
      <c r="F5573" s="3" t="e">
        <f t="shared" si="179"/>
        <v>#N/A</v>
      </c>
    </row>
    <row r="5574" spans="2:6" x14ac:dyDescent="0.25">
      <c r="B5574" s="3"/>
      <c r="C5574" s="3"/>
      <c r="D5574" s="3"/>
      <c r="E5574" s="3" t="e">
        <f t="shared" si="178"/>
        <v>#N/A</v>
      </c>
      <c r="F5574" s="3" t="e">
        <f t="shared" si="179"/>
        <v>#N/A</v>
      </c>
    </row>
    <row r="5575" spans="2:6" x14ac:dyDescent="0.25">
      <c r="B5575" s="3"/>
      <c r="C5575" s="3"/>
      <c r="D5575" s="3"/>
      <c r="E5575" s="3" t="e">
        <f t="shared" si="178"/>
        <v>#N/A</v>
      </c>
      <c r="F5575" s="3" t="e">
        <f t="shared" si="179"/>
        <v>#N/A</v>
      </c>
    </row>
    <row r="5576" spans="2:6" x14ac:dyDescent="0.25">
      <c r="B5576" s="3"/>
      <c r="C5576" s="3"/>
      <c r="D5576" s="3"/>
      <c r="E5576" s="3" t="e">
        <f t="shared" si="178"/>
        <v>#N/A</v>
      </c>
      <c r="F5576" s="3" t="e">
        <f t="shared" si="179"/>
        <v>#N/A</v>
      </c>
    </row>
    <row r="5577" spans="2:6" x14ac:dyDescent="0.25">
      <c r="B5577" s="3"/>
      <c r="C5577" s="3"/>
      <c r="D5577" s="3"/>
      <c r="E5577" s="3" t="e">
        <f t="shared" si="178"/>
        <v>#N/A</v>
      </c>
      <c r="F5577" s="3" t="e">
        <f t="shared" si="179"/>
        <v>#N/A</v>
      </c>
    </row>
    <row r="5578" spans="2:6" x14ac:dyDescent="0.25">
      <c r="B5578" s="3"/>
      <c r="C5578" s="3"/>
      <c r="D5578" s="3"/>
      <c r="E5578" s="3" t="e">
        <f t="shared" si="178"/>
        <v>#N/A</v>
      </c>
      <c r="F5578" s="3" t="e">
        <f t="shared" si="179"/>
        <v>#N/A</v>
      </c>
    </row>
    <row r="5579" spans="2:6" x14ac:dyDescent="0.25">
      <c r="B5579" s="3"/>
      <c r="C5579" s="3"/>
      <c r="D5579" s="3"/>
      <c r="E5579" s="3" t="e">
        <f t="shared" si="178"/>
        <v>#N/A</v>
      </c>
      <c r="F5579" s="3" t="e">
        <f t="shared" si="179"/>
        <v>#N/A</v>
      </c>
    </row>
    <row r="5580" spans="2:6" x14ac:dyDescent="0.25">
      <c r="B5580" s="3"/>
      <c r="C5580" s="3"/>
      <c r="D5580" s="3"/>
      <c r="E5580" s="3" t="e">
        <f t="shared" si="178"/>
        <v>#N/A</v>
      </c>
      <c r="F5580" s="3" t="e">
        <f t="shared" si="179"/>
        <v>#N/A</v>
      </c>
    </row>
    <row r="5581" spans="2:6" x14ac:dyDescent="0.25">
      <c r="B5581" s="3"/>
      <c r="C5581" s="3"/>
      <c r="D5581" s="3"/>
      <c r="E5581" s="3" t="e">
        <f t="shared" si="178"/>
        <v>#N/A</v>
      </c>
      <c r="F5581" s="3" t="e">
        <f t="shared" si="179"/>
        <v>#N/A</v>
      </c>
    </row>
    <row r="5582" spans="2:6" x14ac:dyDescent="0.25">
      <c r="B5582" s="3"/>
      <c r="C5582" s="3"/>
      <c r="D5582" s="3"/>
      <c r="E5582" s="3" t="e">
        <f t="shared" ref="E5582:E5645" si="180">VLOOKUP(C5582,I:J,2,0)</f>
        <v>#N/A</v>
      </c>
      <c r="F5582" s="3" t="e">
        <f t="shared" ref="F5582:F5645" si="181">E5582&amp;" "&amp;B5582</f>
        <v>#N/A</v>
      </c>
    </row>
    <row r="5583" spans="2:6" x14ac:dyDescent="0.25">
      <c r="B5583" s="3"/>
      <c r="C5583" s="3"/>
      <c r="D5583" s="3"/>
      <c r="E5583" s="3" t="e">
        <f t="shared" si="180"/>
        <v>#N/A</v>
      </c>
      <c r="F5583" s="3" t="e">
        <f t="shared" si="181"/>
        <v>#N/A</v>
      </c>
    </row>
    <row r="5584" spans="2:6" x14ac:dyDescent="0.25">
      <c r="B5584" s="3"/>
      <c r="C5584" s="3"/>
      <c r="D5584" s="3"/>
      <c r="E5584" s="3" t="e">
        <f t="shared" si="180"/>
        <v>#N/A</v>
      </c>
      <c r="F5584" s="3" t="e">
        <f t="shared" si="181"/>
        <v>#N/A</v>
      </c>
    </row>
    <row r="5585" spans="2:6" x14ac:dyDescent="0.25">
      <c r="B5585" s="3"/>
      <c r="C5585" s="3"/>
      <c r="D5585" s="3"/>
      <c r="E5585" s="3" t="e">
        <f t="shared" si="180"/>
        <v>#N/A</v>
      </c>
      <c r="F5585" s="3" t="e">
        <f t="shared" si="181"/>
        <v>#N/A</v>
      </c>
    </row>
    <row r="5586" spans="2:6" x14ac:dyDescent="0.25">
      <c r="B5586" s="3"/>
      <c r="C5586" s="3"/>
      <c r="D5586" s="3"/>
      <c r="E5586" s="3" t="e">
        <f t="shared" si="180"/>
        <v>#N/A</v>
      </c>
      <c r="F5586" s="3" t="e">
        <f t="shared" si="181"/>
        <v>#N/A</v>
      </c>
    </row>
    <row r="5587" spans="2:6" x14ac:dyDescent="0.25">
      <c r="B5587" s="3"/>
      <c r="C5587" s="3"/>
      <c r="D5587" s="3"/>
      <c r="E5587" s="3" t="e">
        <f t="shared" si="180"/>
        <v>#N/A</v>
      </c>
      <c r="F5587" s="3" t="e">
        <f t="shared" si="181"/>
        <v>#N/A</v>
      </c>
    </row>
    <row r="5588" spans="2:6" x14ac:dyDescent="0.25">
      <c r="B5588" s="3"/>
      <c r="C5588" s="3"/>
      <c r="D5588" s="3"/>
      <c r="E5588" s="3" t="e">
        <f t="shared" si="180"/>
        <v>#N/A</v>
      </c>
      <c r="F5588" s="3" t="e">
        <f t="shared" si="181"/>
        <v>#N/A</v>
      </c>
    </row>
    <row r="5589" spans="2:6" x14ac:dyDescent="0.25">
      <c r="B5589" s="3"/>
      <c r="C5589" s="3"/>
      <c r="D5589" s="3"/>
      <c r="E5589" s="3" t="e">
        <f t="shared" si="180"/>
        <v>#N/A</v>
      </c>
      <c r="F5589" s="3" t="e">
        <f t="shared" si="181"/>
        <v>#N/A</v>
      </c>
    </row>
    <row r="5590" spans="2:6" x14ac:dyDescent="0.25">
      <c r="B5590" s="3"/>
      <c r="C5590" s="3"/>
      <c r="D5590" s="3"/>
      <c r="E5590" s="3" t="e">
        <f t="shared" si="180"/>
        <v>#N/A</v>
      </c>
      <c r="F5590" s="3" t="e">
        <f t="shared" si="181"/>
        <v>#N/A</v>
      </c>
    </row>
    <row r="5591" spans="2:6" x14ac:dyDescent="0.25">
      <c r="B5591" s="3"/>
      <c r="C5591" s="3"/>
      <c r="D5591" s="3"/>
      <c r="E5591" s="3" t="e">
        <f t="shared" si="180"/>
        <v>#N/A</v>
      </c>
      <c r="F5591" s="3" t="e">
        <f t="shared" si="181"/>
        <v>#N/A</v>
      </c>
    </row>
    <row r="5592" spans="2:6" x14ac:dyDescent="0.25">
      <c r="B5592" s="3"/>
      <c r="C5592" s="3"/>
      <c r="D5592" s="3"/>
      <c r="E5592" s="3" t="e">
        <f t="shared" si="180"/>
        <v>#N/A</v>
      </c>
      <c r="F5592" s="3" t="e">
        <f t="shared" si="181"/>
        <v>#N/A</v>
      </c>
    </row>
    <row r="5593" spans="2:6" x14ac:dyDescent="0.25">
      <c r="B5593" s="3"/>
      <c r="C5593" s="3"/>
      <c r="D5593" s="3"/>
      <c r="E5593" s="3" t="e">
        <f t="shared" si="180"/>
        <v>#N/A</v>
      </c>
      <c r="F5593" s="3" t="e">
        <f t="shared" si="181"/>
        <v>#N/A</v>
      </c>
    </row>
    <row r="5594" spans="2:6" x14ac:dyDescent="0.25">
      <c r="B5594" s="3"/>
      <c r="C5594" s="3"/>
      <c r="D5594" s="3"/>
      <c r="E5594" s="3" t="e">
        <f t="shared" si="180"/>
        <v>#N/A</v>
      </c>
      <c r="F5594" s="3" t="e">
        <f t="shared" si="181"/>
        <v>#N/A</v>
      </c>
    </row>
    <row r="5595" spans="2:6" x14ac:dyDescent="0.25">
      <c r="B5595" s="3"/>
      <c r="C5595" s="3"/>
      <c r="D5595" s="3"/>
      <c r="E5595" s="3" t="e">
        <f t="shared" si="180"/>
        <v>#N/A</v>
      </c>
      <c r="F5595" s="3" t="e">
        <f t="shared" si="181"/>
        <v>#N/A</v>
      </c>
    </row>
    <row r="5596" spans="2:6" x14ac:dyDescent="0.25">
      <c r="B5596" s="3"/>
      <c r="C5596" s="3"/>
      <c r="D5596" s="3"/>
      <c r="E5596" s="3" t="e">
        <f t="shared" si="180"/>
        <v>#N/A</v>
      </c>
      <c r="F5596" s="3" t="e">
        <f t="shared" si="181"/>
        <v>#N/A</v>
      </c>
    </row>
    <row r="5597" spans="2:6" x14ac:dyDescent="0.25">
      <c r="B5597" s="3"/>
      <c r="C5597" s="3"/>
      <c r="D5597" s="3"/>
      <c r="E5597" s="3" t="e">
        <f t="shared" si="180"/>
        <v>#N/A</v>
      </c>
      <c r="F5597" s="3" t="e">
        <f t="shared" si="181"/>
        <v>#N/A</v>
      </c>
    </row>
    <row r="5598" spans="2:6" x14ac:dyDescent="0.25">
      <c r="B5598" s="3"/>
      <c r="C5598" s="3"/>
      <c r="D5598" s="3"/>
      <c r="E5598" s="3" t="e">
        <f t="shared" si="180"/>
        <v>#N/A</v>
      </c>
      <c r="F5598" s="3" t="e">
        <f t="shared" si="181"/>
        <v>#N/A</v>
      </c>
    </row>
    <row r="5599" spans="2:6" x14ac:dyDescent="0.25">
      <c r="B5599" s="3"/>
      <c r="C5599" s="3"/>
      <c r="D5599" s="3"/>
      <c r="E5599" s="3" t="e">
        <f t="shared" si="180"/>
        <v>#N/A</v>
      </c>
      <c r="F5599" s="3" t="e">
        <f t="shared" si="181"/>
        <v>#N/A</v>
      </c>
    </row>
    <row r="5600" spans="2:6" x14ac:dyDescent="0.25">
      <c r="B5600" s="3"/>
      <c r="C5600" s="3"/>
      <c r="D5600" s="3"/>
      <c r="E5600" s="3" t="e">
        <f t="shared" si="180"/>
        <v>#N/A</v>
      </c>
      <c r="F5600" s="3" t="e">
        <f t="shared" si="181"/>
        <v>#N/A</v>
      </c>
    </row>
    <row r="5601" spans="2:6" x14ac:dyDescent="0.25">
      <c r="B5601" s="3"/>
      <c r="C5601" s="3"/>
      <c r="D5601" s="3"/>
      <c r="E5601" s="3" t="e">
        <f t="shared" si="180"/>
        <v>#N/A</v>
      </c>
      <c r="F5601" s="3" t="e">
        <f t="shared" si="181"/>
        <v>#N/A</v>
      </c>
    </row>
    <row r="5602" spans="2:6" x14ac:dyDescent="0.25">
      <c r="B5602" s="3"/>
      <c r="C5602" s="3"/>
      <c r="D5602" s="3"/>
      <c r="E5602" s="3" t="e">
        <f t="shared" si="180"/>
        <v>#N/A</v>
      </c>
      <c r="F5602" s="3" t="e">
        <f t="shared" si="181"/>
        <v>#N/A</v>
      </c>
    </row>
    <row r="5603" spans="2:6" x14ac:dyDescent="0.25">
      <c r="B5603" s="3"/>
      <c r="C5603" s="3"/>
      <c r="D5603" s="3"/>
      <c r="E5603" s="3" t="e">
        <f t="shared" si="180"/>
        <v>#N/A</v>
      </c>
      <c r="F5603" s="3" t="e">
        <f t="shared" si="181"/>
        <v>#N/A</v>
      </c>
    </row>
    <row r="5604" spans="2:6" x14ac:dyDescent="0.25">
      <c r="B5604" s="3"/>
      <c r="C5604" s="3"/>
      <c r="D5604" s="3"/>
      <c r="E5604" s="3" t="e">
        <f t="shared" si="180"/>
        <v>#N/A</v>
      </c>
      <c r="F5604" s="3" t="e">
        <f t="shared" si="181"/>
        <v>#N/A</v>
      </c>
    </row>
    <row r="5605" spans="2:6" x14ac:dyDescent="0.25">
      <c r="B5605" s="3"/>
      <c r="C5605" s="3"/>
      <c r="D5605" s="3"/>
      <c r="E5605" s="3" t="e">
        <f t="shared" si="180"/>
        <v>#N/A</v>
      </c>
      <c r="F5605" s="3" t="e">
        <f t="shared" si="181"/>
        <v>#N/A</v>
      </c>
    </row>
    <row r="5606" spans="2:6" x14ac:dyDescent="0.25">
      <c r="B5606" s="3"/>
      <c r="C5606" s="3"/>
      <c r="D5606" s="3"/>
      <c r="E5606" s="3" t="e">
        <f t="shared" si="180"/>
        <v>#N/A</v>
      </c>
      <c r="F5606" s="3" t="e">
        <f t="shared" si="181"/>
        <v>#N/A</v>
      </c>
    </row>
    <row r="5607" spans="2:6" x14ac:dyDescent="0.25">
      <c r="B5607" s="3"/>
      <c r="C5607" s="3"/>
      <c r="D5607" s="3"/>
      <c r="E5607" s="3" t="e">
        <f t="shared" si="180"/>
        <v>#N/A</v>
      </c>
      <c r="F5607" s="3" t="e">
        <f t="shared" si="181"/>
        <v>#N/A</v>
      </c>
    </row>
    <row r="5608" spans="2:6" x14ac:dyDescent="0.25">
      <c r="B5608" s="3"/>
      <c r="C5608" s="3"/>
      <c r="D5608" s="3"/>
      <c r="E5608" s="3" t="e">
        <f t="shared" si="180"/>
        <v>#N/A</v>
      </c>
      <c r="F5608" s="3" t="e">
        <f t="shared" si="181"/>
        <v>#N/A</v>
      </c>
    </row>
    <row r="5609" spans="2:6" x14ac:dyDescent="0.25">
      <c r="B5609" s="3"/>
      <c r="C5609" s="3"/>
      <c r="D5609" s="3"/>
      <c r="E5609" s="3" t="e">
        <f t="shared" si="180"/>
        <v>#N/A</v>
      </c>
      <c r="F5609" s="3" t="e">
        <f t="shared" si="181"/>
        <v>#N/A</v>
      </c>
    </row>
    <row r="5610" spans="2:6" x14ac:dyDescent="0.25">
      <c r="B5610" s="3"/>
      <c r="C5610" s="3"/>
      <c r="D5610" s="3"/>
      <c r="E5610" s="3" t="e">
        <f t="shared" si="180"/>
        <v>#N/A</v>
      </c>
      <c r="F5610" s="3" t="e">
        <f t="shared" si="181"/>
        <v>#N/A</v>
      </c>
    </row>
    <row r="5611" spans="2:6" x14ac:dyDescent="0.25">
      <c r="B5611" s="3"/>
      <c r="C5611" s="3"/>
      <c r="D5611" s="3"/>
      <c r="E5611" s="3" t="e">
        <f t="shared" si="180"/>
        <v>#N/A</v>
      </c>
      <c r="F5611" s="3" t="e">
        <f t="shared" si="181"/>
        <v>#N/A</v>
      </c>
    </row>
    <row r="5612" spans="2:6" x14ac:dyDescent="0.25">
      <c r="B5612" s="3"/>
      <c r="C5612" s="3"/>
      <c r="D5612" s="3"/>
      <c r="E5612" s="3" t="e">
        <f t="shared" si="180"/>
        <v>#N/A</v>
      </c>
      <c r="F5612" s="3" t="e">
        <f t="shared" si="181"/>
        <v>#N/A</v>
      </c>
    </row>
    <row r="5613" spans="2:6" x14ac:dyDescent="0.25">
      <c r="B5613" s="3"/>
      <c r="C5613" s="3"/>
      <c r="D5613" s="3"/>
      <c r="E5613" s="3" t="e">
        <f t="shared" si="180"/>
        <v>#N/A</v>
      </c>
      <c r="F5613" s="3" t="e">
        <f t="shared" si="181"/>
        <v>#N/A</v>
      </c>
    </row>
    <row r="5614" spans="2:6" x14ac:dyDescent="0.25">
      <c r="B5614" s="3"/>
      <c r="C5614" s="3"/>
      <c r="D5614" s="3"/>
      <c r="E5614" s="3" t="e">
        <f t="shared" si="180"/>
        <v>#N/A</v>
      </c>
      <c r="F5614" s="3" t="e">
        <f t="shared" si="181"/>
        <v>#N/A</v>
      </c>
    </row>
    <row r="5615" spans="2:6" x14ac:dyDescent="0.25">
      <c r="B5615" s="3"/>
      <c r="C5615" s="3"/>
      <c r="D5615" s="3"/>
      <c r="E5615" s="3" t="e">
        <f t="shared" si="180"/>
        <v>#N/A</v>
      </c>
      <c r="F5615" s="3" t="e">
        <f t="shared" si="181"/>
        <v>#N/A</v>
      </c>
    </row>
    <row r="5616" spans="2:6" x14ac:dyDescent="0.25">
      <c r="B5616" s="3"/>
      <c r="C5616" s="3"/>
      <c r="D5616" s="3"/>
      <c r="E5616" s="3" t="e">
        <f t="shared" si="180"/>
        <v>#N/A</v>
      </c>
      <c r="F5616" s="3" t="e">
        <f t="shared" si="181"/>
        <v>#N/A</v>
      </c>
    </row>
    <row r="5617" spans="2:6" x14ac:dyDescent="0.25">
      <c r="B5617" s="3"/>
      <c r="C5617" s="3"/>
      <c r="D5617" s="3"/>
      <c r="E5617" s="3" t="e">
        <f t="shared" si="180"/>
        <v>#N/A</v>
      </c>
      <c r="F5617" s="3" t="e">
        <f t="shared" si="181"/>
        <v>#N/A</v>
      </c>
    </row>
    <row r="5618" spans="2:6" x14ac:dyDescent="0.25">
      <c r="B5618" s="3"/>
      <c r="C5618" s="3"/>
      <c r="D5618" s="3"/>
      <c r="E5618" s="3" t="e">
        <f t="shared" si="180"/>
        <v>#N/A</v>
      </c>
      <c r="F5618" s="3" t="e">
        <f t="shared" si="181"/>
        <v>#N/A</v>
      </c>
    </row>
    <row r="5619" spans="2:6" x14ac:dyDescent="0.25">
      <c r="B5619" s="3"/>
      <c r="C5619" s="3"/>
      <c r="D5619" s="3"/>
      <c r="E5619" s="3" t="e">
        <f t="shared" si="180"/>
        <v>#N/A</v>
      </c>
      <c r="F5619" s="3" t="e">
        <f t="shared" si="181"/>
        <v>#N/A</v>
      </c>
    </row>
    <row r="5620" spans="2:6" x14ac:dyDescent="0.25">
      <c r="B5620" s="3"/>
      <c r="C5620" s="3"/>
      <c r="D5620" s="3"/>
      <c r="E5620" s="3" t="e">
        <f t="shared" si="180"/>
        <v>#N/A</v>
      </c>
      <c r="F5620" s="3" t="e">
        <f t="shared" si="181"/>
        <v>#N/A</v>
      </c>
    </row>
    <row r="5621" spans="2:6" x14ac:dyDescent="0.25">
      <c r="B5621" s="3"/>
      <c r="C5621" s="3"/>
      <c r="D5621" s="3"/>
      <c r="E5621" s="3" t="e">
        <f t="shared" si="180"/>
        <v>#N/A</v>
      </c>
      <c r="F5621" s="3" t="e">
        <f t="shared" si="181"/>
        <v>#N/A</v>
      </c>
    </row>
    <row r="5622" spans="2:6" x14ac:dyDescent="0.25">
      <c r="B5622" s="3"/>
      <c r="C5622" s="3"/>
      <c r="D5622" s="3"/>
      <c r="E5622" s="3" t="e">
        <f t="shared" si="180"/>
        <v>#N/A</v>
      </c>
      <c r="F5622" s="3" t="e">
        <f t="shared" si="181"/>
        <v>#N/A</v>
      </c>
    </row>
    <row r="5623" spans="2:6" x14ac:dyDescent="0.25">
      <c r="B5623" s="3"/>
      <c r="C5623" s="3"/>
      <c r="D5623" s="3"/>
      <c r="E5623" s="3" t="e">
        <f t="shared" si="180"/>
        <v>#N/A</v>
      </c>
      <c r="F5623" s="3" t="e">
        <f t="shared" si="181"/>
        <v>#N/A</v>
      </c>
    </row>
    <row r="5624" spans="2:6" x14ac:dyDescent="0.25">
      <c r="B5624" s="3"/>
      <c r="C5624" s="3"/>
      <c r="D5624" s="3"/>
      <c r="E5624" s="3" t="e">
        <f t="shared" si="180"/>
        <v>#N/A</v>
      </c>
      <c r="F5624" s="3" t="e">
        <f t="shared" si="181"/>
        <v>#N/A</v>
      </c>
    </row>
    <row r="5625" spans="2:6" x14ac:dyDescent="0.25">
      <c r="B5625" s="3"/>
      <c r="C5625" s="3"/>
      <c r="D5625" s="3"/>
      <c r="E5625" s="3" t="e">
        <f t="shared" si="180"/>
        <v>#N/A</v>
      </c>
      <c r="F5625" s="3" t="e">
        <f t="shared" si="181"/>
        <v>#N/A</v>
      </c>
    </row>
    <row r="5626" spans="2:6" x14ac:dyDescent="0.25">
      <c r="B5626" s="3"/>
      <c r="C5626" s="3"/>
      <c r="D5626" s="3"/>
      <c r="E5626" s="3" t="e">
        <f t="shared" si="180"/>
        <v>#N/A</v>
      </c>
      <c r="F5626" s="3" t="e">
        <f t="shared" si="181"/>
        <v>#N/A</v>
      </c>
    </row>
    <row r="5627" spans="2:6" x14ac:dyDescent="0.25">
      <c r="B5627" s="3"/>
      <c r="C5627" s="3"/>
      <c r="D5627" s="3"/>
      <c r="E5627" s="3" t="e">
        <f t="shared" si="180"/>
        <v>#N/A</v>
      </c>
      <c r="F5627" s="3" t="e">
        <f t="shared" si="181"/>
        <v>#N/A</v>
      </c>
    </row>
    <row r="5628" spans="2:6" x14ac:dyDescent="0.25">
      <c r="B5628" s="3"/>
      <c r="C5628" s="3"/>
      <c r="D5628" s="3"/>
      <c r="E5628" s="3" t="e">
        <f t="shared" si="180"/>
        <v>#N/A</v>
      </c>
      <c r="F5628" s="3" t="e">
        <f t="shared" si="181"/>
        <v>#N/A</v>
      </c>
    </row>
    <row r="5629" spans="2:6" x14ac:dyDescent="0.25">
      <c r="B5629" s="3"/>
      <c r="C5629" s="3"/>
      <c r="D5629" s="3"/>
      <c r="E5629" s="3" t="e">
        <f t="shared" si="180"/>
        <v>#N/A</v>
      </c>
      <c r="F5629" s="3" t="e">
        <f t="shared" si="181"/>
        <v>#N/A</v>
      </c>
    </row>
    <row r="5630" spans="2:6" x14ac:dyDescent="0.25">
      <c r="B5630" s="3"/>
      <c r="C5630" s="3"/>
      <c r="D5630" s="3"/>
      <c r="E5630" s="3" t="e">
        <f t="shared" si="180"/>
        <v>#N/A</v>
      </c>
      <c r="F5630" s="3" t="e">
        <f t="shared" si="181"/>
        <v>#N/A</v>
      </c>
    </row>
    <row r="5631" spans="2:6" x14ac:dyDescent="0.25">
      <c r="B5631" s="3"/>
      <c r="C5631" s="3"/>
      <c r="D5631" s="3"/>
      <c r="E5631" s="3" t="e">
        <f t="shared" si="180"/>
        <v>#N/A</v>
      </c>
      <c r="F5631" s="3" t="e">
        <f t="shared" si="181"/>
        <v>#N/A</v>
      </c>
    </row>
    <row r="5632" spans="2:6" x14ac:dyDescent="0.25">
      <c r="B5632" s="3"/>
      <c r="C5632" s="3"/>
      <c r="D5632" s="3"/>
      <c r="E5632" s="3" t="e">
        <f t="shared" si="180"/>
        <v>#N/A</v>
      </c>
      <c r="F5632" s="3" t="e">
        <f t="shared" si="181"/>
        <v>#N/A</v>
      </c>
    </row>
    <row r="5633" spans="2:6" x14ac:dyDescent="0.25">
      <c r="B5633" s="3"/>
      <c r="C5633" s="3"/>
      <c r="D5633" s="3"/>
      <c r="E5633" s="3" t="e">
        <f t="shared" si="180"/>
        <v>#N/A</v>
      </c>
      <c r="F5633" s="3" t="e">
        <f t="shared" si="181"/>
        <v>#N/A</v>
      </c>
    </row>
    <row r="5634" spans="2:6" x14ac:dyDescent="0.25">
      <c r="B5634" s="3"/>
      <c r="C5634" s="3"/>
      <c r="D5634" s="3"/>
      <c r="E5634" s="3" t="e">
        <f t="shared" si="180"/>
        <v>#N/A</v>
      </c>
      <c r="F5634" s="3" t="e">
        <f t="shared" si="181"/>
        <v>#N/A</v>
      </c>
    </row>
    <row r="5635" spans="2:6" x14ac:dyDescent="0.25">
      <c r="B5635" s="3"/>
      <c r="C5635" s="3"/>
      <c r="D5635" s="3"/>
      <c r="E5635" s="3" t="e">
        <f t="shared" si="180"/>
        <v>#N/A</v>
      </c>
      <c r="F5635" s="3" t="e">
        <f t="shared" si="181"/>
        <v>#N/A</v>
      </c>
    </row>
    <row r="5636" spans="2:6" x14ac:dyDescent="0.25">
      <c r="B5636" s="3"/>
      <c r="C5636" s="3"/>
      <c r="D5636" s="3"/>
      <c r="E5636" s="3" t="e">
        <f t="shared" si="180"/>
        <v>#N/A</v>
      </c>
      <c r="F5636" s="3" t="e">
        <f t="shared" si="181"/>
        <v>#N/A</v>
      </c>
    </row>
    <row r="5637" spans="2:6" x14ac:dyDescent="0.25">
      <c r="B5637" s="3"/>
      <c r="C5637" s="3"/>
      <c r="D5637" s="3"/>
      <c r="E5637" s="3" t="e">
        <f t="shared" si="180"/>
        <v>#N/A</v>
      </c>
      <c r="F5637" s="3" t="e">
        <f t="shared" si="181"/>
        <v>#N/A</v>
      </c>
    </row>
    <row r="5638" spans="2:6" x14ac:dyDescent="0.25">
      <c r="B5638" s="3"/>
      <c r="C5638" s="3"/>
      <c r="D5638" s="3"/>
      <c r="E5638" s="3" t="e">
        <f t="shared" si="180"/>
        <v>#N/A</v>
      </c>
      <c r="F5638" s="3" t="e">
        <f t="shared" si="181"/>
        <v>#N/A</v>
      </c>
    </row>
    <row r="5639" spans="2:6" x14ac:dyDescent="0.25">
      <c r="B5639" s="3"/>
      <c r="C5639" s="3"/>
      <c r="D5639" s="3"/>
      <c r="E5639" s="3" t="e">
        <f t="shared" si="180"/>
        <v>#N/A</v>
      </c>
      <c r="F5639" s="3" t="e">
        <f t="shared" si="181"/>
        <v>#N/A</v>
      </c>
    </row>
    <row r="5640" spans="2:6" x14ac:dyDescent="0.25">
      <c r="B5640" s="3"/>
      <c r="C5640" s="3"/>
      <c r="D5640" s="3"/>
      <c r="E5640" s="3" t="e">
        <f t="shared" si="180"/>
        <v>#N/A</v>
      </c>
      <c r="F5640" s="3" t="e">
        <f t="shared" si="181"/>
        <v>#N/A</v>
      </c>
    </row>
    <row r="5641" spans="2:6" x14ac:dyDescent="0.25">
      <c r="B5641" s="3"/>
      <c r="C5641" s="3"/>
      <c r="D5641" s="3"/>
      <c r="E5641" s="3" t="e">
        <f t="shared" si="180"/>
        <v>#N/A</v>
      </c>
      <c r="F5641" s="3" t="e">
        <f t="shared" si="181"/>
        <v>#N/A</v>
      </c>
    </row>
    <row r="5642" spans="2:6" x14ac:dyDescent="0.25">
      <c r="B5642" s="3"/>
      <c r="C5642" s="3"/>
      <c r="D5642" s="3"/>
      <c r="E5642" s="3" t="e">
        <f t="shared" si="180"/>
        <v>#N/A</v>
      </c>
      <c r="F5642" s="3" t="e">
        <f t="shared" si="181"/>
        <v>#N/A</v>
      </c>
    </row>
    <row r="5643" spans="2:6" x14ac:dyDescent="0.25">
      <c r="B5643" s="3"/>
      <c r="C5643" s="3"/>
      <c r="D5643" s="3"/>
      <c r="E5643" s="3" t="e">
        <f t="shared" si="180"/>
        <v>#N/A</v>
      </c>
      <c r="F5643" s="3" t="e">
        <f t="shared" si="181"/>
        <v>#N/A</v>
      </c>
    </row>
    <row r="5644" spans="2:6" x14ac:dyDescent="0.25">
      <c r="B5644" s="3"/>
      <c r="C5644" s="3"/>
      <c r="D5644" s="3"/>
      <c r="E5644" s="3" t="e">
        <f t="shared" si="180"/>
        <v>#N/A</v>
      </c>
      <c r="F5644" s="3" t="e">
        <f t="shared" si="181"/>
        <v>#N/A</v>
      </c>
    </row>
    <row r="5645" spans="2:6" x14ac:dyDescent="0.25">
      <c r="B5645" s="3"/>
      <c r="C5645" s="3"/>
      <c r="D5645" s="3"/>
      <c r="E5645" s="3" t="e">
        <f t="shared" si="180"/>
        <v>#N/A</v>
      </c>
      <c r="F5645" s="3" t="e">
        <f t="shared" si="181"/>
        <v>#N/A</v>
      </c>
    </row>
    <row r="5646" spans="2:6" x14ac:dyDescent="0.25">
      <c r="B5646" s="3"/>
      <c r="C5646" s="3"/>
      <c r="D5646" s="3"/>
      <c r="E5646" s="3" t="e">
        <f t="shared" ref="E5646:E5709" si="182">VLOOKUP(C5646,I:J,2,0)</f>
        <v>#N/A</v>
      </c>
      <c r="F5646" s="3" t="e">
        <f t="shared" ref="F5646:F5709" si="183">E5646&amp;" "&amp;B5646</f>
        <v>#N/A</v>
      </c>
    </row>
    <row r="5647" spans="2:6" x14ac:dyDescent="0.25">
      <c r="B5647" s="3"/>
      <c r="C5647" s="3"/>
      <c r="D5647" s="3"/>
      <c r="E5647" s="3" t="e">
        <f t="shared" si="182"/>
        <v>#N/A</v>
      </c>
      <c r="F5647" s="3" t="e">
        <f t="shared" si="183"/>
        <v>#N/A</v>
      </c>
    </row>
    <row r="5648" spans="2:6" x14ac:dyDescent="0.25">
      <c r="B5648" s="3"/>
      <c r="C5648" s="3"/>
      <c r="D5648" s="3"/>
      <c r="E5648" s="3" t="e">
        <f t="shared" si="182"/>
        <v>#N/A</v>
      </c>
      <c r="F5648" s="3" t="e">
        <f t="shared" si="183"/>
        <v>#N/A</v>
      </c>
    </row>
    <row r="5649" spans="2:6" x14ac:dyDescent="0.25">
      <c r="B5649" s="3"/>
      <c r="C5649" s="3"/>
      <c r="D5649" s="3"/>
      <c r="E5649" s="3" t="e">
        <f t="shared" si="182"/>
        <v>#N/A</v>
      </c>
      <c r="F5649" s="3" t="e">
        <f t="shared" si="183"/>
        <v>#N/A</v>
      </c>
    </row>
    <row r="5650" spans="2:6" x14ac:dyDescent="0.25">
      <c r="B5650" s="3"/>
      <c r="C5650" s="3"/>
      <c r="D5650" s="3"/>
      <c r="E5650" s="3" t="e">
        <f t="shared" si="182"/>
        <v>#N/A</v>
      </c>
      <c r="F5650" s="3" t="e">
        <f t="shared" si="183"/>
        <v>#N/A</v>
      </c>
    </row>
    <row r="5651" spans="2:6" x14ac:dyDescent="0.25">
      <c r="B5651" s="3"/>
      <c r="C5651" s="3"/>
      <c r="D5651" s="3"/>
      <c r="E5651" s="3" t="e">
        <f t="shared" si="182"/>
        <v>#N/A</v>
      </c>
      <c r="F5651" s="3" t="e">
        <f t="shared" si="183"/>
        <v>#N/A</v>
      </c>
    </row>
    <row r="5652" spans="2:6" x14ac:dyDescent="0.25">
      <c r="B5652" s="3"/>
      <c r="C5652" s="3"/>
      <c r="D5652" s="3"/>
      <c r="E5652" s="3" t="e">
        <f t="shared" si="182"/>
        <v>#N/A</v>
      </c>
      <c r="F5652" s="3" t="e">
        <f t="shared" si="183"/>
        <v>#N/A</v>
      </c>
    </row>
    <row r="5653" spans="2:6" x14ac:dyDescent="0.25">
      <c r="B5653" s="3"/>
      <c r="C5653" s="3"/>
      <c r="D5653" s="3"/>
      <c r="E5653" s="3" t="e">
        <f t="shared" si="182"/>
        <v>#N/A</v>
      </c>
      <c r="F5653" s="3" t="e">
        <f t="shared" si="183"/>
        <v>#N/A</v>
      </c>
    </row>
    <row r="5654" spans="2:6" x14ac:dyDescent="0.25">
      <c r="B5654" s="3"/>
      <c r="C5654" s="3"/>
      <c r="D5654" s="3"/>
      <c r="E5654" s="3" t="e">
        <f t="shared" si="182"/>
        <v>#N/A</v>
      </c>
      <c r="F5654" s="3" t="e">
        <f t="shared" si="183"/>
        <v>#N/A</v>
      </c>
    </row>
    <row r="5655" spans="2:6" x14ac:dyDescent="0.25">
      <c r="B5655" s="3"/>
      <c r="C5655" s="3"/>
      <c r="D5655" s="3"/>
      <c r="E5655" s="3" t="e">
        <f t="shared" si="182"/>
        <v>#N/A</v>
      </c>
      <c r="F5655" s="3" t="e">
        <f t="shared" si="183"/>
        <v>#N/A</v>
      </c>
    </row>
    <row r="5656" spans="2:6" x14ac:dyDescent="0.25">
      <c r="B5656" s="3"/>
      <c r="C5656" s="3"/>
      <c r="D5656" s="3"/>
      <c r="E5656" s="3" t="e">
        <f t="shared" si="182"/>
        <v>#N/A</v>
      </c>
      <c r="F5656" s="3" t="e">
        <f t="shared" si="183"/>
        <v>#N/A</v>
      </c>
    </row>
    <row r="5657" spans="2:6" x14ac:dyDescent="0.25">
      <c r="B5657" s="3"/>
      <c r="C5657" s="3"/>
      <c r="D5657" s="3"/>
      <c r="E5657" s="3" t="e">
        <f t="shared" si="182"/>
        <v>#N/A</v>
      </c>
      <c r="F5657" s="3" t="e">
        <f t="shared" si="183"/>
        <v>#N/A</v>
      </c>
    </row>
    <row r="5658" spans="2:6" x14ac:dyDescent="0.25">
      <c r="B5658" s="3"/>
      <c r="C5658" s="3"/>
      <c r="D5658" s="3"/>
      <c r="E5658" s="3" t="e">
        <f t="shared" si="182"/>
        <v>#N/A</v>
      </c>
      <c r="F5658" s="3" t="e">
        <f t="shared" si="183"/>
        <v>#N/A</v>
      </c>
    </row>
    <row r="5659" spans="2:6" x14ac:dyDescent="0.25">
      <c r="B5659" s="3"/>
      <c r="C5659" s="3"/>
      <c r="D5659" s="3"/>
      <c r="E5659" s="3" t="e">
        <f t="shared" si="182"/>
        <v>#N/A</v>
      </c>
      <c r="F5659" s="3" t="e">
        <f t="shared" si="183"/>
        <v>#N/A</v>
      </c>
    </row>
    <row r="5660" spans="2:6" x14ac:dyDescent="0.25">
      <c r="B5660" s="3"/>
      <c r="C5660" s="3"/>
      <c r="D5660" s="3"/>
      <c r="E5660" s="3" t="e">
        <f t="shared" si="182"/>
        <v>#N/A</v>
      </c>
      <c r="F5660" s="3" t="e">
        <f t="shared" si="183"/>
        <v>#N/A</v>
      </c>
    </row>
    <row r="5661" spans="2:6" x14ac:dyDescent="0.25">
      <c r="B5661" s="3"/>
      <c r="C5661" s="3"/>
      <c r="D5661" s="3"/>
      <c r="E5661" s="3" t="e">
        <f t="shared" si="182"/>
        <v>#N/A</v>
      </c>
      <c r="F5661" s="3" t="e">
        <f t="shared" si="183"/>
        <v>#N/A</v>
      </c>
    </row>
    <row r="5662" spans="2:6" x14ac:dyDescent="0.25">
      <c r="B5662" s="3"/>
      <c r="C5662" s="3"/>
      <c r="D5662" s="3"/>
      <c r="E5662" s="3" t="e">
        <f t="shared" si="182"/>
        <v>#N/A</v>
      </c>
      <c r="F5662" s="3" t="e">
        <f t="shared" si="183"/>
        <v>#N/A</v>
      </c>
    </row>
    <row r="5663" spans="2:6" x14ac:dyDescent="0.25">
      <c r="B5663" s="3"/>
      <c r="C5663" s="3"/>
      <c r="D5663" s="3"/>
      <c r="E5663" s="3" t="e">
        <f t="shared" si="182"/>
        <v>#N/A</v>
      </c>
      <c r="F5663" s="3" t="e">
        <f t="shared" si="183"/>
        <v>#N/A</v>
      </c>
    </row>
    <row r="5664" spans="2:6" x14ac:dyDescent="0.25">
      <c r="B5664" s="3"/>
      <c r="C5664" s="3"/>
      <c r="D5664" s="3"/>
      <c r="E5664" s="3" t="e">
        <f t="shared" si="182"/>
        <v>#N/A</v>
      </c>
      <c r="F5664" s="3" t="e">
        <f t="shared" si="183"/>
        <v>#N/A</v>
      </c>
    </row>
    <row r="5665" spans="2:6" x14ac:dyDescent="0.25">
      <c r="B5665" s="3"/>
      <c r="C5665" s="3"/>
      <c r="D5665" s="3"/>
      <c r="E5665" s="3" t="e">
        <f t="shared" si="182"/>
        <v>#N/A</v>
      </c>
      <c r="F5665" s="3" t="e">
        <f t="shared" si="183"/>
        <v>#N/A</v>
      </c>
    </row>
    <row r="5666" spans="2:6" x14ac:dyDescent="0.25">
      <c r="B5666" s="3"/>
      <c r="C5666" s="3"/>
      <c r="D5666" s="3"/>
      <c r="E5666" s="3" t="e">
        <f t="shared" si="182"/>
        <v>#N/A</v>
      </c>
      <c r="F5666" s="3" t="e">
        <f t="shared" si="183"/>
        <v>#N/A</v>
      </c>
    </row>
    <row r="5667" spans="2:6" x14ac:dyDescent="0.25">
      <c r="B5667" s="3"/>
      <c r="C5667" s="3"/>
      <c r="D5667" s="3"/>
      <c r="E5667" s="3" t="e">
        <f t="shared" si="182"/>
        <v>#N/A</v>
      </c>
      <c r="F5667" s="3" t="e">
        <f t="shared" si="183"/>
        <v>#N/A</v>
      </c>
    </row>
    <row r="5668" spans="2:6" x14ac:dyDescent="0.25">
      <c r="B5668" s="3"/>
      <c r="C5668" s="3"/>
      <c r="D5668" s="3"/>
      <c r="E5668" s="3" t="e">
        <f t="shared" si="182"/>
        <v>#N/A</v>
      </c>
      <c r="F5668" s="3" t="e">
        <f t="shared" si="183"/>
        <v>#N/A</v>
      </c>
    </row>
    <row r="5669" spans="2:6" x14ac:dyDescent="0.25">
      <c r="B5669" s="3"/>
      <c r="C5669" s="3"/>
      <c r="D5669" s="3"/>
      <c r="E5669" s="3" t="e">
        <f t="shared" si="182"/>
        <v>#N/A</v>
      </c>
      <c r="F5669" s="3" t="e">
        <f t="shared" si="183"/>
        <v>#N/A</v>
      </c>
    </row>
    <row r="5670" spans="2:6" x14ac:dyDescent="0.25">
      <c r="B5670" s="3"/>
      <c r="C5670" s="3"/>
      <c r="D5670" s="3"/>
      <c r="E5670" s="3" t="e">
        <f t="shared" si="182"/>
        <v>#N/A</v>
      </c>
      <c r="F5670" s="3" t="e">
        <f t="shared" si="183"/>
        <v>#N/A</v>
      </c>
    </row>
    <row r="5671" spans="2:6" x14ac:dyDescent="0.25">
      <c r="B5671" s="3"/>
      <c r="C5671" s="3"/>
      <c r="D5671" s="3"/>
      <c r="E5671" s="3" t="e">
        <f t="shared" si="182"/>
        <v>#N/A</v>
      </c>
      <c r="F5671" s="3" t="e">
        <f t="shared" si="183"/>
        <v>#N/A</v>
      </c>
    </row>
    <row r="5672" spans="2:6" x14ac:dyDescent="0.25">
      <c r="B5672" s="3"/>
      <c r="C5672" s="3"/>
      <c r="D5672" s="3"/>
      <c r="E5672" s="3" t="e">
        <f t="shared" si="182"/>
        <v>#N/A</v>
      </c>
      <c r="F5672" s="3" t="e">
        <f t="shared" si="183"/>
        <v>#N/A</v>
      </c>
    </row>
    <row r="5673" spans="2:6" x14ac:dyDescent="0.25">
      <c r="B5673" s="3"/>
      <c r="C5673" s="3"/>
      <c r="D5673" s="3"/>
      <c r="E5673" s="3" t="e">
        <f t="shared" si="182"/>
        <v>#N/A</v>
      </c>
      <c r="F5673" s="3" t="e">
        <f t="shared" si="183"/>
        <v>#N/A</v>
      </c>
    </row>
    <row r="5674" spans="2:6" x14ac:dyDescent="0.25">
      <c r="B5674" s="3"/>
      <c r="C5674" s="3"/>
      <c r="D5674" s="3"/>
      <c r="E5674" s="3" t="e">
        <f t="shared" si="182"/>
        <v>#N/A</v>
      </c>
      <c r="F5674" s="3" t="e">
        <f t="shared" si="183"/>
        <v>#N/A</v>
      </c>
    </row>
    <row r="5675" spans="2:6" x14ac:dyDescent="0.25">
      <c r="B5675" s="3"/>
      <c r="C5675" s="3"/>
      <c r="D5675" s="3"/>
      <c r="E5675" s="3" t="e">
        <f t="shared" si="182"/>
        <v>#N/A</v>
      </c>
      <c r="F5675" s="3" t="e">
        <f t="shared" si="183"/>
        <v>#N/A</v>
      </c>
    </row>
    <row r="5676" spans="2:6" x14ac:dyDescent="0.25">
      <c r="B5676" s="3"/>
      <c r="C5676" s="3"/>
      <c r="D5676" s="3"/>
      <c r="E5676" s="3" t="e">
        <f t="shared" si="182"/>
        <v>#N/A</v>
      </c>
      <c r="F5676" s="3" t="e">
        <f t="shared" si="183"/>
        <v>#N/A</v>
      </c>
    </row>
    <row r="5677" spans="2:6" x14ac:dyDescent="0.25">
      <c r="B5677" s="3"/>
      <c r="C5677" s="3"/>
      <c r="D5677" s="3"/>
      <c r="E5677" s="3" t="e">
        <f t="shared" si="182"/>
        <v>#N/A</v>
      </c>
      <c r="F5677" s="3" t="e">
        <f t="shared" si="183"/>
        <v>#N/A</v>
      </c>
    </row>
    <row r="5678" spans="2:6" x14ac:dyDescent="0.25">
      <c r="B5678" s="3"/>
      <c r="C5678" s="3"/>
      <c r="D5678" s="3"/>
      <c r="E5678" s="3" t="e">
        <f t="shared" si="182"/>
        <v>#N/A</v>
      </c>
      <c r="F5678" s="3" t="e">
        <f t="shared" si="183"/>
        <v>#N/A</v>
      </c>
    </row>
    <row r="5679" spans="2:6" x14ac:dyDescent="0.25">
      <c r="B5679" s="3"/>
      <c r="C5679" s="3"/>
      <c r="D5679" s="3"/>
      <c r="E5679" s="3" t="e">
        <f t="shared" si="182"/>
        <v>#N/A</v>
      </c>
      <c r="F5679" s="3" t="e">
        <f t="shared" si="183"/>
        <v>#N/A</v>
      </c>
    </row>
    <row r="5680" spans="2:6" x14ac:dyDescent="0.25">
      <c r="B5680" s="3"/>
      <c r="C5680" s="3"/>
      <c r="D5680" s="3"/>
      <c r="E5680" s="3" t="e">
        <f t="shared" si="182"/>
        <v>#N/A</v>
      </c>
      <c r="F5680" s="3" t="e">
        <f t="shared" si="183"/>
        <v>#N/A</v>
      </c>
    </row>
    <row r="5681" spans="2:6" x14ac:dyDescent="0.25">
      <c r="B5681" s="3"/>
      <c r="C5681" s="3"/>
      <c r="D5681" s="3"/>
      <c r="E5681" s="3" t="e">
        <f t="shared" si="182"/>
        <v>#N/A</v>
      </c>
      <c r="F5681" s="3" t="e">
        <f t="shared" si="183"/>
        <v>#N/A</v>
      </c>
    </row>
    <row r="5682" spans="2:6" x14ac:dyDescent="0.25">
      <c r="B5682" s="3"/>
      <c r="C5682" s="3"/>
      <c r="D5682" s="3"/>
      <c r="E5682" s="3" t="e">
        <f t="shared" si="182"/>
        <v>#N/A</v>
      </c>
      <c r="F5682" s="3" t="e">
        <f t="shared" si="183"/>
        <v>#N/A</v>
      </c>
    </row>
    <row r="5683" spans="2:6" x14ac:dyDescent="0.25">
      <c r="B5683" s="3"/>
      <c r="C5683" s="3"/>
      <c r="D5683" s="3"/>
      <c r="E5683" s="3" t="e">
        <f t="shared" si="182"/>
        <v>#N/A</v>
      </c>
      <c r="F5683" s="3" t="e">
        <f t="shared" si="183"/>
        <v>#N/A</v>
      </c>
    </row>
    <row r="5684" spans="2:6" x14ac:dyDescent="0.25">
      <c r="B5684" s="3"/>
      <c r="C5684" s="3"/>
      <c r="D5684" s="3"/>
      <c r="E5684" s="3" t="e">
        <f t="shared" si="182"/>
        <v>#N/A</v>
      </c>
      <c r="F5684" s="3" t="e">
        <f t="shared" si="183"/>
        <v>#N/A</v>
      </c>
    </row>
    <row r="5685" spans="2:6" x14ac:dyDescent="0.25">
      <c r="B5685" s="3"/>
      <c r="C5685" s="3"/>
      <c r="D5685" s="3"/>
      <c r="E5685" s="3" t="e">
        <f t="shared" si="182"/>
        <v>#N/A</v>
      </c>
      <c r="F5685" s="3" t="e">
        <f t="shared" si="183"/>
        <v>#N/A</v>
      </c>
    </row>
    <row r="5686" spans="2:6" x14ac:dyDescent="0.25">
      <c r="B5686" s="3"/>
      <c r="C5686" s="3"/>
      <c r="D5686" s="3"/>
      <c r="E5686" s="3" t="e">
        <f t="shared" si="182"/>
        <v>#N/A</v>
      </c>
      <c r="F5686" s="3" t="e">
        <f t="shared" si="183"/>
        <v>#N/A</v>
      </c>
    </row>
    <row r="5687" spans="2:6" x14ac:dyDescent="0.25">
      <c r="B5687" s="3"/>
      <c r="C5687" s="3"/>
      <c r="D5687" s="3"/>
      <c r="E5687" s="3" t="e">
        <f t="shared" si="182"/>
        <v>#N/A</v>
      </c>
      <c r="F5687" s="3" t="e">
        <f t="shared" si="183"/>
        <v>#N/A</v>
      </c>
    </row>
    <row r="5688" spans="2:6" x14ac:dyDescent="0.25">
      <c r="B5688" s="3"/>
      <c r="C5688" s="3"/>
      <c r="D5688" s="3"/>
      <c r="E5688" s="3" t="e">
        <f t="shared" si="182"/>
        <v>#N/A</v>
      </c>
      <c r="F5688" s="3" t="e">
        <f t="shared" si="183"/>
        <v>#N/A</v>
      </c>
    </row>
    <row r="5689" spans="2:6" x14ac:dyDescent="0.25">
      <c r="B5689" s="3"/>
      <c r="C5689" s="3"/>
      <c r="D5689" s="3"/>
      <c r="E5689" s="3" t="e">
        <f t="shared" si="182"/>
        <v>#N/A</v>
      </c>
      <c r="F5689" s="3" t="e">
        <f t="shared" si="183"/>
        <v>#N/A</v>
      </c>
    </row>
    <row r="5690" spans="2:6" x14ac:dyDescent="0.25">
      <c r="B5690" s="3"/>
      <c r="C5690" s="3"/>
      <c r="D5690" s="3"/>
      <c r="E5690" s="3" t="e">
        <f t="shared" si="182"/>
        <v>#N/A</v>
      </c>
      <c r="F5690" s="3" t="e">
        <f t="shared" si="183"/>
        <v>#N/A</v>
      </c>
    </row>
    <row r="5691" spans="2:6" x14ac:dyDescent="0.25">
      <c r="B5691" s="3"/>
      <c r="C5691" s="3"/>
      <c r="D5691" s="3"/>
      <c r="E5691" s="3" t="e">
        <f t="shared" si="182"/>
        <v>#N/A</v>
      </c>
      <c r="F5691" s="3" t="e">
        <f t="shared" si="183"/>
        <v>#N/A</v>
      </c>
    </row>
    <row r="5692" spans="2:6" x14ac:dyDescent="0.25">
      <c r="B5692" s="3"/>
      <c r="C5692" s="3"/>
      <c r="D5692" s="3"/>
      <c r="E5692" s="3" t="e">
        <f t="shared" si="182"/>
        <v>#N/A</v>
      </c>
      <c r="F5692" s="3" t="e">
        <f t="shared" si="183"/>
        <v>#N/A</v>
      </c>
    </row>
    <row r="5693" spans="2:6" x14ac:dyDescent="0.25">
      <c r="B5693" s="3"/>
      <c r="C5693" s="3"/>
      <c r="D5693" s="3"/>
      <c r="E5693" s="3" t="e">
        <f t="shared" si="182"/>
        <v>#N/A</v>
      </c>
      <c r="F5693" s="3" t="e">
        <f t="shared" si="183"/>
        <v>#N/A</v>
      </c>
    </row>
    <row r="5694" spans="2:6" x14ac:dyDescent="0.25">
      <c r="B5694" s="3"/>
      <c r="C5694" s="3"/>
      <c r="D5694" s="3"/>
      <c r="E5694" s="3" t="e">
        <f t="shared" si="182"/>
        <v>#N/A</v>
      </c>
      <c r="F5694" s="3" t="e">
        <f t="shared" si="183"/>
        <v>#N/A</v>
      </c>
    </row>
    <row r="5695" spans="2:6" x14ac:dyDescent="0.25">
      <c r="B5695" s="3"/>
      <c r="C5695" s="3"/>
      <c r="D5695" s="3"/>
      <c r="E5695" s="3" t="e">
        <f t="shared" si="182"/>
        <v>#N/A</v>
      </c>
      <c r="F5695" s="3" t="e">
        <f t="shared" si="183"/>
        <v>#N/A</v>
      </c>
    </row>
    <row r="5696" spans="2:6" x14ac:dyDescent="0.25">
      <c r="B5696" s="3"/>
      <c r="C5696" s="3"/>
      <c r="D5696" s="3"/>
      <c r="E5696" s="3" t="e">
        <f t="shared" si="182"/>
        <v>#N/A</v>
      </c>
      <c r="F5696" s="3" t="e">
        <f t="shared" si="183"/>
        <v>#N/A</v>
      </c>
    </row>
    <row r="5697" spans="2:6" x14ac:dyDescent="0.25">
      <c r="B5697" s="3"/>
      <c r="C5697" s="3"/>
      <c r="D5697" s="3"/>
      <c r="E5697" s="3" t="e">
        <f t="shared" si="182"/>
        <v>#N/A</v>
      </c>
      <c r="F5697" s="3" t="e">
        <f t="shared" si="183"/>
        <v>#N/A</v>
      </c>
    </row>
    <row r="5698" spans="2:6" x14ac:dyDescent="0.25">
      <c r="B5698" s="3"/>
      <c r="C5698" s="3"/>
      <c r="D5698" s="3"/>
      <c r="E5698" s="3" t="e">
        <f t="shared" si="182"/>
        <v>#N/A</v>
      </c>
      <c r="F5698" s="3" t="e">
        <f t="shared" si="183"/>
        <v>#N/A</v>
      </c>
    </row>
    <row r="5699" spans="2:6" x14ac:dyDescent="0.25">
      <c r="B5699" s="3"/>
      <c r="C5699" s="3"/>
      <c r="D5699" s="3"/>
      <c r="E5699" s="3" t="e">
        <f t="shared" si="182"/>
        <v>#N/A</v>
      </c>
      <c r="F5699" s="3" t="e">
        <f t="shared" si="183"/>
        <v>#N/A</v>
      </c>
    </row>
    <row r="5700" spans="2:6" x14ac:dyDescent="0.25">
      <c r="B5700" s="3"/>
      <c r="C5700" s="3"/>
      <c r="D5700" s="3"/>
      <c r="E5700" s="3" t="e">
        <f t="shared" si="182"/>
        <v>#N/A</v>
      </c>
      <c r="F5700" s="3" t="e">
        <f t="shared" si="183"/>
        <v>#N/A</v>
      </c>
    </row>
    <row r="5701" spans="2:6" x14ac:dyDescent="0.25">
      <c r="B5701" s="3"/>
      <c r="C5701" s="3"/>
      <c r="D5701" s="3"/>
      <c r="E5701" s="3" t="e">
        <f t="shared" si="182"/>
        <v>#N/A</v>
      </c>
      <c r="F5701" s="3" t="e">
        <f t="shared" si="183"/>
        <v>#N/A</v>
      </c>
    </row>
    <row r="5702" spans="2:6" x14ac:dyDescent="0.25">
      <c r="B5702" s="3"/>
      <c r="C5702" s="3"/>
      <c r="D5702" s="3"/>
      <c r="E5702" s="3" t="e">
        <f t="shared" si="182"/>
        <v>#N/A</v>
      </c>
      <c r="F5702" s="3" t="e">
        <f t="shared" si="183"/>
        <v>#N/A</v>
      </c>
    </row>
    <row r="5703" spans="2:6" x14ac:dyDescent="0.25">
      <c r="B5703" s="3"/>
      <c r="C5703" s="3"/>
      <c r="D5703" s="3"/>
      <c r="E5703" s="3" t="e">
        <f t="shared" si="182"/>
        <v>#N/A</v>
      </c>
      <c r="F5703" s="3" t="e">
        <f t="shared" si="183"/>
        <v>#N/A</v>
      </c>
    </row>
    <row r="5704" spans="2:6" x14ac:dyDescent="0.25">
      <c r="B5704" s="3"/>
      <c r="C5704" s="3"/>
      <c r="D5704" s="3"/>
      <c r="E5704" s="3" t="e">
        <f t="shared" si="182"/>
        <v>#N/A</v>
      </c>
      <c r="F5704" s="3" t="e">
        <f t="shared" si="183"/>
        <v>#N/A</v>
      </c>
    </row>
    <row r="5705" spans="2:6" x14ac:dyDescent="0.25">
      <c r="B5705" s="3"/>
      <c r="C5705" s="3"/>
      <c r="D5705" s="3"/>
      <c r="E5705" s="3" t="e">
        <f t="shared" si="182"/>
        <v>#N/A</v>
      </c>
      <c r="F5705" s="3" t="e">
        <f t="shared" si="183"/>
        <v>#N/A</v>
      </c>
    </row>
    <row r="5706" spans="2:6" x14ac:dyDescent="0.25">
      <c r="B5706" s="3"/>
      <c r="C5706" s="3"/>
      <c r="D5706" s="3"/>
      <c r="E5706" s="3" t="e">
        <f t="shared" si="182"/>
        <v>#N/A</v>
      </c>
      <c r="F5706" s="3" t="e">
        <f t="shared" si="183"/>
        <v>#N/A</v>
      </c>
    </row>
    <row r="5707" spans="2:6" x14ac:dyDescent="0.25">
      <c r="B5707" s="3"/>
      <c r="C5707" s="3"/>
      <c r="D5707" s="3"/>
      <c r="E5707" s="3" t="e">
        <f t="shared" si="182"/>
        <v>#N/A</v>
      </c>
      <c r="F5707" s="3" t="e">
        <f t="shared" si="183"/>
        <v>#N/A</v>
      </c>
    </row>
    <row r="5708" spans="2:6" x14ac:dyDescent="0.25">
      <c r="B5708" s="3"/>
      <c r="C5708" s="3"/>
      <c r="D5708" s="3"/>
      <c r="E5708" s="3" t="e">
        <f t="shared" si="182"/>
        <v>#N/A</v>
      </c>
      <c r="F5708" s="3" t="e">
        <f t="shared" si="183"/>
        <v>#N/A</v>
      </c>
    </row>
    <row r="5709" spans="2:6" x14ac:dyDescent="0.25">
      <c r="B5709" s="3"/>
      <c r="C5709" s="3"/>
      <c r="D5709" s="3"/>
      <c r="E5709" s="3" t="e">
        <f t="shared" si="182"/>
        <v>#N/A</v>
      </c>
      <c r="F5709" s="3" t="e">
        <f t="shared" si="183"/>
        <v>#N/A</v>
      </c>
    </row>
    <row r="5710" spans="2:6" x14ac:dyDescent="0.25">
      <c r="B5710" s="3"/>
      <c r="C5710" s="3"/>
      <c r="D5710" s="3"/>
      <c r="E5710" s="3" t="e">
        <f t="shared" ref="E5710:E5773" si="184">VLOOKUP(C5710,I:J,2,0)</f>
        <v>#N/A</v>
      </c>
      <c r="F5710" s="3" t="e">
        <f t="shared" ref="F5710:F5773" si="185">E5710&amp;" "&amp;B5710</f>
        <v>#N/A</v>
      </c>
    </row>
    <row r="5711" spans="2:6" x14ac:dyDescent="0.25">
      <c r="B5711" s="3"/>
      <c r="C5711" s="3"/>
      <c r="D5711" s="3"/>
      <c r="E5711" s="3" t="e">
        <f t="shared" si="184"/>
        <v>#N/A</v>
      </c>
      <c r="F5711" s="3" t="e">
        <f t="shared" si="185"/>
        <v>#N/A</v>
      </c>
    </row>
    <row r="5712" spans="2:6" x14ac:dyDescent="0.25">
      <c r="B5712" s="3"/>
      <c r="C5712" s="3"/>
      <c r="D5712" s="3"/>
      <c r="E5712" s="3" t="e">
        <f t="shared" si="184"/>
        <v>#N/A</v>
      </c>
      <c r="F5712" s="3" t="e">
        <f t="shared" si="185"/>
        <v>#N/A</v>
      </c>
    </row>
    <row r="5713" spans="2:6" x14ac:dyDescent="0.25">
      <c r="B5713" s="3"/>
      <c r="C5713" s="3"/>
      <c r="D5713" s="3"/>
      <c r="E5713" s="3" t="e">
        <f t="shared" si="184"/>
        <v>#N/A</v>
      </c>
      <c r="F5713" s="3" t="e">
        <f t="shared" si="185"/>
        <v>#N/A</v>
      </c>
    </row>
    <row r="5714" spans="2:6" x14ac:dyDescent="0.25">
      <c r="B5714" s="3"/>
      <c r="C5714" s="3"/>
      <c r="D5714" s="3"/>
      <c r="E5714" s="3" t="e">
        <f t="shared" si="184"/>
        <v>#N/A</v>
      </c>
      <c r="F5714" s="3" t="e">
        <f t="shared" si="185"/>
        <v>#N/A</v>
      </c>
    </row>
    <row r="5715" spans="2:6" x14ac:dyDescent="0.25">
      <c r="B5715" s="3"/>
      <c r="C5715" s="3"/>
      <c r="D5715" s="3"/>
      <c r="E5715" s="3" t="e">
        <f t="shared" si="184"/>
        <v>#N/A</v>
      </c>
      <c r="F5715" s="3" t="e">
        <f t="shared" si="185"/>
        <v>#N/A</v>
      </c>
    </row>
    <row r="5716" spans="2:6" x14ac:dyDescent="0.25">
      <c r="B5716" s="3"/>
      <c r="C5716" s="3"/>
      <c r="D5716" s="3"/>
      <c r="E5716" s="3" t="e">
        <f t="shared" si="184"/>
        <v>#N/A</v>
      </c>
      <c r="F5716" s="3" t="e">
        <f t="shared" si="185"/>
        <v>#N/A</v>
      </c>
    </row>
    <row r="5717" spans="2:6" x14ac:dyDescent="0.25">
      <c r="B5717" s="3"/>
      <c r="C5717" s="3"/>
      <c r="D5717" s="3"/>
      <c r="E5717" s="3" t="e">
        <f t="shared" si="184"/>
        <v>#N/A</v>
      </c>
      <c r="F5717" s="3" t="e">
        <f t="shared" si="185"/>
        <v>#N/A</v>
      </c>
    </row>
    <row r="5718" spans="2:6" x14ac:dyDescent="0.25">
      <c r="B5718" s="3"/>
      <c r="C5718" s="3"/>
      <c r="D5718" s="3"/>
      <c r="E5718" s="3" t="e">
        <f t="shared" si="184"/>
        <v>#N/A</v>
      </c>
      <c r="F5718" s="3" t="e">
        <f t="shared" si="185"/>
        <v>#N/A</v>
      </c>
    </row>
    <row r="5719" spans="2:6" x14ac:dyDescent="0.25">
      <c r="B5719" s="3"/>
      <c r="C5719" s="3"/>
      <c r="D5719" s="3"/>
      <c r="E5719" s="3" t="e">
        <f t="shared" si="184"/>
        <v>#N/A</v>
      </c>
      <c r="F5719" s="3" t="e">
        <f t="shared" si="185"/>
        <v>#N/A</v>
      </c>
    </row>
    <row r="5720" spans="2:6" x14ac:dyDescent="0.25">
      <c r="B5720" s="3"/>
      <c r="C5720" s="3"/>
      <c r="D5720" s="3"/>
      <c r="E5720" s="3" t="e">
        <f t="shared" si="184"/>
        <v>#N/A</v>
      </c>
      <c r="F5720" s="3" t="e">
        <f t="shared" si="185"/>
        <v>#N/A</v>
      </c>
    </row>
    <row r="5721" spans="2:6" x14ac:dyDescent="0.25">
      <c r="B5721" s="3"/>
      <c r="C5721" s="3"/>
      <c r="D5721" s="3"/>
      <c r="E5721" s="3" t="e">
        <f t="shared" si="184"/>
        <v>#N/A</v>
      </c>
      <c r="F5721" s="3" t="e">
        <f t="shared" si="185"/>
        <v>#N/A</v>
      </c>
    </row>
    <row r="5722" spans="2:6" x14ac:dyDescent="0.25">
      <c r="B5722" s="3"/>
      <c r="C5722" s="3"/>
      <c r="D5722" s="3"/>
      <c r="E5722" s="3" t="e">
        <f t="shared" si="184"/>
        <v>#N/A</v>
      </c>
      <c r="F5722" s="3" t="e">
        <f t="shared" si="185"/>
        <v>#N/A</v>
      </c>
    </row>
    <row r="5723" spans="2:6" x14ac:dyDescent="0.25">
      <c r="B5723" s="3"/>
      <c r="C5723" s="3"/>
      <c r="D5723" s="3"/>
      <c r="E5723" s="3" t="e">
        <f t="shared" si="184"/>
        <v>#N/A</v>
      </c>
      <c r="F5723" s="3" t="e">
        <f t="shared" si="185"/>
        <v>#N/A</v>
      </c>
    </row>
    <row r="5724" spans="2:6" x14ac:dyDescent="0.25">
      <c r="B5724" s="3"/>
      <c r="C5724" s="3"/>
      <c r="D5724" s="3"/>
      <c r="E5724" s="3" t="e">
        <f t="shared" si="184"/>
        <v>#N/A</v>
      </c>
      <c r="F5724" s="3" t="e">
        <f t="shared" si="185"/>
        <v>#N/A</v>
      </c>
    </row>
    <row r="5725" spans="2:6" x14ac:dyDescent="0.25">
      <c r="B5725" s="3"/>
      <c r="C5725" s="3"/>
      <c r="D5725" s="3"/>
      <c r="E5725" s="3" t="e">
        <f t="shared" si="184"/>
        <v>#N/A</v>
      </c>
      <c r="F5725" s="3" t="e">
        <f t="shared" si="185"/>
        <v>#N/A</v>
      </c>
    </row>
    <row r="5726" spans="2:6" x14ac:dyDescent="0.25">
      <c r="B5726" s="3"/>
      <c r="C5726" s="3"/>
      <c r="D5726" s="3"/>
      <c r="E5726" s="3" t="e">
        <f t="shared" si="184"/>
        <v>#N/A</v>
      </c>
      <c r="F5726" s="3" t="e">
        <f t="shared" si="185"/>
        <v>#N/A</v>
      </c>
    </row>
    <row r="5727" spans="2:6" x14ac:dyDescent="0.25">
      <c r="B5727" s="3"/>
      <c r="C5727" s="3"/>
      <c r="D5727" s="3"/>
      <c r="E5727" s="3" t="e">
        <f t="shared" si="184"/>
        <v>#N/A</v>
      </c>
      <c r="F5727" s="3" t="e">
        <f t="shared" si="185"/>
        <v>#N/A</v>
      </c>
    </row>
    <row r="5728" spans="2:6" x14ac:dyDescent="0.25">
      <c r="B5728" s="3"/>
      <c r="C5728" s="3"/>
      <c r="D5728" s="3"/>
      <c r="E5728" s="3" t="e">
        <f t="shared" si="184"/>
        <v>#N/A</v>
      </c>
      <c r="F5728" s="3" t="e">
        <f t="shared" si="185"/>
        <v>#N/A</v>
      </c>
    </row>
    <row r="5729" spans="2:6" x14ac:dyDescent="0.25">
      <c r="B5729" s="3"/>
      <c r="C5729" s="3"/>
      <c r="D5729" s="3"/>
      <c r="E5729" s="3" t="e">
        <f t="shared" si="184"/>
        <v>#N/A</v>
      </c>
      <c r="F5729" s="3" t="e">
        <f t="shared" si="185"/>
        <v>#N/A</v>
      </c>
    </row>
    <row r="5730" spans="2:6" x14ac:dyDescent="0.25">
      <c r="B5730" s="3"/>
      <c r="C5730" s="3"/>
      <c r="D5730" s="3"/>
      <c r="E5730" s="3" t="e">
        <f t="shared" si="184"/>
        <v>#N/A</v>
      </c>
      <c r="F5730" s="3" t="e">
        <f t="shared" si="185"/>
        <v>#N/A</v>
      </c>
    </row>
    <row r="5731" spans="2:6" x14ac:dyDescent="0.25">
      <c r="B5731" s="3"/>
      <c r="C5731" s="3"/>
      <c r="D5731" s="3"/>
      <c r="E5731" s="3" t="e">
        <f t="shared" si="184"/>
        <v>#N/A</v>
      </c>
      <c r="F5731" s="3" t="e">
        <f t="shared" si="185"/>
        <v>#N/A</v>
      </c>
    </row>
    <row r="5732" spans="2:6" x14ac:dyDescent="0.25">
      <c r="B5732" s="3"/>
      <c r="C5732" s="3"/>
      <c r="D5732" s="3"/>
      <c r="E5732" s="3" t="e">
        <f t="shared" si="184"/>
        <v>#N/A</v>
      </c>
      <c r="F5732" s="3" t="e">
        <f t="shared" si="185"/>
        <v>#N/A</v>
      </c>
    </row>
    <row r="5733" spans="2:6" x14ac:dyDescent="0.25">
      <c r="B5733" s="3"/>
      <c r="C5733" s="3"/>
      <c r="D5733" s="3"/>
      <c r="E5733" s="3" t="e">
        <f t="shared" si="184"/>
        <v>#N/A</v>
      </c>
      <c r="F5733" s="3" t="e">
        <f t="shared" si="185"/>
        <v>#N/A</v>
      </c>
    </row>
    <row r="5734" spans="2:6" x14ac:dyDescent="0.25">
      <c r="B5734" s="3"/>
      <c r="C5734" s="3"/>
      <c r="D5734" s="3"/>
      <c r="E5734" s="3" t="e">
        <f t="shared" si="184"/>
        <v>#N/A</v>
      </c>
      <c r="F5734" s="3" t="e">
        <f t="shared" si="185"/>
        <v>#N/A</v>
      </c>
    </row>
    <row r="5735" spans="2:6" x14ac:dyDescent="0.25">
      <c r="B5735" s="3"/>
      <c r="C5735" s="3"/>
      <c r="D5735" s="3"/>
      <c r="E5735" s="3" t="e">
        <f t="shared" si="184"/>
        <v>#N/A</v>
      </c>
      <c r="F5735" s="3" t="e">
        <f t="shared" si="185"/>
        <v>#N/A</v>
      </c>
    </row>
    <row r="5736" spans="2:6" x14ac:dyDescent="0.25">
      <c r="B5736" s="3"/>
      <c r="C5736" s="3"/>
      <c r="D5736" s="3"/>
      <c r="E5736" s="3" t="e">
        <f t="shared" si="184"/>
        <v>#N/A</v>
      </c>
      <c r="F5736" s="3" t="e">
        <f t="shared" si="185"/>
        <v>#N/A</v>
      </c>
    </row>
    <row r="5737" spans="2:6" x14ac:dyDescent="0.25">
      <c r="B5737" s="3"/>
      <c r="C5737" s="3"/>
      <c r="D5737" s="3"/>
      <c r="E5737" s="3" t="e">
        <f t="shared" si="184"/>
        <v>#N/A</v>
      </c>
      <c r="F5737" s="3" t="e">
        <f t="shared" si="185"/>
        <v>#N/A</v>
      </c>
    </row>
    <row r="5738" spans="2:6" x14ac:dyDescent="0.25">
      <c r="B5738" s="3"/>
      <c r="C5738" s="3"/>
      <c r="D5738" s="3"/>
      <c r="E5738" s="3" t="e">
        <f t="shared" si="184"/>
        <v>#N/A</v>
      </c>
      <c r="F5738" s="3" t="e">
        <f t="shared" si="185"/>
        <v>#N/A</v>
      </c>
    </row>
    <row r="5739" spans="2:6" x14ac:dyDescent="0.25">
      <c r="B5739" s="3"/>
      <c r="C5739" s="3"/>
      <c r="D5739" s="3"/>
      <c r="E5739" s="3" t="e">
        <f t="shared" si="184"/>
        <v>#N/A</v>
      </c>
      <c r="F5739" s="3" t="e">
        <f t="shared" si="185"/>
        <v>#N/A</v>
      </c>
    </row>
    <row r="5740" spans="2:6" x14ac:dyDescent="0.25">
      <c r="B5740" s="3"/>
      <c r="C5740" s="3"/>
      <c r="D5740" s="3"/>
      <c r="E5740" s="3" t="e">
        <f t="shared" si="184"/>
        <v>#N/A</v>
      </c>
      <c r="F5740" s="3" t="e">
        <f t="shared" si="185"/>
        <v>#N/A</v>
      </c>
    </row>
    <row r="5741" spans="2:6" x14ac:dyDescent="0.25">
      <c r="B5741" s="3"/>
      <c r="C5741" s="3"/>
      <c r="D5741" s="3"/>
      <c r="E5741" s="3" t="e">
        <f t="shared" si="184"/>
        <v>#N/A</v>
      </c>
      <c r="F5741" s="3" t="e">
        <f t="shared" si="185"/>
        <v>#N/A</v>
      </c>
    </row>
    <row r="5742" spans="2:6" x14ac:dyDescent="0.25">
      <c r="B5742" s="3"/>
      <c r="C5742" s="3"/>
      <c r="D5742" s="3"/>
      <c r="E5742" s="3" t="e">
        <f t="shared" si="184"/>
        <v>#N/A</v>
      </c>
      <c r="F5742" s="3" t="e">
        <f t="shared" si="185"/>
        <v>#N/A</v>
      </c>
    </row>
    <row r="5743" spans="2:6" x14ac:dyDescent="0.25">
      <c r="B5743" s="3"/>
      <c r="C5743" s="3"/>
      <c r="D5743" s="3"/>
      <c r="E5743" s="3" t="e">
        <f t="shared" si="184"/>
        <v>#N/A</v>
      </c>
      <c r="F5743" s="3" t="e">
        <f t="shared" si="185"/>
        <v>#N/A</v>
      </c>
    </row>
    <row r="5744" spans="2:6" x14ac:dyDescent="0.25">
      <c r="B5744" s="3"/>
      <c r="C5744" s="3"/>
      <c r="D5744" s="3"/>
      <c r="E5744" s="3" t="e">
        <f t="shared" si="184"/>
        <v>#N/A</v>
      </c>
      <c r="F5744" s="3" t="e">
        <f t="shared" si="185"/>
        <v>#N/A</v>
      </c>
    </row>
    <row r="5745" spans="2:6" x14ac:dyDescent="0.25">
      <c r="B5745" s="3"/>
      <c r="C5745" s="3"/>
      <c r="D5745" s="3"/>
      <c r="E5745" s="3" t="e">
        <f t="shared" si="184"/>
        <v>#N/A</v>
      </c>
      <c r="F5745" s="3" t="e">
        <f t="shared" si="185"/>
        <v>#N/A</v>
      </c>
    </row>
    <row r="5746" spans="2:6" x14ac:dyDescent="0.25">
      <c r="B5746" s="3"/>
      <c r="C5746" s="3"/>
      <c r="D5746" s="3"/>
      <c r="E5746" s="3" t="e">
        <f t="shared" si="184"/>
        <v>#N/A</v>
      </c>
      <c r="F5746" s="3" t="e">
        <f t="shared" si="185"/>
        <v>#N/A</v>
      </c>
    </row>
    <row r="5747" spans="2:6" x14ac:dyDescent="0.25">
      <c r="B5747" s="3"/>
      <c r="C5747" s="3"/>
      <c r="D5747" s="3"/>
      <c r="E5747" s="3" t="e">
        <f t="shared" si="184"/>
        <v>#N/A</v>
      </c>
      <c r="F5747" s="3" t="e">
        <f t="shared" si="185"/>
        <v>#N/A</v>
      </c>
    </row>
    <row r="5748" spans="2:6" x14ac:dyDescent="0.25">
      <c r="B5748" s="3"/>
      <c r="C5748" s="3"/>
      <c r="D5748" s="3"/>
      <c r="E5748" s="3" t="e">
        <f t="shared" si="184"/>
        <v>#N/A</v>
      </c>
      <c r="F5748" s="3" t="e">
        <f t="shared" si="185"/>
        <v>#N/A</v>
      </c>
    </row>
    <row r="5749" spans="2:6" x14ac:dyDescent="0.25">
      <c r="B5749" s="3"/>
      <c r="C5749" s="3"/>
      <c r="D5749" s="3"/>
      <c r="E5749" s="3" t="e">
        <f t="shared" si="184"/>
        <v>#N/A</v>
      </c>
      <c r="F5749" s="3" t="e">
        <f t="shared" si="185"/>
        <v>#N/A</v>
      </c>
    </row>
    <row r="5750" spans="2:6" x14ac:dyDescent="0.25">
      <c r="B5750" s="3"/>
      <c r="C5750" s="3"/>
      <c r="D5750" s="3"/>
      <c r="E5750" s="3" t="e">
        <f t="shared" si="184"/>
        <v>#N/A</v>
      </c>
      <c r="F5750" s="3" t="e">
        <f t="shared" si="185"/>
        <v>#N/A</v>
      </c>
    </row>
    <row r="5751" spans="2:6" x14ac:dyDescent="0.25">
      <c r="B5751" s="3"/>
      <c r="C5751" s="3"/>
      <c r="D5751" s="3"/>
      <c r="E5751" s="3" t="e">
        <f t="shared" si="184"/>
        <v>#N/A</v>
      </c>
      <c r="F5751" s="3" t="e">
        <f t="shared" si="185"/>
        <v>#N/A</v>
      </c>
    </row>
    <row r="5752" spans="2:6" x14ac:dyDescent="0.25">
      <c r="B5752" s="3"/>
      <c r="C5752" s="3"/>
      <c r="D5752" s="3"/>
      <c r="E5752" s="3" t="e">
        <f t="shared" si="184"/>
        <v>#N/A</v>
      </c>
      <c r="F5752" s="3" t="e">
        <f t="shared" si="185"/>
        <v>#N/A</v>
      </c>
    </row>
    <row r="5753" spans="2:6" x14ac:dyDescent="0.25">
      <c r="B5753" s="3"/>
      <c r="C5753" s="3"/>
      <c r="D5753" s="3"/>
      <c r="E5753" s="3" t="e">
        <f t="shared" si="184"/>
        <v>#N/A</v>
      </c>
      <c r="F5753" s="3" t="e">
        <f t="shared" si="185"/>
        <v>#N/A</v>
      </c>
    </row>
    <row r="5754" spans="2:6" x14ac:dyDescent="0.25">
      <c r="B5754" s="3"/>
      <c r="C5754" s="3"/>
      <c r="D5754" s="3"/>
      <c r="E5754" s="3" t="e">
        <f t="shared" si="184"/>
        <v>#N/A</v>
      </c>
      <c r="F5754" s="3" t="e">
        <f t="shared" si="185"/>
        <v>#N/A</v>
      </c>
    </row>
    <row r="5755" spans="2:6" x14ac:dyDescent="0.25">
      <c r="B5755" s="3"/>
      <c r="C5755" s="3"/>
      <c r="D5755" s="3"/>
      <c r="E5755" s="3" t="e">
        <f t="shared" si="184"/>
        <v>#N/A</v>
      </c>
      <c r="F5755" s="3" t="e">
        <f t="shared" si="185"/>
        <v>#N/A</v>
      </c>
    </row>
    <row r="5756" spans="2:6" x14ac:dyDescent="0.25">
      <c r="B5756" s="3"/>
      <c r="C5756" s="3"/>
      <c r="D5756" s="3"/>
      <c r="E5756" s="3" t="e">
        <f t="shared" si="184"/>
        <v>#N/A</v>
      </c>
      <c r="F5756" s="3" t="e">
        <f t="shared" si="185"/>
        <v>#N/A</v>
      </c>
    </row>
    <row r="5757" spans="2:6" x14ac:dyDescent="0.25">
      <c r="B5757" s="3"/>
      <c r="C5757" s="3"/>
      <c r="D5757" s="3"/>
      <c r="E5757" s="3" t="e">
        <f t="shared" si="184"/>
        <v>#N/A</v>
      </c>
      <c r="F5757" s="3" t="e">
        <f t="shared" si="185"/>
        <v>#N/A</v>
      </c>
    </row>
    <row r="5758" spans="2:6" x14ac:dyDescent="0.25">
      <c r="B5758" s="3"/>
      <c r="C5758" s="3"/>
      <c r="D5758" s="3"/>
      <c r="E5758" s="3" t="e">
        <f t="shared" si="184"/>
        <v>#N/A</v>
      </c>
      <c r="F5758" s="3" t="e">
        <f t="shared" si="185"/>
        <v>#N/A</v>
      </c>
    </row>
    <row r="5759" spans="2:6" x14ac:dyDescent="0.25">
      <c r="B5759" s="3"/>
      <c r="C5759" s="3"/>
      <c r="D5759" s="3"/>
      <c r="E5759" s="3" t="e">
        <f t="shared" si="184"/>
        <v>#N/A</v>
      </c>
      <c r="F5759" s="3" t="e">
        <f t="shared" si="185"/>
        <v>#N/A</v>
      </c>
    </row>
    <row r="5760" spans="2:6" x14ac:dyDescent="0.25">
      <c r="B5760" s="3"/>
      <c r="C5760" s="3"/>
      <c r="D5760" s="3"/>
      <c r="E5760" s="3" t="e">
        <f t="shared" si="184"/>
        <v>#N/A</v>
      </c>
      <c r="F5760" s="3" t="e">
        <f t="shared" si="185"/>
        <v>#N/A</v>
      </c>
    </row>
    <row r="5761" spans="2:6" x14ac:dyDescent="0.25">
      <c r="B5761" s="3"/>
      <c r="C5761" s="3"/>
      <c r="D5761" s="3"/>
      <c r="E5761" s="3" t="e">
        <f t="shared" si="184"/>
        <v>#N/A</v>
      </c>
      <c r="F5761" s="3" t="e">
        <f t="shared" si="185"/>
        <v>#N/A</v>
      </c>
    </row>
    <row r="5762" spans="2:6" x14ac:dyDescent="0.25">
      <c r="B5762" s="3"/>
      <c r="C5762" s="3"/>
      <c r="D5762" s="3"/>
      <c r="E5762" s="3" t="e">
        <f t="shared" si="184"/>
        <v>#N/A</v>
      </c>
      <c r="F5762" s="3" t="e">
        <f t="shared" si="185"/>
        <v>#N/A</v>
      </c>
    </row>
    <row r="5763" spans="2:6" x14ac:dyDescent="0.25">
      <c r="B5763" s="3"/>
      <c r="C5763" s="3"/>
      <c r="D5763" s="3"/>
      <c r="E5763" s="3" t="e">
        <f t="shared" si="184"/>
        <v>#N/A</v>
      </c>
      <c r="F5763" s="3" t="e">
        <f t="shared" si="185"/>
        <v>#N/A</v>
      </c>
    </row>
    <row r="5764" spans="2:6" x14ac:dyDescent="0.25">
      <c r="B5764" s="3"/>
      <c r="C5764" s="3"/>
      <c r="D5764" s="3"/>
      <c r="E5764" s="3" t="e">
        <f t="shared" si="184"/>
        <v>#N/A</v>
      </c>
      <c r="F5764" s="3" t="e">
        <f t="shared" si="185"/>
        <v>#N/A</v>
      </c>
    </row>
    <row r="5765" spans="2:6" x14ac:dyDescent="0.25">
      <c r="B5765" s="3"/>
      <c r="C5765" s="3"/>
      <c r="D5765" s="3"/>
      <c r="E5765" s="3" t="e">
        <f t="shared" si="184"/>
        <v>#N/A</v>
      </c>
      <c r="F5765" s="3" t="e">
        <f t="shared" si="185"/>
        <v>#N/A</v>
      </c>
    </row>
    <row r="5766" spans="2:6" x14ac:dyDescent="0.25">
      <c r="B5766" s="3"/>
      <c r="C5766" s="3"/>
      <c r="D5766" s="3"/>
      <c r="E5766" s="3" t="e">
        <f t="shared" si="184"/>
        <v>#N/A</v>
      </c>
      <c r="F5766" s="3" t="e">
        <f t="shared" si="185"/>
        <v>#N/A</v>
      </c>
    </row>
    <row r="5767" spans="2:6" x14ac:dyDescent="0.25">
      <c r="B5767" s="3"/>
      <c r="C5767" s="3"/>
      <c r="D5767" s="3"/>
      <c r="E5767" s="3" t="e">
        <f t="shared" si="184"/>
        <v>#N/A</v>
      </c>
      <c r="F5767" s="3" t="e">
        <f t="shared" si="185"/>
        <v>#N/A</v>
      </c>
    </row>
    <row r="5768" spans="2:6" x14ac:dyDescent="0.25">
      <c r="B5768" s="3"/>
      <c r="C5768" s="3"/>
      <c r="D5768" s="3"/>
      <c r="E5768" s="3" t="e">
        <f t="shared" si="184"/>
        <v>#N/A</v>
      </c>
      <c r="F5768" s="3" t="e">
        <f t="shared" si="185"/>
        <v>#N/A</v>
      </c>
    </row>
    <row r="5769" spans="2:6" x14ac:dyDescent="0.25">
      <c r="B5769" s="3"/>
      <c r="C5769" s="3"/>
      <c r="D5769" s="3"/>
      <c r="E5769" s="3" t="e">
        <f t="shared" si="184"/>
        <v>#N/A</v>
      </c>
      <c r="F5769" s="3" t="e">
        <f t="shared" si="185"/>
        <v>#N/A</v>
      </c>
    </row>
    <row r="5770" spans="2:6" x14ac:dyDescent="0.25">
      <c r="B5770" s="3"/>
      <c r="C5770" s="3"/>
      <c r="D5770" s="3"/>
      <c r="E5770" s="3" t="e">
        <f t="shared" si="184"/>
        <v>#N/A</v>
      </c>
      <c r="F5770" s="3" t="e">
        <f t="shared" si="185"/>
        <v>#N/A</v>
      </c>
    </row>
    <row r="5771" spans="2:6" x14ac:dyDescent="0.25">
      <c r="B5771" s="3"/>
      <c r="C5771" s="3"/>
      <c r="D5771" s="3"/>
      <c r="E5771" s="3" t="e">
        <f t="shared" si="184"/>
        <v>#N/A</v>
      </c>
      <c r="F5771" s="3" t="e">
        <f t="shared" si="185"/>
        <v>#N/A</v>
      </c>
    </row>
    <row r="5772" spans="2:6" x14ac:dyDescent="0.25">
      <c r="B5772" s="3"/>
      <c r="C5772" s="3"/>
      <c r="D5772" s="3"/>
      <c r="E5772" s="3" t="e">
        <f t="shared" si="184"/>
        <v>#N/A</v>
      </c>
      <c r="F5772" s="3" t="e">
        <f t="shared" si="185"/>
        <v>#N/A</v>
      </c>
    </row>
    <row r="5773" spans="2:6" x14ac:dyDescent="0.25">
      <c r="B5773" s="3"/>
      <c r="C5773" s="3"/>
      <c r="D5773" s="3"/>
      <c r="E5773" s="3" t="e">
        <f t="shared" si="184"/>
        <v>#N/A</v>
      </c>
      <c r="F5773" s="3" t="e">
        <f t="shared" si="185"/>
        <v>#N/A</v>
      </c>
    </row>
    <row r="5774" spans="2:6" x14ac:dyDescent="0.25">
      <c r="B5774" s="3"/>
      <c r="C5774" s="3"/>
      <c r="D5774" s="3"/>
      <c r="E5774" s="3" t="e">
        <f t="shared" ref="E5774:E5837" si="186">VLOOKUP(C5774,I:J,2,0)</f>
        <v>#N/A</v>
      </c>
      <c r="F5774" s="3" t="e">
        <f t="shared" ref="F5774:F5837" si="187">E5774&amp;" "&amp;B5774</f>
        <v>#N/A</v>
      </c>
    </row>
    <row r="5775" spans="2:6" x14ac:dyDescent="0.25">
      <c r="B5775" s="3"/>
      <c r="C5775" s="3"/>
      <c r="D5775" s="3"/>
      <c r="E5775" s="3" t="e">
        <f t="shared" si="186"/>
        <v>#N/A</v>
      </c>
      <c r="F5775" s="3" t="e">
        <f t="shared" si="187"/>
        <v>#N/A</v>
      </c>
    </row>
    <row r="5776" spans="2:6" x14ac:dyDescent="0.25">
      <c r="B5776" s="3"/>
      <c r="C5776" s="3"/>
      <c r="D5776" s="3"/>
      <c r="E5776" s="3" t="e">
        <f t="shared" si="186"/>
        <v>#N/A</v>
      </c>
      <c r="F5776" s="3" t="e">
        <f t="shared" si="187"/>
        <v>#N/A</v>
      </c>
    </row>
    <row r="5777" spans="2:6" x14ac:dyDescent="0.25">
      <c r="B5777" s="3"/>
      <c r="C5777" s="3"/>
      <c r="D5777" s="3"/>
      <c r="E5777" s="3" t="e">
        <f t="shared" si="186"/>
        <v>#N/A</v>
      </c>
      <c r="F5777" s="3" t="e">
        <f t="shared" si="187"/>
        <v>#N/A</v>
      </c>
    </row>
    <row r="5778" spans="2:6" x14ac:dyDescent="0.25">
      <c r="B5778" s="3"/>
      <c r="C5778" s="3"/>
      <c r="D5778" s="3"/>
      <c r="E5778" s="3" t="e">
        <f t="shared" si="186"/>
        <v>#N/A</v>
      </c>
      <c r="F5778" s="3" t="e">
        <f t="shared" si="187"/>
        <v>#N/A</v>
      </c>
    </row>
    <row r="5779" spans="2:6" x14ac:dyDescent="0.25">
      <c r="B5779" s="3"/>
      <c r="C5779" s="3"/>
      <c r="D5779" s="3"/>
      <c r="E5779" s="3" t="e">
        <f t="shared" si="186"/>
        <v>#N/A</v>
      </c>
      <c r="F5779" s="3" t="e">
        <f t="shared" si="187"/>
        <v>#N/A</v>
      </c>
    </row>
    <row r="5780" spans="2:6" x14ac:dyDescent="0.25">
      <c r="B5780" s="3"/>
      <c r="C5780" s="3"/>
      <c r="D5780" s="3"/>
      <c r="E5780" s="3" t="e">
        <f t="shared" si="186"/>
        <v>#N/A</v>
      </c>
      <c r="F5780" s="3" t="e">
        <f t="shared" si="187"/>
        <v>#N/A</v>
      </c>
    </row>
    <row r="5781" spans="2:6" x14ac:dyDescent="0.25">
      <c r="B5781" s="3"/>
      <c r="C5781" s="3"/>
      <c r="D5781" s="3"/>
      <c r="E5781" s="3" t="e">
        <f t="shared" si="186"/>
        <v>#N/A</v>
      </c>
      <c r="F5781" s="3" t="e">
        <f t="shared" si="187"/>
        <v>#N/A</v>
      </c>
    </row>
    <row r="5782" spans="2:6" x14ac:dyDescent="0.25">
      <c r="B5782" s="3"/>
      <c r="C5782" s="3"/>
      <c r="D5782" s="3"/>
      <c r="E5782" s="3" t="e">
        <f t="shared" si="186"/>
        <v>#N/A</v>
      </c>
      <c r="F5782" s="3" t="e">
        <f t="shared" si="187"/>
        <v>#N/A</v>
      </c>
    </row>
    <row r="5783" spans="2:6" x14ac:dyDescent="0.25">
      <c r="B5783" s="3"/>
      <c r="C5783" s="3"/>
      <c r="D5783" s="3"/>
      <c r="E5783" s="3" t="e">
        <f t="shared" si="186"/>
        <v>#N/A</v>
      </c>
      <c r="F5783" s="3" t="e">
        <f t="shared" si="187"/>
        <v>#N/A</v>
      </c>
    </row>
    <row r="5784" spans="2:6" x14ac:dyDescent="0.25">
      <c r="B5784" s="3"/>
      <c r="C5784" s="3"/>
      <c r="D5784" s="3"/>
      <c r="E5784" s="3" t="e">
        <f t="shared" si="186"/>
        <v>#N/A</v>
      </c>
      <c r="F5784" s="3" t="e">
        <f t="shared" si="187"/>
        <v>#N/A</v>
      </c>
    </row>
    <row r="5785" spans="2:6" x14ac:dyDescent="0.25">
      <c r="B5785" s="3"/>
      <c r="C5785" s="3"/>
      <c r="D5785" s="3"/>
      <c r="E5785" s="3" t="e">
        <f t="shared" si="186"/>
        <v>#N/A</v>
      </c>
      <c r="F5785" s="3" t="e">
        <f t="shared" si="187"/>
        <v>#N/A</v>
      </c>
    </row>
    <row r="5786" spans="2:6" x14ac:dyDescent="0.25">
      <c r="B5786" s="3"/>
      <c r="C5786" s="3"/>
      <c r="D5786" s="3"/>
      <c r="E5786" s="3" t="e">
        <f t="shared" si="186"/>
        <v>#N/A</v>
      </c>
      <c r="F5786" s="3" t="e">
        <f t="shared" si="187"/>
        <v>#N/A</v>
      </c>
    </row>
    <row r="5787" spans="2:6" x14ac:dyDescent="0.25">
      <c r="B5787" s="3"/>
      <c r="C5787" s="3"/>
      <c r="D5787" s="3"/>
      <c r="E5787" s="3" t="e">
        <f t="shared" si="186"/>
        <v>#N/A</v>
      </c>
      <c r="F5787" s="3" t="e">
        <f t="shared" si="187"/>
        <v>#N/A</v>
      </c>
    </row>
    <row r="5788" spans="2:6" x14ac:dyDescent="0.25">
      <c r="B5788" s="3"/>
      <c r="C5788" s="3"/>
      <c r="D5788" s="3"/>
      <c r="E5788" s="3" t="e">
        <f t="shared" si="186"/>
        <v>#N/A</v>
      </c>
      <c r="F5788" s="3" t="e">
        <f t="shared" si="187"/>
        <v>#N/A</v>
      </c>
    </row>
    <row r="5789" spans="2:6" x14ac:dyDescent="0.25">
      <c r="B5789" s="3"/>
      <c r="C5789" s="3"/>
      <c r="D5789" s="3"/>
      <c r="E5789" s="3" t="e">
        <f t="shared" si="186"/>
        <v>#N/A</v>
      </c>
      <c r="F5789" s="3" t="e">
        <f t="shared" si="187"/>
        <v>#N/A</v>
      </c>
    </row>
    <row r="5790" spans="2:6" x14ac:dyDescent="0.25">
      <c r="B5790" s="3"/>
      <c r="C5790" s="3"/>
      <c r="D5790" s="3"/>
      <c r="E5790" s="3" t="e">
        <f t="shared" si="186"/>
        <v>#N/A</v>
      </c>
      <c r="F5790" s="3" t="e">
        <f t="shared" si="187"/>
        <v>#N/A</v>
      </c>
    </row>
    <row r="5791" spans="2:6" x14ac:dyDescent="0.25">
      <c r="B5791" s="3"/>
      <c r="C5791" s="3"/>
      <c r="D5791" s="3"/>
      <c r="E5791" s="3" t="e">
        <f t="shared" si="186"/>
        <v>#N/A</v>
      </c>
      <c r="F5791" s="3" t="e">
        <f t="shared" si="187"/>
        <v>#N/A</v>
      </c>
    </row>
    <row r="5792" spans="2:6" x14ac:dyDescent="0.25">
      <c r="B5792" s="3"/>
      <c r="C5792" s="3"/>
      <c r="D5792" s="3"/>
      <c r="E5792" s="3" t="e">
        <f t="shared" si="186"/>
        <v>#N/A</v>
      </c>
      <c r="F5792" s="3" t="e">
        <f t="shared" si="187"/>
        <v>#N/A</v>
      </c>
    </row>
    <row r="5793" spans="2:6" x14ac:dyDescent="0.25">
      <c r="B5793" s="3"/>
      <c r="C5793" s="3"/>
      <c r="D5793" s="3"/>
      <c r="E5793" s="3" t="e">
        <f t="shared" si="186"/>
        <v>#N/A</v>
      </c>
      <c r="F5793" s="3" t="e">
        <f t="shared" si="187"/>
        <v>#N/A</v>
      </c>
    </row>
    <row r="5794" spans="2:6" x14ac:dyDescent="0.25">
      <c r="B5794" s="3"/>
      <c r="C5794" s="3"/>
      <c r="D5794" s="3"/>
      <c r="E5794" s="3" t="e">
        <f t="shared" si="186"/>
        <v>#N/A</v>
      </c>
      <c r="F5794" s="3" t="e">
        <f t="shared" si="187"/>
        <v>#N/A</v>
      </c>
    </row>
    <row r="5795" spans="2:6" x14ac:dyDescent="0.25">
      <c r="B5795" s="3"/>
      <c r="C5795" s="3"/>
      <c r="D5795" s="3"/>
      <c r="E5795" s="3" t="e">
        <f t="shared" si="186"/>
        <v>#N/A</v>
      </c>
      <c r="F5795" s="3" t="e">
        <f t="shared" si="187"/>
        <v>#N/A</v>
      </c>
    </row>
    <row r="5796" spans="2:6" x14ac:dyDescent="0.25">
      <c r="B5796" s="3"/>
      <c r="C5796" s="3"/>
      <c r="D5796" s="3"/>
      <c r="E5796" s="3" t="e">
        <f t="shared" si="186"/>
        <v>#N/A</v>
      </c>
      <c r="F5796" s="3" t="e">
        <f t="shared" si="187"/>
        <v>#N/A</v>
      </c>
    </row>
    <row r="5797" spans="2:6" x14ac:dyDescent="0.25">
      <c r="B5797" s="3"/>
      <c r="C5797" s="3"/>
      <c r="D5797" s="3"/>
      <c r="E5797" s="3" t="e">
        <f t="shared" si="186"/>
        <v>#N/A</v>
      </c>
      <c r="F5797" s="3" t="e">
        <f t="shared" si="187"/>
        <v>#N/A</v>
      </c>
    </row>
    <row r="5798" spans="2:6" x14ac:dyDescent="0.25">
      <c r="B5798" s="3"/>
      <c r="C5798" s="3"/>
      <c r="D5798" s="3"/>
      <c r="E5798" s="3" t="e">
        <f t="shared" si="186"/>
        <v>#N/A</v>
      </c>
      <c r="F5798" s="3" t="e">
        <f t="shared" si="187"/>
        <v>#N/A</v>
      </c>
    </row>
    <row r="5799" spans="2:6" x14ac:dyDescent="0.25">
      <c r="B5799" s="3"/>
      <c r="C5799" s="3"/>
      <c r="D5799" s="3"/>
      <c r="E5799" s="3" t="e">
        <f t="shared" si="186"/>
        <v>#N/A</v>
      </c>
      <c r="F5799" s="3" t="e">
        <f t="shared" si="187"/>
        <v>#N/A</v>
      </c>
    </row>
    <row r="5800" spans="2:6" x14ac:dyDescent="0.25">
      <c r="B5800" s="3"/>
      <c r="C5800" s="3"/>
      <c r="D5800" s="3"/>
      <c r="E5800" s="3" t="e">
        <f t="shared" si="186"/>
        <v>#N/A</v>
      </c>
      <c r="F5800" s="3" t="e">
        <f t="shared" si="187"/>
        <v>#N/A</v>
      </c>
    </row>
    <row r="5801" spans="2:6" x14ac:dyDescent="0.25">
      <c r="B5801" s="3"/>
      <c r="C5801" s="3"/>
      <c r="D5801" s="3"/>
      <c r="E5801" s="3" t="e">
        <f t="shared" si="186"/>
        <v>#N/A</v>
      </c>
      <c r="F5801" s="3" t="e">
        <f t="shared" si="187"/>
        <v>#N/A</v>
      </c>
    </row>
    <row r="5802" spans="2:6" x14ac:dyDescent="0.25">
      <c r="B5802" s="3"/>
      <c r="C5802" s="3"/>
      <c r="D5802" s="3"/>
      <c r="E5802" s="3" t="e">
        <f t="shared" si="186"/>
        <v>#N/A</v>
      </c>
      <c r="F5802" s="3" t="e">
        <f t="shared" si="187"/>
        <v>#N/A</v>
      </c>
    </row>
    <row r="5803" spans="2:6" x14ac:dyDescent="0.25">
      <c r="B5803" s="3"/>
      <c r="C5803" s="3"/>
      <c r="D5803" s="3"/>
      <c r="E5803" s="3" t="e">
        <f t="shared" si="186"/>
        <v>#N/A</v>
      </c>
      <c r="F5803" s="3" t="e">
        <f t="shared" si="187"/>
        <v>#N/A</v>
      </c>
    </row>
    <row r="5804" spans="2:6" x14ac:dyDescent="0.25">
      <c r="B5804" s="3"/>
      <c r="C5804" s="3"/>
      <c r="D5804" s="3"/>
      <c r="E5804" s="3" t="e">
        <f t="shared" si="186"/>
        <v>#N/A</v>
      </c>
      <c r="F5804" s="3" t="e">
        <f t="shared" si="187"/>
        <v>#N/A</v>
      </c>
    </row>
    <row r="5805" spans="2:6" x14ac:dyDescent="0.25">
      <c r="B5805" s="3"/>
      <c r="C5805" s="3"/>
      <c r="D5805" s="3"/>
      <c r="E5805" s="3" t="e">
        <f t="shared" si="186"/>
        <v>#N/A</v>
      </c>
      <c r="F5805" s="3" t="e">
        <f t="shared" si="187"/>
        <v>#N/A</v>
      </c>
    </row>
    <row r="5806" spans="2:6" x14ac:dyDescent="0.25">
      <c r="B5806" s="3"/>
      <c r="C5806" s="3"/>
      <c r="D5806" s="3"/>
      <c r="E5806" s="3" t="e">
        <f t="shared" si="186"/>
        <v>#N/A</v>
      </c>
      <c r="F5806" s="3" t="e">
        <f t="shared" si="187"/>
        <v>#N/A</v>
      </c>
    </row>
    <row r="5807" spans="2:6" x14ac:dyDescent="0.25">
      <c r="B5807" s="3"/>
      <c r="C5807" s="3"/>
      <c r="D5807" s="3"/>
      <c r="E5807" s="3" t="e">
        <f t="shared" si="186"/>
        <v>#N/A</v>
      </c>
      <c r="F5807" s="3" t="e">
        <f t="shared" si="187"/>
        <v>#N/A</v>
      </c>
    </row>
    <row r="5808" spans="2:6" x14ac:dyDescent="0.25">
      <c r="B5808" s="3"/>
      <c r="C5808" s="3"/>
      <c r="D5808" s="3"/>
      <c r="E5808" s="3" t="e">
        <f t="shared" si="186"/>
        <v>#N/A</v>
      </c>
      <c r="F5808" s="3" t="e">
        <f t="shared" si="187"/>
        <v>#N/A</v>
      </c>
    </row>
    <row r="5809" spans="2:6" x14ac:dyDescent="0.25">
      <c r="B5809" s="3"/>
      <c r="C5809" s="3"/>
      <c r="D5809" s="3"/>
      <c r="E5809" s="3" t="e">
        <f t="shared" si="186"/>
        <v>#N/A</v>
      </c>
      <c r="F5809" s="3" t="e">
        <f t="shared" si="187"/>
        <v>#N/A</v>
      </c>
    </row>
    <row r="5810" spans="2:6" x14ac:dyDescent="0.25">
      <c r="B5810" s="3"/>
      <c r="C5810" s="3"/>
      <c r="D5810" s="3"/>
      <c r="E5810" s="3" t="e">
        <f t="shared" si="186"/>
        <v>#N/A</v>
      </c>
      <c r="F5810" s="3" t="e">
        <f t="shared" si="187"/>
        <v>#N/A</v>
      </c>
    </row>
    <row r="5811" spans="2:6" x14ac:dyDescent="0.25">
      <c r="B5811" s="3"/>
      <c r="C5811" s="3"/>
      <c r="D5811" s="3"/>
      <c r="E5811" s="3" t="e">
        <f t="shared" si="186"/>
        <v>#N/A</v>
      </c>
      <c r="F5811" s="3" t="e">
        <f t="shared" si="187"/>
        <v>#N/A</v>
      </c>
    </row>
    <row r="5812" spans="2:6" x14ac:dyDescent="0.25">
      <c r="B5812" s="3"/>
      <c r="C5812" s="3"/>
      <c r="D5812" s="3"/>
      <c r="E5812" s="3" t="e">
        <f t="shared" si="186"/>
        <v>#N/A</v>
      </c>
      <c r="F5812" s="3" t="e">
        <f t="shared" si="187"/>
        <v>#N/A</v>
      </c>
    </row>
    <row r="5813" spans="2:6" x14ac:dyDescent="0.25">
      <c r="B5813" s="3"/>
      <c r="C5813" s="3"/>
      <c r="D5813" s="3"/>
      <c r="E5813" s="3" t="e">
        <f t="shared" si="186"/>
        <v>#N/A</v>
      </c>
      <c r="F5813" s="3" t="e">
        <f t="shared" si="187"/>
        <v>#N/A</v>
      </c>
    </row>
    <row r="5814" spans="2:6" x14ac:dyDescent="0.25">
      <c r="B5814" s="3"/>
      <c r="C5814" s="3"/>
      <c r="D5814" s="3"/>
      <c r="E5814" s="3" t="e">
        <f t="shared" si="186"/>
        <v>#N/A</v>
      </c>
      <c r="F5814" s="3" t="e">
        <f t="shared" si="187"/>
        <v>#N/A</v>
      </c>
    </row>
    <row r="5815" spans="2:6" x14ac:dyDescent="0.25">
      <c r="B5815" s="3"/>
      <c r="C5815" s="3"/>
      <c r="D5815" s="3"/>
      <c r="E5815" s="3" t="e">
        <f t="shared" si="186"/>
        <v>#N/A</v>
      </c>
      <c r="F5815" s="3" t="e">
        <f t="shared" si="187"/>
        <v>#N/A</v>
      </c>
    </row>
    <row r="5816" spans="2:6" x14ac:dyDescent="0.25">
      <c r="B5816" s="3"/>
      <c r="C5816" s="3"/>
      <c r="D5816" s="3"/>
      <c r="E5816" s="3" t="e">
        <f t="shared" si="186"/>
        <v>#N/A</v>
      </c>
      <c r="F5816" s="3" t="e">
        <f t="shared" si="187"/>
        <v>#N/A</v>
      </c>
    </row>
    <row r="5817" spans="2:6" x14ac:dyDescent="0.25">
      <c r="B5817" s="3"/>
      <c r="C5817" s="3"/>
      <c r="D5817" s="3"/>
      <c r="E5817" s="3" t="e">
        <f t="shared" si="186"/>
        <v>#N/A</v>
      </c>
      <c r="F5817" s="3" t="e">
        <f t="shared" si="187"/>
        <v>#N/A</v>
      </c>
    </row>
    <row r="5818" spans="2:6" x14ac:dyDescent="0.25">
      <c r="B5818" s="3"/>
      <c r="C5818" s="3"/>
      <c r="D5818" s="3"/>
      <c r="E5818" s="3" t="e">
        <f t="shared" si="186"/>
        <v>#N/A</v>
      </c>
      <c r="F5818" s="3" t="e">
        <f t="shared" si="187"/>
        <v>#N/A</v>
      </c>
    </row>
    <row r="5819" spans="2:6" x14ac:dyDescent="0.25">
      <c r="B5819" s="3"/>
      <c r="C5819" s="3"/>
      <c r="D5819" s="3"/>
      <c r="E5819" s="3" t="e">
        <f t="shared" si="186"/>
        <v>#N/A</v>
      </c>
      <c r="F5819" s="3" t="e">
        <f t="shared" si="187"/>
        <v>#N/A</v>
      </c>
    </row>
    <row r="5820" spans="2:6" x14ac:dyDescent="0.25">
      <c r="B5820" s="3"/>
      <c r="C5820" s="3"/>
      <c r="D5820" s="3"/>
      <c r="E5820" s="3" t="e">
        <f t="shared" si="186"/>
        <v>#N/A</v>
      </c>
      <c r="F5820" s="3" t="e">
        <f t="shared" si="187"/>
        <v>#N/A</v>
      </c>
    </row>
    <row r="5821" spans="2:6" x14ac:dyDescent="0.25">
      <c r="B5821" s="3"/>
      <c r="C5821" s="3"/>
      <c r="D5821" s="3"/>
      <c r="E5821" s="3" t="e">
        <f t="shared" si="186"/>
        <v>#N/A</v>
      </c>
      <c r="F5821" s="3" t="e">
        <f t="shared" si="187"/>
        <v>#N/A</v>
      </c>
    </row>
    <row r="5822" spans="2:6" x14ac:dyDescent="0.25">
      <c r="B5822" s="3"/>
      <c r="C5822" s="3"/>
      <c r="D5822" s="3"/>
      <c r="E5822" s="3" t="e">
        <f t="shared" si="186"/>
        <v>#N/A</v>
      </c>
      <c r="F5822" s="3" t="e">
        <f t="shared" si="187"/>
        <v>#N/A</v>
      </c>
    </row>
    <row r="5823" spans="2:6" x14ac:dyDescent="0.25">
      <c r="B5823" s="3"/>
      <c r="C5823" s="3"/>
      <c r="D5823" s="3"/>
      <c r="E5823" s="3" t="e">
        <f t="shared" si="186"/>
        <v>#N/A</v>
      </c>
      <c r="F5823" s="3" t="e">
        <f t="shared" si="187"/>
        <v>#N/A</v>
      </c>
    </row>
    <row r="5824" spans="2:6" x14ac:dyDescent="0.25">
      <c r="B5824" s="3"/>
      <c r="C5824" s="3"/>
      <c r="D5824" s="3"/>
      <c r="E5824" s="3" t="e">
        <f t="shared" si="186"/>
        <v>#N/A</v>
      </c>
      <c r="F5824" s="3" t="e">
        <f t="shared" si="187"/>
        <v>#N/A</v>
      </c>
    </row>
    <row r="5825" spans="2:6" x14ac:dyDescent="0.25">
      <c r="B5825" s="3"/>
      <c r="C5825" s="3"/>
      <c r="D5825" s="3"/>
      <c r="E5825" s="3" t="e">
        <f t="shared" si="186"/>
        <v>#N/A</v>
      </c>
      <c r="F5825" s="3" t="e">
        <f t="shared" si="187"/>
        <v>#N/A</v>
      </c>
    </row>
    <row r="5826" spans="2:6" x14ac:dyDescent="0.25">
      <c r="B5826" s="3"/>
      <c r="C5826" s="3"/>
      <c r="D5826" s="3"/>
      <c r="E5826" s="3" t="e">
        <f t="shared" si="186"/>
        <v>#N/A</v>
      </c>
      <c r="F5826" s="3" t="e">
        <f t="shared" si="187"/>
        <v>#N/A</v>
      </c>
    </row>
    <row r="5827" spans="2:6" x14ac:dyDescent="0.25">
      <c r="B5827" s="3"/>
      <c r="C5827" s="3"/>
      <c r="D5827" s="3"/>
      <c r="E5827" s="3" t="e">
        <f t="shared" si="186"/>
        <v>#N/A</v>
      </c>
      <c r="F5827" s="3" t="e">
        <f t="shared" si="187"/>
        <v>#N/A</v>
      </c>
    </row>
    <row r="5828" spans="2:6" x14ac:dyDescent="0.25">
      <c r="B5828" s="3"/>
      <c r="C5828" s="3"/>
      <c r="D5828" s="3"/>
      <c r="E5828" s="3" t="e">
        <f t="shared" si="186"/>
        <v>#N/A</v>
      </c>
      <c r="F5828" s="3" t="e">
        <f t="shared" si="187"/>
        <v>#N/A</v>
      </c>
    </row>
    <row r="5829" spans="2:6" x14ac:dyDescent="0.25">
      <c r="B5829" s="3"/>
      <c r="C5829" s="3"/>
      <c r="D5829" s="3"/>
      <c r="E5829" s="3" t="e">
        <f t="shared" si="186"/>
        <v>#N/A</v>
      </c>
      <c r="F5829" s="3" t="e">
        <f t="shared" si="187"/>
        <v>#N/A</v>
      </c>
    </row>
    <row r="5830" spans="2:6" x14ac:dyDescent="0.25">
      <c r="B5830" s="3"/>
      <c r="C5830" s="3"/>
      <c r="D5830" s="3"/>
      <c r="E5830" s="3" t="e">
        <f t="shared" si="186"/>
        <v>#N/A</v>
      </c>
      <c r="F5830" s="3" t="e">
        <f t="shared" si="187"/>
        <v>#N/A</v>
      </c>
    </row>
    <row r="5831" spans="2:6" x14ac:dyDescent="0.25">
      <c r="B5831" s="3"/>
      <c r="C5831" s="3"/>
      <c r="D5831" s="3"/>
      <c r="E5831" s="3" t="e">
        <f t="shared" si="186"/>
        <v>#N/A</v>
      </c>
      <c r="F5831" s="3" t="e">
        <f t="shared" si="187"/>
        <v>#N/A</v>
      </c>
    </row>
    <row r="5832" spans="2:6" x14ac:dyDescent="0.25">
      <c r="B5832" s="3"/>
      <c r="C5832" s="3"/>
      <c r="D5832" s="3"/>
      <c r="E5832" s="3" t="e">
        <f t="shared" si="186"/>
        <v>#N/A</v>
      </c>
      <c r="F5832" s="3" t="e">
        <f t="shared" si="187"/>
        <v>#N/A</v>
      </c>
    </row>
    <row r="5833" spans="2:6" x14ac:dyDescent="0.25">
      <c r="B5833" s="3"/>
      <c r="C5833" s="3"/>
      <c r="D5833" s="3"/>
      <c r="E5833" s="3" t="e">
        <f t="shared" si="186"/>
        <v>#N/A</v>
      </c>
      <c r="F5833" s="3" t="e">
        <f t="shared" si="187"/>
        <v>#N/A</v>
      </c>
    </row>
    <row r="5834" spans="2:6" x14ac:dyDescent="0.25">
      <c r="B5834" s="3"/>
      <c r="C5834" s="3"/>
      <c r="D5834" s="3"/>
      <c r="E5834" s="3" t="e">
        <f t="shared" si="186"/>
        <v>#N/A</v>
      </c>
      <c r="F5834" s="3" t="e">
        <f t="shared" si="187"/>
        <v>#N/A</v>
      </c>
    </row>
    <row r="5835" spans="2:6" x14ac:dyDescent="0.25">
      <c r="B5835" s="3"/>
      <c r="C5835" s="3"/>
      <c r="D5835" s="3"/>
      <c r="E5835" s="3" t="e">
        <f t="shared" si="186"/>
        <v>#N/A</v>
      </c>
      <c r="F5835" s="3" t="e">
        <f t="shared" si="187"/>
        <v>#N/A</v>
      </c>
    </row>
    <row r="5836" spans="2:6" x14ac:dyDescent="0.25">
      <c r="B5836" s="3"/>
      <c r="C5836" s="3"/>
      <c r="D5836" s="3"/>
      <c r="E5836" s="3" t="e">
        <f t="shared" si="186"/>
        <v>#N/A</v>
      </c>
      <c r="F5836" s="3" t="e">
        <f t="shared" si="187"/>
        <v>#N/A</v>
      </c>
    </row>
    <row r="5837" spans="2:6" x14ac:dyDescent="0.25">
      <c r="B5837" s="3"/>
      <c r="C5837" s="3"/>
      <c r="D5837" s="3"/>
      <c r="E5837" s="3" t="e">
        <f t="shared" si="186"/>
        <v>#N/A</v>
      </c>
      <c r="F5837" s="3" t="e">
        <f t="shared" si="187"/>
        <v>#N/A</v>
      </c>
    </row>
    <row r="5838" spans="2:6" x14ac:dyDescent="0.25">
      <c r="B5838" s="3"/>
      <c r="C5838" s="3"/>
      <c r="D5838" s="3"/>
      <c r="E5838" s="3" t="e">
        <f t="shared" ref="E5838:E5901" si="188">VLOOKUP(C5838,I:J,2,0)</f>
        <v>#N/A</v>
      </c>
      <c r="F5838" s="3" t="e">
        <f t="shared" ref="F5838:F5901" si="189">E5838&amp;" "&amp;B5838</f>
        <v>#N/A</v>
      </c>
    </row>
    <row r="5839" spans="2:6" x14ac:dyDescent="0.25">
      <c r="B5839" s="3"/>
      <c r="C5839" s="3"/>
      <c r="D5839" s="3"/>
      <c r="E5839" s="3" t="e">
        <f t="shared" si="188"/>
        <v>#N/A</v>
      </c>
      <c r="F5839" s="3" t="e">
        <f t="shared" si="189"/>
        <v>#N/A</v>
      </c>
    </row>
    <row r="5840" spans="2:6" x14ac:dyDescent="0.25">
      <c r="B5840" s="3"/>
      <c r="C5840" s="3"/>
      <c r="D5840" s="3"/>
      <c r="E5840" s="3" t="e">
        <f t="shared" si="188"/>
        <v>#N/A</v>
      </c>
      <c r="F5840" s="3" t="e">
        <f t="shared" si="189"/>
        <v>#N/A</v>
      </c>
    </row>
    <row r="5841" spans="2:6" x14ac:dyDescent="0.25">
      <c r="B5841" s="3"/>
      <c r="C5841" s="3"/>
      <c r="D5841" s="3"/>
      <c r="E5841" s="3" t="e">
        <f t="shared" si="188"/>
        <v>#N/A</v>
      </c>
      <c r="F5841" s="3" t="e">
        <f t="shared" si="189"/>
        <v>#N/A</v>
      </c>
    </row>
    <row r="5842" spans="2:6" x14ac:dyDescent="0.25">
      <c r="B5842" s="3"/>
      <c r="C5842" s="3"/>
      <c r="D5842" s="3"/>
      <c r="E5842" s="3" t="e">
        <f t="shared" si="188"/>
        <v>#N/A</v>
      </c>
      <c r="F5842" s="3" t="e">
        <f t="shared" si="189"/>
        <v>#N/A</v>
      </c>
    </row>
    <row r="5843" spans="2:6" x14ac:dyDescent="0.25">
      <c r="B5843" s="3"/>
      <c r="C5843" s="3"/>
      <c r="D5843" s="3"/>
      <c r="E5843" s="3" t="e">
        <f t="shared" si="188"/>
        <v>#N/A</v>
      </c>
      <c r="F5843" s="3" t="e">
        <f t="shared" si="189"/>
        <v>#N/A</v>
      </c>
    </row>
    <row r="5844" spans="2:6" x14ac:dyDescent="0.25">
      <c r="B5844" s="3"/>
      <c r="C5844" s="3"/>
      <c r="D5844" s="3"/>
      <c r="E5844" s="3" t="e">
        <f t="shared" si="188"/>
        <v>#N/A</v>
      </c>
      <c r="F5844" s="3" t="e">
        <f t="shared" si="189"/>
        <v>#N/A</v>
      </c>
    </row>
    <row r="5845" spans="2:6" x14ac:dyDescent="0.25">
      <c r="B5845" s="3"/>
      <c r="C5845" s="3"/>
      <c r="D5845" s="3"/>
      <c r="E5845" s="3" t="e">
        <f t="shared" si="188"/>
        <v>#N/A</v>
      </c>
      <c r="F5845" s="3" t="e">
        <f t="shared" si="189"/>
        <v>#N/A</v>
      </c>
    </row>
    <row r="5846" spans="2:6" x14ac:dyDescent="0.25">
      <c r="B5846" s="3"/>
      <c r="C5846" s="3"/>
      <c r="D5846" s="3"/>
      <c r="E5846" s="3" t="e">
        <f t="shared" si="188"/>
        <v>#N/A</v>
      </c>
      <c r="F5846" s="3" t="e">
        <f t="shared" si="189"/>
        <v>#N/A</v>
      </c>
    </row>
    <row r="5847" spans="2:6" x14ac:dyDescent="0.25">
      <c r="B5847" s="3"/>
      <c r="C5847" s="3"/>
      <c r="D5847" s="3"/>
      <c r="E5847" s="3" t="e">
        <f t="shared" si="188"/>
        <v>#N/A</v>
      </c>
      <c r="F5847" s="3" t="e">
        <f t="shared" si="189"/>
        <v>#N/A</v>
      </c>
    </row>
    <row r="5848" spans="2:6" x14ac:dyDescent="0.25">
      <c r="B5848" s="3"/>
      <c r="C5848" s="3"/>
      <c r="D5848" s="3"/>
      <c r="E5848" s="3" t="e">
        <f t="shared" si="188"/>
        <v>#N/A</v>
      </c>
      <c r="F5848" s="3" t="e">
        <f t="shared" si="189"/>
        <v>#N/A</v>
      </c>
    </row>
    <row r="5849" spans="2:6" x14ac:dyDescent="0.25">
      <c r="B5849" s="3"/>
      <c r="C5849" s="3"/>
      <c r="D5849" s="3"/>
      <c r="E5849" s="3" t="e">
        <f t="shared" si="188"/>
        <v>#N/A</v>
      </c>
      <c r="F5849" s="3" t="e">
        <f t="shared" si="189"/>
        <v>#N/A</v>
      </c>
    </row>
    <row r="5850" spans="2:6" x14ac:dyDescent="0.25">
      <c r="B5850" s="3"/>
      <c r="C5850" s="3"/>
      <c r="D5850" s="3"/>
      <c r="E5850" s="3" t="e">
        <f t="shared" si="188"/>
        <v>#N/A</v>
      </c>
      <c r="F5850" s="3" t="e">
        <f t="shared" si="189"/>
        <v>#N/A</v>
      </c>
    </row>
    <row r="5851" spans="2:6" x14ac:dyDescent="0.25">
      <c r="B5851" s="3"/>
      <c r="C5851" s="3"/>
      <c r="D5851" s="3"/>
      <c r="E5851" s="3" t="e">
        <f t="shared" si="188"/>
        <v>#N/A</v>
      </c>
      <c r="F5851" s="3" t="e">
        <f t="shared" si="189"/>
        <v>#N/A</v>
      </c>
    </row>
    <row r="5852" spans="2:6" x14ac:dyDescent="0.25">
      <c r="B5852" s="3"/>
      <c r="C5852" s="3"/>
      <c r="D5852" s="3"/>
      <c r="E5852" s="3" t="e">
        <f t="shared" si="188"/>
        <v>#N/A</v>
      </c>
      <c r="F5852" s="3" t="e">
        <f t="shared" si="189"/>
        <v>#N/A</v>
      </c>
    </row>
    <row r="5853" spans="2:6" x14ac:dyDescent="0.25">
      <c r="B5853" s="3"/>
      <c r="C5853" s="3"/>
      <c r="D5853" s="3"/>
      <c r="E5853" s="3" t="e">
        <f t="shared" si="188"/>
        <v>#N/A</v>
      </c>
      <c r="F5853" s="3" t="e">
        <f t="shared" si="189"/>
        <v>#N/A</v>
      </c>
    </row>
    <row r="5854" spans="2:6" x14ac:dyDescent="0.25">
      <c r="B5854" s="3"/>
      <c r="C5854" s="3"/>
      <c r="D5854" s="3"/>
      <c r="E5854" s="3" t="e">
        <f t="shared" si="188"/>
        <v>#N/A</v>
      </c>
      <c r="F5854" s="3" t="e">
        <f t="shared" si="189"/>
        <v>#N/A</v>
      </c>
    </row>
    <row r="5855" spans="2:6" x14ac:dyDescent="0.25">
      <c r="B5855" s="3"/>
      <c r="C5855" s="3"/>
      <c r="D5855" s="3"/>
      <c r="E5855" s="3" t="e">
        <f t="shared" si="188"/>
        <v>#N/A</v>
      </c>
      <c r="F5855" s="3" t="e">
        <f t="shared" si="189"/>
        <v>#N/A</v>
      </c>
    </row>
    <row r="5856" spans="2:6" x14ac:dyDescent="0.25">
      <c r="B5856" s="3"/>
      <c r="C5856" s="3"/>
      <c r="D5856" s="3"/>
      <c r="E5856" s="3" t="e">
        <f t="shared" si="188"/>
        <v>#N/A</v>
      </c>
      <c r="F5856" s="3" t="e">
        <f t="shared" si="189"/>
        <v>#N/A</v>
      </c>
    </row>
    <row r="5857" spans="2:6" x14ac:dyDescent="0.25">
      <c r="B5857" s="3"/>
      <c r="C5857" s="3"/>
      <c r="D5857" s="3"/>
      <c r="E5857" s="3" t="e">
        <f t="shared" si="188"/>
        <v>#N/A</v>
      </c>
      <c r="F5857" s="3" t="e">
        <f t="shared" si="189"/>
        <v>#N/A</v>
      </c>
    </row>
    <row r="5858" spans="2:6" x14ac:dyDescent="0.25">
      <c r="B5858" s="3"/>
      <c r="C5858" s="3"/>
      <c r="D5858" s="3"/>
      <c r="E5858" s="3" t="e">
        <f t="shared" si="188"/>
        <v>#N/A</v>
      </c>
      <c r="F5858" s="3" t="e">
        <f t="shared" si="189"/>
        <v>#N/A</v>
      </c>
    </row>
    <row r="5859" spans="2:6" x14ac:dyDescent="0.25">
      <c r="B5859" s="3"/>
      <c r="C5859" s="3"/>
      <c r="D5859" s="3"/>
      <c r="E5859" s="3" t="e">
        <f t="shared" si="188"/>
        <v>#N/A</v>
      </c>
      <c r="F5859" s="3" t="e">
        <f t="shared" si="189"/>
        <v>#N/A</v>
      </c>
    </row>
    <row r="5860" spans="2:6" x14ac:dyDescent="0.25">
      <c r="B5860" s="3"/>
      <c r="C5860" s="3"/>
      <c r="D5860" s="3"/>
      <c r="E5860" s="3" t="e">
        <f t="shared" si="188"/>
        <v>#N/A</v>
      </c>
      <c r="F5860" s="3" t="e">
        <f t="shared" si="189"/>
        <v>#N/A</v>
      </c>
    </row>
    <row r="5861" spans="2:6" x14ac:dyDescent="0.25">
      <c r="B5861" s="3"/>
      <c r="C5861" s="3"/>
      <c r="D5861" s="3"/>
      <c r="E5861" s="3" t="e">
        <f t="shared" si="188"/>
        <v>#N/A</v>
      </c>
      <c r="F5861" s="3" t="e">
        <f t="shared" si="189"/>
        <v>#N/A</v>
      </c>
    </row>
    <row r="5862" spans="2:6" x14ac:dyDescent="0.25">
      <c r="B5862" s="3"/>
      <c r="C5862" s="3"/>
      <c r="D5862" s="3"/>
      <c r="E5862" s="3" t="e">
        <f t="shared" si="188"/>
        <v>#N/A</v>
      </c>
      <c r="F5862" s="3" t="e">
        <f t="shared" si="189"/>
        <v>#N/A</v>
      </c>
    </row>
    <row r="5863" spans="2:6" x14ac:dyDescent="0.25">
      <c r="B5863" s="3"/>
      <c r="C5863" s="3"/>
      <c r="D5863" s="3"/>
      <c r="E5863" s="3" t="e">
        <f t="shared" si="188"/>
        <v>#N/A</v>
      </c>
      <c r="F5863" s="3" t="e">
        <f t="shared" si="189"/>
        <v>#N/A</v>
      </c>
    </row>
    <row r="5864" spans="2:6" x14ac:dyDescent="0.25">
      <c r="B5864" s="3"/>
      <c r="C5864" s="3"/>
      <c r="D5864" s="3"/>
      <c r="E5864" s="3" t="e">
        <f t="shared" si="188"/>
        <v>#N/A</v>
      </c>
      <c r="F5864" s="3" t="e">
        <f t="shared" si="189"/>
        <v>#N/A</v>
      </c>
    </row>
    <row r="5865" spans="2:6" x14ac:dyDescent="0.25">
      <c r="B5865" s="3"/>
      <c r="C5865" s="3"/>
      <c r="D5865" s="3"/>
      <c r="E5865" s="3" t="e">
        <f t="shared" si="188"/>
        <v>#N/A</v>
      </c>
      <c r="F5865" s="3" t="e">
        <f t="shared" si="189"/>
        <v>#N/A</v>
      </c>
    </row>
    <row r="5866" spans="2:6" x14ac:dyDescent="0.25">
      <c r="B5866" s="3"/>
      <c r="C5866" s="3"/>
      <c r="D5866" s="3"/>
      <c r="E5866" s="3" t="e">
        <f t="shared" si="188"/>
        <v>#N/A</v>
      </c>
      <c r="F5866" s="3" t="e">
        <f t="shared" si="189"/>
        <v>#N/A</v>
      </c>
    </row>
    <row r="5867" spans="2:6" x14ac:dyDescent="0.25">
      <c r="B5867" s="3"/>
      <c r="C5867" s="3"/>
      <c r="D5867" s="3"/>
      <c r="E5867" s="3" t="e">
        <f t="shared" si="188"/>
        <v>#N/A</v>
      </c>
      <c r="F5867" s="3" t="e">
        <f t="shared" si="189"/>
        <v>#N/A</v>
      </c>
    </row>
    <row r="5868" spans="2:6" x14ac:dyDescent="0.25">
      <c r="B5868" s="3"/>
      <c r="C5868" s="3"/>
      <c r="D5868" s="3"/>
      <c r="E5868" s="3" t="e">
        <f t="shared" si="188"/>
        <v>#N/A</v>
      </c>
      <c r="F5868" s="3" t="e">
        <f t="shared" si="189"/>
        <v>#N/A</v>
      </c>
    </row>
    <row r="5869" spans="2:6" x14ac:dyDescent="0.25">
      <c r="B5869" s="3"/>
      <c r="C5869" s="3"/>
      <c r="D5869" s="3"/>
      <c r="E5869" s="3" t="e">
        <f t="shared" si="188"/>
        <v>#N/A</v>
      </c>
      <c r="F5869" s="3" t="e">
        <f t="shared" si="189"/>
        <v>#N/A</v>
      </c>
    </row>
    <row r="5870" spans="2:6" x14ac:dyDescent="0.25">
      <c r="B5870" s="3"/>
      <c r="C5870" s="3"/>
      <c r="D5870" s="3"/>
      <c r="E5870" s="3" t="e">
        <f t="shared" si="188"/>
        <v>#N/A</v>
      </c>
      <c r="F5870" s="3" t="e">
        <f t="shared" si="189"/>
        <v>#N/A</v>
      </c>
    </row>
    <row r="5871" spans="2:6" x14ac:dyDescent="0.25">
      <c r="B5871" s="3"/>
      <c r="C5871" s="3"/>
      <c r="D5871" s="3"/>
      <c r="E5871" s="3" t="e">
        <f t="shared" si="188"/>
        <v>#N/A</v>
      </c>
      <c r="F5871" s="3" t="e">
        <f t="shared" si="189"/>
        <v>#N/A</v>
      </c>
    </row>
    <row r="5872" spans="2:6" x14ac:dyDescent="0.25">
      <c r="B5872" s="3"/>
      <c r="C5872" s="3"/>
      <c r="D5872" s="3"/>
      <c r="E5872" s="3" t="e">
        <f t="shared" si="188"/>
        <v>#N/A</v>
      </c>
      <c r="F5872" s="3" t="e">
        <f t="shared" si="189"/>
        <v>#N/A</v>
      </c>
    </row>
    <row r="5873" spans="2:6" x14ac:dyDescent="0.25">
      <c r="B5873" s="3"/>
      <c r="C5873" s="3"/>
      <c r="D5873" s="3"/>
      <c r="E5873" s="3" t="e">
        <f t="shared" si="188"/>
        <v>#N/A</v>
      </c>
      <c r="F5873" s="3" t="e">
        <f t="shared" si="189"/>
        <v>#N/A</v>
      </c>
    </row>
    <row r="5874" spans="2:6" x14ac:dyDescent="0.25">
      <c r="B5874" s="3"/>
      <c r="C5874" s="3"/>
      <c r="D5874" s="3"/>
      <c r="E5874" s="3" t="e">
        <f t="shared" si="188"/>
        <v>#N/A</v>
      </c>
      <c r="F5874" s="3" t="e">
        <f t="shared" si="189"/>
        <v>#N/A</v>
      </c>
    </row>
    <row r="5875" spans="2:6" x14ac:dyDescent="0.25">
      <c r="B5875" s="3"/>
      <c r="C5875" s="3"/>
      <c r="D5875" s="3"/>
      <c r="E5875" s="3" t="e">
        <f t="shared" si="188"/>
        <v>#N/A</v>
      </c>
      <c r="F5875" s="3" t="e">
        <f t="shared" si="189"/>
        <v>#N/A</v>
      </c>
    </row>
    <row r="5876" spans="2:6" x14ac:dyDescent="0.25">
      <c r="B5876" s="3"/>
      <c r="C5876" s="3"/>
      <c r="D5876" s="3"/>
      <c r="E5876" s="3" t="e">
        <f t="shared" si="188"/>
        <v>#N/A</v>
      </c>
      <c r="F5876" s="3" t="e">
        <f t="shared" si="189"/>
        <v>#N/A</v>
      </c>
    </row>
    <row r="5877" spans="2:6" x14ac:dyDescent="0.25">
      <c r="B5877" s="3"/>
      <c r="C5877" s="3"/>
      <c r="D5877" s="3"/>
      <c r="E5877" s="3" t="e">
        <f t="shared" si="188"/>
        <v>#N/A</v>
      </c>
      <c r="F5877" s="3" t="e">
        <f t="shared" si="189"/>
        <v>#N/A</v>
      </c>
    </row>
    <row r="5878" spans="2:6" x14ac:dyDescent="0.25">
      <c r="B5878" s="3"/>
      <c r="C5878" s="3"/>
      <c r="D5878" s="3"/>
      <c r="E5878" s="3" t="e">
        <f t="shared" si="188"/>
        <v>#N/A</v>
      </c>
      <c r="F5878" s="3" t="e">
        <f t="shared" si="189"/>
        <v>#N/A</v>
      </c>
    </row>
    <row r="5879" spans="2:6" x14ac:dyDescent="0.25">
      <c r="B5879" s="3"/>
      <c r="C5879" s="3"/>
      <c r="D5879" s="3"/>
      <c r="E5879" s="3" t="e">
        <f t="shared" si="188"/>
        <v>#N/A</v>
      </c>
      <c r="F5879" s="3" t="e">
        <f t="shared" si="189"/>
        <v>#N/A</v>
      </c>
    </row>
    <row r="5880" spans="2:6" x14ac:dyDescent="0.25">
      <c r="B5880" s="3"/>
      <c r="C5880" s="3"/>
      <c r="D5880" s="3"/>
      <c r="E5880" s="3" t="e">
        <f t="shared" si="188"/>
        <v>#N/A</v>
      </c>
      <c r="F5880" s="3" t="e">
        <f t="shared" si="189"/>
        <v>#N/A</v>
      </c>
    </row>
    <row r="5881" spans="2:6" x14ac:dyDescent="0.25">
      <c r="B5881" s="3"/>
      <c r="C5881" s="3"/>
      <c r="D5881" s="3"/>
      <c r="E5881" s="3" t="e">
        <f t="shared" si="188"/>
        <v>#N/A</v>
      </c>
      <c r="F5881" s="3" t="e">
        <f t="shared" si="189"/>
        <v>#N/A</v>
      </c>
    </row>
    <row r="5882" spans="2:6" x14ac:dyDescent="0.25">
      <c r="B5882" s="3"/>
      <c r="C5882" s="3"/>
      <c r="D5882" s="3"/>
      <c r="E5882" s="3" t="e">
        <f t="shared" si="188"/>
        <v>#N/A</v>
      </c>
      <c r="F5882" s="3" t="e">
        <f t="shared" si="189"/>
        <v>#N/A</v>
      </c>
    </row>
    <row r="5883" spans="2:6" x14ac:dyDescent="0.25">
      <c r="B5883" s="3"/>
      <c r="C5883" s="3"/>
      <c r="D5883" s="3"/>
      <c r="E5883" s="3" t="e">
        <f t="shared" si="188"/>
        <v>#N/A</v>
      </c>
      <c r="F5883" s="3" t="e">
        <f t="shared" si="189"/>
        <v>#N/A</v>
      </c>
    </row>
    <row r="5884" spans="2:6" x14ac:dyDescent="0.25">
      <c r="B5884" s="3"/>
      <c r="C5884" s="3"/>
      <c r="D5884" s="3"/>
      <c r="E5884" s="3" t="e">
        <f t="shared" si="188"/>
        <v>#N/A</v>
      </c>
      <c r="F5884" s="3" t="e">
        <f t="shared" si="189"/>
        <v>#N/A</v>
      </c>
    </row>
    <row r="5885" spans="2:6" x14ac:dyDescent="0.25">
      <c r="B5885" s="3"/>
      <c r="C5885" s="3"/>
      <c r="D5885" s="3"/>
      <c r="E5885" s="3" t="e">
        <f t="shared" si="188"/>
        <v>#N/A</v>
      </c>
      <c r="F5885" s="3" t="e">
        <f t="shared" si="189"/>
        <v>#N/A</v>
      </c>
    </row>
    <row r="5886" spans="2:6" x14ac:dyDescent="0.25">
      <c r="B5886" s="3"/>
      <c r="C5886" s="3"/>
      <c r="D5886" s="3"/>
      <c r="E5886" s="3" t="e">
        <f t="shared" si="188"/>
        <v>#N/A</v>
      </c>
      <c r="F5886" s="3" t="e">
        <f t="shared" si="189"/>
        <v>#N/A</v>
      </c>
    </row>
    <row r="5887" spans="2:6" x14ac:dyDescent="0.25">
      <c r="B5887" s="3"/>
      <c r="C5887" s="3"/>
      <c r="D5887" s="3"/>
      <c r="E5887" s="3" t="e">
        <f t="shared" si="188"/>
        <v>#N/A</v>
      </c>
      <c r="F5887" s="3" t="e">
        <f t="shared" si="189"/>
        <v>#N/A</v>
      </c>
    </row>
    <row r="5888" spans="2:6" x14ac:dyDescent="0.25">
      <c r="B5888" s="3"/>
      <c r="C5888" s="3"/>
      <c r="D5888" s="3"/>
      <c r="E5888" s="3" t="e">
        <f t="shared" si="188"/>
        <v>#N/A</v>
      </c>
      <c r="F5888" s="3" t="e">
        <f t="shared" si="189"/>
        <v>#N/A</v>
      </c>
    </row>
    <row r="5889" spans="2:6" x14ac:dyDescent="0.25">
      <c r="B5889" s="3"/>
      <c r="C5889" s="3"/>
      <c r="D5889" s="3"/>
      <c r="E5889" s="3" t="e">
        <f t="shared" si="188"/>
        <v>#N/A</v>
      </c>
      <c r="F5889" s="3" t="e">
        <f t="shared" si="189"/>
        <v>#N/A</v>
      </c>
    </row>
    <row r="5890" spans="2:6" x14ac:dyDescent="0.25">
      <c r="B5890" s="3"/>
      <c r="C5890" s="3"/>
      <c r="D5890" s="3"/>
      <c r="E5890" s="3" t="e">
        <f t="shared" si="188"/>
        <v>#N/A</v>
      </c>
      <c r="F5890" s="3" t="e">
        <f t="shared" si="189"/>
        <v>#N/A</v>
      </c>
    </row>
    <row r="5891" spans="2:6" x14ac:dyDescent="0.25">
      <c r="B5891" s="3"/>
      <c r="C5891" s="3"/>
      <c r="D5891" s="3"/>
      <c r="E5891" s="3" t="e">
        <f t="shared" si="188"/>
        <v>#N/A</v>
      </c>
      <c r="F5891" s="3" t="e">
        <f t="shared" si="189"/>
        <v>#N/A</v>
      </c>
    </row>
    <row r="5892" spans="2:6" x14ac:dyDescent="0.25">
      <c r="B5892" s="3"/>
      <c r="C5892" s="3"/>
      <c r="D5892" s="3"/>
      <c r="E5892" s="3" t="e">
        <f t="shared" si="188"/>
        <v>#N/A</v>
      </c>
      <c r="F5892" s="3" t="e">
        <f t="shared" si="189"/>
        <v>#N/A</v>
      </c>
    </row>
    <row r="5893" spans="2:6" x14ac:dyDescent="0.25">
      <c r="B5893" s="3"/>
      <c r="C5893" s="3"/>
      <c r="D5893" s="3"/>
      <c r="E5893" s="3" t="e">
        <f t="shared" si="188"/>
        <v>#N/A</v>
      </c>
      <c r="F5893" s="3" t="e">
        <f t="shared" si="189"/>
        <v>#N/A</v>
      </c>
    </row>
    <row r="5894" spans="2:6" x14ac:dyDescent="0.25">
      <c r="B5894" s="3"/>
      <c r="C5894" s="3"/>
      <c r="D5894" s="3"/>
      <c r="E5894" s="3" t="e">
        <f t="shared" si="188"/>
        <v>#N/A</v>
      </c>
      <c r="F5894" s="3" t="e">
        <f t="shared" si="189"/>
        <v>#N/A</v>
      </c>
    </row>
    <row r="5895" spans="2:6" x14ac:dyDescent="0.25">
      <c r="B5895" s="3"/>
      <c r="C5895" s="3"/>
      <c r="D5895" s="3"/>
      <c r="E5895" s="3" t="e">
        <f t="shared" si="188"/>
        <v>#N/A</v>
      </c>
      <c r="F5895" s="3" t="e">
        <f t="shared" si="189"/>
        <v>#N/A</v>
      </c>
    </row>
    <row r="5896" spans="2:6" x14ac:dyDescent="0.25">
      <c r="B5896" s="3"/>
      <c r="C5896" s="3"/>
      <c r="D5896" s="3"/>
      <c r="E5896" s="3" t="e">
        <f t="shared" si="188"/>
        <v>#N/A</v>
      </c>
      <c r="F5896" s="3" t="e">
        <f t="shared" si="189"/>
        <v>#N/A</v>
      </c>
    </row>
    <row r="5897" spans="2:6" x14ac:dyDescent="0.25">
      <c r="B5897" s="3"/>
      <c r="C5897" s="3"/>
      <c r="D5897" s="3"/>
      <c r="E5897" s="3" t="e">
        <f t="shared" si="188"/>
        <v>#N/A</v>
      </c>
      <c r="F5897" s="3" t="e">
        <f t="shared" si="189"/>
        <v>#N/A</v>
      </c>
    </row>
    <row r="5898" spans="2:6" x14ac:dyDescent="0.25">
      <c r="B5898" s="3"/>
      <c r="C5898" s="3"/>
      <c r="D5898" s="3"/>
      <c r="E5898" s="3" t="e">
        <f t="shared" si="188"/>
        <v>#N/A</v>
      </c>
      <c r="F5898" s="3" t="e">
        <f t="shared" si="189"/>
        <v>#N/A</v>
      </c>
    </row>
    <row r="5899" spans="2:6" x14ac:dyDescent="0.25">
      <c r="B5899" s="3"/>
      <c r="C5899" s="3"/>
      <c r="D5899" s="3"/>
      <c r="E5899" s="3" t="e">
        <f t="shared" si="188"/>
        <v>#N/A</v>
      </c>
      <c r="F5899" s="3" t="e">
        <f t="shared" si="189"/>
        <v>#N/A</v>
      </c>
    </row>
    <row r="5900" spans="2:6" x14ac:dyDescent="0.25">
      <c r="B5900" s="3"/>
      <c r="C5900" s="3"/>
      <c r="D5900" s="3"/>
      <c r="E5900" s="3" t="e">
        <f t="shared" si="188"/>
        <v>#N/A</v>
      </c>
      <c r="F5900" s="3" t="e">
        <f t="shared" si="189"/>
        <v>#N/A</v>
      </c>
    </row>
    <row r="5901" spans="2:6" x14ac:dyDescent="0.25">
      <c r="B5901" s="3"/>
      <c r="C5901" s="3"/>
      <c r="D5901" s="3"/>
      <c r="E5901" s="3" t="e">
        <f t="shared" si="188"/>
        <v>#N/A</v>
      </c>
      <c r="F5901" s="3" t="e">
        <f t="shared" si="189"/>
        <v>#N/A</v>
      </c>
    </row>
    <row r="5902" spans="2:6" x14ac:dyDescent="0.25">
      <c r="B5902" s="3"/>
      <c r="C5902" s="3"/>
      <c r="D5902" s="3"/>
      <c r="E5902" s="3" t="e">
        <f t="shared" ref="E5902:E5965" si="190">VLOOKUP(C5902,I:J,2,0)</f>
        <v>#N/A</v>
      </c>
      <c r="F5902" s="3" t="e">
        <f t="shared" ref="F5902:F5965" si="191">E5902&amp;" "&amp;B5902</f>
        <v>#N/A</v>
      </c>
    </row>
    <row r="5903" spans="2:6" x14ac:dyDescent="0.25">
      <c r="B5903" s="3"/>
      <c r="C5903" s="3"/>
      <c r="D5903" s="3"/>
      <c r="E5903" s="3" t="e">
        <f t="shared" si="190"/>
        <v>#N/A</v>
      </c>
      <c r="F5903" s="3" t="e">
        <f t="shared" si="191"/>
        <v>#N/A</v>
      </c>
    </row>
    <row r="5904" spans="2:6" x14ac:dyDescent="0.25">
      <c r="B5904" s="3"/>
      <c r="C5904" s="3"/>
      <c r="D5904" s="3"/>
      <c r="E5904" s="3" t="e">
        <f t="shared" si="190"/>
        <v>#N/A</v>
      </c>
      <c r="F5904" s="3" t="e">
        <f t="shared" si="191"/>
        <v>#N/A</v>
      </c>
    </row>
    <row r="5905" spans="2:6" x14ac:dyDescent="0.25">
      <c r="B5905" s="3"/>
      <c r="C5905" s="3"/>
      <c r="D5905" s="3"/>
      <c r="E5905" s="3" t="e">
        <f t="shared" si="190"/>
        <v>#N/A</v>
      </c>
      <c r="F5905" s="3" t="e">
        <f t="shared" si="191"/>
        <v>#N/A</v>
      </c>
    </row>
    <row r="5906" spans="2:6" x14ac:dyDescent="0.25">
      <c r="B5906" s="3"/>
      <c r="C5906" s="3"/>
      <c r="D5906" s="3"/>
      <c r="E5906" s="3" t="e">
        <f t="shared" si="190"/>
        <v>#N/A</v>
      </c>
      <c r="F5906" s="3" t="e">
        <f t="shared" si="191"/>
        <v>#N/A</v>
      </c>
    </row>
    <row r="5907" spans="2:6" x14ac:dyDescent="0.25">
      <c r="B5907" s="3"/>
      <c r="C5907" s="3"/>
      <c r="D5907" s="3"/>
      <c r="E5907" s="3" t="e">
        <f t="shared" si="190"/>
        <v>#N/A</v>
      </c>
      <c r="F5907" s="3" t="e">
        <f t="shared" si="191"/>
        <v>#N/A</v>
      </c>
    </row>
    <row r="5908" spans="2:6" x14ac:dyDescent="0.25">
      <c r="B5908" s="3"/>
      <c r="C5908" s="3"/>
      <c r="D5908" s="3"/>
      <c r="E5908" s="3" t="e">
        <f t="shared" si="190"/>
        <v>#N/A</v>
      </c>
      <c r="F5908" s="3" t="e">
        <f t="shared" si="191"/>
        <v>#N/A</v>
      </c>
    </row>
    <row r="5909" spans="2:6" x14ac:dyDescent="0.25">
      <c r="B5909" s="3"/>
      <c r="C5909" s="3"/>
      <c r="D5909" s="3"/>
      <c r="E5909" s="3" t="e">
        <f t="shared" si="190"/>
        <v>#N/A</v>
      </c>
      <c r="F5909" s="3" t="e">
        <f t="shared" si="191"/>
        <v>#N/A</v>
      </c>
    </row>
    <row r="5910" spans="2:6" x14ac:dyDescent="0.25">
      <c r="B5910" s="3"/>
      <c r="C5910" s="3"/>
      <c r="D5910" s="3"/>
      <c r="E5910" s="3" t="e">
        <f t="shared" si="190"/>
        <v>#N/A</v>
      </c>
      <c r="F5910" s="3" t="e">
        <f t="shared" si="191"/>
        <v>#N/A</v>
      </c>
    </row>
    <row r="5911" spans="2:6" x14ac:dyDescent="0.25">
      <c r="B5911" s="3"/>
      <c r="C5911" s="3"/>
      <c r="D5911" s="3"/>
      <c r="E5911" s="3" t="e">
        <f t="shared" si="190"/>
        <v>#N/A</v>
      </c>
      <c r="F5911" s="3" t="e">
        <f t="shared" si="191"/>
        <v>#N/A</v>
      </c>
    </row>
    <row r="5912" spans="2:6" x14ac:dyDescent="0.25">
      <c r="B5912" s="3"/>
      <c r="C5912" s="3"/>
      <c r="D5912" s="3"/>
      <c r="E5912" s="3" t="e">
        <f t="shared" si="190"/>
        <v>#N/A</v>
      </c>
      <c r="F5912" s="3" t="e">
        <f t="shared" si="191"/>
        <v>#N/A</v>
      </c>
    </row>
    <row r="5913" spans="2:6" x14ac:dyDescent="0.25">
      <c r="B5913" s="3"/>
      <c r="C5913" s="3"/>
      <c r="D5913" s="3"/>
      <c r="E5913" s="3" t="e">
        <f t="shared" si="190"/>
        <v>#N/A</v>
      </c>
      <c r="F5913" s="3" t="e">
        <f t="shared" si="191"/>
        <v>#N/A</v>
      </c>
    </row>
    <row r="5914" spans="2:6" x14ac:dyDescent="0.25">
      <c r="B5914" s="3"/>
      <c r="C5914" s="3"/>
      <c r="D5914" s="3"/>
      <c r="E5914" s="3" t="e">
        <f t="shared" si="190"/>
        <v>#N/A</v>
      </c>
      <c r="F5914" s="3" t="e">
        <f t="shared" si="191"/>
        <v>#N/A</v>
      </c>
    </row>
    <row r="5915" spans="2:6" x14ac:dyDescent="0.25">
      <c r="B5915" s="3"/>
      <c r="C5915" s="3"/>
      <c r="D5915" s="3"/>
      <c r="E5915" s="3" t="e">
        <f t="shared" si="190"/>
        <v>#N/A</v>
      </c>
      <c r="F5915" s="3" t="e">
        <f t="shared" si="191"/>
        <v>#N/A</v>
      </c>
    </row>
    <row r="5916" spans="2:6" x14ac:dyDescent="0.25">
      <c r="B5916" s="3"/>
      <c r="C5916" s="3"/>
      <c r="D5916" s="3"/>
      <c r="E5916" s="3" t="e">
        <f t="shared" si="190"/>
        <v>#N/A</v>
      </c>
      <c r="F5916" s="3" t="e">
        <f t="shared" si="191"/>
        <v>#N/A</v>
      </c>
    </row>
    <row r="5917" spans="2:6" x14ac:dyDescent="0.25">
      <c r="B5917" s="3"/>
      <c r="C5917" s="3"/>
      <c r="D5917" s="3"/>
      <c r="E5917" s="3" t="e">
        <f t="shared" si="190"/>
        <v>#N/A</v>
      </c>
      <c r="F5917" s="3" t="e">
        <f t="shared" si="191"/>
        <v>#N/A</v>
      </c>
    </row>
    <row r="5918" spans="2:6" x14ac:dyDescent="0.25">
      <c r="B5918" s="3"/>
      <c r="C5918" s="3"/>
      <c r="D5918" s="3"/>
      <c r="E5918" s="3" t="e">
        <f t="shared" si="190"/>
        <v>#N/A</v>
      </c>
      <c r="F5918" s="3" t="e">
        <f t="shared" si="191"/>
        <v>#N/A</v>
      </c>
    </row>
    <row r="5919" spans="2:6" x14ac:dyDescent="0.25">
      <c r="B5919" s="3"/>
      <c r="C5919" s="3"/>
      <c r="D5919" s="3"/>
      <c r="E5919" s="3" t="e">
        <f t="shared" si="190"/>
        <v>#N/A</v>
      </c>
      <c r="F5919" s="3" t="e">
        <f t="shared" si="191"/>
        <v>#N/A</v>
      </c>
    </row>
    <row r="5920" spans="2:6" x14ac:dyDescent="0.25">
      <c r="B5920" s="3"/>
      <c r="C5920" s="3"/>
      <c r="D5920" s="3"/>
      <c r="E5920" s="3" t="e">
        <f t="shared" si="190"/>
        <v>#N/A</v>
      </c>
      <c r="F5920" s="3" t="e">
        <f t="shared" si="191"/>
        <v>#N/A</v>
      </c>
    </row>
    <row r="5921" spans="2:6" x14ac:dyDescent="0.25">
      <c r="B5921" s="3"/>
      <c r="C5921" s="3"/>
      <c r="D5921" s="3"/>
      <c r="E5921" s="3" t="e">
        <f t="shared" si="190"/>
        <v>#N/A</v>
      </c>
      <c r="F5921" s="3" t="e">
        <f t="shared" si="191"/>
        <v>#N/A</v>
      </c>
    </row>
    <row r="5922" spans="2:6" x14ac:dyDescent="0.25">
      <c r="B5922" s="3"/>
      <c r="C5922" s="3"/>
      <c r="D5922" s="3"/>
      <c r="E5922" s="3" t="e">
        <f t="shared" si="190"/>
        <v>#N/A</v>
      </c>
      <c r="F5922" s="3" t="e">
        <f t="shared" si="191"/>
        <v>#N/A</v>
      </c>
    </row>
    <row r="5923" spans="2:6" x14ac:dyDescent="0.25">
      <c r="B5923" s="3"/>
      <c r="C5923" s="3"/>
      <c r="D5923" s="3"/>
      <c r="E5923" s="3" t="e">
        <f t="shared" si="190"/>
        <v>#N/A</v>
      </c>
      <c r="F5923" s="3" t="e">
        <f t="shared" si="191"/>
        <v>#N/A</v>
      </c>
    </row>
    <row r="5924" spans="2:6" x14ac:dyDescent="0.25">
      <c r="B5924" s="3"/>
      <c r="C5924" s="3"/>
      <c r="D5924" s="3"/>
      <c r="E5924" s="3" t="e">
        <f t="shared" si="190"/>
        <v>#N/A</v>
      </c>
      <c r="F5924" s="3" t="e">
        <f t="shared" si="191"/>
        <v>#N/A</v>
      </c>
    </row>
    <row r="5925" spans="2:6" x14ac:dyDescent="0.25">
      <c r="B5925" s="3"/>
      <c r="C5925" s="3"/>
      <c r="D5925" s="3"/>
      <c r="E5925" s="3" t="e">
        <f t="shared" si="190"/>
        <v>#N/A</v>
      </c>
      <c r="F5925" s="3" t="e">
        <f t="shared" si="191"/>
        <v>#N/A</v>
      </c>
    </row>
    <row r="5926" spans="2:6" x14ac:dyDescent="0.25">
      <c r="B5926" s="3"/>
      <c r="C5926" s="3"/>
      <c r="D5926" s="3"/>
      <c r="E5926" s="3" t="e">
        <f t="shared" si="190"/>
        <v>#N/A</v>
      </c>
      <c r="F5926" s="3" t="e">
        <f t="shared" si="191"/>
        <v>#N/A</v>
      </c>
    </row>
    <row r="5927" spans="2:6" x14ac:dyDescent="0.25">
      <c r="B5927" s="3"/>
      <c r="C5927" s="3"/>
      <c r="D5927" s="3"/>
      <c r="E5927" s="3" t="e">
        <f t="shared" si="190"/>
        <v>#N/A</v>
      </c>
      <c r="F5927" s="3" t="e">
        <f t="shared" si="191"/>
        <v>#N/A</v>
      </c>
    </row>
    <row r="5928" spans="2:6" x14ac:dyDescent="0.25">
      <c r="B5928" s="3"/>
      <c r="C5928" s="3"/>
      <c r="D5928" s="3"/>
      <c r="E5928" s="3" t="e">
        <f t="shared" si="190"/>
        <v>#N/A</v>
      </c>
      <c r="F5928" s="3" t="e">
        <f t="shared" si="191"/>
        <v>#N/A</v>
      </c>
    </row>
    <row r="5929" spans="2:6" x14ac:dyDescent="0.25">
      <c r="B5929" s="3"/>
      <c r="C5929" s="3"/>
      <c r="D5929" s="3"/>
      <c r="E5929" s="3" t="e">
        <f t="shared" si="190"/>
        <v>#N/A</v>
      </c>
      <c r="F5929" s="3" t="e">
        <f t="shared" si="191"/>
        <v>#N/A</v>
      </c>
    </row>
    <row r="5930" spans="2:6" x14ac:dyDescent="0.25">
      <c r="B5930" s="3"/>
      <c r="C5930" s="3"/>
      <c r="D5930" s="3"/>
      <c r="E5930" s="3" t="e">
        <f t="shared" si="190"/>
        <v>#N/A</v>
      </c>
      <c r="F5930" s="3" t="e">
        <f t="shared" si="191"/>
        <v>#N/A</v>
      </c>
    </row>
    <row r="5931" spans="2:6" x14ac:dyDescent="0.25">
      <c r="B5931" s="3"/>
      <c r="C5931" s="3"/>
      <c r="D5931" s="3"/>
      <c r="E5931" s="3" t="e">
        <f t="shared" si="190"/>
        <v>#N/A</v>
      </c>
      <c r="F5931" s="3" t="e">
        <f t="shared" si="191"/>
        <v>#N/A</v>
      </c>
    </row>
    <row r="5932" spans="2:6" x14ac:dyDescent="0.25">
      <c r="B5932" s="3"/>
      <c r="C5932" s="3"/>
      <c r="D5932" s="3"/>
      <c r="E5932" s="3" t="e">
        <f t="shared" si="190"/>
        <v>#N/A</v>
      </c>
      <c r="F5932" s="3" t="e">
        <f t="shared" si="191"/>
        <v>#N/A</v>
      </c>
    </row>
    <row r="5933" spans="2:6" x14ac:dyDescent="0.25">
      <c r="B5933" s="3"/>
      <c r="C5933" s="3"/>
      <c r="D5933" s="3"/>
      <c r="E5933" s="3" t="e">
        <f t="shared" si="190"/>
        <v>#N/A</v>
      </c>
      <c r="F5933" s="3" t="e">
        <f t="shared" si="191"/>
        <v>#N/A</v>
      </c>
    </row>
    <row r="5934" spans="2:6" x14ac:dyDescent="0.25">
      <c r="B5934" s="3"/>
      <c r="C5934" s="3"/>
      <c r="D5934" s="3"/>
      <c r="E5934" s="3" t="e">
        <f t="shared" si="190"/>
        <v>#N/A</v>
      </c>
      <c r="F5934" s="3" t="e">
        <f t="shared" si="191"/>
        <v>#N/A</v>
      </c>
    </row>
    <row r="5935" spans="2:6" x14ac:dyDescent="0.25">
      <c r="B5935" s="3"/>
      <c r="C5935" s="3"/>
      <c r="D5935" s="3"/>
      <c r="E5935" s="3" t="e">
        <f t="shared" si="190"/>
        <v>#N/A</v>
      </c>
      <c r="F5935" s="3" t="e">
        <f t="shared" si="191"/>
        <v>#N/A</v>
      </c>
    </row>
    <row r="5936" spans="2:6" x14ac:dyDescent="0.25">
      <c r="B5936" s="3"/>
      <c r="C5936" s="3"/>
      <c r="D5936" s="3"/>
      <c r="E5936" s="3" t="e">
        <f t="shared" si="190"/>
        <v>#N/A</v>
      </c>
      <c r="F5936" s="3" t="e">
        <f t="shared" si="191"/>
        <v>#N/A</v>
      </c>
    </row>
    <row r="5937" spans="2:6" x14ac:dyDescent="0.25">
      <c r="B5937" s="3"/>
      <c r="C5937" s="3"/>
      <c r="D5937" s="3"/>
      <c r="E5937" s="3" t="e">
        <f t="shared" si="190"/>
        <v>#N/A</v>
      </c>
      <c r="F5937" s="3" t="e">
        <f t="shared" si="191"/>
        <v>#N/A</v>
      </c>
    </row>
    <row r="5938" spans="2:6" x14ac:dyDescent="0.25">
      <c r="B5938" s="3"/>
      <c r="C5938" s="3"/>
      <c r="D5938" s="3"/>
      <c r="E5938" s="3" t="e">
        <f t="shared" si="190"/>
        <v>#N/A</v>
      </c>
      <c r="F5938" s="3" t="e">
        <f t="shared" si="191"/>
        <v>#N/A</v>
      </c>
    </row>
    <row r="5939" spans="2:6" x14ac:dyDescent="0.25">
      <c r="B5939" s="3"/>
      <c r="C5939" s="3"/>
      <c r="D5939" s="3"/>
      <c r="E5939" s="3" t="e">
        <f t="shared" si="190"/>
        <v>#N/A</v>
      </c>
      <c r="F5939" s="3" t="e">
        <f t="shared" si="191"/>
        <v>#N/A</v>
      </c>
    </row>
    <row r="5940" spans="2:6" x14ac:dyDescent="0.25">
      <c r="B5940" s="3"/>
      <c r="C5940" s="3"/>
      <c r="D5940" s="3"/>
      <c r="E5940" s="3" t="e">
        <f t="shared" si="190"/>
        <v>#N/A</v>
      </c>
      <c r="F5940" s="3" t="e">
        <f t="shared" si="191"/>
        <v>#N/A</v>
      </c>
    </row>
    <row r="5941" spans="2:6" x14ac:dyDescent="0.25">
      <c r="B5941" s="3"/>
      <c r="C5941" s="3"/>
      <c r="D5941" s="3"/>
      <c r="E5941" s="3" t="e">
        <f t="shared" si="190"/>
        <v>#N/A</v>
      </c>
      <c r="F5941" s="3" t="e">
        <f t="shared" si="191"/>
        <v>#N/A</v>
      </c>
    </row>
    <row r="5942" spans="2:6" x14ac:dyDescent="0.25">
      <c r="B5942" s="3"/>
      <c r="C5942" s="3"/>
      <c r="D5942" s="3"/>
      <c r="E5942" s="3" t="e">
        <f t="shared" si="190"/>
        <v>#N/A</v>
      </c>
      <c r="F5942" s="3" t="e">
        <f t="shared" si="191"/>
        <v>#N/A</v>
      </c>
    </row>
    <row r="5943" spans="2:6" x14ac:dyDescent="0.25">
      <c r="B5943" s="3"/>
      <c r="C5943" s="3"/>
      <c r="D5943" s="3"/>
      <c r="E5943" s="3" t="e">
        <f t="shared" si="190"/>
        <v>#N/A</v>
      </c>
      <c r="F5943" s="3" t="e">
        <f t="shared" si="191"/>
        <v>#N/A</v>
      </c>
    </row>
    <row r="5944" spans="2:6" x14ac:dyDescent="0.25">
      <c r="B5944" s="3"/>
      <c r="C5944" s="3"/>
      <c r="D5944" s="3"/>
      <c r="E5944" s="3" t="e">
        <f t="shared" si="190"/>
        <v>#N/A</v>
      </c>
      <c r="F5944" s="3" t="e">
        <f t="shared" si="191"/>
        <v>#N/A</v>
      </c>
    </row>
    <row r="5945" spans="2:6" x14ac:dyDescent="0.25">
      <c r="B5945" s="3"/>
      <c r="C5945" s="3"/>
      <c r="D5945" s="3"/>
      <c r="E5945" s="3" t="e">
        <f t="shared" si="190"/>
        <v>#N/A</v>
      </c>
      <c r="F5945" s="3" t="e">
        <f t="shared" si="191"/>
        <v>#N/A</v>
      </c>
    </row>
    <row r="5946" spans="2:6" x14ac:dyDescent="0.25">
      <c r="B5946" s="3"/>
      <c r="C5946" s="3"/>
      <c r="D5946" s="3"/>
      <c r="E5946" s="3" t="e">
        <f t="shared" si="190"/>
        <v>#N/A</v>
      </c>
      <c r="F5946" s="3" t="e">
        <f t="shared" si="191"/>
        <v>#N/A</v>
      </c>
    </row>
    <row r="5947" spans="2:6" x14ac:dyDescent="0.25">
      <c r="B5947" s="3"/>
      <c r="C5947" s="3"/>
      <c r="D5947" s="3"/>
      <c r="E5947" s="3" t="e">
        <f t="shared" si="190"/>
        <v>#N/A</v>
      </c>
      <c r="F5947" s="3" t="e">
        <f t="shared" si="191"/>
        <v>#N/A</v>
      </c>
    </row>
    <row r="5948" spans="2:6" x14ac:dyDescent="0.25">
      <c r="B5948" s="3"/>
      <c r="C5948" s="3"/>
      <c r="D5948" s="3"/>
      <c r="E5948" s="3" t="e">
        <f t="shared" si="190"/>
        <v>#N/A</v>
      </c>
      <c r="F5948" s="3" t="e">
        <f t="shared" si="191"/>
        <v>#N/A</v>
      </c>
    </row>
    <row r="5949" spans="2:6" x14ac:dyDescent="0.25">
      <c r="B5949" s="3"/>
      <c r="C5949" s="3"/>
      <c r="D5949" s="3"/>
      <c r="E5949" s="3" t="e">
        <f t="shared" si="190"/>
        <v>#N/A</v>
      </c>
      <c r="F5949" s="3" t="e">
        <f t="shared" si="191"/>
        <v>#N/A</v>
      </c>
    </row>
    <row r="5950" spans="2:6" x14ac:dyDescent="0.25">
      <c r="B5950" s="3"/>
      <c r="C5950" s="3"/>
      <c r="D5950" s="3"/>
      <c r="E5950" s="3" t="e">
        <f t="shared" si="190"/>
        <v>#N/A</v>
      </c>
      <c r="F5950" s="3" t="e">
        <f t="shared" si="191"/>
        <v>#N/A</v>
      </c>
    </row>
    <row r="5951" spans="2:6" x14ac:dyDescent="0.25">
      <c r="B5951" s="3"/>
      <c r="C5951" s="3"/>
      <c r="D5951" s="3"/>
      <c r="E5951" s="3" t="e">
        <f t="shared" si="190"/>
        <v>#N/A</v>
      </c>
      <c r="F5951" s="3" t="e">
        <f t="shared" si="191"/>
        <v>#N/A</v>
      </c>
    </row>
    <row r="5952" spans="2:6" x14ac:dyDescent="0.25">
      <c r="B5952" s="3"/>
      <c r="C5952" s="3"/>
      <c r="D5952" s="3"/>
      <c r="E5952" s="3" t="e">
        <f t="shared" si="190"/>
        <v>#N/A</v>
      </c>
      <c r="F5952" s="3" t="e">
        <f t="shared" si="191"/>
        <v>#N/A</v>
      </c>
    </row>
    <row r="5953" spans="2:6" x14ac:dyDescent="0.25">
      <c r="B5953" s="3"/>
      <c r="C5953" s="3"/>
      <c r="D5953" s="3"/>
      <c r="E5953" s="3" t="e">
        <f t="shared" si="190"/>
        <v>#N/A</v>
      </c>
      <c r="F5953" s="3" t="e">
        <f t="shared" si="191"/>
        <v>#N/A</v>
      </c>
    </row>
    <row r="5954" spans="2:6" x14ac:dyDescent="0.25">
      <c r="B5954" s="3"/>
      <c r="C5954" s="3"/>
      <c r="D5954" s="3"/>
      <c r="E5954" s="3" t="e">
        <f t="shared" si="190"/>
        <v>#N/A</v>
      </c>
      <c r="F5954" s="3" t="e">
        <f t="shared" si="191"/>
        <v>#N/A</v>
      </c>
    </row>
    <row r="5955" spans="2:6" x14ac:dyDescent="0.25">
      <c r="B5955" s="3"/>
      <c r="C5955" s="3"/>
      <c r="D5955" s="3"/>
      <c r="E5955" s="3" t="e">
        <f t="shared" si="190"/>
        <v>#N/A</v>
      </c>
      <c r="F5955" s="3" t="e">
        <f t="shared" si="191"/>
        <v>#N/A</v>
      </c>
    </row>
    <row r="5956" spans="2:6" x14ac:dyDescent="0.25">
      <c r="B5956" s="3"/>
      <c r="C5956" s="3"/>
      <c r="D5956" s="3"/>
      <c r="E5956" s="3" t="e">
        <f t="shared" si="190"/>
        <v>#N/A</v>
      </c>
      <c r="F5956" s="3" t="e">
        <f t="shared" si="191"/>
        <v>#N/A</v>
      </c>
    </row>
    <row r="5957" spans="2:6" x14ac:dyDescent="0.25">
      <c r="B5957" s="3"/>
      <c r="C5957" s="3"/>
      <c r="D5957" s="3"/>
      <c r="E5957" s="3" t="e">
        <f t="shared" si="190"/>
        <v>#N/A</v>
      </c>
      <c r="F5957" s="3" t="e">
        <f t="shared" si="191"/>
        <v>#N/A</v>
      </c>
    </row>
    <row r="5958" spans="2:6" x14ac:dyDescent="0.25">
      <c r="B5958" s="3"/>
      <c r="C5958" s="3"/>
      <c r="D5958" s="3"/>
      <c r="E5958" s="3" t="e">
        <f t="shared" si="190"/>
        <v>#N/A</v>
      </c>
      <c r="F5958" s="3" t="e">
        <f t="shared" si="191"/>
        <v>#N/A</v>
      </c>
    </row>
    <row r="5959" spans="2:6" x14ac:dyDescent="0.25">
      <c r="B5959" s="3"/>
      <c r="C5959" s="3"/>
      <c r="D5959" s="3"/>
      <c r="E5959" s="3" t="e">
        <f t="shared" si="190"/>
        <v>#N/A</v>
      </c>
      <c r="F5959" s="3" t="e">
        <f t="shared" si="191"/>
        <v>#N/A</v>
      </c>
    </row>
    <row r="5960" spans="2:6" x14ac:dyDescent="0.25">
      <c r="B5960" s="3"/>
      <c r="C5960" s="3"/>
      <c r="D5960" s="3"/>
      <c r="E5960" s="3" t="e">
        <f t="shared" si="190"/>
        <v>#N/A</v>
      </c>
      <c r="F5960" s="3" t="e">
        <f t="shared" si="191"/>
        <v>#N/A</v>
      </c>
    </row>
    <row r="5961" spans="2:6" x14ac:dyDescent="0.25">
      <c r="B5961" s="3"/>
      <c r="C5961" s="3"/>
      <c r="D5961" s="3"/>
      <c r="E5961" s="3" t="e">
        <f t="shared" si="190"/>
        <v>#N/A</v>
      </c>
      <c r="F5961" s="3" t="e">
        <f t="shared" si="191"/>
        <v>#N/A</v>
      </c>
    </row>
    <row r="5962" spans="2:6" x14ac:dyDescent="0.25">
      <c r="B5962" s="3"/>
      <c r="C5962" s="3"/>
      <c r="D5962" s="3"/>
      <c r="E5962" s="3" t="e">
        <f t="shared" si="190"/>
        <v>#N/A</v>
      </c>
      <c r="F5962" s="3" t="e">
        <f t="shared" si="191"/>
        <v>#N/A</v>
      </c>
    </row>
    <row r="5963" spans="2:6" x14ac:dyDescent="0.25">
      <c r="B5963" s="3"/>
      <c r="C5963" s="3"/>
      <c r="D5963" s="3"/>
      <c r="E5963" s="3" t="e">
        <f t="shared" si="190"/>
        <v>#N/A</v>
      </c>
      <c r="F5963" s="3" t="e">
        <f t="shared" si="191"/>
        <v>#N/A</v>
      </c>
    </row>
    <row r="5964" spans="2:6" x14ac:dyDescent="0.25">
      <c r="B5964" s="3"/>
      <c r="C5964" s="3"/>
      <c r="D5964" s="3"/>
      <c r="E5964" s="3" t="e">
        <f t="shared" si="190"/>
        <v>#N/A</v>
      </c>
      <c r="F5964" s="3" t="e">
        <f t="shared" si="191"/>
        <v>#N/A</v>
      </c>
    </row>
    <row r="5965" spans="2:6" x14ac:dyDescent="0.25">
      <c r="B5965" s="3"/>
      <c r="C5965" s="3"/>
      <c r="D5965" s="3"/>
      <c r="E5965" s="3" t="e">
        <f t="shared" si="190"/>
        <v>#N/A</v>
      </c>
      <c r="F5965" s="3" t="e">
        <f t="shared" si="191"/>
        <v>#N/A</v>
      </c>
    </row>
    <row r="5966" spans="2:6" x14ac:dyDescent="0.25">
      <c r="B5966" s="3"/>
      <c r="C5966" s="3"/>
      <c r="D5966" s="3"/>
      <c r="E5966" s="3" t="e">
        <f t="shared" ref="E5966:E6029" si="192">VLOOKUP(C5966,I:J,2,0)</f>
        <v>#N/A</v>
      </c>
      <c r="F5966" s="3" t="e">
        <f t="shared" ref="F5966:F6029" si="193">E5966&amp;" "&amp;B5966</f>
        <v>#N/A</v>
      </c>
    </row>
    <row r="5967" spans="2:6" x14ac:dyDescent="0.25">
      <c r="B5967" s="3"/>
      <c r="C5967" s="3"/>
      <c r="D5967" s="3"/>
      <c r="E5967" s="3" t="e">
        <f t="shared" si="192"/>
        <v>#N/A</v>
      </c>
      <c r="F5967" s="3" t="e">
        <f t="shared" si="193"/>
        <v>#N/A</v>
      </c>
    </row>
    <row r="5968" spans="2:6" x14ac:dyDescent="0.25">
      <c r="B5968" s="3"/>
      <c r="C5968" s="3"/>
      <c r="D5968" s="3"/>
      <c r="E5968" s="3" t="e">
        <f t="shared" si="192"/>
        <v>#N/A</v>
      </c>
      <c r="F5968" s="3" t="e">
        <f t="shared" si="193"/>
        <v>#N/A</v>
      </c>
    </row>
    <row r="5969" spans="2:6" x14ac:dyDescent="0.25">
      <c r="B5969" s="3"/>
      <c r="C5969" s="3"/>
      <c r="D5969" s="3"/>
      <c r="E5969" s="3" t="e">
        <f t="shared" si="192"/>
        <v>#N/A</v>
      </c>
      <c r="F5969" s="3" t="e">
        <f t="shared" si="193"/>
        <v>#N/A</v>
      </c>
    </row>
    <row r="5970" spans="2:6" x14ac:dyDescent="0.25">
      <c r="B5970" s="3"/>
      <c r="C5970" s="3"/>
      <c r="D5970" s="3"/>
      <c r="E5970" s="3" t="e">
        <f t="shared" si="192"/>
        <v>#N/A</v>
      </c>
      <c r="F5970" s="3" t="e">
        <f t="shared" si="193"/>
        <v>#N/A</v>
      </c>
    </row>
    <row r="5971" spans="2:6" x14ac:dyDescent="0.25">
      <c r="B5971" s="3"/>
      <c r="C5971" s="3"/>
      <c r="D5971" s="3"/>
      <c r="E5971" s="3" t="e">
        <f t="shared" si="192"/>
        <v>#N/A</v>
      </c>
      <c r="F5971" s="3" t="e">
        <f t="shared" si="193"/>
        <v>#N/A</v>
      </c>
    </row>
    <row r="5972" spans="2:6" x14ac:dyDescent="0.25">
      <c r="B5972" s="3"/>
      <c r="C5972" s="3"/>
      <c r="D5972" s="3"/>
      <c r="E5972" s="3" t="e">
        <f t="shared" si="192"/>
        <v>#N/A</v>
      </c>
      <c r="F5972" s="3" t="e">
        <f t="shared" si="193"/>
        <v>#N/A</v>
      </c>
    </row>
    <row r="5973" spans="2:6" x14ac:dyDescent="0.25">
      <c r="B5973" s="3"/>
      <c r="C5973" s="3"/>
      <c r="D5973" s="3"/>
      <c r="E5973" s="3" t="e">
        <f t="shared" si="192"/>
        <v>#N/A</v>
      </c>
      <c r="F5973" s="3" t="e">
        <f t="shared" si="193"/>
        <v>#N/A</v>
      </c>
    </row>
    <row r="5974" spans="2:6" x14ac:dyDescent="0.25">
      <c r="B5974" s="3"/>
      <c r="C5974" s="3"/>
      <c r="D5974" s="3"/>
      <c r="E5974" s="3" t="e">
        <f t="shared" si="192"/>
        <v>#N/A</v>
      </c>
      <c r="F5974" s="3" t="e">
        <f t="shared" si="193"/>
        <v>#N/A</v>
      </c>
    </row>
    <row r="5975" spans="2:6" x14ac:dyDescent="0.25">
      <c r="B5975" s="3"/>
      <c r="C5975" s="3"/>
      <c r="D5975" s="3"/>
      <c r="E5975" s="3" t="e">
        <f t="shared" si="192"/>
        <v>#N/A</v>
      </c>
      <c r="F5975" s="3" t="e">
        <f t="shared" si="193"/>
        <v>#N/A</v>
      </c>
    </row>
    <row r="5976" spans="2:6" x14ac:dyDescent="0.25">
      <c r="B5976" s="3"/>
      <c r="C5976" s="3"/>
      <c r="D5976" s="3"/>
      <c r="E5976" s="3" t="e">
        <f t="shared" si="192"/>
        <v>#N/A</v>
      </c>
      <c r="F5976" s="3" t="e">
        <f t="shared" si="193"/>
        <v>#N/A</v>
      </c>
    </row>
    <row r="5977" spans="2:6" x14ac:dyDescent="0.25">
      <c r="B5977" s="3"/>
      <c r="C5977" s="3"/>
      <c r="D5977" s="3"/>
      <c r="E5977" s="3" t="e">
        <f t="shared" si="192"/>
        <v>#N/A</v>
      </c>
      <c r="F5977" s="3" t="e">
        <f t="shared" si="193"/>
        <v>#N/A</v>
      </c>
    </row>
    <row r="5978" spans="2:6" x14ac:dyDescent="0.25">
      <c r="B5978" s="3"/>
      <c r="C5978" s="3"/>
      <c r="D5978" s="3"/>
      <c r="E5978" s="3" t="e">
        <f t="shared" si="192"/>
        <v>#N/A</v>
      </c>
      <c r="F5978" s="3" t="e">
        <f t="shared" si="193"/>
        <v>#N/A</v>
      </c>
    </row>
    <row r="5979" spans="2:6" x14ac:dyDescent="0.25">
      <c r="B5979" s="3"/>
      <c r="C5979" s="3"/>
      <c r="D5979" s="3"/>
      <c r="E5979" s="3" t="e">
        <f t="shared" si="192"/>
        <v>#N/A</v>
      </c>
      <c r="F5979" s="3" t="e">
        <f t="shared" si="193"/>
        <v>#N/A</v>
      </c>
    </row>
    <row r="5980" spans="2:6" x14ac:dyDescent="0.25">
      <c r="B5980" s="3"/>
      <c r="C5980" s="3"/>
      <c r="D5980" s="3"/>
      <c r="E5980" s="3" t="e">
        <f t="shared" si="192"/>
        <v>#N/A</v>
      </c>
      <c r="F5980" s="3" t="e">
        <f t="shared" si="193"/>
        <v>#N/A</v>
      </c>
    </row>
    <row r="5981" spans="2:6" x14ac:dyDescent="0.25">
      <c r="B5981" s="3"/>
      <c r="C5981" s="3"/>
      <c r="D5981" s="3"/>
      <c r="E5981" s="3" t="e">
        <f t="shared" si="192"/>
        <v>#N/A</v>
      </c>
      <c r="F5981" s="3" t="e">
        <f t="shared" si="193"/>
        <v>#N/A</v>
      </c>
    </row>
    <row r="5982" spans="2:6" x14ac:dyDescent="0.25">
      <c r="B5982" s="3"/>
      <c r="C5982" s="3"/>
      <c r="D5982" s="3"/>
      <c r="E5982" s="3" t="e">
        <f t="shared" si="192"/>
        <v>#N/A</v>
      </c>
      <c r="F5982" s="3" t="e">
        <f t="shared" si="193"/>
        <v>#N/A</v>
      </c>
    </row>
    <row r="5983" spans="2:6" x14ac:dyDescent="0.25">
      <c r="B5983" s="3"/>
      <c r="C5983" s="3"/>
      <c r="D5983" s="3"/>
      <c r="E5983" s="3" t="e">
        <f t="shared" si="192"/>
        <v>#N/A</v>
      </c>
      <c r="F5983" s="3" t="e">
        <f t="shared" si="193"/>
        <v>#N/A</v>
      </c>
    </row>
    <row r="5984" spans="2:6" x14ac:dyDescent="0.25">
      <c r="B5984" s="3"/>
      <c r="C5984" s="3"/>
      <c r="D5984" s="3"/>
      <c r="E5984" s="3" t="e">
        <f t="shared" si="192"/>
        <v>#N/A</v>
      </c>
      <c r="F5984" s="3" t="e">
        <f t="shared" si="193"/>
        <v>#N/A</v>
      </c>
    </row>
    <row r="5985" spans="2:6" x14ac:dyDescent="0.25">
      <c r="B5985" s="3"/>
      <c r="C5985" s="3"/>
      <c r="D5985" s="3"/>
      <c r="E5985" s="3" t="e">
        <f t="shared" si="192"/>
        <v>#N/A</v>
      </c>
      <c r="F5985" s="3" t="e">
        <f t="shared" si="193"/>
        <v>#N/A</v>
      </c>
    </row>
    <row r="5986" spans="2:6" x14ac:dyDescent="0.25">
      <c r="B5986" s="3"/>
      <c r="C5986" s="3"/>
      <c r="D5986" s="3"/>
      <c r="E5986" s="3" t="e">
        <f t="shared" si="192"/>
        <v>#N/A</v>
      </c>
      <c r="F5986" s="3" t="e">
        <f t="shared" si="193"/>
        <v>#N/A</v>
      </c>
    </row>
    <row r="5987" spans="2:6" x14ac:dyDescent="0.25">
      <c r="B5987" s="3"/>
      <c r="C5987" s="3"/>
      <c r="D5987" s="3"/>
      <c r="E5987" s="3" t="e">
        <f t="shared" si="192"/>
        <v>#N/A</v>
      </c>
      <c r="F5987" s="3" t="e">
        <f t="shared" si="193"/>
        <v>#N/A</v>
      </c>
    </row>
    <row r="5988" spans="2:6" x14ac:dyDescent="0.25">
      <c r="B5988" s="3"/>
      <c r="C5988" s="3"/>
      <c r="D5988" s="3"/>
      <c r="E5988" s="3" t="e">
        <f t="shared" si="192"/>
        <v>#N/A</v>
      </c>
      <c r="F5988" s="3" t="e">
        <f t="shared" si="193"/>
        <v>#N/A</v>
      </c>
    </row>
    <row r="5989" spans="2:6" x14ac:dyDescent="0.25">
      <c r="B5989" s="3"/>
      <c r="C5989" s="3"/>
      <c r="D5989" s="3"/>
      <c r="E5989" s="3" t="e">
        <f t="shared" si="192"/>
        <v>#N/A</v>
      </c>
      <c r="F5989" s="3" t="e">
        <f t="shared" si="193"/>
        <v>#N/A</v>
      </c>
    </row>
    <row r="5990" spans="2:6" x14ac:dyDescent="0.25">
      <c r="B5990" s="3"/>
      <c r="C5990" s="3"/>
      <c r="D5990" s="3"/>
      <c r="E5990" s="3" t="e">
        <f t="shared" si="192"/>
        <v>#N/A</v>
      </c>
      <c r="F5990" s="3" t="e">
        <f t="shared" si="193"/>
        <v>#N/A</v>
      </c>
    </row>
    <row r="5991" spans="2:6" x14ac:dyDescent="0.25">
      <c r="B5991" s="3"/>
      <c r="C5991" s="3"/>
      <c r="D5991" s="3"/>
      <c r="E5991" s="3" t="e">
        <f t="shared" si="192"/>
        <v>#N/A</v>
      </c>
      <c r="F5991" s="3" t="e">
        <f t="shared" si="193"/>
        <v>#N/A</v>
      </c>
    </row>
    <row r="5992" spans="2:6" x14ac:dyDescent="0.25">
      <c r="B5992" s="3"/>
      <c r="C5992" s="3"/>
      <c r="D5992" s="3"/>
      <c r="E5992" s="3" t="e">
        <f t="shared" si="192"/>
        <v>#N/A</v>
      </c>
      <c r="F5992" s="3" t="e">
        <f t="shared" si="193"/>
        <v>#N/A</v>
      </c>
    </row>
    <row r="5993" spans="2:6" x14ac:dyDescent="0.25">
      <c r="B5993" s="3"/>
      <c r="C5993" s="3"/>
      <c r="D5993" s="3"/>
      <c r="E5993" s="3" t="e">
        <f t="shared" si="192"/>
        <v>#N/A</v>
      </c>
      <c r="F5993" s="3" t="e">
        <f t="shared" si="193"/>
        <v>#N/A</v>
      </c>
    </row>
    <row r="5994" spans="2:6" x14ac:dyDescent="0.25">
      <c r="B5994" s="3"/>
      <c r="C5994" s="3"/>
      <c r="D5994" s="3"/>
      <c r="E5994" s="3" t="e">
        <f t="shared" si="192"/>
        <v>#N/A</v>
      </c>
      <c r="F5994" s="3" t="e">
        <f t="shared" si="193"/>
        <v>#N/A</v>
      </c>
    </row>
    <row r="5995" spans="2:6" x14ac:dyDescent="0.25">
      <c r="B5995" s="3"/>
      <c r="C5995" s="3"/>
      <c r="D5995" s="3"/>
      <c r="E5995" s="3" t="e">
        <f t="shared" si="192"/>
        <v>#N/A</v>
      </c>
      <c r="F5995" s="3" t="e">
        <f t="shared" si="193"/>
        <v>#N/A</v>
      </c>
    </row>
    <row r="5996" spans="2:6" x14ac:dyDescent="0.25">
      <c r="B5996" s="3"/>
      <c r="C5996" s="3"/>
      <c r="D5996" s="3"/>
      <c r="E5996" s="3" t="e">
        <f t="shared" si="192"/>
        <v>#N/A</v>
      </c>
      <c r="F5996" s="3" t="e">
        <f t="shared" si="193"/>
        <v>#N/A</v>
      </c>
    </row>
    <row r="5997" spans="2:6" x14ac:dyDescent="0.25">
      <c r="B5997" s="3"/>
      <c r="C5997" s="3"/>
      <c r="D5997" s="3"/>
      <c r="E5997" s="3" t="e">
        <f t="shared" si="192"/>
        <v>#N/A</v>
      </c>
      <c r="F5997" s="3" t="e">
        <f t="shared" si="193"/>
        <v>#N/A</v>
      </c>
    </row>
    <row r="5998" spans="2:6" x14ac:dyDescent="0.25">
      <c r="B5998" s="3"/>
      <c r="C5998" s="3"/>
      <c r="D5998" s="3"/>
      <c r="E5998" s="3" t="e">
        <f t="shared" si="192"/>
        <v>#N/A</v>
      </c>
      <c r="F5998" s="3" t="e">
        <f t="shared" si="193"/>
        <v>#N/A</v>
      </c>
    </row>
    <row r="5999" spans="2:6" x14ac:dyDescent="0.25">
      <c r="B5999" s="3"/>
      <c r="C5999" s="3"/>
      <c r="D5999" s="3"/>
      <c r="E5999" s="3" t="e">
        <f t="shared" si="192"/>
        <v>#N/A</v>
      </c>
      <c r="F5999" s="3" t="e">
        <f t="shared" si="193"/>
        <v>#N/A</v>
      </c>
    </row>
    <row r="6000" spans="2:6" x14ac:dyDescent="0.25">
      <c r="B6000" s="3"/>
      <c r="C6000" s="3"/>
      <c r="D6000" s="3"/>
      <c r="E6000" s="3" t="e">
        <f t="shared" si="192"/>
        <v>#N/A</v>
      </c>
      <c r="F6000" s="3" t="e">
        <f t="shared" si="193"/>
        <v>#N/A</v>
      </c>
    </row>
    <row r="6001" spans="2:6" x14ac:dyDescent="0.25">
      <c r="B6001" s="3"/>
      <c r="C6001" s="3"/>
      <c r="D6001" s="3"/>
      <c r="E6001" s="3" t="e">
        <f t="shared" si="192"/>
        <v>#N/A</v>
      </c>
      <c r="F6001" s="3" t="e">
        <f t="shared" si="193"/>
        <v>#N/A</v>
      </c>
    </row>
    <row r="6002" spans="2:6" x14ac:dyDescent="0.25">
      <c r="B6002" s="3"/>
      <c r="C6002" s="3"/>
      <c r="D6002" s="3"/>
      <c r="E6002" s="3" t="e">
        <f t="shared" si="192"/>
        <v>#N/A</v>
      </c>
      <c r="F6002" s="3" t="e">
        <f t="shared" si="193"/>
        <v>#N/A</v>
      </c>
    </row>
    <row r="6003" spans="2:6" x14ac:dyDescent="0.25">
      <c r="B6003" s="3"/>
      <c r="C6003" s="3"/>
      <c r="D6003" s="3"/>
      <c r="E6003" s="3" t="e">
        <f t="shared" si="192"/>
        <v>#N/A</v>
      </c>
      <c r="F6003" s="3" t="e">
        <f t="shared" si="193"/>
        <v>#N/A</v>
      </c>
    </row>
    <row r="6004" spans="2:6" x14ac:dyDescent="0.25">
      <c r="B6004" s="3"/>
      <c r="C6004" s="3"/>
      <c r="D6004" s="3"/>
      <c r="E6004" s="3" t="e">
        <f t="shared" si="192"/>
        <v>#N/A</v>
      </c>
      <c r="F6004" s="3" t="e">
        <f t="shared" si="193"/>
        <v>#N/A</v>
      </c>
    </row>
    <row r="6005" spans="2:6" x14ac:dyDescent="0.25">
      <c r="B6005" s="3"/>
      <c r="C6005" s="3"/>
      <c r="D6005" s="3"/>
      <c r="E6005" s="3" t="e">
        <f t="shared" si="192"/>
        <v>#N/A</v>
      </c>
      <c r="F6005" s="3" t="e">
        <f t="shared" si="193"/>
        <v>#N/A</v>
      </c>
    </row>
    <row r="6006" spans="2:6" x14ac:dyDescent="0.25">
      <c r="B6006" s="3"/>
      <c r="C6006" s="3"/>
      <c r="D6006" s="3"/>
      <c r="E6006" s="3" t="e">
        <f t="shared" si="192"/>
        <v>#N/A</v>
      </c>
      <c r="F6006" s="3" t="e">
        <f t="shared" si="193"/>
        <v>#N/A</v>
      </c>
    </row>
    <row r="6007" spans="2:6" x14ac:dyDescent="0.25">
      <c r="B6007" s="3"/>
      <c r="C6007" s="3"/>
      <c r="D6007" s="3"/>
      <c r="E6007" s="3" t="e">
        <f t="shared" si="192"/>
        <v>#N/A</v>
      </c>
      <c r="F6007" s="3" t="e">
        <f t="shared" si="193"/>
        <v>#N/A</v>
      </c>
    </row>
    <row r="6008" spans="2:6" x14ac:dyDescent="0.25">
      <c r="B6008" s="3"/>
      <c r="C6008" s="3"/>
      <c r="D6008" s="3"/>
      <c r="E6008" s="3" t="e">
        <f t="shared" si="192"/>
        <v>#N/A</v>
      </c>
      <c r="F6008" s="3" t="e">
        <f t="shared" si="193"/>
        <v>#N/A</v>
      </c>
    </row>
    <row r="6009" spans="2:6" x14ac:dyDescent="0.25">
      <c r="B6009" s="3"/>
      <c r="C6009" s="3"/>
      <c r="D6009" s="3"/>
      <c r="E6009" s="3" t="e">
        <f t="shared" si="192"/>
        <v>#N/A</v>
      </c>
      <c r="F6009" s="3" t="e">
        <f t="shared" si="193"/>
        <v>#N/A</v>
      </c>
    </row>
    <row r="6010" spans="2:6" x14ac:dyDescent="0.25">
      <c r="B6010" s="3"/>
      <c r="C6010" s="3"/>
      <c r="D6010" s="3"/>
      <c r="E6010" s="3" t="e">
        <f t="shared" si="192"/>
        <v>#N/A</v>
      </c>
      <c r="F6010" s="3" t="e">
        <f t="shared" si="193"/>
        <v>#N/A</v>
      </c>
    </row>
    <row r="6011" spans="2:6" x14ac:dyDescent="0.25">
      <c r="B6011" s="3"/>
      <c r="C6011" s="3"/>
      <c r="D6011" s="3"/>
      <c r="E6011" s="3" t="e">
        <f t="shared" si="192"/>
        <v>#N/A</v>
      </c>
      <c r="F6011" s="3" t="e">
        <f t="shared" si="193"/>
        <v>#N/A</v>
      </c>
    </row>
    <row r="6012" spans="2:6" x14ac:dyDescent="0.25">
      <c r="B6012" s="3"/>
      <c r="C6012" s="3"/>
      <c r="D6012" s="3"/>
      <c r="E6012" s="3" t="e">
        <f t="shared" si="192"/>
        <v>#N/A</v>
      </c>
      <c r="F6012" s="3" t="e">
        <f t="shared" si="193"/>
        <v>#N/A</v>
      </c>
    </row>
    <row r="6013" spans="2:6" x14ac:dyDescent="0.25">
      <c r="B6013" s="3"/>
      <c r="C6013" s="3"/>
      <c r="D6013" s="3"/>
      <c r="E6013" s="3" t="e">
        <f t="shared" si="192"/>
        <v>#N/A</v>
      </c>
      <c r="F6013" s="3" t="e">
        <f t="shared" si="193"/>
        <v>#N/A</v>
      </c>
    </row>
    <row r="6014" spans="2:6" x14ac:dyDescent="0.25">
      <c r="B6014" s="3"/>
      <c r="C6014" s="3"/>
      <c r="D6014" s="3"/>
      <c r="E6014" s="3" t="e">
        <f t="shared" si="192"/>
        <v>#N/A</v>
      </c>
      <c r="F6014" s="3" t="e">
        <f t="shared" si="193"/>
        <v>#N/A</v>
      </c>
    </row>
    <row r="6015" spans="2:6" x14ac:dyDescent="0.25">
      <c r="B6015" s="3"/>
      <c r="C6015" s="3"/>
      <c r="D6015" s="3"/>
      <c r="E6015" s="3" t="e">
        <f t="shared" si="192"/>
        <v>#N/A</v>
      </c>
      <c r="F6015" s="3" t="e">
        <f t="shared" si="193"/>
        <v>#N/A</v>
      </c>
    </row>
    <row r="6016" spans="2:6" x14ac:dyDescent="0.25">
      <c r="B6016" s="3"/>
      <c r="C6016" s="3"/>
      <c r="D6016" s="3"/>
      <c r="E6016" s="3" t="e">
        <f t="shared" si="192"/>
        <v>#N/A</v>
      </c>
      <c r="F6016" s="3" t="e">
        <f t="shared" si="193"/>
        <v>#N/A</v>
      </c>
    </row>
    <row r="6017" spans="2:6" x14ac:dyDescent="0.25">
      <c r="B6017" s="3"/>
      <c r="C6017" s="3"/>
      <c r="D6017" s="3"/>
      <c r="E6017" s="3" t="e">
        <f t="shared" si="192"/>
        <v>#N/A</v>
      </c>
      <c r="F6017" s="3" t="e">
        <f t="shared" si="193"/>
        <v>#N/A</v>
      </c>
    </row>
    <row r="6018" spans="2:6" x14ac:dyDescent="0.25">
      <c r="B6018" s="3"/>
      <c r="C6018" s="3"/>
      <c r="D6018" s="3"/>
      <c r="E6018" s="3" t="e">
        <f t="shared" si="192"/>
        <v>#N/A</v>
      </c>
      <c r="F6018" s="3" t="e">
        <f t="shared" si="193"/>
        <v>#N/A</v>
      </c>
    </row>
    <row r="6019" spans="2:6" x14ac:dyDescent="0.25">
      <c r="B6019" s="3"/>
      <c r="C6019" s="3"/>
      <c r="D6019" s="3"/>
      <c r="E6019" s="3" t="e">
        <f t="shared" si="192"/>
        <v>#N/A</v>
      </c>
      <c r="F6019" s="3" t="e">
        <f t="shared" si="193"/>
        <v>#N/A</v>
      </c>
    </row>
    <row r="6020" spans="2:6" x14ac:dyDescent="0.25">
      <c r="B6020" s="3"/>
      <c r="C6020" s="3"/>
      <c r="D6020" s="3"/>
      <c r="E6020" s="3" t="e">
        <f t="shared" si="192"/>
        <v>#N/A</v>
      </c>
      <c r="F6020" s="3" t="e">
        <f t="shared" si="193"/>
        <v>#N/A</v>
      </c>
    </row>
    <row r="6021" spans="2:6" x14ac:dyDescent="0.25">
      <c r="B6021" s="3"/>
      <c r="C6021" s="3"/>
      <c r="D6021" s="3"/>
      <c r="E6021" s="3" t="e">
        <f t="shared" si="192"/>
        <v>#N/A</v>
      </c>
      <c r="F6021" s="3" t="e">
        <f t="shared" si="193"/>
        <v>#N/A</v>
      </c>
    </row>
    <row r="6022" spans="2:6" x14ac:dyDescent="0.25">
      <c r="B6022" s="3"/>
      <c r="C6022" s="3"/>
      <c r="D6022" s="3"/>
      <c r="E6022" s="3" t="e">
        <f t="shared" si="192"/>
        <v>#N/A</v>
      </c>
      <c r="F6022" s="3" t="e">
        <f t="shared" si="193"/>
        <v>#N/A</v>
      </c>
    </row>
    <row r="6023" spans="2:6" x14ac:dyDescent="0.25">
      <c r="B6023" s="3"/>
      <c r="C6023" s="3"/>
      <c r="D6023" s="3"/>
      <c r="E6023" s="3" t="e">
        <f t="shared" si="192"/>
        <v>#N/A</v>
      </c>
      <c r="F6023" s="3" t="e">
        <f t="shared" si="193"/>
        <v>#N/A</v>
      </c>
    </row>
    <row r="6024" spans="2:6" x14ac:dyDescent="0.25">
      <c r="B6024" s="3"/>
      <c r="C6024" s="3"/>
      <c r="D6024" s="3"/>
      <c r="E6024" s="3" t="e">
        <f t="shared" si="192"/>
        <v>#N/A</v>
      </c>
      <c r="F6024" s="3" t="e">
        <f t="shared" si="193"/>
        <v>#N/A</v>
      </c>
    </row>
    <row r="6025" spans="2:6" x14ac:dyDescent="0.25">
      <c r="B6025" s="3"/>
      <c r="C6025" s="3"/>
      <c r="D6025" s="3"/>
      <c r="E6025" s="3" t="e">
        <f t="shared" si="192"/>
        <v>#N/A</v>
      </c>
      <c r="F6025" s="3" t="e">
        <f t="shared" si="193"/>
        <v>#N/A</v>
      </c>
    </row>
    <row r="6026" spans="2:6" x14ac:dyDescent="0.25">
      <c r="B6026" s="3"/>
      <c r="C6026" s="3"/>
      <c r="D6026" s="3"/>
      <c r="E6026" s="3" t="e">
        <f t="shared" si="192"/>
        <v>#N/A</v>
      </c>
      <c r="F6026" s="3" t="e">
        <f t="shared" si="193"/>
        <v>#N/A</v>
      </c>
    </row>
    <row r="6027" spans="2:6" x14ac:dyDescent="0.25">
      <c r="B6027" s="3"/>
      <c r="C6027" s="3"/>
      <c r="D6027" s="3"/>
      <c r="E6027" s="3" t="e">
        <f t="shared" si="192"/>
        <v>#N/A</v>
      </c>
      <c r="F6027" s="3" t="e">
        <f t="shared" si="193"/>
        <v>#N/A</v>
      </c>
    </row>
    <row r="6028" spans="2:6" x14ac:dyDescent="0.25">
      <c r="B6028" s="3"/>
      <c r="C6028" s="3"/>
      <c r="D6028" s="3"/>
      <c r="E6028" s="3" t="e">
        <f t="shared" si="192"/>
        <v>#N/A</v>
      </c>
      <c r="F6028" s="3" t="e">
        <f t="shared" si="193"/>
        <v>#N/A</v>
      </c>
    </row>
    <row r="6029" spans="2:6" x14ac:dyDescent="0.25">
      <c r="B6029" s="3"/>
      <c r="C6029" s="3"/>
      <c r="D6029" s="3"/>
      <c r="E6029" s="3" t="e">
        <f t="shared" si="192"/>
        <v>#N/A</v>
      </c>
      <c r="F6029" s="3" t="e">
        <f t="shared" si="193"/>
        <v>#N/A</v>
      </c>
    </row>
    <row r="6030" spans="2:6" x14ac:dyDescent="0.25">
      <c r="B6030" s="3"/>
      <c r="C6030" s="3"/>
      <c r="D6030" s="3"/>
      <c r="E6030" s="3" t="e">
        <f t="shared" ref="E6030:E6093" si="194">VLOOKUP(C6030,I:J,2,0)</f>
        <v>#N/A</v>
      </c>
      <c r="F6030" s="3" t="e">
        <f t="shared" ref="F6030:F6093" si="195">E6030&amp;" "&amp;B6030</f>
        <v>#N/A</v>
      </c>
    </row>
    <row r="6031" spans="2:6" x14ac:dyDescent="0.25">
      <c r="B6031" s="3"/>
      <c r="C6031" s="3"/>
      <c r="D6031" s="3"/>
      <c r="E6031" s="3" t="e">
        <f t="shared" si="194"/>
        <v>#N/A</v>
      </c>
      <c r="F6031" s="3" t="e">
        <f t="shared" si="195"/>
        <v>#N/A</v>
      </c>
    </row>
    <row r="6032" spans="2:6" x14ac:dyDescent="0.25">
      <c r="B6032" s="3"/>
      <c r="C6032" s="3"/>
      <c r="D6032" s="3"/>
      <c r="E6032" s="3" t="e">
        <f t="shared" si="194"/>
        <v>#N/A</v>
      </c>
      <c r="F6032" s="3" t="e">
        <f t="shared" si="195"/>
        <v>#N/A</v>
      </c>
    </row>
    <row r="6033" spans="2:6" x14ac:dyDescent="0.25">
      <c r="B6033" s="3"/>
      <c r="C6033" s="3"/>
      <c r="D6033" s="3"/>
      <c r="E6033" s="3" t="e">
        <f t="shared" si="194"/>
        <v>#N/A</v>
      </c>
      <c r="F6033" s="3" t="e">
        <f t="shared" si="195"/>
        <v>#N/A</v>
      </c>
    </row>
    <row r="6034" spans="2:6" x14ac:dyDescent="0.25">
      <c r="B6034" s="3"/>
      <c r="C6034" s="3"/>
      <c r="D6034" s="3"/>
      <c r="E6034" s="3" t="e">
        <f t="shared" si="194"/>
        <v>#N/A</v>
      </c>
      <c r="F6034" s="3" t="e">
        <f t="shared" si="195"/>
        <v>#N/A</v>
      </c>
    </row>
    <row r="6035" spans="2:6" x14ac:dyDescent="0.25">
      <c r="B6035" s="3"/>
      <c r="C6035" s="3"/>
      <c r="D6035" s="3"/>
      <c r="E6035" s="3" t="e">
        <f t="shared" si="194"/>
        <v>#N/A</v>
      </c>
      <c r="F6035" s="3" t="e">
        <f t="shared" si="195"/>
        <v>#N/A</v>
      </c>
    </row>
    <row r="6036" spans="2:6" x14ac:dyDescent="0.25">
      <c r="B6036" s="3"/>
      <c r="C6036" s="3"/>
      <c r="D6036" s="3"/>
      <c r="E6036" s="3" t="e">
        <f t="shared" si="194"/>
        <v>#N/A</v>
      </c>
      <c r="F6036" s="3" t="e">
        <f t="shared" si="195"/>
        <v>#N/A</v>
      </c>
    </row>
    <row r="6037" spans="2:6" x14ac:dyDescent="0.25">
      <c r="B6037" s="3"/>
      <c r="C6037" s="3"/>
      <c r="D6037" s="3"/>
      <c r="E6037" s="3" t="e">
        <f t="shared" si="194"/>
        <v>#N/A</v>
      </c>
      <c r="F6037" s="3" t="e">
        <f t="shared" si="195"/>
        <v>#N/A</v>
      </c>
    </row>
    <row r="6038" spans="2:6" x14ac:dyDescent="0.25">
      <c r="B6038" s="3"/>
      <c r="C6038" s="3"/>
      <c r="D6038" s="3"/>
      <c r="E6038" s="3" t="e">
        <f t="shared" si="194"/>
        <v>#N/A</v>
      </c>
      <c r="F6038" s="3" t="e">
        <f t="shared" si="195"/>
        <v>#N/A</v>
      </c>
    </row>
    <row r="6039" spans="2:6" x14ac:dyDescent="0.25">
      <c r="B6039" s="3"/>
      <c r="C6039" s="3"/>
      <c r="D6039" s="3"/>
      <c r="E6039" s="3" t="e">
        <f t="shared" si="194"/>
        <v>#N/A</v>
      </c>
      <c r="F6039" s="3" t="e">
        <f t="shared" si="195"/>
        <v>#N/A</v>
      </c>
    </row>
    <row r="6040" spans="2:6" x14ac:dyDescent="0.25">
      <c r="B6040" s="3"/>
      <c r="C6040" s="3"/>
      <c r="D6040" s="3"/>
      <c r="E6040" s="3" t="e">
        <f t="shared" si="194"/>
        <v>#N/A</v>
      </c>
      <c r="F6040" s="3" t="e">
        <f t="shared" si="195"/>
        <v>#N/A</v>
      </c>
    </row>
    <row r="6041" spans="2:6" x14ac:dyDescent="0.25">
      <c r="B6041" s="3"/>
      <c r="C6041" s="3"/>
      <c r="D6041" s="3"/>
      <c r="E6041" s="3" t="e">
        <f t="shared" si="194"/>
        <v>#N/A</v>
      </c>
      <c r="F6041" s="3" t="e">
        <f t="shared" si="195"/>
        <v>#N/A</v>
      </c>
    </row>
    <row r="6042" spans="2:6" x14ac:dyDescent="0.25">
      <c r="B6042" s="3"/>
      <c r="C6042" s="3"/>
      <c r="D6042" s="3"/>
      <c r="E6042" s="3" t="e">
        <f t="shared" si="194"/>
        <v>#N/A</v>
      </c>
      <c r="F6042" s="3" t="e">
        <f t="shared" si="195"/>
        <v>#N/A</v>
      </c>
    </row>
    <row r="6043" spans="2:6" x14ac:dyDescent="0.25">
      <c r="B6043" s="3"/>
      <c r="C6043" s="3"/>
      <c r="D6043" s="3"/>
      <c r="E6043" s="3" t="e">
        <f t="shared" si="194"/>
        <v>#N/A</v>
      </c>
      <c r="F6043" s="3" t="e">
        <f t="shared" si="195"/>
        <v>#N/A</v>
      </c>
    </row>
    <row r="6044" spans="2:6" x14ac:dyDescent="0.25">
      <c r="B6044" s="3"/>
      <c r="C6044" s="3"/>
      <c r="D6044" s="3"/>
      <c r="E6044" s="3" t="e">
        <f t="shared" si="194"/>
        <v>#N/A</v>
      </c>
      <c r="F6044" s="3" t="e">
        <f t="shared" si="195"/>
        <v>#N/A</v>
      </c>
    </row>
    <row r="6045" spans="2:6" x14ac:dyDescent="0.25">
      <c r="B6045" s="3"/>
      <c r="C6045" s="3"/>
      <c r="D6045" s="3"/>
      <c r="E6045" s="3" t="e">
        <f t="shared" si="194"/>
        <v>#N/A</v>
      </c>
      <c r="F6045" s="3" t="e">
        <f t="shared" si="195"/>
        <v>#N/A</v>
      </c>
    </row>
    <row r="6046" spans="2:6" x14ac:dyDescent="0.25">
      <c r="B6046" s="3"/>
      <c r="C6046" s="3"/>
      <c r="D6046" s="3"/>
      <c r="E6046" s="3" t="e">
        <f t="shared" si="194"/>
        <v>#N/A</v>
      </c>
      <c r="F6046" s="3" t="e">
        <f t="shared" si="195"/>
        <v>#N/A</v>
      </c>
    </row>
    <row r="6047" spans="2:6" x14ac:dyDescent="0.25">
      <c r="B6047" s="3"/>
      <c r="C6047" s="3"/>
      <c r="D6047" s="3"/>
      <c r="E6047" s="3" t="e">
        <f t="shared" si="194"/>
        <v>#N/A</v>
      </c>
      <c r="F6047" s="3" t="e">
        <f t="shared" si="195"/>
        <v>#N/A</v>
      </c>
    </row>
    <row r="6048" spans="2:6" x14ac:dyDescent="0.25">
      <c r="B6048" s="3"/>
      <c r="C6048" s="3"/>
      <c r="D6048" s="3"/>
      <c r="E6048" s="3" t="e">
        <f t="shared" si="194"/>
        <v>#N/A</v>
      </c>
      <c r="F6048" s="3" t="e">
        <f t="shared" si="195"/>
        <v>#N/A</v>
      </c>
    </row>
    <row r="6049" spans="2:6" x14ac:dyDescent="0.25">
      <c r="B6049" s="3"/>
      <c r="C6049" s="3"/>
      <c r="D6049" s="3"/>
      <c r="E6049" s="3" t="e">
        <f t="shared" si="194"/>
        <v>#N/A</v>
      </c>
      <c r="F6049" s="3" t="e">
        <f t="shared" si="195"/>
        <v>#N/A</v>
      </c>
    </row>
    <row r="6050" spans="2:6" x14ac:dyDescent="0.25">
      <c r="B6050" s="3"/>
      <c r="C6050" s="3"/>
      <c r="D6050" s="3"/>
      <c r="E6050" s="3" t="e">
        <f t="shared" si="194"/>
        <v>#N/A</v>
      </c>
      <c r="F6050" s="3" t="e">
        <f t="shared" si="195"/>
        <v>#N/A</v>
      </c>
    </row>
    <row r="6051" spans="2:6" x14ac:dyDescent="0.25">
      <c r="B6051" s="3"/>
      <c r="C6051" s="3"/>
      <c r="D6051" s="3"/>
      <c r="E6051" s="3" t="e">
        <f t="shared" si="194"/>
        <v>#N/A</v>
      </c>
      <c r="F6051" s="3" t="e">
        <f t="shared" si="195"/>
        <v>#N/A</v>
      </c>
    </row>
    <row r="6052" spans="2:6" x14ac:dyDescent="0.25">
      <c r="B6052" s="3"/>
      <c r="C6052" s="3"/>
      <c r="D6052" s="3"/>
      <c r="E6052" s="3" t="e">
        <f t="shared" si="194"/>
        <v>#N/A</v>
      </c>
      <c r="F6052" s="3" t="e">
        <f t="shared" si="195"/>
        <v>#N/A</v>
      </c>
    </row>
    <row r="6053" spans="2:6" x14ac:dyDescent="0.25">
      <c r="B6053" s="3"/>
      <c r="C6053" s="3"/>
      <c r="D6053" s="3"/>
      <c r="E6053" s="3" t="e">
        <f t="shared" si="194"/>
        <v>#N/A</v>
      </c>
      <c r="F6053" s="3" t="e">
        <f t="shared" si="195"/>
        <v>#N/A</v>
      </c>
    </row>
    <row r="6054" spans="2:6" x14ac:dyDescent="0.25">
      <c r="B6054" s="3"/>
      <c r="C6054" s="3"/>
      <c r="D6054" s="3"/>
      <c r="E6054" s="3" t="e">
        <f t="shared" si="194"/>
        <v>#N/A</v>
      </c>
      <c r="F6054" s="3" t="e">
        <f t="shared" si="195"/>
        <v>#N/A</v>
      </c>
    </row>
    <row r="6055" spans="2:6" x14ac:dyDescent="0.25">
      <c r="B6055" s="3"/>
      <c r="C6055" s="3"/>
      <c r="D6055" s="3"/>
      <c r="E6055" s="3" t="e">
        <f t="shared" si="194"/>
        <v>#N/A</v>
      </c>
      <c r="F6055" s="3" t="e">
        <f t="shared" si="195"/>
        <v>#N/A</v>
      </c>
    </row>
    <row r="6056" spans="2:6" x14ac:dyDescent="0.25">
      <c r="B6056" s="3"/>
      <c r="C6056" s="3"/>
      <c r="D6056" s="3"/>
      <c r="E6056" s="3" t="e">
        <f t="shared" si="194"/>
        <v>#N/A</v>
      </c>
      <c r="F6056" s="3" t="e">
        <f t="shared" si="195"/>
        <v>#N/A</v>
      </c>
    </row>
    <row r="6057" spans="2:6" x14ac:dyDescent="0.25">
      <c r="B6057" s="3"/>
      <c r="C6057" s="3"/>
      <c r="D6057" s="3"/>
      <c r="E6057" s="3" t="e">
        <f t="shared" si="194"/>
        <v>#N/A</v>
      </c>
      <c r="F6057" s="3" t="e">
        <f t="shared" si="195"/>
        <v>#N/A</v>
      </c>
    </row>
    <row r="6058" spans="2:6" x14ac:dyDescent="0.25">
      <c r="B6058" s="3"/>
      <c r="C6058" s="3"/>
      <c r="D6058" s="3"/>
      <c r="E6058" s="3" t="e">
        <f t="shared" si="194"/>
        <v>#N/A</v>
      </c>
      <c r="F6058" s="3" t="e">
        <f t="shared" si="195"/>
        <v>#N/A</v>
      </c>
    </row>
    <row r="6059" spans="2:6" x14ac:dyDescent="0.25">
      <c r="B6059" s="3"/>
      <c r="C6059" s="3"/>
      <c r="D6059" s="3"/>
      <c r="E6059" s="3" t="e">
        <f t="shared" si="194"/>
        <v>#N/A</v>
      </c>
      <c r="F6059" s="3" t="e">
        <f t="shared" si="195"/>
        <v>#N/A</v>
      </c>
    </row>
    <row r="6060" spans="2:6" x14ac:dyDescent="0.25">
      <c r="B6060" s="3"/>
      <c r="C6060" s="3"/>
      <c r="D6060" s="3"/>
      <c r="E6060" s="3" t="e">
        <f t="shared" si="194"/>
        <v>#N/A</v>
      </c>
      <c r="F6060" s="3" t="e">
        <f t="shared" si="195"/>
        <v>#N/A</v>
      </c>
    </row>
    <row r="6061" spans="2:6" x14ac:dyDescent="0.25">
      <c r="B6061" s="3"/>
      <c r="C6061" s="3"/>
      <c r="D6061" s="3"/>
      <c r="E6061" s="3" t="e">
        <f t="shared" si="194"/>
        <v>#N/A</v>
      </c>
      <c r="F6061" s="3" t="e">
        <f t="shared" si="195"/>
        <v>#N/A</v>
      </c>
    </row>
    <row r="6062" spans="2:6" x14ac:dyDescent="0.25">
      <c r="B6062" s="3"/>
      <c r="C6062" s="3"/>
      <c r="D6062" s="3"/>
      <c r="E6062" s="3" t="e">
        <f t="shared" si="194"/>
        <v>#N/A</v>
      </c>
      <c r="F6062" s="3" t="e">
        <f t="shared" si="195"/>
        <v>#N/A</v>
      </c>
    </row>
    <row r="6063" spans="2:6" x14ac:dyDescent="0.25">
      <c r="B6063" s="3"/>
      <c r="C6063" s="3"/>
      <c r="D6063" s="3"/>
      <c r="E6063" s="3" t="e">
        <f t="shared" si="194"/>
        <v>#N/A</v>
      </c>
      <c r="F6063" s="3" t="e">
        <f t="shared" si="195"/>
        <v>#N/A</v>
      </c>
    </row>
    <row r="6064" spans="2:6" x14ac:dyDescent="0.25">
      <c r="B6064" s="3"/>
      <c r="C6064" s="3"/>
      <c r="D6064" s="3"/>
      <c r="E6064" s="3" t="e">
        <f t="shared" si="194"/>
        <v>#N/A</v>
      </c>
      <c r="F6064" s="3" t="e">
        <f t="shared" si="195"/>
        <v>#N/A</v>
      </c>
    </row>
    <row r="6065" spans="2:6" x14ac:dyDescent="0.25">
      <c r="B6065" s="3"/>
      <c r="C6065" s="3"/>
      <c r="D6065" s="3"/>
      <c r="E6065" s="3" t="e">
        <f t="shared" si="194"/>
        <v>#N/A</v>
      </c>
      <c r="F6065" s="3" t="e">
        <f t="shared" si="195"/>
        <v>#N/A</v>
      </c>
    </row>
    <row r="6066" spans="2:6" x14ac:dyDescent="0.25">
      <c r="B6066" s="3"/>
      <c r="C6066" s="3"/>
      <c r="D6066" s="3"/>
      <c r="E6066" s="3" t="e">
        <f t="shared" si="194"/>
        <v>#N/A</v>
      </c>
      <c r="F6066" s="3" t="e">
        <f t="shared" si="195"/>
        <v>#N/A</v>
      </c>
    </row>
    <row r="6067" spans="2:6" x14ac:dyDescent="0.25">
      <c r="B6067" s="3"/>
      <c r="C6067" s="3"/>
      <c r="D6067" s="3"/>
      <c r="E6067" s="3" t="e">
        <f t="shared" si="194"/>
        <v>#N/A</v>
      </c>
      <c r="F6067" s="3" t="e">
        <f t="shared" si="195"/>
        <v>#N/A</v>
      </c>
    </row>
    <row r="6068" spans="2:6" x14ac:dyDescent="0.25">
      <c r="B6068" s="3"/>
      <c r="C6068" s="3"/>
      <c r="D6068" s="3"/>
      <c r="E6068" s="3" t="e">
        <f t="shared" si="194"/>
        <v>#N/A</v>
      </c>
      <c r="F6068" s="3" t="e">
        <f t="shared" si="195"/>
        <v>#N/A</v>
      </c>
    </row>
    <row r="6069" spans="2:6" x14ac:dyDescent="0.25">
      <c r="B6069" s="3"/>
      <c r="C6069" s="3"/>
      <c r="D6069" s="3"/>
      <c r="E6069" s="3" t="e">
        <f t="shared" si="194"/>
        <v>#N/A</v>
      </c>
      <c r="F6069" s="3" t="e">
        <f t="shared" si="195"/>
        <v>#N/A</v>
      </c>
    </row>
    <row r="6070" spans="2:6" x14ac:dyDescent="0.25">
      <c r="B6070" s="3"/>
      <c r="C6070" s="3"/>
      <c r="D6070" s="3"/>
      <c r="E6070" s="3" t="e">
        <f t="shared" si="194"/>
        <v>#N/A</v>
      </c>
      <c r="F6070" s="3" t="e">
        <f t="shared" si="195"/>
        <v>#N/A</v>
      </c>
    </row>
    <row r="6071" spans="2:6" x14ac:dyDescent="0.25">
      <c r="B6071" s="3"/>
      <c r="C6071" s="3"/>
      <c r="D6071" s="3"/>
      <c r="E6071" s="3" t="e">
        <f t="shared" si="194"/>
        <v>#N/A</v>
      </c>
      <c r="F6071" s="3" t="e">
        <f t="shared" si="195"/>
        <v>#N/A</v>
      </c>
    </row>
    <row r="6072" spans="2:6" x14ac:dyDescent="0.25">
      <c r="B6072" s="3"/>
      <c r="C6072" s="3"/>
      <c r="D6072" s="3"/>
      <c r="E6072" s="3" t="e">
        <f t="shared" si="194"/>
        <v>#N/A</v>
      </c>
      <c r="F6072" s="3" t="e">
        <f t="shared" si="195"/>
        <v>#N/A</v>
      </c>
    </row>
    <row r="6073" spans="2:6" x14ac:dyDescent="0.25">
      <c r="B6073" s="3"/>
      <c r="C6073" s="3"/>
      <c r="D6073" s="3"/>
      <c r="E6073" s="3" t="e">
        <f t="shared" si="194"/>
        <v>#N/A</v>
      </c>
      <c r="F6073" s="3" t="e">
        <f t="shared" si="195"/>
        <v>#N/A</v>
      </c>
    </row>
    <row r="6074" spans="2:6" x14ac:dyDescent="0.25">
      <c r="B6074" s="3"/>
      <c r="C6074" s="3"/>
      <c r="D6074" s="3"/>
      <c r="E6074" s="3" t="e">
        <f t="shared" si="194"/>
        <v>#N/A</v>
      </c>
      <c r="F6074" s="3" t="e">
        <f t="shared" si="195"/>
        <v>#N/A</v>
      </c>
    </row>
    <row r="6075" spans="2:6" x14ac:dyDescent="0.25">
      <c r="B6075" s="3"/>
      <c r="C6075" s="3"/>
      <c r="D6075" s="3"/>
      <c r="E6075" s="3" t="e">
        <f t="shared" si="194"/>
        <v>#N/A</v>
      </c>
      <c r="F6075" s="3" t="e">
        <f t="shared" si="195"/>
        <v>#N/A</v>
      </c>
    </row>
    <row r="6076" spans="2:6" x14ac:dyDescent="0.25">
      <c r="B6076" s="3"/>
      <c r="C6076" s="3"/>
      <c r="D6076" s="3"/>
      <c r="E6076" s="3" t="e">
        <f t="shared" si="194"/>
        <v>#N/A</v>
      </c>
      <c r="F6076" s="3" t="e">
        <f t="shared" si="195"/>
        <v>#N/A</v>
      </c>
    </row>
    <row r="6077" spans="2:6" x14ac:dyDescent="0.25">
      <c r="B6077" s="3"/>
      <c r="C6077" s="3"/>
      <c r="D6077" s="3"/>
      <c r="E6077" s="3" t="e">
        <f t="shared" si="194"/>
        <v>#N/A</v>
      </c>
      <c r="F6077" s="3" t="e">
        <f t="shared" si="195"/>
        <v>#N/A</v>
      </c>
    </row>
    <row r="6078" spans="2:6" x14ac:dyDescent="0.25">
      <c r="B6078" s="3"/>
      <c r="C6078" s="3"/>
      <c r="D6078" s="3"/>
      <c r="E6078" s="3" t="e">
        <f t="shared" si="194"/>
        <v>#N/A</v>
      </c>
      <c r="F6078" s="3" t="e">
        <f t="shared" si="195"/>
        <v>#N/A</v>
      </c>
    </row>
    <row r="6079" spans="2:6" x14ac:dyDescent="0.25">
      <c r="B6079" s="3"/>
      <c r="C6079" s="3"/>
      <c r="D6079" s="3"/>
      <c r="E6079" s="3" t="e">
        <f t="shared" si="194"/>
        <v>#N/A</v>
      </c>
      <c r="F6079" s="3" t="e">
        <f t="shared" si="195"/>
        <v>#N/A</v>
      </c>
    </row>
    <row r="6080" spans="2:6" x14ac:dyDescent="0.25">
      <c r="B6080" s="3"/>
      <c r="C6080" s="3"/>
      <c r="D6080" s="3"/>
      <c r="E6080" s="3" t="e">
        <f t="shared" si="194"/>
        <v>#N/A</v>
      </c>
      <c r="F6080" s="3" t="e">
        <f t="shared" si="195"/>
        <v>#N/A</v>
      </c>
    </row>
    <row r="6081" spans="2:6" x14ac:dyDescent="0.25">
      <c r="B6081" s="3"/>
      <c r="C6081" s="3"/>
      <c r="D6081" s="3"/>
      <c r="E6081" s="3" t="e">
        <f t="shared" si="194"/>
        <v>#N/A</v>
      </c>
      <c r="F6081" s="3" t="e">
        <f t="shared" si="195"/>
        <v>#N/A</v>
      </c>
    </row>
    <row r="6082" spans="2:6" x14ac:dyDescent="0.25">
      <c r="B6082" s="3"/>
      <c r="C6082" s="3"/>
      <c r="D6082" s="3"/>
      <c r="E6082" s="3" t="e">
        <f t="shared" si="194"/>
        <v>#N/A</v>
      </c>
      <c r="F6082" s="3" t="e">
        <f t="shared" si="195"/>
        <v>#N/A</v>
      </c>
    </row>
    <row r="6083" spans="2:6" x14ac:dyDescent="0.25">
      <c r="B6083" s="3"/>
      <c r="C6083" s="3"/>
      <c r="D6083" s="3"/>
      <c r="E6083" s="3" t="e">
        <f t="shared" si="194"/>
        <v>#N/A</v>
      </c>
      <c r="F6083" s="3" t="e">
        <f t="shared" si="195"/>
        <v>#N/A</v>
      </c>
    </row>
    <row r="6084" spans="2:6" x14ac:dyDescent="0.25">
      <c r="B6084" s="3"/>
      <c r="C6084" s="3"/>
      <c r="D6084" s="3"/>
      <c r="E6084" s="3" t="e">
        <f t="shared" si="194"/>
        <v>#N/A</v>
      </c>
      <c r="F6084" s="3" t="e">
        <f t="shared" si="195"/>
        <v>#N/A</v>
      </c>
    </row>
    <row r="6085" spans="2:6" x14ac:dyDescent="0.25">
      <c r="B6085" s="3"/>
      <c r="C6085" s="3"/>
      <c r="D6085" s="3"/>
      <c r="E6085" s="3" t="e">
        <f t="shared" si="194"/>
        <v>#N/A</v>
      </c>
      <c r="F6085" s="3" t="e">
        <f t="shared" si="195"/>
        <v>#N/A</v>
      </c>
    </row>
    <row r="6086" spans="2:6" x14ac:dyDescent="0.25">
      <c r="B6086" s="3"/>
      <c r="C6086" s="3"/>
      <c r="D6086" s="3"/>
      <c r="E6086" s="3" t="e">
        <f t="shared" si="194"/>
        <v>#N/A</v>
      </c>
      <c r="F6086" s="3" t="e">
        <f t="shared" si="195"/>
        <v>#N/A</v>
      </c>
    </row>
    <row r="6087" spans="2:6" x14ac:dyDescent="0.25">
      <c r="B6087" s="3"/>
      <c r="C6087" s="3"/>
      <c r="D6087" s="3"/>
      <c r="E6087" s="3" t="e">
        <f t="shared" si="194"/>
        <v>#N/A</v>
      </c>
      <c r="F6087" s="3" t="e">
        <f t="shared" si="195"/>
        <v>#N/A</v>
      </c>
    </row>
    <row r="6088" spans="2:6" x14ac:dyDescent="0.25">
      <c r="B6088" s="3"/>
      <c r="C6088" s="3"/>
      <c r="D6088" s="3"/>
      <c r="E6088" s="3" t="e">
        <f t="shared" si="194"/>
        <v>#N/A</v>
      </c>
      <c r="F6088" s="3" t="e">
        <f t="shared" si="195"/>
        <v>#N/A</v>
      </c>
    </row>
    <row r="6089" spans="2:6" x14ac:dyDescent="0.25">
      <c r="B6089" s="3"/>
      <c r="C6089" s="3"/>
      <c r="D6089" s="3"/>
      <c r="E6089" s="3" t="e">
        <f t="shared" si="194"/>
        <v>#N/A</v>
      </c>
      <c r="F6089" s="3" t="e">
        <f t="shared" si="195"/>
        <v>#N/A</v>
      </c>
    </row>
    <row r="6090" spans="2:6" x14ac:dyDescent="0.25">
      <c r="B6090" s="3"/>
      <c r="C6090" s="3"/>
      <c r="D6090" s="3"/>
      <c r="E6090" s="3" t="e">
        <f t="shared" si="194"/>
        <v>#N/A</v>
      </c>
      <c r="F6090" s="3" t="e">
        <f t="shared" si="195"/>
        <v>#N/A</v>
      </c>
    </row>
    <row r="6091" spans="2:6" x14ac:dyDescent="0.25">
      <c r="B6091" s="3"/>
      <c r="C6091" s="3"/>
      <c r="D6091" s="3"/>
      <c r="E6091" s="3" t="e">
        <f t="shared" si="194"/>
        <v>#N/A</v>
      </c>
      <c r="F6091" s="3" t="e">
        <f t="shared" si="195"/>
        <v>#N/A</v>
      </c>
    </row>
    <row r="6092" spans="2:6" x14ac:dyDescent="0.25">
      <c r="B6092" s="3"/>
      <c r="C6092" s="3"/>
      <c r="D6092" s="3"/>
      <c r="E6092" s="3" t="e">
        <f t="shared" si="194"/>
        <v>#N/A</v>
      </c>
      <c r="F6092" s="3" t="e">
        <f t="shared" si="195"/>
        <v>#N/A</v>
      </c>
    </row>
    <row r="6093" spans="2:6" x14ac:dyDescent="0.25">
      <c r="B6093" s="3"/>
      <c r="C6093" s="3"/>
      <c r="D6093" s="3"/>
      <c r="E6093" s="3" t="e">
        <f t="shared" si="194"/>
        <v>#N/A</v>
      </c>
      <c r="F6093" s="3" t="e">
        <f t="shared" si="195"/>
        <v>#N/A</v>
      </c>
    </row>
    <row r="6094" spans="2:6" x14ac:dyDescent="0.25">
      <c r="B6094" s="3"/>
      <c r="C6094" s="3"/>
      <c r="D6094" s="3"/>
      <c r="E6094" s="3" t="e">
        <f t="shared" ref="E6094:E6157" si="196">VLOOKUP(C6094,I:J,2,0)</f>
        <v>#N/A</v>
      </c>
      <c r="F6094" s="3" t="e">
        <f t="shared" ref="F6094:F6157" si="197">E6094&amp;" "&amp;B6094</f>
        <v>#N/A</v>
      </c>
    </row>
    <row r="6095" spans="2:6" x14ac:dyDescent="0.25">
      <c r="B6095" s="3"/>
      <c r="C6095" s="3"/>
      <c r="D6095" s="3"/>
      <c r="E6095" s="3" t="e">
        <f t="shared" si="196"/>
        <v>#N/A</v>
      </c>
      <c r="F6095" s="3" t="e">
        <f t="shared" si="197"/>
        <v>#N/A</v>
      </c>
    </row>
    <row r="6096" spans="2:6" x14ac:dyDescent="0.25">
      <c r="B6096" s="3"/>
      <c r="C6096" s="3"/>
      <c r="D6096" s="3"/>
      <c r="E6096" s="3" t="e">
        <f t="shared" si="196"/>
        <v>#N/A</v>
      </c>
      <c r="F6096" s="3" t="e">
        <f t="shared" si="197"/>
        <v>#N/A</v>
      </c>
    </row>
    <row r="6097" spans="2:6" x14ac:dyDescent="0.25">
      <c r="B6097" s="3"/>
      <c r="C6097" s="3"/>
      <c r="D6097" s="3"/>
      <c r="E6097" s="3" t="e">
        <f t="shared" si="196"/>
        <v>#N/A</v>
      </c>
      <c r="F6097" s="3" t="e">
        <f t="shared" si="197"/>
        <v>#N/A</v>
      </c>
    </row>
    <row r="6098" spans="2:6" x14ac:dyDescent="0.25">
      <c r="B6098" s="3"/>
      <c r="C6098" s="3"/>
      <c r="D6098" s="3"/>
      <c r="E6098" s="3" t="e">
        <f t="shared" si="196"/>
        <v>#N/A</v>
      </c>
      <c r="F6098" s="3" t="e">
        <f t="shared" si="197"/>
        <v>#N/A</v>
      </c>
    </row>
    <row r="6099" spans="2:6" x14ac:dyDescent="0.25">
      <c r="B6099" s="3"/>
      <c r="C6099" s="3"/>
      <c r="D6099" s="3"/>
      <c r="E6099" s="3" t="e">
        <f t="shared" si="196"/>
        <v>#N/A</v>
      </c>
      <c r="F6099" s="3" t="e">
        <f t="shared" si="197"/>
        <v>#N/A</v>
      </c>
    </row>
    <row r="6100" spans="2:6" x14ac:dyDescent="0.25">
      <c r="B6100" s="3"/>
      <c r="C6100" s="3"/>
      <c r="D6100" s="3"/>
      <c r="E6100" s="3" t="e">
        <f t="shared" si="196"/>
        <v>#N/A</v>
      </c>
      <c r="F6100" s="3" t="e">
        <f t="shared" si="197"/>
        <v>#N/A</v>
      </c>
    </row>
    <row r="6101" spans="2:6" x14ac:dyDescent="0.25">
      <c r="B6101" s="3"/>
      <c r="C6101" s="3"/>
      <c r="D6101" s="3"/>
      <c r="E6101" s="3" t="e">
        <f t="shared" si="196"/>
        <v>#N/A</v>
      </c>
      <c r="F6101" s="3" t="e">
        <f t="shared" si="197"/>
        <v>#N/A</v>
      </c>
    </row>
    <row r="6102" spans="2:6" x14ac:dyDescent="0.25">
      <c r="B6102" s="3"/>
      <c r="C6102" s="3"/>
      <c r="D6102" s="3"/>
      <c r="E6102" s="3" t="e">
        <f t="shared" si="196"/>
        <v>#N/A</v>
      </c>
      <c r="F6102" s="3" t="e">
        <f t="shared" si="197"/>
        <v>#N/A</v>
      </c>
    </row>
    <row r="6103" spans="2:6" x14ac:dyDescent="0.25">
      <c r="B6103" s="3"/>
      <c r="C6103" s="3"/>
      <c r="D6103" s="3"/>
      <c r="E6103" s="3" t="e">
        <f t="shared" si="196"/>
        <v>#N/A</v>
      </c>
      <c r="F6103" s="3" t="e">
        <f t="shared" si="197"/>
        <v>#N/A</v>
      </c>
    </row>
    <row r="6104" spans="2:6" x14ac:dyDescent="0.25">
      <c r="B6104" s="3"/>
      <c r="C6104" s="3"/>
      <c r="D6104" s="3"/>
      <c r="E6104" s="3" t="e">
        <f t="shared" si="196"/>
        <v>#N/A</v>
      </c>
      <c r="F6104" s="3" t="e">
        <f t="shared" si="197"/>
        <v>#N/A</v>
      </c>
    </row>
    <row r="6105" spans="2:6" x14ac:dyDescent="0.25">
      <c r="B6105" s="3"/>
      <c r="C6105" s="3"/>
      <c r="D6105" s="3"/>
      <c r="E6105" s="3" t="e">
        <f t="shared" si="196"/>
        <v>#N/A</v>
      </c>
      <c r="F6105" s="3" t="e">
        <f t="shared" si="197"/>
        <v>#N/A</v>
      </c>
    </row>
    <row r="6106" spans="2:6" x14ac:dyDescent="0.25">
      <c r="B6106" s="3"/>
      <c r="C6106" s="3"/>
      <c r="D6106" s="3"/>
      <c r="E6106" s="3" t="e">
        <f t="shared" si="196"/>
        <v>#N/A</v>
      </c>
      <c r="F6106" s="3" t="e">
        <f t="shared" si="197"/>
        <v>#N/A</v>
      </c>
    </row>
    <row r="6107" spans="2:6" x14ac:dyDescent="0.25">
      <c r="B6107" s="3"/>
      <c r="C6107" s="3"/>
      <c r="D6107" s="3"/>
      <c r="E6107" s="3" t="e">
        <f t="shared" si="196"/>
        <v>#N/A</v>
      </c>
      <c r="F6107" s="3" t="e">
        <f t="shared" si="197"/>
        <v>#N/A</v>
      </c>
    </row>
    <row r="6108" spans="2:6" x14ac:dyDescent="0.25">
      <c r="B6108" s="3"/>
      <c r="C6108" s="3"/>
      <c r="D6108" s="3"/>
      <c r="E6108" s="3" t="e">
        <f t="shared" si="196"/>
        <v>#N/A</v>
      </c>
      <c r="F6108" s="3" t="e">
        <f t="shared" si="197"/>
        <v>#N/A</v>
      </c>
    </row>
    <row r="6109" spans="2:6" x14ac:dyDescent="0.25">
      <c r="B6109" s="3"/>
      <c r="C6109" s="3"/>
      <c r="D6109" s="3"/>
      <c r="E6109" s="3" t="e">
        <f t="shared" si="196"/>
        <v>#N/A</v>
      </c>
      <c r="F6109" s="3" t="e">
        <f t="shared" si="197"/>
        <v>#N/A</v>
      </c>
    </row>
    <row r="6110" spans="2:6" x14ac:dyDescent="0.25">
      <c r="B6110" s="3"/>
      <c r="C6110" s="3"/>
      <c r="D6110" s="3"/>
      <c r="E6110" s="3" t="e">
        <f t="shared" si="196"/>
        <v>#N/A</v>
      </c>
      <c r="F6110" s="3" t="e">
        <f t="shared" si="197"/>
        <v>#N/A</v>
      </c>
    </row>
    <row r="6111" spans="2:6" x14ac:dyDescent="0.25">
      <c r="B6111" s="3"/>
      <c r="C6111" s="3"/>
      <c r="D6111" s="3"/>
      <c r="E6111" s="3" t="e">
        <f t="shared" si="196"/>
        <v>#N/A</v>
      </c>
      <c r="F6111" s="3" t="e">
        <f t="shared" si="197"/>
        <v>#N/A</v>
      </c>
    </row>
    <row r="6112" spans="2:6" x14ac:dyDescent="0.25">
      <c r="B6112" s="3"/>
      <c r="C6112" s="3"/>
      <c r="D6112" s="3"/>
      <c r="E6112" s="3" t="e">
        <f t="shared" si="196"/>
        <v>#N/A</v>
      </c>
      <c r="F6112" s="3" t="e">
        <f t="shared" si="197"/>
        <v>#N/A</v>
      </c>
    </row>
    <row r="6113" spans="2:6" x14ac:dyDescent="0.25">
      <c r="B6113" s="3"/>
      <c r="C6113" s="3"/>
      <c r="D6113" s="3"/>
      <c r="E6113" s="3" t="e">
        <f t="shared" si="196"/>
        <v>#N/A</v>
      </c>
      <c r="F6113" s="3" t="e">
        <f t="shared" si="197"/>
        <v>#N/A</v>
      </c>
    </row>
    <row r="6114" spans="2:6" x14ac:dyDescent="0.25">
      <c r="B6114" s="3"/>
      <c r="C6114" s="3"/>
      <c r="D6114" s="3"/>
      <c r="E6114" s="3" t="e">
        <f t="shared" si="196"/>
        <v>#N/A</v>
      </c>
      <c r="F6114" s="3" t="e">
        <f t="shared" si="197"/>
        <v>#N/A</v>
      </c>
    </row>
    <row r="6115" spans="2:6" x14ac:dyDescent="0.25">
      <c r="B6115" s="3"/>
      <c r="C6115" s="3"/>
      <c r="D6115" s="3"/>
      <c r="E6115" s="3" t="e">
        <f t="shared" si="196"/>
        <v>#N/A</v>
      </c>
      <c r="F6115" s="3" t="e">
        <f t="shared" si="197"/>
        <v>#N/A</v>
      </c>
    </row>
    <row r="6116" spans="2:6" x14ac:dyDescent="0.25">
      <c r="B6116" s="3"/>
      <c r="C6116" s="3"/>
      <c r="D6116" s="3"/>
      <c r="E6116" s="3" t="e">
        <f t="shared" si="196"/>
        <v>#N/A</v>
      </c>
      <c r="F6116" s="3" t="e">
        <f t="shared" si="197"/>
        <v>#N/A</v>
      </c>
    </row>
    <row r="6117" spans="2:6" x14ac:dyDescent="0.25">
      <c r="B6117" s="3"/>
      <c r="C6117" s="3"/>
      <c r="D6117" s="3"/>
      <c r="E6117" s="3" t="e">
        <f t="shared" si="196"/>
        <v>#N/A</v>
      </c>
      <c r="F6117" s="3" t="e">
        <f t="shared" si="197"/>
        <v>#N/A</v>
      </c>
    </row>
    <row r="6118" spans="2:6" x14ac:dyDescent="0.25">
      <c r="B6118" s="3"/>
      <c r="C6118" s="3"/>
      <c r="D6118" s="3"/>
      <c r="E6118" s="3" t="e">
        <f t="shared" si="196"/>
        <v>#N/A</v>
      </c>
      <c r="F6118" s="3" t="e">
        <f t="shared" si="197"/>
        <v>#N/A</v>
      </c>
    </row>
    <row r="6119" spans="2:6" x14ac:dyDescent="0.25">
      <c r="B6119" s="3"/>
      <c r="C6119" s="3"/>
      <c r="D6119" s="3"/>
      <c r="E6119" s="3" t="e">
        <f t="shared" si="196"/>
        <v>#N/A</v>
      </c>
      <c r="F6119" s="3" t="e">
        <f t="shared" si="197"/>
        <v>#N/A</v>
      </c>
    </row>
    <row r="6120" spans="2:6" x14ac:dyDescent="0.25">
      <c r="B6120" s="3"/>
      <c r="C6120" s="3"/>
      <c r="D6120" s="3"/>
      <c r="E6120" s="3" t="e">
        <f t="shared" si="196"/>
        <v>#N/A</v>
      </c>
      <c r="F6120" s="3" t="e">
        <f t="shared" si="197"/>
        <v>#N/A</v>
      </c>
    </row>
    <row r="6121" spans="2:6" x14ac:dyDescent="0.25">
      <c r="B6121" s="3"/>
      <c r="C6121" s="3"/>
      <c r="D6121" s="3"/>
      <c r="E6121" s="3" t="e">
        <f t="shared" si="196"/>
        <v>#N/A</v>
      </c>
      <c r="F6121" s="3" t="e">
        <f t="shared" si="197"/>
        <v>#N/A</v>
      </c>
    </row>
    <row r="6122" spans="2:6" x14ac:dyDescent="0.25">
      <c r="B6122" s="3"/>
      <c r="C6122" s="3"/>
      <c r="D6122" s="3"/>
      <c r="E6122" s="3" t="e">
        <f t="shared" si="196"/>
        <v>#N/A</v>
      </c>
      <c r="F6122" s="3" t="e">
        <f t="shared" si="197"/>
        <v>#N/A</v>
      </c>
    </row>
    <row r="6123" spans="2:6" x14ac:dyDescent="0.25">
      <c r="B6123" s="3"/>
      <c r="C6123" s="3"/>
      <c r="D6123" s="3"/>
      <c r="E6123" s="3" t="e">
        <f t="shared" si="196"/>
        <v>#N/A</v>
      </c>
      <c r="F6123" s="3" t="e">
        <f t="shared" si="197"/>
        <v>#N/A</v>
      </c>
    </row>
    <row r="6124" spans="2:6" x14ac:dyDescent="0.25">
      <c r="B6124" s="3"/>
      <c r="C6124" s="3"/>
      <c r="D6124" s="3"/>
      <c r="E6124" s="3" t="e">
        <f t="shared" si="196"/>
        <v>#N/A</v>
      </c>
      <c r="F6124" s="3" t="e">
        <f t="shared" si="197"/>
        <v>#N/A</v>
      </c>
    </row>
    <row r="6125" spans="2:6" x14ac:dyDescent="0.25">
      <c r="B6125" s="3"/>
      <c r="C6125" s="3"/>
      <c r="D6125" s="3"/>
      <c r="E6125" s="3" t="e">
        <f t="shared" si="196"/>
        <v>#N/A</v>
      </c>
      <c r="F6125" s="3" t="e">
        <f t="shared" si="197"/>
        <v>#N/A</v>
      </c>
    </row>
    <row r="6126" spans="2:6" x14ac:dyDescent="0.25">
      <c r="B6126" s="3"/>
      <c r="C6126" s="3"/>
      <c r="D6126" s="3"/>
      <c r="E6126" s="3" t="e">
        <f t="shared" si="196"/>
        <v>#N/A</v>
      </c>
      <c r="F6126" s="3" t="e">
        <f t="shared" si="197"/>
        <v>#N/A</v>
      </c>
    </row>
    <row r="6127" spans="2:6" x14ac:dyDescent="0.25">
      <c r="B6127" s="3"/>
      <c r="C6127" s="3"/>
      <c r="D6127" s="3"/>
      <c r="E6127" s="3" t="e">
        <f t="shared" si="196"/>
        <v>#N/A</v>
      </c>
      <c r="F6127" s="3" t="e">
        <f t="shared" si="197"/>
        <v>#N/A</v>
      </c>
    </row>
    <row r="6128" spans="2:6" x14ac:dyDescent="0.25">
      <c r="B6128" s="3"/>
      <c r="C6128" s="3"/>
      <c r="D6128" s="3"/>
      <c r="E6128" s="3" t="e">
        <f t="shared" si="196"/>
        <v>#N/A</v>
      </c>
      <c r="F6128" s="3" t="e">
        <f t="shared" si="197"/>
        <v>#N/A</v>
      </c>
    </row>
    <row r="6129" spans="2:6" x14ac:dyDescent="0.25">
      <c r="B6129" s="3"/>
      <c r="C6129" s="3"/>
      <c r="D6129" s="3"/>
      <c r="E6129" s="3" t="e">
        <f t="shared" si="196"/>
        <v>#N/A</v>
      </c>
      <c r="F6129" s="3" t="e">
        <f t="shared" si="197"/>
        <v>#N/A</v>
      </c>
    </row>
    <row r="6130" spans="2:6" x14ac:dyDescent="0.25">
      <c r="B6130" s="3"/>
      <c r="C6130" s="3"/>
      <c r="D6130" s="3"/>
      <c r="E6130" s="3" t="e">
        <f t="shared" si="196"/>
        <v>#N/A</v>
      </c>
      <c r="F6130" s="3" t="e">
        <f t="shared" si="197"/>
        <v>#N/A</v>
      </c>
    </row>
    <row r="6131" spans="2:6" x14ac:dyDescent="0.25">
      <c r="B6131" s="3"/>
      <c r="C6131" s="3"/>
      <c r="D6131" s="3"/>
      <c r="E6131" s="3" t="e">
        <f t="shared" si="196"/>
        <v>#N/A</v>
      </c>
      <c r="F6131" s="3" t="e">
        <f t="shared" si="197"/>
        <v>#N/A</v>
      </c>
    </row>
    <row r="6132" spans="2:6" x14ac:dyDescent="0.25">
      <c r="B6132" s="3"/>
      <c r="C6132" s="3"/>
      <c r="D6132" s="3"/>
      <c r="E6132" s="3" t="e">
        <f t="shared" si="196"/>
        <v>#N/A</v>
      </c>
      <c r="F6132" s="3" t="e">
        <f t="shared" si="197"/>
        <v>#N/A</v>
      </c>
    </row>
    <row r="6133" spans="2:6" x14ac:dyDescent="0.25">
      <c r="B6133" s="3"/>
      <c r="C6133" s="3"/>
      <c r="D6133" s="3"/>
      <c r="E6133" s="3" t="e">
        <f t="shared" si="196"/>
        <v>#N/A</v>
      </c>
      <c r="F6133" s="3" t="e">
        <f t="shared" si="197"/>
        <v>#N/A</v>
      </c>
    </row>
    <row r="6134" spans="2:6" x14ac:dyDescent="0.25">
      <c r="B6134" s="3"/>
      <c r="C6134" s="3"/>
      <c r="D6134" s="3"/>
      <c r="E6134" s="3" t="e">
        <f t="shared" si="196"/>
        <v>#N/A</v>
      </c>
      <c r="F6134" s="3" t="e">
        <f t="shared" si="197"/>
        <v>#N/A</v>
      </c>
    </row>
    <row r="6135" spans="2:6" x14ac:dyDescent="0.25">
      <c r="B6135" s="3"/>
      <c r="C6135" s="3"/>
      <c r="D6135" s="3"/>
      <c r="E6135" s="3" t="e">
        <f t="shared" si="196"/>
        <v>#N/A</v>
      </c>
      <c r="F6135" s="3" t="e">
        <f t="shared" si="197"/>
        <v>#N/A</v>
      </c>
    </row>
    <row r="6136" spans="2:6" x14ac:dyDescent="0.25">
      <c r="B6136" s="3"/>
      <c r="C6136" s="3"/>
      <c r="D6136" s="3"/>
      <c r="E6136" s="3" t="e">
        <f t="shared" si="196"/>
        <v>#N/A</v>
      </c>
      <c r="F6136" s="3" t="e">
        <f t="shared" si="197"/>
        <v>#N/A</v>
      </c>
    </row>
    <row r="6137" spans="2:6" x14ac:dyDescent="0.25">
      <c r="B6137" s="3"/>
      <c r="C6137" s="3"/>
      <c r="D6137" s="3"/>
      <c r="E6137" s="3" t="e">
        <f t="shared" si="196"/>
        <v>#N/A</v>
      </c>
      <c r="F6137" s="3" t="e">
        <f t="shared" si="197"/>
        <v>#N/A</v>
      </c>
    </row>
    <row r="6138" spans="2:6" x14ac:dyDescent="0.25">
      <c r="B6138" s="3"/>
      <c r="C6138" s="3"/>
      <c r="D6138" s="3"/>
      <c r="E6138" s="3" t="e">
        <f t="shared" si="196"/>
        <v>#N/A</v>
      </c>
      <c r="F6138" s="3" t="e">
        <f t="shared" si="197"/>
        <v>#N/A</v>
      </c>
    </row>
    <row r="6139" spans="2:6" x14ac:dyDescent="0.25">
      <c r="B6139" s="3"/>
      <c r="C6139" s="3"/>
      <c r="D6139" s="3"/>
      <c r="E6139" s="3" t="e">
        <f t="shared" si="196"/>
        <v>#N/A</v>
      </c>
      <c r="F6139" s="3" t="e">
        <f t="shared" si="197"/>
        <v>#N/A</v>
      </c>
    </row>
    <row r="6140" spans="2:6" x14ac:dyDescent="0.25">
      <c r="B6140" s="3"/>
      <c r="C6140" s="3"/>
      <c r="D6140" s="3"/>
      <c r="E6140" s="3" t="e">
        <f t="shared" si="196"/>
        <v>#N/A</v>
      </c>
      <c r="F6140" s="3" t="e">
        <f t="shared" si="197"/>
        <v>#N/A</v>
      </c>
    </row>
    <row r="6141" spans="2:6" x14ac:dyDescent="0.25">
      <c r="B6141" s="3"/>
      <c r="C6141" s="3"/>
      <c r="D6141" s="3"/>
      <c r="E6141" s="3" t="e">
        <f t="shared" si="196"/>
        <v>#N/A</v>
      </c>
      <c r="F6141" s="3" t="e">
        <f t="shared" si="197"/>
        <v>#N/A</v>
      </c>
    </row>
    <row r="6142" spans="2:6" x14ac:dyDescent="0.25">
      <c r="B6142" s="3"/>
      <c r="C6142" s="3"/>
      <c r="D6142" s="3"/>
      <c r="E6142" s="3" t="e">
        <f t="shared" si="196"/>
        <v>#N/A</v>
      </c>
      <c r="F6142" s="3" t="e">
        <f t="shared" si="197"/>
        <v>#N/A</v>
      </c>
    </row>
    <row r="6143" spans="2:6" x14ac:dyDescent="0.25">
      <c r="B6143" s="3"/>
      <c r="C6143" s="3"/>
      <c r="D6143" s="3"/>
      <c r="E6143" s="3" t="e">
        <f t="shared" si="196"/>
        <v>#N/A</v>
      </c>
      <c r="F6143" s="3" t="e">
        <f t="shared" si="197"/>
        <v>#N/A</v>
      </c>
    </row>
    <row r="6144" spans="2:6" x14ac:dyDescent="0.25">
      <c r="B6144" s="3"/>
      <c r="C6144" s="3"/>
      <c r="D6144" s="3"/>
      <c r="E6144" s="3" t="e">
        <f t="shared" si="196"/>
        <v>#N/A</v>
      </c>
      <c r="F6144" s="3" t="e">
        <f t="shared" si="197"/>
        <v>#N/A</v>
      </c>
    </row>
    <row r="6145" spans="2:6" x14ac:dyDescent="0.25">
      <c r="B6145" s="3"/>
      <c r="C6145" s="3"/>
      <c r="D6145" s="3"/>
      <c r="E6145" s="3" t="e">
        <f t="shared" si="196"/>
        <v>#N/A</v>
      </c>
      <c r="F6145" s="3" t="e">
        <f t="shared" si="197"/>
        <v>#N/A</v>
      </c>
    </row>
    <row r="6146" spans="2:6" x14ac:dyDescent="0.25">
      <c r="B6146" s="3"/>
      <c r="C6146" s="3"/>
      <c r="D6146" s="3"/>
      <c r="E6146" s="3" t="e">
        <f t="shared" si="196"/>
        <v>#N/A</v>
      </c>
      <c r="F6146" s="3" t="e">
        <f t="shared" si="197"/>
        <v>#N/A</v>
      </c>
    </row>
    <row r="6147" spans="2:6" x14ac:dyDescent="0.25">
      <c r="B6147" s="3"/>
      <c r="C6147" s="3"/>
      <c r="D6147" s="3"/>
      <c r="E6147" s="3" t="e">
        <f t="shared" si="196"/>
        <v>#N/A</v>
      </c>
      <c r="F6147" s="3" t="e">
        <f t="shared" si="197"/>
        <v>#N/A</v>
      </c>
    </row>
    <row r="6148" spans="2:6" x14ac:dyDescent="0.25">
      <c r="B6148" s="3"/>
      <c r="C6148" s="3"/>
      <c r="D6148" s="3"/>
      <c r="E6148" s="3" t="e">
        <f t="shared" si="196"/>
        <v>#N/A</v>
      </c>
      <c r="F6148" s="3" t="e">
        <f t="shared" si="197"/>
        <v>#N/A</v>
      </c>
    </row>
    <row r="6149" spans="2:6" x14ac:dyDescent="0.25">
      <c r="B6149" s="3"/>
      <c r="C6149" s="3"/>
      <c r="D6149" s="3"/>
      <c r="E6149" s="3" t="e">
        <f t="shared" si="196"/>
        <v>#N/A</v>
      </c>
      <c r="F6149" s="3" t="e">
        <f t="shared" si="197"/>
        <v>#N/A</v>
      </c>
    </row>
    <row r="6150" spans="2:6" x14ac:dyDescent="0.25">
      <c r="B6150" s="3"/>
      <c r="C6150" s="3"/>
      <c r="D6150" s="3"/>
      <c r="E6150" s="3" t="e">
        <f t="shared" si="196"/>
        <v>#N/A</v>
      </c>
      <c r="F6150" s="3" t="e">
        <f t="shared" si="197"/>
        <v>#N/A</v>
      </c>
    </row>
    <row r="6151" spans="2:6" x14ac:dyDescent="0.25">
      <c r="B6151" s="3"/>
      <c r="C6151" s="3"/>
      <c r="D6151" s="3"/>
      <c r="E6151" s="3" t="e">
        <f t="shared" si="196"/>
        <v>#N/A</v>
      </c>
      <c r="F6151" s="3" t="e">
        <f t="shared" si="197"/>
        <v>#N/A</v>
      </c>
    </row>
    <row r="6152" spans="2:6" x14ac:dyDescent="0.25">
      <c r="B6152" s="3"/>
      <c r="C6152" s="3"/>
      <c r="D6152" s="3"/>
      <c r="E6152" s="3" t="e">
        <f t="shared" si="196"/>
        <v>#N/A</v>
      </c>
      <c r="F6152" s="3" t="e">
        <f t="shared" si="197"/>
        <v>#N/A</v>
      </c>
    </row>
    <row r="6153" spans="2:6" x14ac:dyDescent="0.25">
      <c r="B6153" s="3"/>
      <c r="C6153" s="3"/>
      <c r="D6153" s="3"/>
      <c r="E6153" s="3" t="e">
        <f t="shared" si="196"/>
        <v>#N/A</v>
      </c>
      <c r="F6153" s="3" t="e">
        <f t="shared" si="197"/>
        <v>#N/A</v>
      </c>
    </row>
    <row r="6154" spans="2:6" x14ac:dyDescent="0.25">
      <c r="B6154" s="3"/>
      <c r="C6154" s="3"/>
      <c r="D6154" s="3"/>
      <c r="E6154" s="3" t="e">
        <f t="shared" si="196"/>
        <v>#N/A</v>
      </c>
      <c r="F6154" s="3" t="e">
        <f t="shared" si="197"/>
        <v>#N/A</v>
      </c>
    </row>
    <row r="6155" spans="2:6" x14ac:dyDescent="0.25">
      <c r="B6155" s="3"/>
      <c r="C6155" s="3"/>
      <c r="D6155" s="3"/>
      <c r="E6155" s="3" t="e">
        <f t="shared" si="196"/>
        <v>#N/A</v>
      </c>
      <c r="F6155" s="3" t="e">
        <f t="shared" si="197"/>
        <v>#N/A</v>
      </c>
    </row>
    <row r="6156" spans="2:6" x14ac:dyDescent="0.25">
      <c r="B6156" s="3"/>
      <c r="C6156" s="3"/>
      <c r="D6156" s="3"/>
      <c r="E6156" s="3" t="e">
        <f t="shared" si="196"/>
        <v>#N/A</v>
      </c>
      <c r="F6156" s="3" t="e">
        <f t="shared" si="197"/>
        <v>#N/A</v>
      </c>
    </row>
    <row r="6157" spans="2:6" x14ac:dyDescent="0.25">
      <c r="B6157" s="3"/>
      <c r="C6157" s="3"/>
      <c r="D6157" s="3"/>
      <c r="E6157" s="3" t="e">
        <f t="shared" si="196"/>
        <v>#N/A</v>
      </c>
      <c r="F6157" s="3" t="e">
        <f t="shared" si="197"/>
        <v>#N/A</v>
      </c>
    </row>
    <row r="6158" spans="2:6" x14ac:dyDescent="0.25">
      <c r="B6158" s="3"/>
      <c r="C6158" s="3"/>
      <c r="D6158" s="3"/>
      <c r="E6158" s="3" t="e">
        <f t="shared" ref="E6158:E6221" si="198">VLOOKUP(C6158,I:J,2,0)</f>
        <v>#N/A</v>
      </c>
      <c r="F6158" s="3" t="e">
        <f t="shared" ref="F6158:F6221" si="199">E6158&amp;" "&amp;B6158</f>
        <v>#N/A</v>
      </c>
    </row>
    <row r="6159" spans="2:6" x14ac:dyDescent="0.25">
      <c r="B6159" s="3"/>
      <c r="C6159" s="3"/>
      <c r="D6159" s="3"/>
      <c r="E6159" s="3" t="e">
        <f t="shared" si="198"/>
        <v>#N/A</v>
      </c>
      <c r="F6159" s="3" t="e">
        <f t="shared" si="199"/>
        <v>#N/A</v>
      </c>
    </row>
    <row r="6160" spans="2:6" x14ac:dyDescent="0.25">
      <c r="B6160" s="3"/>
      <c r="C6160" s="3"/>
      <c r="D6160" s="3"/>
      <c r="E6160" s="3" t="e">
        <f t="shared" si="198"/>
        <v>#N/A</v>
      </c>
      <c r="F6160" s="3" t="e">
        <f t="shared" si="199"/>
        <v>#N/A</v>
      </c>
    </row>
    <row r="6161" spans="2:6" x14ac:dyDescent="0.25">
      <c r="B6161" s="3"/>
      <c r="C6161" s="3"/>
      <c r="D6161" s="3"/>
      <c r="E6161" s="3" t="e">
        <f t="shared" si="198"/>
        <v>#N/A</v>
      </c>
      <c r="F6161" s="3" t="e">
        <f t="shared" si="199"/>
        <v>#N/A</v>
      </c>
    </row>
    <row r="6162" spans="2:6" x14ac:dyDescent="0.25">
      <c r="B6162" s="3"/>
      <c r="C6162" s="3"/>
      <c r="D6162" s="3"/>
      <c r="E6162" s="3" t="e">
        <f t="shared" si="198"/>
        <v>#N/A</v>
      </c>
      <c r="F6162" s="3" t="e">
        <f t="shared" si="199"/>
        <v>#N/A</v>
      </c>
    </row>
    <row r="6163" spans="2:6" x14ac:dyDescent="0.25">
      <c r="B6163" s="3"/>
      <c r="C6163" s="3"/>
      <c r="D6163" s="3"/>
      <c r="E6163" s="3" t="e">
        <f t="shared" si="198"/>
        <v>#N/A</v>
      </c>
      <c r="F6163" s="3" t="e">
        <f t="shared" si="199"/>
        <v>#N/A</v>
      </c>
    </row>
    <row r="6164" spans="2:6" x14ac:dyDescent="0.25">
      <c r="B6164" s="3"/>
      <c r="C6164" s="3"/>
      <c r="D6164" s="3"/>
      <c r="E6164" s="3" t="e">
        <f t="shared" si="198"/>
        <v>#N/A</v>
      </c>
      <c r="F6164" s="3" t="e">
        <f t="shared" si="199"/>
        <v>#N/A</v>
      </c>
    </row>
    <row r="6165" spans="2:6" x14ac:dyDescent="0.25">
      <c r="B6165" s="3"/>
      <c r="C6165" s="3"/>
      <c r="D6165" s="3"/>
      <c r="E6165" s="3" t="e">
        <f t="shared" si="198"/>
        <v>#N/A</v>
      </c>
      <c r="F6165" s="3" t="e">
        <f t="shared" si="199"/>
        <v>#N/A</v>
      </c>
    </row>
    <row r="6166" spans="2:6" x14ac:dyDescent="0.25">
      <c r="B6166" s="3"/>
      <c r="C6166" s="3"/>
      <c r="D6166" s="3"/>
      <c r="E6166" s="3" t="e">
        <f t="shared" si="198"/>
        <v>#N/A</v>
      </c>
      <c r="F6166" s="3" t="e">
        <f t="shared" si="199"/>
        <v>#N/A</v>
      </c>
    </row>
    <row r="6167" spans="2:6" x14ac:dyDescent="0.25">
      <c r="B6167" s="3"/>
      <c r="C6167" s="3"/>
      <c r="D6167" s="3"/>
      <c r="E6167" s="3" t="e">
        <f t="shared" si="198"/>
        <v>#N/A</v>
      </c>
      <c r="F6167" s="3" t="e">
        <f t="shared" si="199"/>
        <v>#N/A</v>
      </c>
    </row>
    <row r="6168" spans="2:6" x14ac:dyDescent="0.25">
      <c r="B6168" s="3"/>
      <c r="C6168" s="3"/>
      <c r="D6168" s="3"/>
      <c r="E6168" s="3" t="e">
        <f t="shared" si="198"/>
        <v>#N/A</v>
      </c>
      <c r="F6168" s="3" t="e">
        <f t="shared" si="199"/>
        <v>#N/A</v>
      </c>
    </row>
    <row r="6169" spans="2:6" x14ac:dyDescent="0.25">
      <c r="B6169" s="3"/>
      <c r="C6169" s="3"/>
      <c r="D6169" s="3"/>
      <c r="E6169" s="3" t="e">
        <f t="shared" si="198"/>
        <v>#N/A</v>
      </c>
      <c r="F6169" s="3" t="e">
        <f t="shared" si="199"/>
        <v>#N/A</v>
      </c>
    </row>
    <row r="6170" spans="2:6" x14ac:dyDescent="0.25">
      <c r="B6170" s="3"/>
      <c r="C6170" s="3"/>
      <c r="D6170" s="3"/>
      <c r="E6170" s="3" t="e">
        <f t="shared" si="198"/>
        <v>#N/A</v>
      </c>
      <c r="F6170" s="3" t="e">
        <f t="shared" si="199"/>
        <v>#N/A</v>
      </c>
    </row>
    <row r="6171" spans="2:6" x14ac:dyDescent="0.25">
      <c r="B6171" s="3"/>
      <c r="C6171" s="3"/>
      <c r="D6171" s="3"/>
      <c r="E6171" s="3" t="e">
        <f t="shared" si="198"/>
        <v>#N/A</v>
      </c>
      <c r="F6171" s="3" t="e">
        <f t="shared" si="199"/>
        <v>#N/A</v>
      </c>
    </row>
    <row r="6172" spans="2:6" x14ac:dyDescent="0.25">
      <c r="B6172" s="3"/>
      <c r="C6172" s="3"/>
      <c r="D6172" s="3"/>
      <c r="E6172" s="3" t="e">
        <f t="shared" si="198"/>
        <v>#N/A</v>
      </c>
      <c r="F6172" s="3" t="e">
        <f t="shared" si="199"/>
        <v>#N/A</v>
      </c>
    </row>
    <row r="6173" spans="2:6" x14ac:dyDescent="0.25">
      <c r="B6173" s="3"/>
      <c r="C6173" s="3"/>
      <c r="D6173" s="3"/>
      <c r="E6173" s="3" t="e">
        <f t="shared" si="198"/>
        <v>#N/A</v>
      </c>
      <c r="F6173" s="3" t="e">
        <f t="shared" si="199"/>
        <v>#N/A</v>
      </c>
    </row>
    <row r="6174" spans="2:6" x14ac:dyDescent="0.25">
      <c r="B6174" s="3"/>
      <c r="C6174" s="3"/>
      <c r="D6174" s="3"/>
      <c r="E6174" s="3" t="e">
        <f t="shared" si="198"/>
        <v>#N/A</v>
      </c>
      <c r="F6174" s="3" t="e">
        <f t="shared" si="199"/>
        <v>#N/A</v>
      </c>
    </row>
    <row r="6175" spans="2:6" x14ac:dyDescent="0.25">
      <c r="B6175" s="3"/>
      <c r="C6175" s="3"/>
      <c r="D6175" s="3"/>
      <c r="E6175" s="3" t="e">
        <f t="shared" si="198"/>
        <v>#N/A</v>
      </c>
      <c r="F6175" s="3" t="e">
        <f t="shared" si="199"/>
        <v>#N/A</v>
      </c>
    </row>
    <row r="6176" spans="2:6" x14ac:dyDescent="0.25">
      <c r="B6176" s="3"/>
      <c r="C6176" s="3"/>
      <c r="D6176" s="3"/>
      <c r="E6176" s="3" t="e">
        <f t="shared" si="198"/>
        <v>#N/A</v>
      </c>
      <c r="F6176" s="3" t="e">
        <f t="shared" si="199"/>
        <v>#N/A</v>
      </c>
    </row>
    <row r="6177" spans="2:6" x14ac:dyDescent="0.25">
      <c r="B6177" s="3"/>
      <c r="C6177" s="3"/>
      <c r="D6177" s="3"/>
      <c r="E6177" s="3" t="e">
        <f t="shared" si="198"/>
        <v>#N/A</v>
      </c>
      <c r="F6177" s="3" t="e">
        <f t="shared" si="199"/>
        <v>#N/A</v>
      </c>
    </row>
    <row r="6178" spans="2:6" x14ac:dyDescent="0.25">
      <c r="B6178" s="3"/>
      <c r="C6178" s="3"/>
      <c r="D6178" s="3"/>
      <c r="E6178" s="3" t="e">
        <f t="shared" si="198"/>
        <v>#N/A</v>
      </c>
      <c r="F6178" s="3" t="e">
        <f t="shared" si="199"/>
        <v>#N/A</v>
      </c>
    </row>
    <row r="6179" spans="2:6" x14ac:dyDescent="0.25">
      <c r="B6179" s="3"/>
      <c r="C6179" s="3"/>
      <c r="D6179" s="3"/>
      <c r="E6179" s="3" t="e">
        <f t="shared" si="198"/>
        <v>#N/A</v>
      </c>
      <c r="F6179" s="3" t="e">
        <f t="shared" si="199"/>
        <v>#N/A</v>
      </c>
    </row>
    <row r="6180" spans="2:6" x14ac:dyDescent="0.25">
      <c r="B6180" s="3"/>
      <c r="C6180" s="3"/>
      <c r="D6180" s="3"/>
      <c r="E6180" s="3" t="e">
        <f t="shared" si="198"/>
        <v>#N/A</v>
      </c>
      <c r="F6180" s="3" t="e">
        <f t="shared" si="199"/>
        <v>#N/A</v>
      </c>
    </row>
    <row r="6181" spans="2:6" x14ac:dyDescent="0.25">
      <c r="B6181" s="3"/>
      <c r="C6181" s="3"/>
      <c r="D6181" s="3"/>
      <c r="E6181" s="3" t="e">
        <f t="shared" si="198"/>
        <v>#N/A</v>
      </c>
      <c r="F6181" s="3" t="e">
        <f t="shared" si="199"/>
        <v>#N/A</v>
      </c>
    </row>
    <row r="6182" spans="2:6" x14ac:dyDescent="0.25">
      <c r="B6182" s="3"/>
      <c r="C6182" s="3"/>
      <c r="D6182" s="3"/>
      <c r="E6182" s="3" t="e">
        <f t="shared" si="198"/>
        <v>#N/A</v>
      </c>
      <c r="F6182" s="3" t="e">
        <f t="shared" si="199"/>
        <v>#N/A</v>
      </c>
    </row>
    <row r="6183" spans="2:6" x14ac:dyDescent="0.25">
      <c r="B6183" s="3"/>
      <c r="C6183" s="3"/>
      <c r="D6183" s="3"/>
      <c r="E6183" s="3" t="e">
        <f t="shared" si="198"/>
        <v>#N/A</v>
      </c>
      <c r="F6183" s="3" t="e">
        <f t="shared" si="199"/>
        <v>#N/A</v>
      </c>
    </row>
    <row r="6184" spans="2:6" x14ac:dyDescent="0.25">
      <c r="B6184" s="3"/>
      <c r="C6184" s="3"/>
      <c r="D6184" s="3"/>
      <c r="E6184" s="3" t="e">
        <f t="shared" si="198"/>
        <v>#N/A</v>
      </c>
      <c r="F6184" s="3" t="e">
        <f t="shared" si="199"/>
        <v>#N/A</v>
      </c>
    </row>
    <row r="6185" spans="2:6" x14ac:dyDescent="0.25">
      <c r="B6185" s="3"/>
      <c r="C6185" s="3"/>
      <c r="D6185" s="3"/>
      <c r="E6185" s="3" t="e">
        <f t="shared" si="198"/>
        <v>#N/A</v>
      </c>
      <c r="F6185" s="3" t="e">
        <f t="shared" si="199"/>
        <v>#N/A</v>
      </c>
    </row>
    <row r="6186" spans="2:6" x14ac:dyDescent="0.25">
      <c r="B6186" s="3"/>
      <c r="C6186" s="3"/>
      <c r="D6186" s="3"/>
      <c r="E6186" s="3" t="e">
        <f t="shared" si="198"/>
        <v>#N/A</v>
      </c>
      <c r="F6186" s="3" t="e">
        <f t="shared" si="199"/>
        <v>#N/A</v>
      </c>
    </row>
    <row r="6187" spans="2:6" x14ac:dyDescent="0.25">
      <c r="B6187" s="3"/>
      <c r="C6187" s="3"/>
      <c r="D6187" s="3"/>
      <c r="E6187" s="3" t="e">
        <f t="shared" si="198"/>
        <v>#N/A</v>
      </c>
      <c r="F6187" s="3" t="e">
        <f t="shared" si="199"/>
        <v>#N/A</v>
      </c>
    </row>
    <row r="6188" spans="2:6" x14ac:dyDescent="0.25">
      <c r="B6188" s="3"/>
      <c r="C6188" s="3"/>
      <c r="D6188" s="3"/>
      <c r="E6188" s="3" t="e">
        <f t="shared" si="198"/>
        <v>#N/A</v>
      </c>
      <c r="F6188" s="3" t="e">
        <f t="shared" si="199"/>
        <v>#N/A</v>
      </c>
    </row>
    <row r="6189" spans="2:6" x14ac:dyDescent="0.25">
      <c r="B6189" s="3"/>
      <c r="C6189" s="3"/>
      <c r="D6189" s="3"/>
      <c r="E6189" s="3" t="e">
        <f t="shared" si="198"/>
        <v>#N/A</v>
      </c>
      <c r="F6189" s="3" t="e">
        <f t="shared" si="199"/>
        <v>#N/A</v>
      </c>
    </row>
    <row r="6190" spans="2:6" x14ac:dyDescent="0.25">
      <c r="B6190" s="3"/>
      <c r="C6190" s="3"/>
      <c r="D6190" s="3"/>
      <c r="E6190" s="3" t="e">
        <f t="shared" si="198"/>
        <v>#N/A</v>
      </c>
      <c r="F6190" s="3" t="e">
        <f t="shared" si="199"/>
        <v>#N/A</v>
      </c>
    </row>
    <row r="6191" spans="2:6" x14ac:dyDescent="0.25">
      <c r="B6191" s="3"/>
      <c r="C6191" s="3"/>
      <c r="D6191" s="3"/>
      <c r="E6191" s="3" t="e">
        <f t="shared" si="198"/>
        <v>#N/A</v>
      </c>
      <c r="F6191" s="3" t="e">
        <f t="shared" si="199"/>
        <v>#N/A</v>
      </c>
    </row>
    <row r="6192" spans="2:6" x14ac:dyDescent="0.25">
      <c r="B6192" s="3"/>
      <c r="C6192" s="3"/>
      <c r="D6192" s="3"/>
      <c r="E6192" s="3" t="e">
        <f t="shared" si="198"/>
        <v>#N/A</v>
      </c>
      <c r="F6192" s="3" t="e">
        <f t="shared" si="199"/>
        <v>#N/A</v>
      </c>
    </row>
    <row r="6193" spans="2:6" x14ac:dyDescent="0.25">
      <c r="B6193" s="3"/>
      <c r="C6193" s="3"/>
      <c r="D6193" s="3"/>
      <c r="E6193" s="3" t="e">
        <f t="shared" si="198"/>
        <v>#N/A</v>
      </c>
      <c r="F6193" s="3" t="e">
        <f t="shared" si="199"/>
        <v>#N/A</v>
      </c>
    </row>
    <row r="6194" spans="2:6" x14ac:dyDescent="0.25">
      <c r="B6194" s="3"/>
      <c r="C6194" s="3"/>
      <c r="D6194" s="3"/>
      <c r="E6194" s="3" t="e">
        <f t="shared" si="198"/>
        <v>#N/A</v>
      </c>
      <c r="F6194" s="3" t="e">
        <f t="shared" si="199"/>
        <v>#N/A</v>
      </c>
    </row>
    <row r="6195" spans="2:6" x14ac:dyDescent="0.25">
      <c r="B6195" s="3"/>
      <c r="C6195" s="3"/>
      <c r="D6195" s="3"/>
      <c r="E6195" s="3" t="e">
        <f t="shared" si="198"/>
        <v>#N/A</v>
      </c>
      <c r="F6195" s="3" t="e">
        <f t="shared" si="199"/>
        <v>#N/A</v>
      </c>
    </row>
    <row r="6196" spans="2:6" x14ac:dyDescent="0.25">
      <c r="B6196" s="3"/>
      <c r="C6196" s="3"/>
      <c r="D6196" s="3"/>
      <c r="E6196" s="3" t="e">
        <f t="shared" si="198"/>
        <v>#N/A</v>
      </c>
      <c r="F6196" s="3" t="e">
        <f t="shared" si="199"/>
        <v>#N/A</v>
      </c>
    </row>
    <row r="6197" spans="2:6" x14ac:dyDescent="0.25">
      <c r="B6197" s="3"/>
      <c r="C6197" s="3"/>
      <c r="D6197" s="3"/>
      <c r="E6197" s="3" t="e">
        <f t="shared" si="198"/>
        <v>#N/A</v>
      </c>
      <c r="F6197" s="3" t="e">
        <f t="shared" si="199"/>
        <v>#N/A</v>
      </c>
    </row>
    <row r="6198" spans="2:6" x14ac:dyDescent="0.25">
      <c r="B6198" s="3"/>
      <c r="C6198" s="3"/>
      <c r="D6198" s="3"/>
      <c r="E6198" s="3" t="e">
        <f t="shared" si="198"/>
        <v>#N/A</v>
      </c>
      <c r="F6198" s="3" t="e">
        <f t="shared" si="199"/>
        <v>#N/A</v>
      </c>
    </row>
    <row r="6199" spans="2:6" x14ac:dyDescent="0.25">
      <c r="B6199" s="3"/>
      <c r="C6199" s="3"/>
      <c r="D6199" s="3"/>
      <c r="E6199" s="3" t="e">
        <f t="shared" si="198"/>
        <v>#N/A</v>
      </c>
      <c r="F6199" s="3" t="e">
        <f t="shared" si="199"/>
        <v>#N/A</v>
      </c>
    </row>
    <row r="6200" spans="2:6" x14ac:dyDescent="0.25">
      <c r="B6200" s="3"/>
      <c r="C6200" s="3"/>
      <c r="D6200" s="3"/>
      <c r="E6200" s="3" t="e">
        <f t="shared" si="198"/>
        <v>#N/A</v>
      </c>
      <c r="F6200" s="3" t="e">
        <f t="shared" si="199"/>
        <v>#N/A</v>
      </c>
    </row>
    <row r="6201" spans="2:6" x14ac:dyDescent="0.25">
      <c r="B6201" s="3"/>
      <c r="C6201" s="3"/>
      <c r="D6201" s="3"/>
      <c r="E6201" s="3" t="e">
        <f t="shared" si="198"/>
        <v>#N/A</v>
      </c>
      <c r="F6201" s="3" t="e">
        <f t="shared" si="199"/>
        <v>#N/A</v>
      </c>
    </row>
    <row r="6202" spans="2:6" x14ac:dyDescent="0.25">
      <c r="B6202" s="3"/>
      <c r="C6202" s="3"/>
      <c r="D6202" s="3"/>
      <c r="E6202" s="3" t="e">
        <f t="shared" si="198"/>
        <v>#N/A</v>
      </c>
      <c r="F6202" s="3" t="e">
        <f t="shared" si="199"/>
        <v>#N/A</v>
      </c>
    </row>
    <row r="6203" spans="2:6" x14ac:dyDescent="0.25">
      <c r="B6203" s="3"/>
      <c r="C6203" s="3"/>
      <c r="D6203" s="3"/>
      <c r="E6203" s="3" t="e">
        <f t="shared" si="198"/>
        <v>#N/A</v>
      </c>
      <c r="F6203" s="3" t="e">
        <f t="shared" si="199"/>
        <v>#N/A</v>
      </c>
    </row>
    <row r="6204" spans="2:6" x14ac:dyDescent="0.25">
      <c r="B6204" s="3"/>
      <c r="C6204" s="3"/>
      <c r="D6204" s="3"/>
      <c r="E6204" s="3" t="e">
        <f t="shared" si="198"/>
        <v>#N/A</v>
      </c>
      <c r="F6204" s="3" t="e">
        <f t="shared" si="199"/>
        <v>#N/A</v>
      </c>
    </row>
    <row r="6205" spans="2:6" x14ac:dyDescent="0.25">
      <c r="B6205" s="3"/>
      <c r="C6205" s="3"/>
      <c r="D6205" s="3"/>
      <c r="E6205" s="3" t="e">
        <f t="shared" si="198"/>
        <v>#N/A</v>
      </c>
      <c r="F6205" s="3" t="e">
        <f t="shared" si="199"/>
        <v>#N/A</v>
      </c>
    </row>
    <row r="6206" spans="2:6" x14ac:dyDescent="0.25">
      <c r="B6206" s="3"/>
      <c r="C6206" s="3"/>
      <c r="D6206" s="3"/>
      <c r="E6206" s="3" t="e">
        <f t="shared" si="198"/>
        <v>#N/A</v>
      </c>
      <c r="F6206" s="3" t="e">
        <f t="shared" si="199"/>
        <v>#N/A</v>
      </c>
    </row>
    <row r="6207" spans="2:6" x14ac:dyDescent="0.25">
      <c r="B6207" s="3"/>
      <c r="C6207" s="3"/>
      <c r="D6207" s="3"/>
      <c r="E6207" s="3" t="e">
        <f t="shared" si="198"/>
        <v>#N/A</v>
      </c>
      <c r="F6207" s="3" t="e">
        <f t="shared" si="199"/>
        <v>#N/A</v>
      </c>
    </row>
    <row r="6208" spans="2:6" x14ac:dyDescent="0.25">
      <c r="B6208" s="3"/>
      <c r="C6208" s="3"/>
      <c r="D6208" s="3"/>
      <c r="E6208" s="3" t="e">
        <f t="shared" si="198"/>
        <v>#N/A</v>
      </c>
      <c r="F6208" s="3" t="e">
        <f t="shared" si="199"/>
        <v>#N/A</v>
      </c>
    </row>
    <row r="6209" spans="2:6" x14ac:dyDescent="0.25">
      <c r="B6209" s="3"/>
      <c r="C6209" s="3"/>
      <c r="D6209" s="3"/>
      <c r="E6209" s="3" t="e">
        <f t="shared" si="198"/>
        <v>#N/A</v>
      </c>
      <c r="F6209" s="3" t="e">
        <f t="shared" si="199"/>
        <v>#N/A</v>
      </c>
    </row>
    <row r="6210" spans="2:6" x14ac:dyDescent="0.25">
      <c r="B6210" s="3"/>
      <c r="C6210" s="3"/>
      <c r="D6210" s="3"/>
      <c r="E6210" s="3" t="e">
        <f t="shared" si="198"/>
        <v>#N/A</v>
      </c>
      <c r="F6210" s="3" t="e">
        <f t="shared" si="199"/>
        <v>#N/A</v>
      </c>
    </row>
    <row r="6211" spans="2:6" x14ac:dyDescent="0.25">
      <c r="B6211" s="3"/>
      <c r="C6211" s="3"/>
      <c r="D6211" s="3"/>
      <c r="E6211" s="3" t="e">
        <f t="shared" si="198"/>
        <v>#N/A</v>
      </c>
      <c r="F6211" s="3" t="e">
        <f t="shared" si="199"/>
        <v>#N/A</v>
      </c>
    </row>
    <row r="6212" spans="2:6" x14ac:dyDescent="0.25">
      <c r="B6212" s="3"/>
      <c r="C6212" s="3"/>
      <c r="D6212" s="3"/>
      <c r="E6212" s="3" t="e">
        <f t="shared" si="198"/>
        <v>#N/A</v>
      </c>
      <c r="F6212" s="3" t="e">
        <f t="shared" si="199"/>
        <v>#N/A</v>
      </c>
    </row>
    <row r="6213" spans="2:6" x14ac:dyDescent="0.25">
      <c r="B6213" s="3"/>
      <c r="C6213" s="3"/>
      <c r="D6213" s="3"/>
      <c r="E6213" s="3" t="e">
        <f t="shared" si="198"/>
        <v>#N/A</v>
      </c>
      <c r="F6213" s="3" t="e">
        <f t="shared" si="199"/>
        <v>#N/A</v>
      </c>
    </row>
    <row r="6214" spans="2:6" x14ac:dyDescent="0.25">
      <c r="B6214" s="3"/>
      <c r="C6214" s="3"/>
      <c r="D6214" s="3"/>
      <c r="E6214" s="3" t="e">
        <f t="shared" si="198"/>
        <v>#N/A</v>
      </c>
      <c r="F6214" s="3" t="e">
        <f t="shared" si="199"/>
        <v>#N/A</v>
      </c>
    </row>
    <row r="6215" spans="2:6" x14ac:dyDescent="0.25">
      <c r="B6215" s="3"/>
      <c r="C6215" s="3"/>
      <c r="D6215" s="3"/>
      <c r="E6215" s="3" t="e">
        <f t="shared" si="198"/>
        <v>#N/A</v>
      </c>
      <c r="F6215" s="3" t="e">
        <f t="shared" si="199"/>
        <v>#N/A</v>
      </c>
    </row>
    <row r="6216" spans="2:6" x14ac:dyDescent="0.25">
      <c r="B6216" s="3"/>
      <c r="C6216" s="3"/>
      <c r="D6216" s="3"/>
      <c r="E6216" s="3" t="e">
        <f t="shared" si="198"/>
        <v>#N/A</v>
      </c>
      <c r="F6216" s="3" t="e">
        <f t="shared" si="199"/>
        <v>#N/A</v>
      </c>
    </row>
    <row r="6217" spans="2:6" x14ac:dyDescent="0.25">
      <c r="B6217" s="3"/>
      <c r="C6217" s="3"/>
      <c r="D6217" s="3"/>
      <c r="E6217" s="3" t="e">
        <f t="shared" si="198"/>
        <v>#N/A</v>
      </c>
      <c r="F6217" s="3" t="e">
        <f t="shared" si="199"/>
        <v>#N/A</v>
      </c>
    </row>
    <row r="6218" spans="2:6" x14ac:dyDescent="0.25">
      <c r="B6218" s="3"/>
      <c r="C6218" s="3"/>
      <c r="D6218" s="3"/>
      <c r="E6218" s="3" t="e">
        <f t="shared" si="198"/>
        <v>#N/A</v>
      </c>
      <c r="F6218" s="3" t="e">
        <f t="shared" si="199"/>
        <v>#N/A</v>
      </c>
    </row>
    <row r="6219" spans="2:6" x14ac:dyDescent="0.25">
      <c r="B6219" s="3"/>
      <c r="C6219" s="3"/>
      <c r="D6219" s="3"/>
      <c r="E6219" s="3" t="e">
        <f t="shared" si="198"/>
        <v>#N/A</v>
      </c>
      <c r="F6219" s="3" t="e">
        <f t="shared" si="199"/>
        <v>#N/A</v>
      </c>
    </row>
    <row r="6220" spans="2:6" x14ac:dyDescent="0.25">
      <c r="B6220" s="3"/>
      <c r="C6220" s="3"/>
      <c r="D6220" s="3"/>
      <c r="E6220" s="3" t="e">
        <f t="shared" si="198"/>
        <v>#N/A</v>
      </c>
      <c r="F6220" s="3" t="e">
        <f t="shared" si="199"/>
        <v>#N/A</v>
      </c>
    </row>
    <row r="6221" spans="2:6" x14ac:dyDescent="0.25">
      <c r="B6221" s="3"/>
      <c r="C6221" s="3"/>
      <c r="D6221" s="3"/>
      <c r="E6221" s="3" t="e">
        <f t="shared" si="198"/>
        <v>#N/A</v>
      </c>
      <c r="F6221" s="3" t="e">
        <f t="shared" si="199"/>
        <v>#N/A</v>
      </c>
    </row>
    <row r="6222" spans="2:6" x14ac:dyDescent="0.25">
      <c r="B6222" s="3"/>
      <c r="C6222" s="3"/>
      <c r="D6222" s="3"/>
      <c r="E6222" s="3" t="e">
        <f t="shared" ref="E6222:E6285" si="200">VLOOKUP(C6222,I:J,2,0)</f>
        <v>#N/A</v>
      </c>
      <c r="F6222" s="3" t="e">
        <f t="shared" ref="F6222:F6285" si="201">E6222&amp;" "&amp;B6222</f>
        <v>#N/A</v>
      </c>
    </row>
    <row r="6223" spans="2:6" x14ac:dyDescent="0.25">
      <c r="B6223" s="3"/>
      <c r="C6223" s="3"/>
      <c r="D6223" s="3"/>
      <c r="E6223" s="3" t="e">
        <f t="shared" si="200"/>
        <v>#N/A</v>
      </c>
      <c r="F6223" s="3" t="e">
        <f t="shared" si="201"/>
        <v>#N/A</v>
      </c>
    </row>
    <row r="6224" spans="2:6" x14ac:dyDescent="0.25">
      <c r="B6224" s="3"/>
      <c r="C6224" s="3"/>
      <c r="D6224" s="3"/>
      <c r="E6224" s="3" t="e">
        <f t="shared" si="200"/>
        <v>#N/A</v>
      </c>
      <c r="F6224" s="3" t="e">
        <f t="shared" si="201"/>
        <v>#N/A</v>
      </c>
    </row>
    <row r="6225" spans="2:6" x14ac:dyDescent="0.25">
      <c r="B6225" s="3"/>
      <c r="C6225" s="3"/>
      <c r="D6225" s="3"/>
      <c r="E6225" s="3" t="e">
        <f t="shared" si="200"/>
        <v>#N/A</v>
      </c>
      <c r="F6225" s="3" t="e">
        <f t="shared" si="201"/>
        <v>#N/A</v>
      </c>
    </row>
    <row r="6226" spans="2:6" x14ac:dyDescent="0.25">
      <c r="B6226" s="3"/>
      <c r="C6226" s="3"/>
      <c r="D6226" s="3"/>
      <c r="E6226" s="3" t="e">
        <f t="shared" si="200"/>
        <v>#N/A</v>
      </c>
      <c r="F6226" s="3" t="e">
        <f t="shared" si="201"/>
        <v>#N/A</v>
      </c>
    </row>
    <row r="6227" spans="2:6" x14ac:dyDescent="0.25">
      <c r="B6227" s="3"/>
      <c r="C6227" s="3"/>
      <c r="D6227" s="3"/>
      <c r="E6227" s="3" t="e">
        <f t="shared" si="200"/>
        <v>#N/A</v>
      </c>
      <c r="F6227" s="3" t="e">
        <f t="shared" si="201"/>
        <v>#N/A</v>
      </c>
    </row>
    <row r="6228" spans="2:6" x14ac:dyDescent="0.25">
      <c r="B6228" s="3"/>
      <c r="C6228" s="3"/>
      <c r="D6228" s="3"/>
      <c r="E6228" s="3" t="e">
        <f t="shared" si="200"/>
        <v>#N/A</v>
      </c>
      <c r="F6228" s="3" t="e">
        <f t="shared" si="201"/>
        <v>#N/A</v>
      </c>
    </row>
    <row r="6229" spans="2:6" x14ac:dyDescent="0.25">
      <c r="B6229" s="3"/>
      <c r="C6229" s="3"/>
      <c r="D6229" s="3"/>
      <c r="E6229" s="3" t="e">
        <f t="shared" si="200"/>
        <v>#N/A</v>
      </c>
      <c r="F6229" s="3" t="e">
        <f t="shared" si="201"/>
        <v>#N/A</v>
      </c>
    </row>
    <row r="6230" spans="2:6" x14ac:dyDescent="0.25">
      <c r="B6230" s="3"/>
      <c r="C6230" s="3"/>
      <c r="D6230" s="3"/>
      <c r="E6230" s="3" t="e">
        <f t="shared" si="200"/>
        <v>#N/A</v>
      </c>
      <c r="F6230" s="3" t="e">
        <f t="shared" si="201"/>
        <v>#N/A</v>
      </c>
    </row>
    <row r="6231" spans="2:6" x14ac:dyDescent="0.25">
      <c r="B6231" s="3"/>
      <c r="C6231" s="3"/>
      <c r="D6231" s="3"/>
      <c r="E6231" s="3" t="e">
        <f t="shared" si="200"/>
        <v>#N/A</v>
      </c>
      <c r="F6231" s="3" t="e">
        <f t="shared" si="201"/>
        <v>#N/A</v>
      </c>
    </row>
    <row r="6232" spans="2:6" x14ac:dyDescent="0.25">
      <c r="B6232" s="3"/>
      <c r="C6232" s="3"/>
      <c r="D6232" s="3"/>
      <c r="E6232" s="3" t="e">
        <f t="shared" si="200"/>
        <v>#N/A</v>
      </c>
      <c r="F6232" s="3" t="e">
        <f t="shared" si="201"/>
        <v>#N/A</v>
      </c>
    </row>
    <row r="6233" spans="2:6" x14ac:dyDescent="0.25">
      <c r="B6233" s="3"/>
      <c r="C6233" s="3"/>
      <c r="D6233" s="3"/>
      <c r="E6233" s="3" t="e">
        <f t="shared" si="200"/>
        <v>#N/A</v>
      </c>
      <c r="F6233" s="3" t="e">
        <f t="shared" si="201"/>
        <v>#N/A</v>
      </c>
    </row>
    <row r="6234" spans="2:6" x14ac:dyDescent="0.25">
      <c r="B6234" s="3"/>
      <c r="C6234" s="3"/>
      <c r="D6234" s="3"/>
      <c r="E6234" s="3" t="e">
        <f t="shared" si="200"/>
        <v>#N/A</v>
      </c>
      <c r="F6234" s="3" t="e">
        <f t="shared" si="201"/>
        <v>#N/A</v>
      </c>
    </row>
    <row r="6235" spans="2:6" x14ac:dyDescent="0.25">
      <c r="B6235" s="3"/>
      <c r="C6235" s="3"/>
      <c r="D6235" s="3"/>
      <c r="E6235" s="3" t="e">
        <f t="shared" si="200"/>
        <v>#N/A</v>
      </c>
      <c r="F6235" s="3" t="e">
        <f t="shared" si="201"/>
        <v>#N/A</v>
      </c>
    </row>
    <row r="6236" spans="2:6" x14ac:dyDescent="0.25">
      <c r="B6236" s="3"/>
      <c r="C6236" s="3"/>
      <c r="D6236" s="3"/>
      <c r="E6236" s="3" t="e">
        <f t="shared" si="200"/>
        <v>#N/A</v>
      </c>
      <c r="F6236" s="3" t="e">
        <f t="shared" si="201"/>
        <v>#N/A</v>
      </c>
    </row>
    <row r="6237" spans="2:6" x14ac:dyDescent="0.25">
      <c r="B6237" s="3"/>
      <c r="C6237" s="3"/>
      <c r="D6237" s="3"/>
      <c r="E6237" s="3" t="e">
        <f t="shared" si="200"/>
        <v>#N/A</v>
      </c>
      <c r="F6237" s="3" t="e">
        <f t="shared" si="201"/>
        <v>#N/A</v>
      </c>
    </row>
    <row r="6238" spans="2:6" x14ac:dyDescent="0.25">
      <c r="B6238" s="3"/>
      <c r="C6238" s="3"/>
      <c r="D6238" s="3"/>
      <c r="E6238" s="3" t="e">
        <f t="shared" si="200"/>
        <v>#N/A</v>
      </c>
      <c r="F6238" s="3" t="e">
        <f t="shared" si="201"/>
        <v>#N/A</v>
      </c>
    </row>
    <row r="6239" spans="2:6" x14ac:dyDescent="0.25">
      <c r="B6239" s="3"/>
      <c r="C6239" s="3"/>
      <c r="D6239" s="3"/>
      <c r="E6239" s="3" t="e">
        <f t="shared" si="200"/>
        <v>#N/A</v>
      </c>
      <c r="F6239" s="3" t="e">
        <f t="shared" si="201"/>
        <v>#N/A</v>
      </c>
    </row>
    <row r="6240" spans="2:6" x14ac:dyDescent="0.25">
      <c r="B6240" s="3"/>
      <c r="C6240" s="3"/>
      <c r="D6240" s="3"/>
      <c r="E6240" s="3" t="e">
        <f t="shared" si="200"/>
        <v>#N/A</v>
      </c>
      <c r="F6240" s="3" t="e">
        <f t="shared" si="201"/>
        <v>#N/A</v>
      </c>
    </row>
    <row r="6241" spans="2:6" x14ac:dyDescent="0.25">
      <c r="B6241" s="3"/>
      <c r="C6241" s="3"/>
      <c r="D6241" s="3"/>
      <c r="E6241" s="3" t="e">
        <f t="shared" si="200"/>
        <v>#N/A</v>
      </c>
      <c r="F6241" s="3" t="e">
        <f t="shared" si="201"/>
        <v>#N/A</v>
      </c>
    </row>
    <row r="6242" spans="2:6" x14ac:dyDescent="0.25">
      <c r="B6242" s="3"/>
      <c r="C6242" s="3"/>
      <c r="D6242" s="3"/>
      <c r="E6242" s="3" t="e">
        <f t="shared" si="200"/>
        <v>#N/A</v>
      </c>
      <c r="F6242" s="3" t="e">
        <f t="shared" si="201"/>
        <v>#N/A</v>
      </c>
    </row>
    <row r="6243" spans="2:6" x14ac:dyDescent="0.25">
      <c r="B6243" s="3"/>
      <c r="C6243" s="3"/>
      <c r="D6243" s="3"/>
      <c r="E6243" s="3" t="e">
        <f t="shared" si="200"/>
        <v>#N/A</v>
      </c>
      <c r="F6243" s="3" t="e">
        <f t="shared" si="201"/>
        <v>#N/A</v>
      </c>
    </row>
    <row r="6244" spans="2:6" x14ac:dyDescent="0.25">
      <c r="B6244" s="3"/>
      <c r="C6244" s="3"/>
      <c r="D6244" s="3"/>
      <c r="E6244" s="3" t="e">
        <f t="shared" si="200"/>
        <v>#N/A</v>
      </c>
      <c r="F6244" s="3" t="e">
        <f t="shared" si="201"/>
        <v>#N/A</v>
      </c>
    </row>
    <row r="6245" spans="2:6" x14ac:dyDescent="0.25">
      <c r="B6245" s="3"/>
      <c r="C6245" s="3"/>
      <c r="D6245" s="3"/>
      <c r="E6245" s="3" t="e">
        <f t="shared" si="200"/>
        <v>#N/A</v>
      </c>
      <c r="F6245" s="3" t="e">
        <f t="shared" si="201"/>
        <v>#N/A</v>
      </c>
    </row>
    <row r="6246" spans="2:6" x14ac:dyDescent="0.25">
      <c r="B6246" s="3"/>
      <c r="C6246" s="3"/>
      <c r="D6246" s="3"/>
      <c r="E6246" s="3" t="e">
        <f t="shared" si="200"/>
        <v>#N/A</v>
      </c>
      <c r="F6246" s="3" t="e">
        <f t="shared" si="201"/>
        <v>#N/A</v>
      </c>
    </row>
    <row r="6247" spans="2:6" x14ac:dyDescent="0.25">
      <c r="B6247" s="3"/>
      <c r="C6247" s="3"/>
      <c r="D6247" s="3"/>
      <c r="E6247" s="3" t="e">
        <f t="shared" si="200"/>
        <v>#N/A</v>
      </c>
      <c r="F6247" s="3" t="e">
        <f t="shared" si="201"/>
        <v>#N/A</v>
      </c>
    </row>
    <row r="6248" spans="2:6" x14ac:dyDescent="0.25">
      <c r="B6248" s="3"/>
      <c r="C6248" s="3"/>
      <c r="D6248" s="3"/>
      <c r="E6248" s="3" t="e">
        <f t="shared" si="200"/>
        <v>#N/A</v>
      </c>
      <c r="F6248" s="3" t="e">
        <f t="shared" si="201"/>
        <v>#N/A</v>
      </c>
    </row>
    <row r="6249" spans="2:6" x14ac:dyDescent="0.25">
      <c r="B6249" s="3"/>
      <c r="C6249" s="3"/>
      <c r="D6249" s="3"/>
      <c r="E6249" s="3" t="e">
        <f t="shared" si="200"/>
        <v>#N/A</v>
      </c>
      <c r="F6249" s="3" t="e">
        <f t="shared" si="201"/>
        <v>#N/A</v>
      </c>
    </row>
    <row r="6250" spans="2:6" x14ac:dyDescent="0.25">
      <c r="B6250" s="3"/>
      <c r="C6250" s="3"/>
      <c r="D6250" s="3"/>
      <c r="E6250" s="3" t="e">
        <f t="shared" si="200"/>
        <v>#N/A</v>
      </c>
      <c r="F6250" s="3" t="e">
        <f t="shared" si="201"/>
        <v>#N/A</v>
      </c>
    </row>
    <row r="6251" spans="2:6" x14ac:dyDescent="0.25">
      <c r="B6251" s="3"/>
      <c r="C6251" s="3"/>
      <c r="D6251" s="3"/>
      <c r="E6251" s="3" t="e">
        <f t="shared" si="200"/>
        <v>#N/A</v>
      </c>
      <c r="F6251" s="3" t="e">
        <f t="shared" si="201"/>
        <v>#N/A</v>
      </c>
    </row>
    <row r="6252" spans="2:6" x14ac:dyDescent="0.25">
      <c r="B6252" s="3"/>
      <c r="C6252" s="3"/>
      <c r="D6252" s="3"/>
      <c r="E6252" s="3" t="e">
        <f t="shared" si="200"/>
        <v>#N/A</v>
      </c>
      <c r="F6252" s="3" t="e">
        <f t="shared" si="201"/>
        <v>#N/A</v>
      </c>
    </row>
    <row r="6253" spans="2:6" x14ac:dyDescent="0.25">
      <c r="B6253" s="3"/>
      <c r="C6253" s="3"/>
      <c r="D6253" s="3"/>
      <c r="E6253" s="3" t="e">
        <f t="shared" si="200"/>
        <v>#N/A</v>
      </c>
      <c r="F6253" s="3" t="e">
        <f t="shared" si="201"/>
        <v>#N/A</v>
      </c>
    </row>
    <row r="6254" spans="2:6" x14ac:dyDescent="0.25">
      <c r="B6254" s="3"/>
      <c r="C6254" s="3"/>
      <c r="D6254" s="3"/>
      <c r="E6254" s="3" t="e">
        <f t="shared" si="200"/>
        <v>#N/A</v>
      </c>
      <c r="F6254" s="3" t="e">
        <f t="shared" si="201"/>
        <v>#N/A</v>
      </c>
    </row>
    <row r="6255" spans="2:6" x14ac:dyDescent="0.25">
      <c r="B6255" s="3"/>
      <c r="C6255" s="3"/>
      <c r="D6255" s="3"/>
      <c r="E6255" s="3" t="e">
        <f t="shared" si="200"/>
        <v>#N/A</v>
      </c>
      <c r="F6255" s="3" t="e">
        <f t="shared" si="201"/>
        <v>#N/A</v>
      </c>
    </row>
    <row r="6256" spans="2:6" x14ac:dyDescent="0.25">
      <c r="B6256" s="3"/>
      <c r="C6256" s="3"/>
      <c r="D6256" s="3"/>
      <c r="E6256" s="3" t="e">
        <f t="shared" si="200"/>
        <v>#N/A</v>
      </c>
      <c r="F6256" s="3" t="e">
        <f t="shared" si="201"/>
        <v>#N/A</v>
      </c>
    </row>
    <row r="6257" spans="2:6" x14ac:dyDescent="0.25">
      <c r="B6257" s="3"/>
      <c r="C6257" s="3"/>
      <c r="D6257" s="3"/>
      <c r="E6257" s="3" t="e">
        <f t="shared" si="200"/>
        <v>#N/A</v>
      </c>
      <c r="F6257" s="3" t="e">
        <f t="shared" si="201"/>
        <v>#N/A</v>
      </c>
    </row>
    <row r="6258" spans="2:6" x14ac:dyDescent="0.25">
      <c r="B6258" s="3"/>
      <c r="C6258" s="3"/>
      <c r="D6258" s="3"/>
      <c r="E6258" s="3" t="e">
        <f t="shared" si="200"/>
        <v>#N/A</v>
      </c>
      <c r="F6258" s="3" t="e">
        <f t="shared" si="201"/>
        <v>#N/A</v>
      </c>
    </row>
    <row r="6259" spans="2:6" x14ac:dyDescent="0.25">
      <c r="B6259" s="3"/>
      <c r="C6259" s="3"/>
      <c r="D6259" s="3"/>
      <c r="E6259" s="3" t="e">
        <f t="shared" si="200"/>
        <v>#N/A</v>
      </c>
      <c r="F6259" s="3" t="e">
        <f t="shared" si="201"/>
        <v>#N/A</v>
      </c>
    </row>
    <row r="6260" spans="2:6" x14ac:dyDescent="0.25">
      <c r="B6260" s="3"/>
      <c r="C6260" s="3"/>
      <c r="D6260" s="3"/>
      <c r="E6260" s="3" t="e">
        <f t="shared" si="200"/>
        <v>#N/A</v>
      </c>
      <c r="F6260" s="3" t="e">
        <f t="shared" si="201"/>
        <v>#N/A</v>
      </c>
    </row>
    <row r="6261" spans="2:6" x14ac:dyDescent="0.25">
      <c r="B6261" s="3"/>
      <c r="C6261" s="3"/>
      <c r="D6261" s="3"/>
      <c r="E6261" s="3" t="e">
        <f t="shared" si="200"/>
        <v>#N/A</v>
      </c>
      <c r="F6261" s="3" t="e">
        <f t="shared" si="201"/>
        <v>#N/A</v>
      </c>
    </row>
    <row r="6262" spans="2:6" x14ac:dyDescent="0.25">
      <c r="B6262" s="3"/>
      <c r="C6262" s="3"/>
      <c r="D6262" s="3"/>
      <c r="E6262" s="3" t="e">
        <f t="shared" si="200"/>
        <v>#N/A</v>
      </c>
      <c r="F6262" s="3" t="e">
        <f t="shared" si="201"/>
        <v>#N/A</v>
      </c>
    </row>
    <row r="6263" spans="2:6" x14ac:dyDescent="0.25">
      <c r="B6263" s="3"/>
      <c r="C6263" s="3"/>
      <c r="D6263" s="3"/>
      <c r="E6263" s="3" t="e">
        <f t="shared" si="200"/>
        <v>#N/A</v>
      </c>
      <c r="F6263" s="3" t="e">
        <f t="shared" si="201"/>
        <v>#N/A</v>
      </c>
    </row>
    <row r="6264" spans="2:6" x14ac:dyDescent="0.25">
      <c r="B6264" s="3"/>
      <c r="C6264" s="3"/>
      <c r="D6264" s="3"/>
      <c r="E6264" s="3" t="e">
        <f t="shared" si="200"/>
        <v>#N/A</v>
      </c>
      <c r="F6264" s="3" t="e">
        <f t="shared" si="201"/>
        <v>#N/A</v>
      </c>
    </row>
    <row r="6265" spans="2:6" x14ac:dyDescent="0.25">
      <c r="B6265" s="3"/>
      <c r="C6265" s="3"/>
      <c r="D6265" s="3"/>
      <c r="E6265" s="3" t="e">
        <f t="shared" si="200"/>
        <v>#N/A</v>
      </c>
      <c r="F6265" s="3" t="e">
        <f t="shared" si="201"/>
        <v>#N/A</v>
      </c>
    </row>
    <row r="6266" spans="2:6" x14ac:dyDescent="0.25">
      <c r="B6266" s="3"/>
      <c r="C6266" s="3"/>
      <c r="D6266" s="3"/>
      <c r="E6266" s="3" t="e">
        <f t="shared" si="200"/>
        <v>#N/A</v>
      </c>
      <c r="F6266" s="3" t="e">
        <f t="shared" si="201"/>
        <v>#N/A</v>
      </c>
    </row>
    <row r="6267" spans="2:6" x14ac:dyDescent="0.25">
      <c r="B6267" s="3"/>
      <c r="C6267" s="3"/>
      <c r="D6267" s="3"/>
      <c r="E6267" s="3" t="e">
        <f t="shared" si="200"/>
        <v>#N/A</v>
      </c>
      <c r="F6267" s="3" t="e">
        <f t="shared" si="201"/>
        <v>#N/A</v>
      </c>
    </row>
    <row r="6268" spans="2:6" x14ac:dyDescent="0.25">
      <c r="B6268" s="3"/>
      <c r="C6268" s="3"/>
      <c r="D6268" s="3"/>
      <c r="E6268" s="3" t="e">
        <f t="shared" si="200"/>
        <v>#N/A</v>
      </c>
      <c r="F6268" s="3" t="e">
        <f t="shared" si="201"/>
        <v>#N/A</v>
      </c>
    </row>
    <row r="6269" spans="2:6" x14ac:dyDescent="0.25">
      <c r="B6269" s="3"/>
      <c r="C6269" s="3"/>
      <c r="D6269" s="3"/>
      <c r="E6269" s="3" t="e">
        <f t="shared" si="200"/>
        <v>#N/A</v>
      </c>
      <c r="F6269" s="3" t="e">
        <f t="shared" si="201"/>
        <v>#N/A</v>
      </c>
    </row>
    <row r="6270" spans="2:6" x14ac:dyDescent="0.25">
      <c r="B6270" s="3"/>
      <c r="C6270" s="3"/>
      <c r="D6270" s="3"/>
      <c r="E6270" s="3" t="e">
        <f t="shared" si="200"/>
        <v>#N/A</v>
      </c>
      <c r="F6270" s="3" t="e">
        <f t="shared" si="201"/>
        <v>#N/A</v>
      </c>
    </row>
    <row r="6271" spans="2:6" x14ac:dyDescent="0.25">
      <c r="B6271" s="3"/>
      <c r="C6271" s="3"/>
      <c r="D6271" s="3"/>
      <c r="E6271" s="3" t="e">
        <f t="shared" si="200"/>
        <v>#N/A</v>
      </c>
      <c r="F6271" s="3" t="e">
        <f t="shared" si="201"/>
        <v>#N/A</v>
      </c>
    </row>
    <row r="6272" spans="2:6" x14ac:dyDescent="0.25">
      <c r="B6272" s="3"/>
      <c r="C6272" s="3"/>
      <c r="D6272" s="3"/>
      <c r="E6272" s="3" t="e">
        <f t="shared" si="200"/>
        <v>#N/A</v>
      </c>
      <c r="F6272" s="3" t="e">
        <f t="shared" si="201"/>
        <v>#N/A</v>
      </c>
    </row>
    <row r="6273" spans="2:6" x14ac:dyDescent="0.25">
      <c r="B6273" s="3"/>
      <c r="C6273" s="3"/>
      <c r="D6273" s="3"/>
      <c r="E6273" s="3" t="e">
        <f t="shared" si="200"/>
        <v>#N/A</v>
      </c>
      <c r="F6273" s="3" t="e">
        <f t="shared" si="201"/>
        <v>#N/A</v>
      </c>
    </row>
    <row r="6274" spans="2:6" x14ac:dyDescent="0.25">
      <c r="B6274" s="3"/>
      <c r="C6274" s="3"/>
      <c r="D6274" s="3"/>
      <c r="E6274" s="3" t="e">
        <f t="shared" si="200"/>
        <v>#N/A</v>
      </c>
      <c r="F6274" s="3" t="e">
        <f t="shared" si="201"/>
        <v>#N/A</v>
      </c>
    </row>
    <row r="6275" spans="2:6" x14ac:dyDescent="0.25">
      <c r="B6275" s="3"/>
      <c r="C6275" s="3"/>
      <c r="D6275" s="3"/>
      <c r="E6275" s="3" t="e">
        <f t="shared" si="200"/>
        <v>#N/A</v>
      </c>
      <c r="F6275" s="3" t="e">
        <f t="shared" si="201"/>
        <v>#N/A</v>
      </c>
    </row>
    <row r="6276" spans="2:6" x14ac:dyDescent="0.25">
      <c r="B6276" s="3"/>
      <c r="C6276" s="3"/>
      <c r="D6276" s="3"/>
      <c r="E6276" s="3" t="e">
        <f t="shared" si="200"/>
        <v>#N/A</v>
      </c>
      <c r="F6276" s="3" t="e">
        <f t="shared" si="201"/>
        <v>#N/A</v>
      </c>
    </row>
    <row r="6277" spans="2:6" x14ac:dyDescent="0.25">
      <c r="B6277" s="3"/>
      <c r="C6277" s="3"/>
      <c r="D6277" s="3"/>
      <c r="E6277" s="3" t="e">
        <f t="shared" si="200"/>
        <v>#N/A</v>
      </c>
      <c r="F6277" s="3" t="e">
        <f t="shared" si="201"/>
        <v>#N/A</v>
      </c>
    </row>
    <row r="6278" spans="2:6" x14ac:dyDescent="0.25">
      <c r="B6278" s="3"/>
      <c r="C6278" s="3"/>
      <c r="D6278" s="3"/>
      <c r="E6278" s="3" t="e">
        <f t="shared" si="200"/>
        <v>#N/A</v>
      </c>
      <c r="F6278" s="3" t="e">
        <f t="shared" si="201"/>
        <v>#N/A</v>
      </c>
    </row>
    <row r="6279" spans="2:6" x14ac:dyDescent="0.25">
      <c r="B6279" s="3"/>
      <c r="C6279" s="3"/>
      <c r="D6279" s="3"/>
      <c r="E6279" s="3" t="e">
        <f t="shared" si="200"/>
        <v>#N/A</v>
      </c>
      <c r="F6279" s="3" t="e">
        <f t="shared" si="201"/>
        <v>#N/A</v>
      </c>
    </row>
    <row r="6280" spans="2:6" x14ac:dyDescent="0.25">
      <c r="B6280" s="3"/>
      <c r="C6280" s="3"/>
      <c r="D6280" s="3"/>
      <c r="E6280" s="3" t="e">
        <f t="shared" si="200"/>
        <v>#N/A</v>
      </c>
      <c r="F6280" s="3" t="e">
        <f t="shared" si="201"/>
        <v>#N/A</v>
      </c>
    </row>
    <row r="6281" spans="2:6" x14ac:dyDescent="0.25">
      <c r="B6281" s="3"/>
      <c r="C6281" s="3"/>
      <c r="D6281" s="3"/>
      <c r="E6281" s="3" t="e">
        <f t="shared" si="200"/>
        <v>#N/A</v>
      </c>
      <c r="F6281" s="3" t="e">
        <f t="shared" si="201"/>
        <v>#N/A</v>
      </c>
    </row>
    <row r="6282" spans="2:6" x14ac:dyDescent="0.25">
      <c r="B6282" s="3"/>
      <c r="C6282" s="3"/>
      <c r="D6282" s="3"/>
      <c r="E6282" s="3" t="e">
        <f t="shared" si="200"/>
        <v>#N/A</v>
      </c>
      <c r="F6282" s="3" t="e">
        <f t="shared" si="201"/>
        <v>#N/A</v>
      </c>
    </row>
    <row r="6283" spans="2:6" x14ac:dyDescent="0.25">
      <c r="B6283" s="3"/>
      <c r="C6283" s="3"/>
      <c r="D6283" s="3"/>
      <c r="E6283" s="3" t="e">
        <f t="shared" si="200"/>
        <v>#N/A</v>
      </c>
      <c r="F6283" s="3" t="e">
        <f t="shared" si="201"/>
        <v>#N/A</v>
      </c>
    </row>
    <row r="6284" spans="2:6" x14ac:dyDescent="0.25">
      <c r="B6284" s="3"/>
      <c r="C6284" s="3"/>
      <c r="D6284" s="3"/>
      <c r="E6284" s="3" t="e">
        <f t="shared" si="200"/>
        <v>#N/A</v>
      </c>
      <c r="F6284" s="3" t="e">
        <f t="shared" si="201"/>
        <v>#N/A</v>
      </c>
    </row>
    <row r="6285" spans="2:6" x14ac:dyDescent="0.25">
      <c r="B6285" s="3"/>
      <c r="C6285" s="3"/>
      <c r="D6285" s="3"/>
      <c r="E6285" s="3" t="e">
        <f t="shared" si="200"/>
        <v>#N/A</v>
      </c>
      <c r="F6285" s="3" t="e">
        <f t="shared" si="201"/>
        <v>#N/A</v>
      </c>
    </row>
    <row r="6286" spans="2:6" x14ac:dyDescent="0.25">
      <c r="B6286" s="3"/>
      <c r="C6286" s="3"/>
      <c r="D6286" s="3"/>
      <c r="E6286" s="3" t="e">
        <f t="shared" ref="E6286:E6349" si="202">VLOOKUP(C6286,I:J,2,0)</f>
        <v>#N/A</v>
      </c>
      <c r="F6286" s="3" t="e">
        <f t="shared" ref="F6286:F6349" si="203">E6286&amp;" "&amp;B6286</f>
        <v>#N/A</v>
      </c>
    </row>
    <row r="6287" spans="2:6" x14ac:dyDescent="0.25">
      <c r="B6287" s="3"/>
      <c r="C6287" s="3"/>
      <c r="D6287" s="3"/>
      <c r="E6287" s="3" t="e">
        <f t="shared" si="202"/>
        <v>#N/A</v>
      </c>
      <c r="F6287" s="3" t="e">
        <f t="shared" si="203"/>
        <v>#N/A</v>
      </c>
    </row>
    <row r="6288" spans="2:6" x14ac:dyDescent="0.25">
      <c r="B6288" s="3"/>
      <c r="C6288" s="3"/>
      <c r="D6288" s="3"/>
      <c r="E6288" s="3" t="e">
        <f t="shared" si="202"/>
        <v>#N/A</v>
      </c>
      <c r="F6288" s="3" t="e">
        <f t="shared" si="203"/>
        <v>#N/A</v>
      </c>
    </row>
    <row r="6289" spans="2:6" x14ac:dyDescent="0.25">
      <c r="B6289" s="3"/>
      <c r="C6289" s="3"/>
      <c r="D6289" s="3"/>
      <c r="E6289" s="3" t="e">
        <f t="shared" si="202"/>
        <v>#N/A</v>
      </c>
      <c r="F6289" s="3" t="e">
        <f t="shared" si="203"/>
        <v>#N/A</v>
      </c>
    </row>
    <row r="6290" spans="2:6" x14ac:dyDescent="0.25">
      <c r="B6290" s="3"/>
      <c r="C6290" s="3"/>
      <c r="D6290" s="3"/>
      <c r="E6290" s="3" t="e">
        <f t="shared" si="202"/>
        <v>#N/A</v>
      </c>
      <c r="F6290" s="3" t="e">
        <f t="shared" si="203"/>
        <v>#N/A</v>
      </c>
    </row>
    <row r="6291" spans="2:6" x14ac:dyDescent="0.25">
      <c r="B6291" s="3"/>
      <c r="C6291" s="3"/>
      <c r="D6291" s="3"/>
      <c r="E6291" s="3" t="e">
        <f t="shared" si="202"/>
        <v>#N/A</v>
      </c>
      <c r="F6291" s="3" t="e">
        <f t="shared" si="203"/>
        <v>#N/A</v>
      </c>
    </row>
    <row r="6292" spans="2:6" x14ac:dyDescent="0.25">
      <c r="B6292" s="3"/>
      <c r="C6292" s="3"/>
      <c r="D6292" s="3"/>
      <c r="E6292" s="3" t="e">
        <f t="shared" si="202"/>
        <v>#N/A</v>
      </c>
      <c r="F6292" s="3" t="e">
        <f t="shared" si="203"/>
        <v>#N/A</v>
      </c>
    </row>
    <row r="6293" spans="2:6" x14ac:dyDescent="0.25">
      <c r="B6293" s="3"/>
      <c r="C6293" s="3"/>
      <c r="D6293" s="3"/>
      <c r="E6293" s="3" t="e">
        <f t="shared" si="202"/>
        <v>#N/A</v>
      </c>
      <c r="F6293" s="3" t="e">
        <f t="shared" si="203"/>
        <v>#N/A</v>
      </c>
    </row>
    <row r="6294" spans="2:6" x14ac:dyDescent="0.25">
      <c r="B6294" s="3"/>
      <c r="C6294" s="3"/>
      <c r="D6294" s="3"/>
      <c r="E6294" s="3" t="e">
        <f t="shared" si="202"/>
        <v>#N/A</v>
      </c>
      <c r="F6294" s="3" t="e">
        <f t="shared" si="203"/>
        <v>#N/A</v>
      </c>
    </row>
    <row r="6295" spans="2:6" x14ac:dyDescent="0.25">
      <c r="B6295" s="3"/>
      <c r="C6295" s="3"/>
      <c r="D6295" s="3"/>
      <c r="E6295" s="3" t="e">
        <f t="shared" si="202"/>
        <v>#N/A</v>
      </c>
      <c r="F6295" s="3" t="e">
        <f t="shared" si="203"/>
        <v>#N/A</v>
      </c>
    </row>
    <row r="6296" spans="2:6" x14ac:dyDescent="0.25">
      <c r="B6296" s="3"/>
      <c r="C6296" s="3"/>
      <c r="D6296" s="3"/>
      <c r="E6296" s="3" t="e">
        <f t="shared" si="202"/>
        <v>#N/A</v>
      </c>
      <c r="F6296" s="3" t="e">
        <f t="shared" si="203"/>
        <v>#N/A</v>
      </c>
    </row>
    <row r="6297" spans="2:6" x14ac:dyDescent="0.25">
      <c r="B6297" s="3"/>
      <c r="C6297" s="3"/>
      <c r="D6297" s="3"/>
      <c r="E6297" s="3" t="e">
        <f t="shared" si="202"/>
        <v>#N/A</v>
      </c>
      <c r="F6297" s="3" t="e">
        <f t="shared" si="203"/>
        <v>#N/A</v>
      </c>
    </row>
    <row r="6298" spans="2:6" x14ac:dyDescent="0.25">
      <c r="B6298" s="3"/>
      <c r="C6298" s="3"/>
      <c r="D6298" s="3"/>
      <c r="E6298" s="3" t="e">
        <f t="shared" si="202"/>
        <v>#N/A</v>
      </c>
      <c r="F6298" s="3" t="e">
        <f t="shared" si="203"/>
        <v>#N/A</v>
      </c>
    </row>
    <row r="6299" spans="2:6" x14ac:dyDescent="0.25">
      <c r="B6299" s="3"/>
      <c r="C6299" s="3"/>
      <c r="D6299" s="3"/>
      <c r="E6299" s="3" t="e">
        <f t="shared" si="202"/>
        <v>#N/A</v>
      </c>
      <c r="F6299" s="3" t="e">
        <f t="shared" si="203"/>
        <v>#N/A</v>
      </c>
    </row>
    <row r="6300" spans="2:6" x14ac:dyDescent="0.25">
      <c r="B6300" s="3"/>
      <c r="C6300" s="3"/>
      <c r="D6300" s="3"/>
      <c r="E6300" s="3" t="e">
        <f t="shared" si="202"/>
        <v>#N/A</v>
      </c>
      <c r="F6300" s="3" t="e">
        <f t="shared" si="203"/>
        <v>#N/A</v>
      </c>
    </row>
    <row r="6301" spans="2:6" x14ac:dyDescent="0.25">
      <c r="B6301" s="3"/>
      <c r="C6301" s="3"/>
      <c r="D6301" s="3"/>
      <c r="E6301" s="3" t="e">
        <f t="shared" si="202"/>
        <v>#N/A</v>
      </c>
      <c r="F6301" s="3" t="e">
        <f t="shared" si="203"/>
        <v>#N/A</v>
      </c>
    </row>
    <row r="6302" spans="2:6" x14ac:dyDescent="0.25">
      <c r="B6302" s="3"/>
      <c r="C6302" s="3"/>
      <c r="D6302" s="3"/>
      <c r="E6302" s="3" t="e">
        <f t="shared" si="202"/>
        <v>#N/A</v>
      </c>
      <c r="F6302" s="3" t="e">
        <f t="shared" si="203"/>
        <v>#N/A</v>
      </c>
    </row>
    <row r="6303" spans="2:6" x14ac:dyDescent="0.25">
      <c r="B6303" s="3"/>
      <c r="C6303" s="3"/>
      <c r="D6303" s="3"/>
      <c r="E6303" s="3" t="e">
        <f t="shared" si="202"/>
        <v>#N/A</v>
      </c>
      <c r="F6303" s="3" t="e">
        <f t="shared" si="203"/>
        <v>#N/A</v>
      </c>
    </row>
    <row r="6304" spans="2:6" x14ac:dyDescent="0.25">
      <c r="B6304" s="3"/>
      <c r="C6304" s="3"/>
      <c r="D6304" s="3"/>
      <c r="E6304" s="3" t="e">
        <f t="shared" si="202"/>
        <v>#N/A</v>
      </c>
      <c r="F6304" s="3" t="e">
        <f t="shared" si="203"/>
        <v>#N/A</v>
      </c>
    </row>
    <row r="6305" spans="2:6" x14ac:dyDescent="0.25">
      <c r="B6305" s="3"/>
      <c r="C6305" s="3"/>
      <c r="D6305" s="3"/>
      <c r="E6305" s="3" t="e">
        <f t="shared" si="202"/>
        <v>#N/A</v>
      </c>
      <c r="F6305" s="3" t="e">
        <f t="shared" si="203"/>
        <v>#N/A</v>
      </c>
    </row>
    <row r="6306" spans="2:6" x14ac:dyDescent="0.25">
      <c r="B6306" s="3"/>
      <c r="C6306" s="3"/>
      <c r="D6306" s="3"/>
      <c r="E6306" s="3" t="e">
        <f t="shared" si="202"/>
        <v>#N/A</v>
      </c>
      <c r="F6306" s="3" t="e">
        <f t="shared" si="203"/>
        <v>#N/A</v>
      </c>
    </row>
    <row r="6307" spans="2:6" x14ac:dyDescent="0.25">
      <c r="B6307" s="3"/>
      <c r="C6307" s="3"/>
      <c r="D6307" s="3"/>
      <c r="E6307" s="3" t="e">
        <f t="shared" si="202"/>
        <v>#N/A</v>
      </c>
      <c r="F6307" s="3" t="e">
        <f t="shared" si="203"/>
        <v>#N/A</v>
      </c>
    </row>
    <row r="6308" spans="2:6" x14ac:dyDescent="0.25">
      <c r="B6308" s="3"/>
      <c r="C6308" s="3"/>
      <c r="D6308" s="3"/>
      <c r="E6308" s="3" t="e">
        <f t="shared" si="202"/>
        <v>#N/A</v>
      </c>
      <c r="F6308" s="3" t="e">
        <f t="shared" si="203"/>
        <v>#N/A</v>
      </c>
    </row>
    <row r="6309" spans="2:6" x14ac:dyDescent="0.25">
      <c r="B6309" s="3"/>
      <c r="C6309" s="3"/>
      <c r="D6309" s="3"/>
      <c r="E6309" s="3" t="e">
        <f t="shared" si="202"/>
        <v>#N/A</v>
      </c>
      <c r="F6309" s="3" t="e">
        <f t="shared" si="203"/>
        <v>#N/A</v>
      </c>
    </row>
    <row r="6310" spans="2:6" x14ac:dyDescent="0.25">
      <c r="B6310" s="3"/>
      <c r="C6310" s="3"/>
      <c r="D6310" s="3"/>
      <c r="E6310" s="3" t="e">
        <f t="shared" si="202"/>
        <v>#N/A</v>
      </c>
      <c r="F6310" s="3" t="e">
        <f t="shared" si="203"/>
        <v>#N/A</v>
      </c>
    </row>
    <row r="6311" spans="2:6" x14ac:dyDescent="0.25">
      <c r="B6311" s="3"/>
      <c r="C6311" s="3"/>
      <c r="D6311" s="3"/>
      <c r="E6311" s="3" t="e">
        <f t="shared" si="202"/>
        <v>#N/A</v>
      </c>
      <c r="F6311" s="3" t="e">
        <f t="shared" si="203"/>
        <v>#N/A</v>
      </c>
    </row>
    <row r="6312" spans="2:6" x14ac:dyDescent="0.25">
      <c r="B6312" s="3"/>
      <c r="C6312" s="3"/>
      <c r="D6312" s="3"/>
      <c r="E6312" s="3" t="e">
        <f t="shared" si="202"/>
        <v>#N/A</v>
      </c>
      <c r="F6312" s="3" t="e">
        <f t="shared" si="203"/>
        <v>#N/A</v>
      </c>
    </row>
    <row r="6313" spans="2:6" x14ac:dyDescent="0.25">
      <c r="B6313" s="3"/>
      <c r="C6313" s="3"/>
      <c r="D6313" s="3"/>
      <c r="E6313" s="3" t="e">
        <f t="shared" si="202"/>
        <v>#N/A</v>
      </c>
      <c r="F6313" s="3" t="e">
        <f t="shared" si="203"/>
        <v>#N/A</v>
      </c>
    </row>
    <row r="6314" spans="2:6" x14ac:dyDescent="0.25">
      <c r="B6314" s="3"/>
      <c r="C6314" s="3"/>
      <c r="D6314" s="3"/>
      <c r="E6314" s="3" t="e">
        <f t="shared" si="202"/>
        <v>#N/A</v>
      </c>
      <c r="F6314" s="3" t="e">
        <f t="shared" si="203"/>
        <v>#N/A</v>
      </c>
    </row>
    <row r="6315" spans="2:6" x14ac:dyDescent="0.25">
      <c r="B6315" s="3"/>
      <c r="C6315" s="3"/>
      <c r="D6315" s="3"/>
      <c r="E6315" s="3" t="e">
        <f t="shared" si="202"/>
        <v>#N/A</v>
      </c>
      <c r="F6315" s="3" t="e">
        <f t="shared" si="203"/>
        <v>#N/A</v>
      </c>
    </row>
    <row r="6316" spans="2:6" x14ac:dyDescent="0.25">
      <c r="B6316" s="3"/>
      <c r="C6316" s="3"/>
      <c r="D6316" s="3"/>
      <c r="E6316" s="3" t="e">
        <f t="shared" si="202"/>
        <v>#N/A</v>
      </c>
      <c r="F6316" s="3" t="e">
        <f t="shared" si="203"/>
        <v>#N/A</v>
      </c>
    </row>
    <row r="6317" spans="2:6" x14ac:dyDescent="0.25">
      <c r="B6317" s="3"/>
      <c r="C6317" s="3"/>
      <c r="D6317" s="3"/>
      <c r="E6317" s="3" t="e">
        <f t="shared" si="202"/>
        <v>#N/A</v>
      </c>
      <c r="F6317" s="3" t="e">
        <f t="shared" si="203"/>
        <v>#N/A</v>
      </c>
    </row>
    <row r="6318" spans="2:6" x14ac:dyDescent="0.25">
      <c r="B6318" s="3"/>
      <c r="C6318" s="3"/>
      <c r="D6318" s="3"/>
      <c r="E6318" s="3" t="e">
        <f t="shared" si="202"/>
        <v>#N/A</v>
      </c>
      <c r="F6318" s="3" t="e">
        <f t="shared" si="203"/>
        <v>#N/A</v>
      </c>
    </row>
    <row r="6319" spans="2:6" x14ac:dyDescent="0.25">
      <c r="B6319" s="3"/>
      <c r="C6319" s="3"/>
      <c r="D6319" s="3"/>
      <c r="E6319" s="3" t="e">
        <f t="shared" si="202"/>
        <v>#N/A</v>
      </c>
      <c r="F6319" s="3" t="e">
        <f t="shared" si="203"/>
        <v>#N/A</v>
      </c>
    </row>
    <row r="6320" spans="2:6" x14ac:dyDescent="0.25">
      <c r="B6320" s="3"/>
      <c r="C6320" s="3"/>
      <c r="D6320" s="3"/>
      <c r="E6320" s="3" t="e">
        <f t="shared" si="202"/>
        <v>#N/A</v>
      </c>
      <c r="F6320" s="3" t="e">
        <f t="shared" si="203"/>
        <v>#N/A</v>
      </c>
    </row>
    <row r="6321" spans="2:6" x14ac:dyDescent="0.25">
      <c r="B6321" s="3"/>
      <c r="C6321" s="3"/>
      <c r="D6321" s="3"/>
      <c r="E6321" s="3" t="e">
        <f t="shared" si="202"/>
        <v>#N/A</v>
      </c>
      <c r="F6321" s="3" t="e">
        <f t="shared" si="203"/>
        <v>#N/A</v>
      </c>
    </row>
    <row r="6322" spans="2:6" x14ac:dyDescent="0.25">
      <c r="B6322" s="3"/>
      <c r="C6322" s="3"/>
      <c r="D6322" s="3"/>
      <c r="E6322" s="3" t="e">
        <f t="shared" si="202"/>
        <v>#N/A</v>
      </c>
      <c r="F6322" s="3" t="e">
        <f t="shared" si="203"/>
        <v>#N/A</v>
      </c>
    </row>
    <row r="6323" spans="2:6" x14ac:dyDescent="0.25">
      <c r="B6323" s="3"/>
      <c r="C6323" s="3"/>
      <c r="D6323" s="3"/>
      <c r="E6323" s="3" t="e">
        <f t="shared" si="202"/>
        <v>#N/A</v>
      </c>
      <c r="F6323" s="3" t="e">
        <f t="shared" si="203"/>
        <v>#N/A</v>
      </c>
    </row>
    <row r="6324" spans="2:6" x14ac:dyDescent="0.25">
      <c r="B6324" s="3"/>
      <c r="C6324" s="3"/>
      <c r="D6324" s="3"/>
      <c r="E6324" s="3" t="e">
        <f t="shared" si="202"/>
        <v>#N/A</v>
      </c>
      <c r="F6324" s="3" t="e">
        <f t="shared" si="203"/>
        <v>#N/A</v>
      </c>
    </row>
    <row r="6325" spans="2:6" x14ac:dyDescent="0.25">
      <c r="B6325" s="3"/>
      <c r="C6325" s="3"/>
      <c r="D6325" s="3"/>
      <c r="E6325" s="3" t="e">
        <f t="shared" si="202"/>
        <v>#N/A</v>
      </c>
      <c r="F6325" s="3" t="e">
        <f t="shared" si="203"/>
        <v>#N/A</v>
      </c>
    </row>
    <row r="6326" spans="2:6" x14ac:dyDescent="0.25">
      <c r="B6326" s="3"/>
      <c r="C6326" s="3"/>
      <c r="D6326" s="3"/>
      <c r="E6326" s="3" t="e">
        <f t="shared" si="202"/>
        <v>#N/A</v>
      </c>
      <c r="F6326" s="3" t="e">
        <f t="shared" si="203"/>
        <v>#N/A</v>
      </c>
    </row>
    <row r="6327" spans="2:6" x14ac:dyDescent="0.25">
      <c r="B6327" s="3"/>
      <c r="C6327" s="3"/>
      <c r="D6327" s="3"/>
      <c r="E6327" s="3" t="e">
        <f t="shared" si="202"/>
        <v>#N/A</v>
      </c>
      <c r="F6327" s="3" t="e">
        <f t="shared" si="203"/>
        <v>#N/A</v>
      </c>
    </row>
    <row r="6328" spans="2:6" x14ac:dyDescent="0.25">
      <c r="B6328" s="3"/>
      <c r="C6328" s="3"/>
      <c r="D6328" s="3"/>
      <c r="E6328" s="3" t="e">
        <f t="shared" si="202"/>
        <v>#N/A</v>
      </c>
      <c r="F6328" s="3" t="e">
        <f t="shared" si="203"/>
        <v>#N/A</v>
      </c>
    </row>
    <row r="6329" spans="2:6" x14ac:dyDescent="0.25">
      <c r="B6329" s="3"/>
      <c r="C6329" s="3"/>
      <c r="D6329" s="3"/>
      <c r="E6329" s="3" t="e">
        <f t="shared" si="202"/>
        <v>#N/A</v>
      </c>
      <c r="F6329" s="3" t="e">
        <f t="shared" si="203"/>
        <v>#N/A</v>
      </c>
    </row>
    <row r="6330" spans="2:6" x14ac:dyDescent="0.25">
      <c r="B6330" s="3"/>
      <c r="C6330" s="3"/>
      <c r="D6330" s="3"/>
      <c r="E6330" s="3" t="e">
        <f t="shared" si="202"/>
        <v>#N/A</v>
      </c>
      <c r="F6330" s="3" t="e">
        <f t="shared" si="203"/>
        <v>#N/A</v>
      </c>
    </row>
    <row r="6331" spans="2:6" x14ac:dyDescent="0.25">
      <c r="B6331" s="3"/>
      <c r="C6331" s="3"/>
      <c r="D6331" s="3"/>
      <c r="E6331" s="3" t="e">
        <f t="shared" si="202"/>
        <v>#N/A</v>
      </c>
      <c r="F6331" s="3" t="e">
        <f t="shared" si="203"/>
        <v>#N/A</v>
      </c>
    </row>
    <row r="6332" spans="2:6" x14ac:dyDescent="0.25">
      <c r="B6332" s="3"/>
      <c r="C6332" s="3"/>
      <c r="D6332" s="3"/>
      <c r="E6332" s="3" t="e">
        <f t="shared" si="202"/>
        <v>#N/A</v>
      </c>
      <c r="F6332" s="3" t="e">
        <f t="shared" si="203"/>
        <v>#N/A</v>
      </c>
    </row>
    <row r="6333" spans="2:6" x14ac:dyDescent="0.25">
      <c r="B6333" s="3"/>
      <c r="C6333" s="3"/>
      <c r="D6333" s="3"/>
      <c r="E6333" s="3" t="e">
        <f t="shared" si="202"/>
        <v>#N/A</v>
      </c>
      <c r="F6333" s="3" t="e">
        <f t="shared" si="203"/>
        <v>#N/A</v>
      </c>
    </row>
    <row r="6334" spans="2:6" x14ac:dyDescent="0.25">
      <c r="B6334" s="3"/>
      <c r="C6334" s="3"/>
      <c r="D6334" s="3"/>
      <c r="E6334" s="3" t="e">
        <f t="shared" si="202"/>
        <v>#N/A</v>
      </c>
      <c r="F6334" s="3" t="e">
        <f t="shared" si="203"/>
        <v>#N/A</v>
      </c>
    </row>
    <row r="6335" spans="2:6" x14ac:dyDescent="0.25">
      <c r="B6335" s="3"/>
      <c r="C6335" s="3"/>
      <c r="D6335" s="3"/>
      <c r="E6335" s="3" t="e">
        <f t="shared" si="202"/>
        <v>#N/A</v>
      </c>
      <c r="F6335" s="3" t="e">
        <f t="shared" si="203"/>
        <v>#N/A</v>
      </c>
    </row>
    <row r="6336" spans="2:6" x14ac:dyDescent="0.25">
      <c r="B6336" s="3"/>
      <c r="C6336" s="3"/>
      <c r="D6336" s="3"/>
      <c r="E6336" s="3" t="e">
        <f t="shared" si="202"/>
        <v>#N/A</v>
      </c>
      <c r="F6336" s="3" t="e">
        <f t="shared" si="203"/>
        <v>#N/A</v>
      </c>
    </row>
    <row r="6337" spans="2:6" x14ac:dyDescent="0.25">
      <c r="B6337" s="3"/>
      <c r="C6337" s="3"/>
      <c r="D6337" s="3"/>
      <c r="E6337" s="3" t="e">
        <f t="shared" si="202"/>
        <v>#N/A</v>
      </c>
      <c r="F6337" s="3" t="e">
        <f t="shared" si="203"/>
        <v>#N/A</v>
      </c>
    </row>
    <row r="6338" spans="2:6" x14ac:dyDescent="0.25">
      <c r="B6338" s="3"/>
      <c r="C6338" s="3"/>
      <c r="D6338" s="3"/>
      <c r="E6338" s="3" t="e">
        <f t="shared" si="202"/>
        <v>#N/A</v>
      </c>
      <c r="F6338" s="3" t="e">
        <f t="shared" si="203"/>
        <v>#N/A</v>
      </c>
    </row>
    <row r="6339" spans="2:6" x14ac:dyDescent="0.25">
      <c r="B6339" s="3"/>
      <c r="C6339" s="3"/>
      <c r="D6339" s="3"/>
      <c r="E6339" s="3" t="e">
        <f t="shared" si="202"/>
        <v>#N/A</v>
      </c>
      <c r="F6339" s="3" t="e">
        <f t="shared" si="203"/>
        <v>#N/A</v>
      </c>
    </row>
    <row r="6340" spans="2:6" x14ac:dyDescent="0.25">
      <c r="B6340" s="3"/>
      <c r="C6340" s="3"/>
      <c r="D6340" s="3"/>
      <c r="E6340" s="3" t="e">
        <f t="shared" si="202"/>
        <v>#N/A</v>
      </c>
      <c r="F6340" s="3" t="e">
        <f t="shared" si="203"/>
        <v>#N/A</v>
      </c>
    </row>
    <row r="6341" spans="2:6" x14ac:dyDescent="0.25">
      <c r="B6341" s="3"/>
      <c r="C6341" s="3"/>
      <c r="D6341" s="3"/>
      <c r="E6341" s="3" t="e">
        <f t="shared" si="202"/>
        <v>#N/A</v>
      </c>
      <c r="F6341" s="3" t="e">
        <f t="shared" si="203"/>
        <v>#N/A</v>
      </c>
    </row>
    <row r="6342" spans="2:6" x14ac:dyDescent="0.25">
      <c r="B6342" s="3"/>
      <c r="C6342" s="3"/>
      <c r="D6342" s="3"/>
      <c r="E6342" s="3" t="e">
        <f t="shared" si="202"/>
        <v>#N/A</v>
      </c>
      <c r="F6342" s="3" t="e">
        <f t="shared" si="203"/>
        <v>#N/A</v>
      </c>
    </row>
    <row r="6343" spans="2:6" x14ac:dyDescent="0.25">
      <c r="B6343" s="3"/>
      <c r="C6343" s="3"/>
      <c r="D6343" s="3"/>
      <c r="E6343" s="3" t="e">
        <f t="shared" si="202"/>
        <v>#N/A</v>
      </c>
      <c r="F6343" s="3" t="e">
        <f t="shared" si="203"/>
        <v>#N/A</v>
      </c>
    </row>
    <row r="6344" spans="2:6" x14ac:dyDescent="0.25">
      <c r="B6344" s="3"/>
      <c r="C6344" s="3"/>
      <c r="D6344" s="3"/>
      <c r="E6344" s="3" t="e">
        <f t="shared" si="202"/>
        <v>#N/A</v>
      </c>
      <c r="F6344" s="3" t="e">
        <f t="shared" si="203"/>
        <v>#N/A</v>
      </c>
    </row>
    <row r="6345" spans="2:6" x14ac:dyDescent="0.25">
      <c r="B6345" s="3"/>
      <c r="C6345" s="3"/>
      <c r="D6345" s="3"/>
      <c r="E6345" s="3" t="e">
        <f t="shared" si="202"/>
        <v>#N/A</v>
      </c>
      <c r="F6345" s="3" t="e">
        <f t="shared" si="203"/>
        <v>#N/A</v>
      </c>
    </row>
    <row r="6346" spans="2:6" x14ac:dyDescent="0.25">
      <c r="B6346" s="3"/>
      <c r="C6346" s="3"/>
      <c r="D6346" s="3"/>
      <c r="E6346" s="3" t="e">
        <f t="shared" si="202"/>
        <v>#N/A</v>
      </c>
      <c r="F6346" s="3" t="e">
        <f t="shared" si="203"/>
        <v>#N/A</v>
      </c>
    </row>
    <row r="6347" spans="2:6" x14ac:dyDescent="0.25">
      <c r="B6347" s="3"/>
      <c r="C6347" s="3"/>
      <c r="D6347" s="3"/>
      <c r="E6347" s="3" t="e">
        <f t="shared" si="202"/>
        <v>#N/A</v>
      </c>
      <c r="F6347" s="3" t="e">
        <f t="shared" si="203"/>
        <v>#N/A</v>
      </c>
    </row>
    <row r="6348" spans="2:6" x14ac:dyDescent="0.25">
      <c r="B6348" s="3"/>
      <c r="C6348" s="3"/>
      <c r="D6348" s="3"/>
      <c r="E6348" s="3" t="e">
        <f t="shared" si="202"/>
        <v>#N/A</v>
      </c>
      <c r="F6348" s="3" t="e">
        <f t="shared" si="203"/>
        <v>#N/A</v>
      </c>
    </row>
    <row r="6349" spans="2:6" x14ac:dyDescent="0.25">
      <c r="B6349" s="3"/>
      <c r="C6349" s="3"/>
      <c r="D6349" s="3"/>
      <c r="E6349" s="3" t="e">
        <f t="shared" si="202"/>
        <v>#N/A</v>
      </c>
      <c r="F6349" s="3" t="e">
        <f t="shared" si="203"/>
        <v>#N/A</v>
      </c>
    </row>
    <row r="6350" spans="2:6" x14ac:dyDescent="0.25">
      <c r="B6350" s="3"/>
      <c r="C6350" s="3"/>
      <c r="D6350" s="3"/>
      <c r="E6350" s="3" t="e">
        <f t="shared" ref="E6350:E6413" si="204">VLOOKUP(C6350,I:J,2,0)</f>
        <v>#N/A</v>
      </c>
      <c r="F6350" s="3" t="e">
        <f t="shared" ref="F6350:F6413" si="205">E6350&amp;" "&amp;B6350</f>
        <v>#N/A</v>
      </c>
    </row>
    <row r="6351" spans="2:6" x14ac:dyDescent="0.25">
      <c r="B6351" s="3"/>
      <c r="C6351" s="3"/>
      <c r="D6351" s="3"/>
      <c r="E6351" s="3" t="e">
        <f t="shared" si="204"/>
        <v>#N/A</v>
      </c>
      <c r="F6351" s="3" t="e">
        <f t="shared" si="205"/>
        <v>#N/A</v>
      </c>
    </row>
    <row r="6352" spans="2:6" x14ac:dyDescent="0.25">
      <c r="B6352" s="3"/>
      <c r="C6352" s="3"/>
      <c r="D6352" s="3"/>
      <c r="E6352" s="3" t="e">
        <f t="shared" si="204"/>
        <v>#N/A</v>
      </c>
      <c r="F6352" s="3" t="e">
        <f t="shared" si="205"/>
        <v>#N/A</v>
      </c>
    </row>
    <row r="6353" spans="2:6" x14ac:dyDescent="0.25">
      <c r="B6353" s="3"/>
      <c r="C6353" s="3"/>
      <c r="D6353" s="3"/>
      <c r="E6353" s="3" t="e">
        <f t="shared" si="204"/>
        <v>#N/A</v>
      </c>
      <c r="F6353" s="3" t="e">
        <f t="shared" si="205"/>
        <v>#N/A</v>
      </c>
    </row>
    <row r="6354" spans="2:6" x14ac:dyDescent="0.25">
      <c r="B6354" s="3"/>
      <c r="C6354" s="3"/>
      <c r="D6354" s="3"/>
      <c r="E6354" s="3" t="e">
        <f t="shared" si="204"/>
        <v>#N/A</v>
      </c>
      <c r="F6354" s="3" t="e">
        <f t="shared" si="205"/>
        <v>#N/A</v>
      </c>
    </row>
    <row r="6355" spans="2:6" x14ac:dyDescent="0.25">
      <c r="B6355" s="3"/>
      <c r="C6355" s="3"/>
      <c r="D6355" s="3"/>
      <c r="E6355" s="3" t="e">
        <f t="shared" si="204"/>
        <v>#N/A</v>
      </c>
      <c r="F6355" s="3" t="e">
        <f t="shared" si="205"/>
        <v>#N/A</v>
      </c>
    </row>
    <row r="6356" spans="2:6" x14ac:dyDescent="0.25">
      <c r="B6356" s="3"/>
      <c r="C6356" s="3"/>
      <c r="D6356" s="3"/>
      <c r="E6356" s="3" t="e">
        <f t="shared" si="204"/>
        <v>#N/A</v>
      </c>
      <c r="F6356" s="3" t="e">
        <f t="shared" si="205"/>
        <v>#N/A</v>
      </c>
    </row>
    <row r="6357" spans="2:6" x14ac:dyDescent="0.25">
      <c r="B6357" s="3"/>
      <c r="C6357" s="3"/>
      <c r="D6357" s="3"/>
      <c r="E6357" s="3" t="e">
        <f t="shared" si="204"/>
        <v>#N/A</v>
      </c>
      <c r="F6357" s="3" t="e">
        <f t="shared" si="205"/>
        <v>#N/A</v>
      </c>
    </row>
    <row r="6358" spans="2:6" x14ac:dyDescent="0.25">
      <c r="B6358" s="3"/>
      <c r="C6358" s="3"/>
      <c r="D6358" s="3"/>
      <c r="E6358" s="3" t="e">
        <f t="shared" si="204"/>
        <v>#N/A</v>
      </c>
      <c r="F6358" s="3" t="e">
        <f t="shared" si="205"/>
        <v>#N/A</v>
      </c>
    </row>
    <row r="6359" spans="2:6" x14ac:dyDescent="0.25">
      <c r="B6359" s="3"/>
      <c r="C6359" s="3"/>
      <c r="D6359" s="3"/>
      <c r="E6359" s="3" t="e">
        <f t="shared" si="204"/>
        <v>#N/A</v>
      </c>
      <c r="F6359" s="3" t="e">
        <f t="shared" si="205"/>
        <v>#N/A</v>
      </c>
    </row>
    <row r="6360" spans="2:6" x14ac:dyDescent="0.25">
      <c r="B6360" s="3"/>
      <c r="C6360" s="3"/>
      <c r="D6360" s="3"/>
      <c r="E6360" s="3" t="e">
        <f t="shared" si="204"/>
        <v>#N/A</v>
      </c>
      <c r="F6360" s="3" t="e">
        <f t="shared" si="205"/>
        <v>#N/A</v>
      </c>
    </row>
    <row r="6361" spans="2:6" x14ac:dyDescent="0.25">
      <c r="B6361" s="3"/>
      <c r="C6361" s="3"/>
      <c r="D6361" s="3"/>
      <c r="E6361" s="3" t="e">
        <f t="shared" si="204"/>
        <v>#N/A</v>
      </c>
      <c r="F6361" s="3" t="e">
        <f t="shared" si="205"/>
        <v>#N/A</v>
      </c>
    </row>
    <row r="6362" spans="2:6" x14ac:dyDescent="0.25">
      <c r="B6362" s="3"/>
      <c r="C6362" s="3"/>
      <c r="D6362" s="3"/>
      <c r="E6362" s="3" t="e">
        <f t="shared" si="204"/>
        <v>#N/A</v>
      </c>
      <c r="F6362" s="3" t="e">
        <f t="shared" si="205"/>
        <v>#N/A</v>
      </c>
    </row>
    <row r="6363" spans="2:6" x14ac:dyDescent="0.25">
      <c r="B6363" s="3"/>
      <c r="C6363" s="3"/>
      <c r="D6363" s="3"/>
      <c r="E6363" s="3" t="e">
        <f t="shared" si="204"/>
        <v>#N/A</v>
      </c>
      <c r="F6363" s="3" t="e">
        <f t="shared" si="205"/>
        <v>#N/A</v>
      </c>
    </row>
    <row r="6364" spans="2:6" x14ac:dyDescent="0.25">
      <c r="B6364" s="3"/>
      <c r="C6364" s="3"/>
      <c r="D6364" s="3"/>
      <c r="E6364" s="3" t="e">
        <f t="shared" si="204"/>
        <v>#N/A</v>
      </c>
      <c r="F6364" s="3" t="e">
        <f t="shared" si="205"/>
        <v>#N/A</v>
      </c>
    </row>
    <row r="6365" spans="2:6" x14ac:dyDescent="0.25">
      <c r="B6365" s="3"/>
      <c r="C6365" s="3"/>
      <c r="D6365" s="3"/>
      <c r="E6365" s="3" t="e">
        <f t="shared" si="204"/>
        <v>#N/A</v>
      </c>
      <c r="F6365" s="3" t="e">
        <f t="shared" si="205"/>
        <v>#N/A</v>
      </c>
    </row>
    <row r="6366" spans="2:6" x14ac:dyDescent="0.25">
      <c r="B6366" s="3"/>
      <c r="C6366" s="3"/>
      <c r="D6366" s="3"/>
      <c r="E6366" s="3" t="e">
        <f t="shared" si="204"/>
        <v>#N/A</v>
      </c>
      <c r="F6366" s="3" t="e">
        <f t="shared" si="205"/>
        <v>#N/A</v>
      </c>
    </row>
    <row r="6367" spans="2:6" x14ac:dyDescent="0.25">
      <c r="B6367" s="3"/>
      <c r="C6367" s="3"/>
      <c r="D6367" s="3"/>
      <c r="E6367" s="3" t="e">
        <f t="shared" si="204"/>
        <v>#N/A</v>
      </c>
      <c r="F6367" s="3" t="e">
        <f t="shared" si="205"/>
        <v>#N/A</v>
      </c>
    </row>
    <row r="6368" spans="2:6" x14ac:dyDescent="0.25">
      <c r="B6368" s="3"/>
      <c r="C6368" s="3"/>
      <c r="D6368" s="3"/>
      <c r="E6368" s="3" t="e">
        <f t="shared" si="204"/>
        <v>#N/A</v>
      </c>
      <c r="F6368" s="3" t="e">
        <f t="shared" si="205"/>
        <v>#N/A</v>
      </c>
    </row>
    <row r="6369" spans="2:6" x14ac:dyDescent="0.25">
      <c r="B6369" s="3"/>
      <c r="C6369" s="3"/>
      <c r="D6369" s="3"/>
      <c r="E6369" s="3" t="e">
        <f t="shared" si="204"/>
        <v>#N/A</v>
      </c>
      <c r="F6369" s="3" t="e">
        <f t="shared" si="205"/>
        <v>#N/A</v>
      </c>
    </row>
    <row r="6370" spans="2:6" x14ac:dyDescent="0.25">
      <c r="B6370" s="3"/>
      <c r="C6370" s="3"/>
      <c r="D6370" s="3"/>
      <c r="E6370" s="3" t="e">
        <f t="shared" si="204"/>
        <v>#N/A</v>
      </c>
      <c r="F6370" s="3" t="e">
        <f t="shared" si="205"/>
        <v>#N/A</v>
      </c>
    </row>
    <row r="6371" spans="2:6" x14ac:dyDescent="0.25">
      <c r="B6371" s="3"/>
      <c r="C6371" s="3"/>
      <c r="D6371" s="3"/>
      <c r="E6371" s="3" t="e">
        <f t="shared" si="204"/>
        <v>#N/A</v>
      </c>
      <c r="F6371" s="3" t="e">
        <f t="shared" si="205"/>
        <v>#N/A</v>
      </c>
    </row>
    <row r="6372" spans="2:6" x14ac:dyDescent="0.25">
      <c r="B6372" s="3"/>
      <c r="C6372" s="3"/>
      <c r="D6372" s="3"/>
      <c r="E6372" s="3" t="e">
        <f t="shared" si="204"/>
        <v>#N/A</v>
      </c>
      <c r="F6372" s="3" t="e">
        <f t="shared" si="205"/>
        <v>#N/A</v>
      </c>
    </row>
    <row r="6373" spans="2:6" x14ac:dyDescent="0.25">
      <c r="B6373" s="3"/>
      <c r="C6373" s="3"/>
      <c r="D6373" s="3"/>
      <c r="E6373" s="3" t="e">
        <f t="shared" si="204"/>
        <v>#N/A</v>
      </c>
      <c r="F6373" s="3" t="e">
        <f t="shared" si="205"/>
        <v>#N/A</v>
      </c>
    </row>
    <row r="6374" spans="2:6" x14ac:dyDescent="0.25">
      <c r="B6374" s="3"/>
      <c r="C6374" s="3"/>
      <c r="D6374" s="3"/>
      <c r="E6374" s="3" t="e">
        <f t="shared" si="204"/>
        <v>#N/A</v>
      </c>
      <c r="F6374" s="3" t="e">
        <f t="shared" si="205"/>
        <v>#N/A</v>
      </c>
    </row>
    <row r="6375" spans="2:6" x14ac:dyDescent="0.25">
      <c r="B6375" s="3"/>
      <c r="C6375" s="3"/>
      <c r="D6375" s="3"/>
      <c r="E6375" s="3" t="e">
        <f t="shared" si="204"/>
        <v>#N/A</v>
      </c>
      <c r="F6375" s="3" t="e">
        <f t="shared" si="205"/>
        <v>#N/A</v>
      </c>
    </row>
    <row r="6376" spans="2:6" x14ac:dyDescent="0.25">
      <c r="B6376" s="3"/>
      <c r="C6376" s="3"/>
      <c r="D6376" s="3"/>
      <c r="E6376" s="3" t="e">
        <f t="shared" si="204"/>
        <v>#N/A</v>
      </c>
      <c r="F6376" s="3" t="e">
        <f t="shared" si="205"/>
        <v>#N/A</v>
      </c>
    </row>
    <row r="6377" spans="2:6" x14ac:dyDescent="0.25">
      <c r="B6377" s="3"/>
      <c r="C6377" s="3"/>
      <c r="D6377" s="3"/>
      <c r="E6377" s="3" t="e">
        <f t="shared" si="204"/>
        <v>#N/A</v>
      </c>
      <c r="F6377" s="3" t="e">
        <f t="shared" si="205"/>
        <v>#N/A</v>
      </c>
    </row>
    <row r="6378" spans="2:6" x14ac:dyDescent="0.25">
      <c r="B6378" s="3"/>
      <c r="C6378" s="3"/>
      <c r="D6378" s="3"/>
      <c r="E6378" s="3" t="e">
        <f t="shared" si="204"/>
        <v>#N/A</v>
      </c>
      <c r="F6378" s="3" t="e">
        <f t="shared" si="205"/>
        <v>#N/A</v>
      </c>
    </row>
    <row r="6379" spans="2:6" x14ac:dyDescent="0.25">
      <c r="B6379" s="3"/>
      <c r="C6379" s="3"/>
      <c r="D6379" s="3"/>
      <c r="E6379" s="3" t="e">
        <f t="shared" si="204"/>
        <v>#N/A</v>
      </c>
      <c r="F6379" s="3" t="e">
        <f t="shared" si="205"/>
        <v>#N/A</v>
      </c>
    </row>
    <row r="6380" spans="2:6" x14ac:dyDescent="0.25">
      <c r="B6380" s="3"/>
      <c r="C6380" s="3"/>
      <c r="D6380" s="3"/>
      <c r="E6380" s="3" t="e">
        <f t="shared" si="204"/>
        <v>#N/A</v>
      </c>
      <c r="F6380" s="3" t="e">
        <f t="shared" si="205"/>
        <v>#N/A</v>
      </c>
    </row>
    <row r="6381" spans="2:6" x14ac:dyDescent="0.25">
      <c r="B6381" s="3"/>
      <c r="C6381" s="3"/>
      <c r="D6381" s="3"/>
      <c r="E6381" s="3" t="e">
        <f t="shared" si="204"/>
        <v>#N/A</v>
      </c>
      <c r="F6381" s="3" t="e">
        <f t="shared" si="205"/>
        <v>#N/A</v>
      </c>
    </row>
    <row r="6382" spans="2:6" x14ac:dyDescent="0.25">
      <c r="B6382" s="3"/>
      <c r="C6382" s="3"/>
      <c r="D6382" s="3"/>
      <c r="E6382" s="3" t="e">
        <f t="shared" si="204"/>
        <v>#N/A</v>
      </c>
      <c r="F6382" s="3" t="e">
        <f t="shared" si="205"/>
        <v>#N/A</v>
      </c>
    </row>
    <row r="6383" spans="2:6" x14ac:dyDescent="0.25">
      <c r="B6383" s="3"/>
      <c r="C6383" s="3"/>
      <c r="D6383" s="3"/>
      <c r="E6383" s="3" t="e">
        <f t="shared" si="204"/>
        <v>#N/A</v>
      </c>
      <c r="F6383" s="3" t="e">
        <f t="shared" si="205"/>
        <v>#N/A</v>
      </c>
    </row>
    <row r="6384" spans="2:6" x14ac:dyDescent="0.25">
      <c r="B6384" s="3"/>
      <c r="C6384" s="3"/>
      <c r="D6384" s="3"/>
      <c r="E6384" s="3" t="e">
        <f t="shared" si="204"/>
        <v>#N/A</v>
      </c>
      <c r="F6384" s="3" t="e">
        <f t="shared" si="205"/>
        <v>#N/A</v>
      </c>
    </row>
    <row r="6385" spans="2:6" x14ac:dyDescent="0.25">
      <c r="B6385" s="3"/>
      <c r="C6385" s="3"/>
      <c r="D6385" s="3"/>
      <c r="E6385" s="3" t="e">
        <f t="shared" si="204"/>
        <v>#N/A</v>
      </c>
      <c r="F6385" s="3" t="e">
        <f t="shared" si="205"/>
        <v>#N/A</v>
      </c>
    </row>
    <row r="6386" spans="2:6" x14ac:dyDescent="0.25">
      <c r="B6386" s="3"/>
      <c r="C6386" s="3"/>
      <c r="D6386" s="3"/>
      <c r="E6386" s="3" t="e">
        <f t="shared" si="204"/>
        <v>#N/A</v>
      </c>
      <c r="F6386" s="3" t="e">
        <f t="shared" si="205"/>
        <v>#N/A</v>
      </c>
    </row>
    <row r="6387" spans="2:6" x14ac:dyDescent="0.25">
      <c r="B6387" s="3"/>
      <c r="C6387" s="3"/>
      <c r="D6387" s="3"/>
      <c r="E6387" s="3" t="e">
        <f t="shared" si="204"/>
        <v>#N/A</v>
      </c>
      <c r="F6387" s="3" t="e">
        <f t="shared" si="205"/>
        <v>#N/A</v>
      </c>
    </row>
    <row r="6388" spans="2:6" x14ac:dyDescent="0.25">
      <c r="B6388" s="3"/>
      <c r="C6388" s="3"/>
      <c r="D6388" s="3"/>
      <c r="E6388" s="3" t="e">
        <f t="shared" si="204"/>
        <v>#N/A</v>
      </c>
      <c r="F6388" s="3" t="e">
        <f t="shared" si="205"/>
        <v>#N/A</v>
      </c>
    </row>
    <row r="6389" spans="2:6" x14ac:dyDescent="0.25">
      <c r="B6389" s="3"/>
      <c r="C6389" s="3"/>
      <c r="D6389" s="3"/>
      <c r="E6389" s="3" t="e">
        <f t="shared" si="204"/>
        <v>#N/A</v>
      </c>
      <c r="F6389" s="3" t="e">
        <f t="shared" si="205"/>
        <v>#N/A</v>
      </c>
    </row>
    <row r="6390" spans="2:6" x14ac:dyDescent="0.25">
      <c r="B6390" s="3"/>
      <c r="C6390" s="3"/>
      <c r="D6390" s="3"/>
      <c r="E6390" s="3" t="e">
        <f t="shared" si="204"/>
        <v>#N/A</v>
      </c>
      <c r="F6390" s="3" t="e">
        <f t="shared" si="205"/>
        <v>#N/A</v>
      </c>
    </row>
    <row r="6391" spans="2:6" x14ac:dyDescent="0.25">
      <c r="B6391" s="3"/>
      <c r="C6391" s="3"/>
      <c r="D6391" s="3"/>
      <c r="E6391" s="3" t="e">
        <f t="shared" si="204"/>
        <v>#N/A</v>
      </c>
      <c r="F6391" s="3" t="e">
        <f t="shared" si="205"/>
        <v>#N/A</v>
      </c>
    </row>
    <row r="6392" spans="2:6" x14ac:dyDescent="0.25">
      <c r="B6392" s="3"/>
      <c r="C6392" s="3"/>
      <c r="D6392" s="3"/>
      <c r="E6392" s="3" t="e">
        <f t="shared" si="204"/>
        <v>#N/A</v>
      </c>
      <c r="F6392" s="3" t="e">
        <f t="shared" si="205"/>
        <v>#N/A</v>
      </c>
    </row>
    <row r="6393" spans="2:6" x14ac:dyDescent="0.25">
      <c r="B6393" s="3"/>
      <c r="C6393" s="3"/>
      <c r="D6393" s="3"/>
      <c r="E6393" s="3" t="e">
        <f t="shared" si="204"/>
        <v>#N/A</v>
      </c>
      <c r="F6393" s="3" t="e">
        <f t="shared" si="205"/>
        <v>#N/A</v>
      </c>
    </row>
    <row r="6394" spans="2:6" x14ac:dyDescent="0.25">
      <c r="B6394" s="3"/>
      <c r="C6394" s="3"/>
      <c r="D6394" s="3"/>
      <c r="E6394" s="3" t="e">
        <f t="shared" si="204"/>
        <v>#N/A</v>
      </c>
      <c r="F6394" s="3" t="e">
        <f t="shared" si="205"/>
        <v>#N/A</v>
      </c>
    </row>
    <row r="6395" spans="2:6" x14ac:dyDescent="0.25">
      <c r="B6395" s="3"/>
      <c r="C6395" s="3"/>
      <c r="D6395" s="3"/>
      <c r="E6395" s="3" t="e">
        <f t="shared" si="204"/>
        <v>#N/A</v>
      </c>
      <c r="F6395" s="3" t="e">
        <f t="shared" si="205"/>
        <v>#N/A</v>
      </c>
    </row>
    <row r="6396" spans="2:6" x14ac:dyDescent="0.25">
      <c r="B6396" s="3"/>
      <c r="C6396" s="3"/>
      <c r="D6396" s="3"/>
      <c r="E6396" s="3" t="e">
        <f t="shared" si="204"/>
        <v>#N/A</v>
      </c>
      <c r="F6396" s="3" t="e">
        <f t="shared" si="205"/>
        <v>#N/A</v>
      </c>
    </row>
    <row r="6397" spans="2:6" x14ac:dyDescent="0.25">
      <c r="B6397" s="3"/>
      <c r="C6397" s="3"/>
      <c r="D6397" s="3"/>
      <c r="E6397" s="3" t="e">
        <f t="shared" si="204"/>
        <v>#N/A</v>
      </c>
      <c r="F6397" s="3" t="e">
        <f t="shared" si="205"/>
        <v>#N/A</v>
      </c>
    </row>
    <row r="6398" spans="2:6" x14ac:dyDescent="0.25">
      <c r="B6398" s="3"/>
      <c r="C6398" s="3"/>
      <c r="D6398" s="3"/>
      <c r="E6398" s="3" t="e">
        <f t="shared" si="204"/>
        <v>#N/A</v>
      </c>
      <c r="F6398" s="3" t="e">
        <f t="shared" si="205"/>
        <v>#N/A</v>
      </c>
    </row>
    <row r="6399" spans="2:6" x14ac:dyDescent="0.25">
      <c r="B6399" s="3"/>
      <c r="C6399" s="3"/>
      <c r="D6399" s="3"/>
      <c r="E6399" s="3" t="e">
        <f t="shared" si="204"/>
        <v>#N/A</v>
      </c>
      <c r="F6399" s="3" t="e">
        <f t="shared" si="205"/>
        <v>#N/A</v>
      </c>
    </row>
    <row r="6400" spans="2:6" x14ac:dyDescent="0.25">
      <c r="B6400" s="3"/>
      <c r="C6400" s="3"/>
      <c r="D6400" s="3"/>
      <c r="E6400" s="3" t="e">
        <f t="shared" si="204"/>
        <v>#N/A</v>
      </c>
      <c r="F6400" s="3" t="e">
        <f t="shared" si="205"/>
        <v>#N/A</v>
      </c>
    </row>
    <row r="6401" spans="2:6" x14ac:dyDescent="0.25">
      <c r="B6401" s="3"/>
      <c r="C6401" s="3"/>
      <c r="D6401" s="3"/>
      <c r="E6401" s="3" t="e">
        <f t="shared" si="204"/>
        <v>#N/A</v>
      </c>
      <c r="F6401" s="3" t="e">
        <f t="shared" si="205"/>
        <v>#N/A</v>
      </c>
    </row>
    <row r="6402" spans="2:6" x14ac:dyDescent="0.25">
      <c r="B6402" s="3"/>
      <c r="C6402" s="3"/>
      <c r="D6402" s="3"/>
      <c r="E6402" s="3" t="e">
        <f t="shared" si="204"/>
        <v>#N/A</v>
      </c>
      <c r="F6402" s="3" t="e">
        <f t="shared" si="205"/>
        <v>#N/A</v>
      </c>
    </row>
    <row r="6403" spans="2:6" x14ac:dyDescent="0.25">
      <c r="B6403" s="3"/>
      <c r="C6403" s="3"/>
      <c r="D6403" s="3"/>
      <c r="E6403" s="3" t="e">
        <f t="shared" si="204"/>
        <v>#N/A</v>
      </c>
      <c r="F6403" s="3" t="e">
        <f t="shared" si="205"/>
        <v>#N/A</v>
      </c>
    </row>
    <row r="6404" spans="2:6" x14ac:dyDescent="0.25">
      <c r="B6404" s="3"/>
      <c r="C6404" s="3"/>
      <c r="D6404" s="3"/>
      <c r="E6404" s="3" t="e">
        <f t="shared" si="204"/>
        <v>#N/A</v>
      </c>
      <c r="F6404" s="3" t="e">
        <f t="shared" si="205"/>
        <v>#N/A</v>
      </c>
    </row>
    <row r="6405" spans="2:6" x14ac:dyDescent="0.25">
      <c r="B6405" s="3"/>
      <c r="C6405" s="3"/>
      <c r="D6405" s="3"/>
      <c r="E6405" s="3" t="e">
        <f t="shared" si="204"/>
        <v>#N/A</v>
      </c>
      <c r="F6405" s="3" t="e">
        <f t="shared" si="205"/>
        <v>#N/A</v>
      </c>
    </row>
    <row r="6406" spans="2:6" x14ac:dyDescent="0.25">
      <c r="B6406" s="3"/>
      <c r="C6406" s="3"/>
      <c r="D6406" s="3"/>
      <c r="E6406" s="3" t="e">
        <f t="shared" si="204"/>
        <v>#N/A</v>
      </c>
      <c r="F6406" s="3" t="e">
        <f t="shared" si="205"/>
        <v>#N/A</v>
      </c>
    </row>
    <row r="6407" spans="2:6" x14ac:dyDescent="0.25">
      <c r="B6407" s="3"/>
      <c r="C6407" s="3"/>
      <c r="D6407" s="3"/>
      <c r="E6407" s="3" t="e">
        <f t="shared" si="204"/>
        <v>#N/A</v>
      </c>
      <c r="F6407" s="3" t="e">
        <f t="shared" si="205"/>
        <v>#N/A</v>
      </c>
    </row>
    <row r="6408" spans="2:6" x14ac:dyDescent="0.25">
      <c r="B6408" s="3"/>
      <c r="C6408" s="3"/>
      <c r="D6408" s="3"/>
      <c r="E6408" s="3" t="e">
        <f t="shared" si="204"/>
        <v>#N/A</v>
      </c>
      <c r="F6408" s="3" t="e">
        <f t="shared" si="205"/>
        <v>#N/A</v>
      </c>
    </row>
    <row r="6409" spans="2:6" x14ac:dyDescent="0.25">
      <c r="B6409" s="3"/>
      <c r="C6409" s="3"/>
      <c r="D6409" s="3"/>
      <c r="E6409" s="3" t="e">
        <f t="shared" si="204"/>
        <v>#N/A</v>
      </c>
      <c r="F6409" s="3" t="e">
        <f t="shared" si="205"/>
        <v>#N/A</v>
      </c>
    </row>
    <row r="6410" spans="2:6" x14ac:dyDescent="0.25">
      <c r="B6410" s="3"/>
      <c r="C6410" s="3"/>
      <c r="D6410" s="3"/>
      <c r="E6410" s="3" t="e">
        <f t="shared" si="204"/>
        <v>#N/A</v>
      </c>
      <c r="F6410" s="3" t="e">
        <f t="shared" si="205"/>
        <v>#N/A</v>
      </c>
    </row>
    <row r="6411" spans="2:6" x14ac:dyDescent="0.25">
      <c r="B6411" s="3"/>
      <c r="C6411" s="3"/>
      <c r="D6411" s="3"/>
      <c r="E6411" s="3" t="e">
        <f t="shared" si="204"/>
        <v>#N/A</v>
      </c>
      <c r="F6411" s="3" t="e">
        <f t="shared" si="205"/>
        <v>#N/A</v>
      </c>
    </row>
    <row r="6412" spans="2:6" x14ac:dyDescent="0.25">
      <c r="B6412" s="3"/>
      <c r="C6412" s="3"/>
      <c r="D6412" s="3"/>
      <c r="E6412" s="3" t="e">
        <f t="shared" si="204"/>
        <v>#N/A</v>
      </c>
      <c r="F6412" s="3" t="e">
        <f t="shared" si="205"/>
        <v>#N/A</v>
      </c>
    </row>
    <row r="6413" spans="2:6" x14ac:dyDescent="0.25">
      <c r="B6413" s="3"/>
      <c r="C6413" s="3"/>
      <c r="D6413" s="3"/>
      <c r="E6413" s="3" t="e">
        <f t="shared" si="204"/>
        <v>#N/A</v>
      </c>
      <c r="F6413" s="3" t="e">
        <f t="shared" si="205"/>
        <v>#N/A</v>
      </c>
    </row>
    <row r="6414" spans="2:6" x14ac:dyDescent="0.25">
      <c r="B6414" s="3"/>
      <c r="C6414" s="3"/>
      <c r="D6414" s="3"/>
      <c r="E6414" s="3" t="e">
        <f t="shared" ref="E6414:E6477" si="206">VLOOKUP(C6414,I:J,2,0)</f>
        <v>#N/A</v>
      </c>
      <c r="F6414" s="3" t="e">
        <f t="shared" ref="F6414:F6477" si="207">E6414&amp;" "&amp;B6414</f>
        <v>#N/A</v>
      </c>
    </row>
    <row r="6415" spans="2:6" x14ac:dyDescent="0.25">
      <c r="B6415" s="3"/>
      <c r="C6415" s="3"/>
      <c r="D6415" s="3"/>
      <c r="E6415" s="3" t="e">
        <f t="shared" si="206"/>
        <v>#N/A</v>
      </c>
      <c r="F6415" s="3" t="e">
        <f t="shared" si="207"/>
        <v>#N/A</v>
      </c>
    </row>
    <row r="6416" spans="2:6" x14ac:dyDescent="0.25">
      <c r="B6416" s="3"/>
      <c r="C6416" s="3"/>
      <c r="D6416" s="3"/>
      <c r="E6416" s="3" t="e">
        <f t="shared" si="206"/>
        <v>#N/A</v>
      </c>
      <c r="F6416" s="3" t="e">
        <f t="shared" si="207"/>
        <v>#N/A</v>
      </c>
    </row>
    <row r="6417" spans="2:6" x14ac:dyDescent="0.25">
      <c r="B6417" s="3"/>
      <c r="C6417" s="3"/>
      <c r="D6417" s="3"/>
      <c r="E6417" s="3" t="e">
        <f t="shared" si="206"/>
        <v>#N/A</v>
      </c>
      <c r="F6417" s="3" t="e">
        <f t="shared" si="207"/>
        <v>#N/A</v>
      </c>
    </row>
    <row r="6418" spans="2:6" x14ac:dyDescent="0.25">
      <c r="B6418" s="3"/>
      <c r="C6418" s="3"/>
      <c r="D6418" s="3"/>
      <c r="E6418" s="3" t="e">
        <f t="shared" si="206"/>
        <v>#N/A</v>
      </c>
      <c r="F6418" s="3" t="e">
        <f t="shared" si="207"/>
        <v>#N/A</v>
      </c>
    </row>
    <row r="6419" spans="2:6" x14ac:dyDescent="0.25">
      <c r="B6419" s="3"/>
      <c r="C6419" s="3"/>
      <c r="D6419" s="3"/>
      <c r="E6419" s="3" t="e">
        <f t="shared" si="206"/>
        <v>#N/A</v>
      </c>
      <c r="F6419" s="3" t="e">
        <f t="shared" si="207"/>
        <v>#N/A</v>
      </c>
    </row>
    <row r="6420" spans="2:6" x14ac:dyDescent="0.25">
      <c r="B6420" s="3"/>
      <c r="C6420" s="3"/>
      <c r="D6420" s="3"/>
      <c r="E6420" s="3" t="e">
        <f t="shared" si="206"/>
        <v>#N/A</v>
      </c>
      <c r="F6420" s="3" t="e">
        <f t="shared" si="207"/>
        <v>#N/A</v>
      </c>
    </row>
    <row r="6421" spans="2:6" x14ac:dyDescent="0.25">
      <c r="B6421" s="3"/>
      <c r="C6421" s="3"/>
      <c r="D6421" s="3"/>
      <c r="E6421" s="3" t="e">
        <f t="shared" si="206"/>
        <v>#N/A</v>
      </c>
      <c r="F6421" s="3" t="e">
        <f t="shared" si="207"/>
        <v>#N/A</v>
      </c>
    </row>
    <row r="6422" spans="2:6" x14ac:dyDescent="0.25">
      <c r="B6422" s="3"/>
      <c r="C6422" s="3"/>
      <c r="D6422" s="3"/>
      <c r="E6422" s="3" t="e">
        <f t="shared" si="206"/>
        <v>#N/A</v>
      </c>
      <c r="F6422" s="3" t="e">
        <f t="shared" si="207"/>
        <v>#N/A</v>
      </c>
    </row>
    <row r="6423" spans="2:6" x14ac:dyDescent="0.25">
      <c r="B6423" s="3"/>
      <c r="C6423" s="3"/>
      <c r="D6423" s="3"/>
      <c r="E6423" s="3" t="e">
        <f t="shared" si="206"/>
        <v>#N/A</v>
      </c>
      <c r="F6423" s="3" t="e">
        <f t="shared" si="207"/>
        <v>#N/A</v>
      </c>
    </row>
    <row r="6424" spans="2:6" x14ac:dyDescent="0.25">
      <c r="B6424" s="3"/>
      <c r="C6424" s="3"/>
      <c r="D6424" s="3"/>
      <c r="E6424" s="3" t="e">
        <f t="shared" si="206"/>
        <v>#N/A</v>
      </c>
      <c r="F6424" s="3" t="e">
        <f t="shared" si="207"/>
        <v>#N/A</v>
      </c>
    </row>
    <row r="6425" spans="2:6" x14ac:dyDescent="0.25">
      <c r="B6425" s="3"/>
      <c r="C6425" s="3"/>
      <c r="D6425" s="3"/>
      <c r="E6425" s="3" t="e">
        <f t="shared" si="206"/>
        <v>#N/A</v>
      </c>
      <c r="F6425" s="3" t="e">
        <f t="shared" si="207"/>
        <v>#N/A</v>
      </c>
    </row>
    <row r="6426" spans="2:6" x14ac:dyDescent="0.25">
      <c r="B6426" s="3"/>
      <c r="C6426" s="3"/>
      <c r="D6426" s="3"/>
      <c r="E6426" s="3" t="e">
        <f t="shared" si="206"/>
        <v>#N/A</v>
      </c>
      <c r="F6426" s="3" t="e">
        <f t="shared" si="207"/>
        <v>#N/A</v>
      </c>
    </row>
    <row r="6427" spans="2:6" x14ac:dyDescent="0.25">
      <c r="B6427" s="3"/>
      <c r="C6427" s="3"/>
      <c r="D6427" s="3"/>
      <c r="E6427" s="3" t="e">
        <f t="shared" si="206"/>
        <v>#N/A</v>
      </c>
      <c r="F6427" s="3" t="e">
        <f t="shared" si="207"/>
        <v>#N/A</v>
      </c>
    </row>
    <row r="6428" spans="2:6" x14ac:dyDescent="0.25">
      <c r="B6428" s="3"/>
      <c r="C6428" s="3"/>
      <c r="D6428" s="3"/>
      <c r="E6428" s="3" t="e">
        <f t="shared" si="206"/>
        <v>#N/A</v>
      </c>
      <c r="F6428" s="3" t="e">
        <f t="shared" si="207"/>
        <v>#N/A</v>
      </c>
    </row>
    <row r="6429" spans="2:6" x14ac:dyDescent="0.25">
      <c r="B6429" s="3"/>
      <c r="C6429" s="3"/>
      <c r="D6429" s="3"/>
      <c r="E6429" s="3" t="e">
        <f t="shared" si="206"/>
        <v>#N/A</v>
      </c>
      <c r="F6429" s="3" t="e">
        <f t="shared" si="207"/>
        <v>#N/A</v>
      </c>
    </row>
    <row r="6430" spans="2:6" x14ac:dyDescent="0.25">
      <c r="B6430" s="3"/>
      <c r="C6430" s="3"/>
      <c r="D6430" s="3"/>
      <c r="E6430" s="3" t="e">
        <f t="shared" si="206"/>
        <v>#N/A</v>
      </c>
      <c r="F6430" s="3" t="e">
        <f t="shared" si="207"/>
        <v>#N/A</v>
      </c>
    </row>
    <row r="6431" spans="2:6" x14ac:dyDescent="0.25">
      <c r="B6431" s="3"/>
      <c r="C6431" s="3"/>
      <c r="D6431" s="3"/>
      <c r="E6431" s="3" t="e">
        <f t="shared" si="206"/>
        <v>#N/A</v>
      </c>
      <c r="F6431" s="3" t="e">
        <f t="shared" si="207"/>
        <v>#N/A</v>
      </c>
    </row>
    <row r="6432" spans="2:6" x14ac:dyDescent="0.25">
      <c r="B6432" s="3"/>
      <c r="C6432" s="3"/>
      <c r="D6432" s="3"/>
      <c r="E6432" s="3" t="e">
        <f t="shared" si="206"/>
        <v>#N/A</v>
      </c>
      <c r="F6432" s="3" t="e">
        <f t="shared" si="207"/>
        <v>#N/A</v>
      </c>
    </row>
    <row r="6433" spans="2:6" x14ac:dyDescent="0.25">
      <c r="B6433" s="3"/>
      <c r="C6433" s="3"/>
      <c r="D6433" s="3"/>
      <c r="E6433" s="3" t="e">
        <f t="shared" si="206"/>
        <v>#N/A</v>
      </c>
      <c r="F6433" s="3" t="e">
        <f t="shared" si="207"/>
        <v>#N/A</v>
      </c>
    </row>
    <row r="6434" spans="2:6" x14ac:dyDescent="0.25">
      <c r="B6434" s="3"/>
      <c r="C6434" s="3"/>
      <c r="D6434" s="3"/>
      <c r="E6434" s="3" t="e">
        <f t="shared" si="206"/>
        <v>#N/A</v>
      </c>
      <c r="F6434" s="3" t="e">
        <f t="shared" si="207"/>
        <v>#N/A</v>
      </c>
    </row>
    <row r="6435" spans="2:6" x14ac:dyDescent="0.25">
      <c r="B6435" s="3"/>
      <c r="C6435" s="3"/>
      <c r="D6435" s="3"/>
      <c r="E6435" s="3" t="e">
        <f t="shared" si="206"/>
        <v>#N/A</v>
      </c>
      <c r="F6435" s="3" t="e">
        <f t="shared" si="207"/>
        <v>#N/A</v>
      </c>
    </row>
    <row r="6436" spans="2:6" x14ac:dyDescent="0.25">
      <c r="B6436" s="3"/>
      <c r="C6436" s="3"/>
      <c r="D6436" s="3"/>
      <c r="E6436" s="3" t="e">
        <f t="shared" si="206"/>
        <v>#N/A</v>
      </c>
      <c r="F6436" s="3" t="e">
        <f t="shared" si="207"/>
        <v>#N/A</v>
      </c>
    </row>
    <row r="6437" spans="2:6" x14ac:dyDescent="0.25">
      <c r="B6437" s="3"/>
      <c r="C6437" s="3"/>
      <c r="D6437" s="3"/>
      <c r="E6437" s="3" t="e">
        <f t="shared" si="206"/>
        <v>#N/A</v>
      </c>
      <c r="F6437" s="3" t="e">
        <f t="shared" si="207"/>
        <v>#N/A</v>
      </c>
    </row>
    <row r="6438" spans="2:6" x14ac:dyDescent="0.25">
      <c r="B6438" s="3"/>
      <c r="C6438" s="3"/>
      <c r="D6438" s="3"/>
      <c r="E6438" s="3" t="e">
        <f t="shared" si="206"/>
        <v>#N/A</v>
      </c>
      <c r="F6438" s="3" t="e">
        <f t="shared" si="207"/>
        <v>#N/A</v>
      </c>
    </row>
    <row r="6439" spans="2:6" x14ac:dyDescent="0.25">
      <c r="B6439" s="3"/>
      <c r="C6439" s="3"/>
      <c r="D6439" s="3"/>
      <c r="E6439" s="3" t="e">
        <f t="shared" si="206"/>
        <v>#N/A</v>
      </c>
      <c r="F6439" s="3" t="e">
        <f t="shared" si="207"/>
        <v>#N/A</v>
      </c>
    </row>
    <row r="6440" spans="2:6" x14ac:dyDescent="0.25">
      <c r="B6440" s="3"/>
      <c r="C6440" s="3"/>
      <c r="D6440" s="3"/>
      <c r="E6440" s="3" t="e">
        <f t="shared" si="206"/>
        <v>#N/A</v>
      </c>
      <c r="F6440" s="3" t="e">
        <f t="shared" si="207"/>
        <v>#N/A</v>
      </c>
    </row>
    <row r="6441" spans="2:6" x14ac:dyDescent="0.25">
      <c r="B6441" s="3"/>
      <c r="C6441" s="3"/>
      <c r="D6441" s="3"/>
      <c r="E6441" s="3" t="e">
        <f t="shared" si="206"/>
        <v>#N/A</v>
      </c>
      <c r="F6441" s="3" t="e">
        <f t="shared" si="207"/>
        <v>#N/A</v>
      </c>
    </row>
    <row r="6442" spans="2:6" x14ac:dyDescent="0.25">
      <c r="B6442" s="3"/>
      <c r="C6442" s="3"/>
      <c r="D6442" s="3"/>
      <c r="E6442" s="3" t="e">
        <f t="shared" si="206"/>
        <v>#N/A</v>
      </c>
      <c r="F6442" s="3" t="e">
        <f t="shared" si="207"/>
        <v>#N/A</v>
      </c>
    </row>
    <row r="6443" spans="2:6" x14ac:dyDescent="0.25">
      <c r="B6443" s="3"/>
      <c r="C6443" s="3"/>
      <c r="D6443" s="3"/>
      <c r="E6443" s="3" t="e">
        <f t="shared" si="206"/>
        <v>#N/A</v>
      </c>
      <c r="F6443" s="3" t="e">
        <f t="shared" si="207"/>
        <v>#N/A</v>
      </c>
    </row>
    <row r="6444" spans="2:6" x14ac:dyDescent="0.25">
      <c r="B6444" s="3"/>
      <c r="C6444" s="3"/>
      <c r="D6444" s="3"/>
      <c r="E6444" s="3" t="e">
        <f t="shared" si="206"/>
        <v>#N/A</v>
      </c>
      <c r="F6444" s="3" t="e">
        <f t="shared" si="207"/>
        <v>#N/A</v>
      </c>
    </row>
    <row r="6445" spans="2:6" x14ac:dyDescent="0.25">
      <c r="B6445" s="3"/>
      <c r="C6445" s="3"/>
      <c r="D6445" s="3"/>
      <c r="E6445" s="3" t="e">
        <f t="shared" si="206"/>
        <v>#N/A</v>
      </c>
      <c r="F6445" s="3" t="e">
        <f t="shared" si="207"/>
        <v>#N/A</v>
      </c>
    </row>
    <row r="6446" spans="2:6" x14ac:dyDescent="0.25">
      <c r="B6446" s="3"/>
      <c r="C6446" s="3"/>
      <c r="D6446" s="3"/>
      <c r="E6446" s="3" t="e">
        <f t="shared" si="206"/>
        <v>#N/A</v>
      </c>
      <c r="F6446" s="3" t="e">
        <f t="shared" si="207"/>
        <v>#N/A</v>
      </c>
    </row>
    <row r="6447" spans="2:6" x14ac:dyDescent="0.25">
      <c r="B6447" s="3"/>
      <c r="C6447" s="3"/>
      <c r="D6447" s="3"/>
      <c r="E6447" s="3" t="e">
        <f t="shared" si="206"/>
        <v>#N/A</v>
      </c>
      <c r="F6447" s="3" t="e">
        <f t="shared" si="207"/>
        <v>#N/A</v>
      </c>
    </row>
    <row r="6448" spans="2:6" x14ac:dyDescent="0.25">
      <c r="B6448" s="3"/>
      <c r="C6448" s="3"/>
      <c r="D6448" s="3"/>
      <c r="E6448" s="3" t="e">
        <f t="shared" si="206"/>
        <v>#N/A</v>
      </c>
      <c r="F6448" s="3" t="e">
        <f t="shared" si="207"/>
        <v>#N/A</v>
      </c>
    </row>
    <row r="6449" spans="2:6" x14ac:dyDescent="0.25">
      <c r="B6449" s="3"/>
      <c r="C6449" s="3"/>
      <c r="D6449" s="3"/>
      <c r="E6449" s="3" t="e">
        <f t="shared" si="206"/>
        <v>#N/A</v>
      </c>
      <c r="F6449" s="3" t="e">
        <f t="shared" si="207"/>
        <v>#N/A</v>
      </c>
    </row>
    <row r="6450" spans="2:6" x14ac:dyDescent="0.25">
      <c r="B6450" s="3"/>
      <c r="C6450" s="3"/>
      <c r="D6450" s="3"/>
      <c r="E6450" s="3" t="e">
        <f t="shared" si="206"/>
        <v>#N/A</v>
      </c>
      <c r="F6450" s="3" t="e">
        <f t="shared" si="207"/>
        <v>#N/A</v>
      </c>
    </row>
    <row r="6451" spans="2:6" x14ac:dyDescent="0.25">
      <c r="B6451" s="3"/>
      <c r="C6451" s="3"/>
      <c r="D6451" s="3"/>
      <c r="E6451" s="3" t="e">
        <f t="shared" si="206"/>
        <v>#N/A</v>
      </c>
      <c r="F6451" s="3" t="e">
        <f t="shared" si="207"/>
        <v>#N/A</v>
      </c>
    </row>
    <row r="6452" spans="2:6" x14ac:dyDescent="0.25">
      <c r="B6452" s="3"/>
      <c r="C6452" s="3"/>
      <c r="D6452" s="3"/>
      <c r="E6452" s="3" t="e">
        <f t="shared" si="206"/>
        <v>#N/A</v>
      </c>
      <c r="F6452" s="3" t="e">
        <f t="shared" si="207"/>
        <v>#N/A</v>
      </c>
    </row>
    <row r="6453" spans="2:6" x14ac:dyDescent="0.25">
      <c r="B6453" s="3"/>
      <c r="C6453" s="3"/>
      <c r="D6453" s="3"/>
      <c r="E6453" s="3" t="e">
        <f t="shared" si="206"/>
        <v>#N/A</v>
      </c>
      <c r="F6453" s="3" t="e">
        <f t="shared" si="207"/>
        <v>#N/A</v>
      </c>
    </row>
    <row r="6454" spans="2:6" x14ac:dyDescent="0.25">
      <c r="B6454" s="3"/>
      <c r="C6454" s="3"/>
      <c r="D6454" s="3"/>
      <c r="E6454" s="3" t="e">
        <f t="shared" si="206"/>
        <v>#N/A</v>
      </c>
      <c r="F6454" s="3" t="e">
        <f t="shared" si="207"/>
        <v>#N/A</v>
      </c>
    </row>
    <row r="6455" spans="2:6" x14ac:dyDescent="0.25">
      <c r="B6455" s="3"/>
      <c r="C6455" s="3"/>
      <c r="D6455" s="3"/>
      <c r="E6455" s="3" t="e">
        <f t="shared" si="206"/>
        <v>#N/A</v>
      </c>
      <c r="F6455" s="3" t="e">
        <f t="shared" si="207"/>
        <v>#N/A</v>
      </c>
    </row>
    <row r="6456" spans="2:6" x14ac:dyDescent="0.25">
      <c r="B6456" s="3"/>
      <c r="C6456" s="3"/>
      <c r="D6456" s="3"/>
      <c r="E6456" s="3" t="e">
        <f t="shared" si="206"/>
        <v>#N/A</v>
      </c>
      <c r="F6456" s="3" t="e">
        <f t="shared" si="207"/>
        <v>#N/A</v>
      </c>
    </row>
    <row r="6457" spans="2:6" x14ac:dyDescent="0.25">
      <c r="B6457" s="3"/>
      <c r="C6457" s="3"/>
      <c r="D6457" s="3"/>
      <c r="E6457" s="3" t="e">
        <f t="shared" si="206"/>
        <v>#N/A</v>
      </c>
      <c r="F6457" s="3" t="e">
        <f t="shared" si="207"/>
        <v>#N/A</v>
      </c>
    </row>
    <row r="6458" spans="2:6" x14ac:dyDescent="0.25">
      <c r="B6458" s="3"/>
      <c r="C6458" s="3"/>
      <c r="D6458" s="3"/>
      <c r="E6458" s="3" t="e">
        <f t="shared" si="206"/>
        <v>#N/A</v>
      </c>
      <c r="F6458" s="3" t="e">
        <f t="shared" si="207"/>
        <v>#N/A</v>
      </c>
    </row>
    <row r="6459" spans="2:6" x14ac:dyDescent="0.25">
      <c r="B6459" s="3"/>
      <c r="C6459" s="3"/>
      <c r="D6459" s="3"/>
      <c r="E6459" s="3" t="e">
        <f t="shared" si="206"/>
        <v>#N/A</v>
      </c>
      <c r="F6459" s="3" t="e">
        <f t="shared" si="207"/>
        <v>#N/A</v>
      </c>
    </row>
    <row r="6460" spans="2:6" x14ac:dyDescent="0.25">
      <c r="B6460" s="3"/>
      <c r="C6460" s="3"/>
      <c r="D6460" s="3"/>
      <c r="E6460" s="3" t="e">
        <f t="shared" si="206"/>
        <v>#N/A</v>
      </c>
      <c r="F6460" s="3" t="e">
        <f t="shared" si="207"/>
        <v>#N/A</v>
      </c>
    </row>
    <row r="6461" spans="2:6" x14ac:dyDescent="0.25">
      <c r="B6461" s="3"/>
      <c r="C6461" s="3"/>
      <c r="D6461" s="3"/>
      <c r="E6461" s="3" t="e">
        <f t="shared" si="206"/>
        <v>#N/A</v>
      </c>
      <c r="F6461" s="3" t="e">
        <f t="shared" si="207"/>
        <v>#N/A</v>
      </c>
    </row>
    <row r="6462" spans="2:6" x14ac:dyDescent="0.25">
      <c r="B6462" s="3"/>
      <c r="C6462" s="3"/>
      <c r="D6462" s="3"/>
      <c r="E6462" s="3" t="e">
        <f t="shared" si="206"/>
        <v>#N/A</v>
      </c>
      <c r="F6462" s="3" t="e">
        <f t="shared" si="207"/>
        <v>#N/A</v>
      </c>
    </row>
    <row r="6463" spans="2:6" x14ac:dyDescent="0.25">
      <c r="B6463" s="3"/>
      <c r="C6463" s="3"/>
      <c r="D6463" s="3"/>
      <c r="E6463" s="3" t="e">
        <f t="shared" si="206"/>
        <v>#N/A</v>
      </c>
      <c r="F6463" s="3" t="e">
        <f t="shared" si="207"/>
        <v>#N/A</v>
      </c>
    </row>
    <row r="6464" spans="2:6" x14ac:dyDescent="0.25">
      <c r="B6464" s="3"/>
      <c r="C6464" s="3"/>
      <c r="D6464" s="3"/>
      <c r="E6464" s="3" t="e">
        <f t="shared" si="206"/>
        <v>#N/A</v>
      </c>
      <c r="F6464" s="3" t="e">
        <f t="shared" si="207"/>
        <v>#N/A</v>
      </c>
    </row>
    <row r="6465" spans="2:6" x14ac:dyDescent="0.25">
      <c r="B6465" s="3"/>
      <c r="C6465" s="3"/>
      <c r="D6465" s="3"/>
      <c r="E6465" s="3" t="e">
        <f t="shared" si="206"/>
        <v>#N/A</v>
      </c>
      <c r="F6465" s="3" t="e">
        <f t="shared" si="207"/>
        <v>#N/A</v>
      </c>
    </row>
    <row r="6466" spans="2:6" x14ac:dyDescent="0.25">
      <c r="B6466" s="3"/>
      <c r="C6466" s="3"/>
      <c r="D6466" s="3"/>
      <c r="E6466" s="3" t="e">
        <f t="shared" si="206"/>
        <v>#N/A</v>
      </c>
      <c r="F6466" s="3" t="e">
        <f t="shared" si="207"/>
        <v>#N/A</v>
      </c>
    </row>
    <row r="6467" spans="2:6" x14ac:dyDescent="0.25">
      <c r="B6467" s="3"/>
      <c r="C6467" s="3"/>
      <c r="D6467" s="3"/>
      <c r="E6467" s="3" t="e">
        <f t="shared" si="206"/>
        <v>#N/A</v>
      </c>
      <c r="F6467" s="3" t="e">
        <f t="shared" si="207"/>
        <v>#N/A</v>
      </c>
    </row>
    <row r="6468" spans="2:6" x14ac:dyDescent="0.25">
      <c r="B6468" s="3"/>
      <c r="C6468" s="3"/>
      <c r="D6468" s="3"/>
      <c r="E6468" s="3" t="e">
        <f t="shared" si="206"/>
        <v>#N/A</v>
      </c>
      <c r="F6468" s="3" t="e">
        <f t="shared" si="207"/>
        <v>#N/A</v>
      </c>
    </row>
    <row r="6469" spans="2:6" x14ac:dyDescent="0.25">
      <c r="B6469" s="3"/>
      <c r="C6469" s="3"/>
      <c r="D6469" s="3"/>
      <c r="E6469" s="3" t="e">
        <f t="shared" si="206"/>
        <v>#N/A</v>
      </c>
      <c r="F6469" s="3" t="e">
        <f t="shared" si="207"/>
        <v>#N/A</v>
      </c>
    </row>
    <row r="6470" spans="2:6" x14ac:dyDescent="0.25">
      <c r="B6470" s="3"/>
      <c r="C6470" s="3"/>
      <c r="D6470" s="3"/>
      <c r="E6470" s="3" t="e">
        <f t="shared" si="206"/>
        <v>#N/A</v>
      </c>
      <c r="F6470" s="3" t="e">
        <f t="shared" si="207"/>
        <v>#N/A</v>
      </c>
    </row>
    <row r="6471" spans="2:6" x14ac:dyDescent="0.25">
      <c r="B6471" s="3"/>
      <c r="C6471" s="3"/>
      <c r="D6471" s="3"/>
      <c r="E6471" s="3" t="e">
        <f t="shared" si="206"/>
        <v>#N/A</v>
      </c>
      <c r="F6471" s="3" t="e">
        <f t="shared" si="207"/>
        <v>#N/A</v>
      </c>
    </row>
    <row r="6472" spans="2:6" x14ac:dyDescent="0.25">
      <c r="B6472" s="3"/>
      <c r="C6472" s="3"/>
      <c r="D6472" s="3"/>
      <c r="E6472" s="3" t="e">
        <f t="shared" si="206"/>
        <v>#N/A</v>
      </c>
      <c r="F6472" s="3" t="e">
        <f t="shared" si="207"/>
        <v>#N/A</v>
      </c>
    </row>
    <row r="6473" spans="2:6" x14ac:dyDescent="0.25">
      <c r="B6473" s="3"/>
      <c r="C6473" s="3"/>
      <c r="D6473" s="3"/>
      <c r="E6473" s="3" t="e">
        <f t="shared" si="206"/>
        <v>#N/A</v>
      </c>
      <c r="F6473" s="3" t="e">
        <f t="shared" si="207"/>
        <v>#N/A</v>
      </c>
    </row>
    <row r="6474" spans="2:6" x14ac:dyDescent="0.25">
      <c r="B6474" s="3"/>
      <c r="C6474" s="3"/>
      <c r="D6474" s="3"/>
      <c r="E6474" s="3" t="e">
        <f t="shared" si="206"/>
        <v>#N/A</v>
      </c>
      <c r="F6474" s="3" t="e">
        <f t="shared" si="207"/>
        <v>#N/A</v>
      </c>
    </row>
    <row r="6475" spans="2:6" x14ac:dyDescent="0.25">
      <c r="B6475" s="3"/>
      <c r="C6475" s="3"/>
      <c r="D6475" s="3"/>
      <c r="E6475" s="3" t="e">
        <f t="shared" si="206"/>
        <v>#N/A</v>
      </c>
      <c r="F6475" s="3" t="e">
        <f t="shared" si="207"/>
        <v>#N/A</v>
      </c>
    </row>
    <row r="6476" spans="2:6" x14ac:dyDescent="0.25">
      <c r="B6476" s="3"/>
      <c r="C6476" s="3"/>
      <c r="D6476" s="3"/>
      <c r="E6476" s="3" t="e">
        <f t="shared" si="206"/>
        <v>#N/A</v>
      </c>
      <c r="F6476" s="3" t="e">
        <f t="shared" si="207"/>
        <v>#N/A</v>
      </c>
    </row>
    <row r="6477" spans="2:6" x14ac:dyDescent="0.25">
      <c r="B6477" s="3"/>
      <c r="C6477" s="3"/>
      <c r="D6477" s="3"/>
      <c r="E6477" s="3" t="e">
        <f t="shared" si="206"/>
        <v>#N/A</v>
      </c>
      <c r="F6477" s="3" t="e">
        <f t="shared" si="207"/>
        <v>#N/A</v>
      </c>
    </row>
    <row r="6478" spans="2:6" x14ac:dyDescent="0.25">
      <c r="B6478" s="3"/>
      <c r="C6478" s="3"/>
      <c r="D6478" s="3"/>
      <c r="E6478" s="3" t="e">
        <f t="shared" ref="E6478:E6500" si="208">VLOOKUP(C6478,I:J,2,0)</f>
        <v>#N/A</v>
      </c>
      <c r="F6478" s="3" t="e">
        <f t="shared" ref="F6478:F6500" si="209">E6478&amp;" "&amp;B6478</f>
        <v>#N/A</v>
      </c>
    </row>
    <row r="6479" spans="2:6" x14ac:dyDescent="0.25">
      <c r="B6479" s="3"/>
      <c r="C6479" s="3"/>
      <c r="D6479" s="3"/>
      <c r="E6479" s="3" t="e">
        <f t="shared" si="208"/>
        <v>#N/A</v>
      </c>
      <c r="F6479" s="3" t="e">
        <f t="shared" si="209"/>
        <v>#N/A</v>
      </c>
    </row>
    <row r="6480" spans="2:6" x14ac:dyDescent="0.25">
      <c r="B6480" s="3"/>
      <c r="C6480" s="3"/>
      <c r="D6480" s="3"/>
      <c r="E6480" s="3" t="e">
        <f t="shared" si="208"/>
        <v>#N/A</v>
      </c>
      <c r="F6480" s="3" t="e">
        <f t="shared" si="209"/>
        <v>#N/A</v>
      </c>
    </row>
    <row r="6481" spans="2:6" x14ac:dyDescent="0.25">
      <c r="B6481" s="3"/>
      <c r="C6481" s="3"/>
      <c r="D6481" s="3"/>
      <c r="E6481" s="3" t="e">
        <f t="shared" si="208"/>
        <v>#N/A</v>
      </c>
      <c r="F6481" s="3" t="e">
        <f t="shared" si="209"/>
        <v>#N/A</v>
      </c>
    </row>
    <row r="6482" spans="2:6" x14ac:dyDescent="0.25">
      <c r="B6482" s="3"/>
      <c r="C6482" s="3"/>
      <c r="D6482" s="3"/>
      <c r="E6482" s="3" t="e">
        <f t="shared" si="208"/>
        <v>#N/A</v>
      </c>
      <c r="F6482" s="3" t="e">
        <f t="shared" si="209"/>
        <v>#N/A</v>
      </c>
    </row>
    <row r="6483" spans="2:6" x14ac:dyDescent="0.25">
      <c r="B6483" s="3"/>
      <c r="C6483" s="3"/>
      <c r="D6483" s="3"/>
      <c r="E6483" s="3" t="e">
        <f t="shared" si="208"/>
        <v>#N/A</v>
      </c>
      <c r="F6483" s="3" t="e">
        <f t="shared" si="209"/>
        <v>#N/A</v>
      </c>
    </row>
    <row r="6484" spans="2:6" x14ac:dyDescent="0.25">
      <c r="B6484" s="3"/>
      <c r="C6484" s="3"/>
      <c r="D6484" s="3"/>
      <c r="E6484" s="3" t="e">
        <f t="shared" si="208"/>
        <v>#N/A</v>
      </c>
      <c r="F6484" s="3" t="e">
        <f t="shared" si="209"/>
        <v>#N/A</v>
      </c>
    </row>
    <row r="6485" spans="2:6" x14ac:dyDescent="0.25">
      <c r="B6485" s="3"/>
      <c r="C6485" s="3"/>
      <c r="D6485" s="3"/>
      <c r="E6485" s="3" t="e">
        <f t="shared" si="208"/>
        <v>#N/A</v>
      </c>
      <c r="F6485" s="3" t="e">
        <f t="shared" si="209"/>
        <v>#N/A</v>
      </c>
    </row>
    <row r="6486" spans="2:6" x14ac:dyDescent="0.25">
      <c r="B6486" s="3"/>
      <c r="C6486" s="3"/>
      <c r="D6486" s="3"/>
      <c r="E6486" s="3" t="e">
        <f t="shared" si="208"/>
        <v>#N/A</v>
      </c>
      <c r="F6486" s="3" t="e">
        <f t="shared" si="209"/>
        <v>#N/A</v>
      </c>
    </row>
    <row r="6487" spans="2:6" x14ac:dyDescent="0.25">
      <c r="B6487" s="3"/>
      <c r="C6487" s="3"/>
      <c r="D6487" s="3"/>
      <c r="E6487" s="3" t="e">
        <f t="shared" si="208"/>
        <v>#N/A</v>
      </c>
      <c r="F6487" s="3" t="e">
        <f t="shared" si="209"/>
        <v>#N/A</v>
      </c>
    </row>
    <row r="6488" spans="2:6" x14ac:dyDescent="0.25">
      <c r="B6488" s="3"/>
      <c r="C6488" s="3"/>
      <c r="D6488" s="3"/>
      <c r="E6488" s="3" t="e">
        <f t="shared" si="208"/>
        <v>#N/A</v>
      </c>
      <c r="F6488" s="3" t="e">
        <f t="shared" si="209"/>
        <v>#N/A</v>
      </c>
    </row>
    <row r="6489" spans="2:6" x14ac:dyDescent="0.25">
      <c r="B6489" s="3"/>
      <c r="C6489" s="3"/>
      <c r="D6489" s="3"/>
      <c r="E6489" s="3" t="e">
        <f t="shared" si="208"/>
        <v>#N/A</v>
      </c>
      <c r="F6489" s="3" t="e">
        <f t="shared" si="209"/>
        <v>#N/A</v>
      </c>
    </row>
    <row r="6490" spans="2:6" x14ac:dyDescent="0.25">
      <c r="B6490" s="3"/>
      <c r="C6490" s="3"/>
      <c r="D6490" s="3"/>
      <c r="E6490" s="3" t="e">
        <f t="shared" si="208"/>
        <v>#N/A</v>
      </c>
      <c r="F6490" s="3" t="e">
        <f t="shared" si="209"/>
        <v>#N/A</v>
      </c>
    </row>
    <row r="6491" spans="2:6" x14ac:dyDescent="0.25">
      <c r="B6491" s="3"/>
      <c r="C6491" s="3"/>
      <c r="D6491" s="3"/>
      <c r="E6491" s="3" t="e">
        <f t="shared" si="208"/>
        <v>#N/A</v>
      </c>
      <c r="F6491" s="3" t="e">
        <f t="shared" si="209"/>
        <v>#N/A</v>
      </c>
    </row>
    <row r="6492" spans="2:6" x14ac:dyDescent="0.25">
      <c r="B6492" s="3"/>
      <c r="C6492" s="3"/>
      <c r="D6492" s="3"/>
      <c r="E6492" s="3" t="e">
        <f t="shared" si="208"/>
        <v>#N/A</v>
      </c>
      <c r="F6492" s="3" t="e">
        <f t="shared" si="209"/>
        <v>#N/A</v>
      </c>
    </row>
    <row r="6493" spans="2:6" x14ac:dyDescent="0.25">
      <c r="B6493" s="3"/>
      <c r="C6493" s="3"/>
      <c r="D6493" s="3"/>
      <c r="E6493" s="3" t="e">
        <f t="shared" si="208"/>
        <v>#N/A</v>
      </c>
      <c r="F6493" s="3" t="e">
        <f t="shared" si="209"/>
        <v>#N/A</v>
      </c>
    </row>
    <row r="6494" spans="2:6" x14ac:dyDescent="0.25">
      <c r="B6494" s="3"/>
      <c r="C6494" s="3"/>
      <c r="D6494" s="3"/>
      <c r="E6494" s="3" t="e">
        <f t="shared" si="208"/>
        <v>#N/A</v>
      </c>
      <c r="F6494" s="3" t="e">
        <f t="shared" si="209"/>
        <v>#N/A</v>
      </c>
    </row>
    <row r="6495" spans="2:6" x14ac:dyDescent="0.25">
      <c r="B6495" s="3"/>
      <c r="C6495" s="3"/>
      <c r="D6495" s="3"/>
      <c r="E6495" s="3" t="e">
        <f t="shared" si="208"/>
        <v>#N/A</v>
      </c>
      <c r="F6495" s="3" t="e">
        <f t="shared" si="209"/>
        <v>#N/A</v>
      </c>
    </row>
    <row r="6496" spans="2:6" x14ac:dyDescent="0.25">
      <c r="B6496" s="3"/>
      <c r="C6496" s="3"/>
      <c r="D6496" s="3"/>
      <c r="E6496" s="3" t="e">
        <f t="shared" si="208"/>
        <v>#N/A</v>
      </c>
      <c r="F6496" s="3" t="e">
        <f t="shared" si="209"/>
        <v>#N/A</v>
      </c>
    </row>
    <row r="6497" spans="2:6" x14ac:dyDescent="0.25">
      <c r="B6497" s="3"/>
      <c r="C6497" s="3"/>
      <c r="D6497" s="3"/>
      <c r="E6497" s="3" t="e">
        <f t="shared" si="208"/>
        <v>#N/A</v>
      </c>
      <c r="F6497" s="3" t="e">
        <f t="shared" si="209"/>
        <v>#N/A</v>
      </c>
    </row>
    <row r="6498" spans="2:6" x14ac:dyDescent="0.25">
      <c r="B6498" s="3"/>
      <c r="C6498" s="3"/>
      <c r="D6498" s="3"/>
      <c r="E6498" s="3" t="e">
        <f t="shared" si="208"/>
        <v>#N/A</v>
      </c>
      <c r="F6498" s="3" t="e">
        <f t="shared" si="209"/>
        <v>#N/A</v>
      </c>
    </row>
    <row r="6499" spans="2:6" x14ac:dyDescent="0.25">
      <c r="B6499" s="3"/>
      <c r="C6499" s="3"/>
      <c r="D6499" s="3"/>
      <c r="E6499" s="3" t="e">
        <f t="shared" si="208"/>
        <v>#N/A</v>
      </c>
      <c r="F6499" s="3" t="e">
        <f t="shared" si="209"/>
        <v>#N/A</v>
      </c>
    </row>
    <row r="6500" spans="2:6" x14ac:dyDescent="0.25">
      <c r="B6500" s="3"/>
      <c r="C6500" s="3"/>
      <c r="D6500" s="3"/>
      <c r="E6500" s="3" t="e">
        <f t="shared" si="208"/>
        <v>#N/A</v>
      </c>
      <c r="F6500" s="3" t="e">
        <f t="shared" si="209"/>
        <v>#N/A</v>
      </c>
    </row>
  </sheetData>
  <autoFilter ref="B2:F6500" xr:uid="{7AA9827C-898C-41F7-9888-C39C86A73C9D}">
    <sortState xmlns:xlrd2="http://schemas.microsoft.com/office/spreadsheetml/2017/richdata2" ref="B379:F617">
      <sortCondition ref="B2:B617"/>
    </sortState>
  </autoFilter>
  <mergeCells count="1"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0EF4-AD3F-4080-A104-1FD50F063842}">
  <dimension ref="A1:AJ1310"/>
  <sheetViews>
    <sheetView tabSelected="1" topLeftCell="A36" zoomScaleNormal="100" workbookViewId="0">
      <selection activeCell="B1" sqref="B1:AG89"/>
    </sheetView>
  </sheetViews>
  <sheetFormatPr baseColWidth="10" defaultColWidth="11.42578125" defaultRowHeight="15" x14ac:dyDescent="0.25"/>
  <cols>
    <col min="1" max="1" width="22.140625" style="1" customWidth="1"/>
    <col min="2" max="2" width="21.28515625" style="1" customWidth="1"/>
    <col min="3" max="3" width="13.28515625" customWidth="1"/>
    <col min="4" max="4" width="27.7109375" bestFit="1" customWidth="1"/>
    <col min="5" max="5" width="20.140625" bestFit="1" customWidth="1"/>
    <col min="6" max="6" width="20.85546875" bestFit="1" customWidth="1"/>
    <col min="7" max="7" width="30.140625" customWidth="1"/>
    <col min="8" max="8" width="26.140625" customWidth="1"/>
    <col min="9" max="9" width="3.28515625" hidden="1" customWidth="1"/>
    <col min="10" max="10" width="4" hidden="1" customWidth="1"/>
    <col min="11" max="11" width="4.28515625" hidden="1" customWidth="1"/>
    <col min="12" max="12" width="4.85546875" hidden="1" customWidth="1"/>
    <col min="13" max="13" width="4.28515625" hidden="1" customWidth="1"/>
    <col min="14" max="14" width="4.42578125" hidden="1" customWidth="1"/>
    <col min="15" max="15" width="5.42578125" hidden="1" customWidth="1"/>
    <col min="16" max="16" width="4.7109375" hidden="1" customWidth="1"/>
    <col min="17" max="17" width="3.5703125" hidden="1" customWidth="1"/>
    <col min="18" max="18" width="4.7109375" hidden="1" customWidth="1"/>
    <col min="19" max="19" width="11" customWidth="1"/>
    <col min="25" max="25" width="11.7109375" bestFit="1" customWidth="1"/>
    <col min="27" max="27" width="10.7109375" customWidth="1"/>
    <col min="32" max="32" width="16.85546875" customWidth="1"/>
  </cols>
  <sheetData>
    <row r="1" spans="1:36" ht="15" customHeight="1" x14ac:dyDescent="0.25">
      <c r="A1" s="21" t="s">
        <v>59</v>
      </c>
      <c r="B1" s="23" t="s">
        <v>60</v>
      </c>
      <c r="C1" s="25" t="s">
        <v>61</v>
      </c>
      <c r="D1" s="25" t="s">
        <v>62</v>
      </c>
      <c r="E1" s="25" t="s">
        <v>63</v>
      </c>
      <c r="F1" s="25" t="s">
        <v>64</v>
      </c>
      <c r="G1" s="25" t="s">
        <v>65</v>
      </c>
      <c r="H1" s="25" t="s">
        <v>66</v>
      </c>
      <c r="I1" s="6"/>
      <c r="J1" s="6"/>
      <c r="K1" s="6"/>
      <c r="L1" s="6"/>
      <c r="M1" s="6"/>
      <c r="N1" s="6"/>
      <c r="O1" s="6"/>
      <c r="P1" s="6"/>
      <c r="Q1" s="6"/>
      <c r="R1" s="6"/>
      <c r="S1" s="20" t="s">
        <v>67</v>
      </c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18" t="s">
        <v>68</v>
      </c>
      <c r="AF1" s="18" t="s">
        <v>69</v>
      </c>
      <c r="AG1" s="18" t="s">
        <v>70</v>
      </c>
    </row>
    <row r="2" spans="1:36" x14ac:dyDescent="0.25">
      <c r="A2" s="22"/>
      <c r="B2" s="24"/>
      <c r="C2" s="26"/>
      <c r="D2" s="26"/>
      <c r="E2" s="26"/>
      <c r="F2" s="26"/>
      <c r="G2" s="26"/>
      <c r="H2" s="26"/>
      <c r="I2" s="5"/>
      <c r="J2" s="5"/>
      <c r="K2" s="5"/>
      <c r="L2" s="5"/>
      <c r="M2" s="5"/>
      <c r="N2" s="5"/>
      <c r="O2" s="5"/>
      <c r="P2" s="5"/>
      <c r="Q2" s="5"/>
      <c r="R2" s="5"/>
      <c r="S2" s="11" t="s">
        <v>26</v>
      </c>
      <c r="T2" s="11" t="s">
        <v>28</v>
      </c>
      <c r="U2" s="11" t="s">
        <v>71</v>
      </c>
      <c r="V2" s="11" t="s">
        <v>39</v>
      </c>
      <c r="W2" s="11" t="s">
        <v>43</v>
      </c>
      <c r="X2" s="11" t="s">
        <v>41</v>
      </c>
      <c r="Y2" s="11" t="s">
        <v>51</v>
      </c>
      <c r="Z2" s="11" t="s">
        <v>55</v>
      </c>
      <c r="AA2" s="11" t="s">
        <v>53</v>
      </c>
      <c r="AB2" s="11" t="s">
        <v>45</v>
      </c>
      <c r="AC2" s="11" t="s">
        <v>49</v>
      </c>
      <c r="AD2" s="11" t="s">
        <v>47</v>
      </c>
      <c r="AE2" s="19"/>
      <c r="AF2" s="19"/>
      <c r="AG2" s="19"/>
    </row>
    <row r="3" spans="1:36" x14ac:dyDescent="0.25">
      <c r="A3" s="7"/>
      <c r="B3" s="8" t="s">
        <v>76</v>
      </c>
      <c r="C3" s="3">
        <v>14217446</v>
      </c>
      <c r="D3" s="3" t="s">
        <v>77</v>
      </c>
      <c r="E3" s="3">
        <f>VLOOKUP(D3,VIAJES!$D:$E,2,FALSE)</f>
        <v>32</v>
      </c>
      <c r="F3" s="9">
        <f>VLOOKUP(D3,VIAJES!$D:$F,3,FALSE)</f>
        <v>0.22569444444444445</v>
      </c>
      <c r="G3" s="9">
        <f>VLOOKUP(D3,VIAJES!$D:$G,4,FALSE)</f>
        <v>0.88263888888888886</v>
      </c>
      <c r="H3" s="3">
        <f>VLOOKUP(D3,VIAJES!$D:$H,5,FALSE)</f>
        <v>706.14</v>
      </c>
      <c r="I3" s="3"/>
      <c r="J3" s="3"/>
      <c r="K3" s="3"/>
      <c r="L3" s="3"/>
      <c r="M3" s="3"/>
      <c r="N3" s="3"/>
      <c r="O3" s="3"/>
      <c r="P3" s="3"/>
      <c r="Q3" s="3"/>
      <c r="R3" s="3"/>
      <c r="S3" s="3">
        <f>IFERROR(INDEX(EVENTOS!$D:$D,MATCH(SCORE!S$2&amp;" "&amp;SCORE!$D3,EVENTOS!$F:$F,0)),0)</f>
        <v>0</v>
      </c>
      <c r="T3" s="3">
        <f>IFERROR(INDEX(EVENTOS!$D:$D,MATCH(SCORE!T$2&amp;" "&amp;SCORE!$D3,EVENTOS!$F:$F,0)),0)</f>
        <v>0</v>
      </c>
      <c r="U3" s="3">
        <f>IFERROR(INDEX(EVENTOS!$D:$D,MATCH(SCORE!U$2&amp;" "&amp;SCORE!$D3,EVENTOS!$F:$F,0)),0)</f>
        <v>0</v>
      </c>
      <c r="V3" s="3">
        <f>IFERROR(INDEX(EVENTOS!$D:$D,MATCH(SCORE!V$2&amp;" "&amp;SCORE!$D3,EVENTOS!$F:$F,0)),0)</f>
        <v>0</v>
      </c>
      <c r="W3" s="3">
        <f>IFERROR(INDEX(EVENTOS!$D:$D,MATCH(SCORE!W$2&amp;" "&amp;SCORE!$D3,EVENTOS!$F:$F,0)),0)</f>
        <v>1</v>
      </c>
      <c r="X3" s="3">
        <f>IFERROR(INDEX(EVENTOS!$D:$D,MATCH(SCORE!X$2&amp;" "&amp;SCORE!$D3,EVENTOS!$F:$F,0)),0)</f>
        <v>0</v>
      </c>
      <c r="Y3" s="3">
        <f>SUMIFS(EVENTOS!$D:$D, EVENTOS!$B:$B, D3, EVENTOS!$E:$E, "*GirAlto*")</f>
        <v>0</v>
      </c>
      <c r="Z3" s="3">
        <f>SUMIFS(EVENTOS!$D:$D, EVENTOS!$B:$B, D3, EVENTOS!$E:$E, "*GirMed*")</f>
        <v>2</v>
      </c>
      <c r="AA3" s="3">
        <f>SUMIFS(EVENTOS!$D:$D, EVENTOS!$B:$B, D3, EVENTOS!$E:$E, "*GirBajo*")</f>
        <v>8</v>
      </c>
      <c r="AB3" s="3">
        <f>IFERROR(INDEX(EVENTOS!$D:$D,MATCH(SCORE!AB$2&amp;" "&amp;SCORE!$D3,EVENTOS!$F:$F,0)),0)</f>
        <v>0</v>
      </c>
      <c r="AC3" s="3">
        <f>IFERROR(INDEX(EVENTOS!$D:$D,MATCH(SCORE!AC$2&amp;" "&amp;SCORE!$D3,EVENTOS!$F:$F,0)),0)</f>
        <v>0</v>
      </c>
      <c r="AD3" s="3">
        <f>IFERROR(INDEX(EVENTOS!$D:$D,MATCH(SCORE!AD$2&amp;" "&amp;SCORE!$D3,EVENTOS!$F:$F,0)),0)</f>
        <v>0</v>
      </c>
      <c r="AE3" s="3">
        <f t="shared" ref="AE3:AE66" si="0">((S3+V3+Y3+AB3)*50)+((T3+W3+Z3+AC3)*25)+((U3+X3+AA3+AD3)*5)</f>
        <v>115</v>
      </c>
      <c r="AF3" s="10">
        <f t="shared" ref="AF3:AF66" si="1">AE3/(G3*24)*100</f>
        <v>542.87962234461054</v>
      </c>
      <c r="AG3" s="3">
        <f t="shared" ref="AG3:AG66" si="2">IF(D3&lt;&gt;"",IF(AF3&gt;=30000,5,ROUNDDOWN((((5-95)*(AF3-0))/(30000-0))+95,0)),"")</f>
        <v>93</v>
      </c>
    </row>
    <row r="4" spans="1:36" x14ac:dyDescent="0.25">
      <c r="A4" s="7"/>
      <c r="B4" s="8" t="s">
        <v>76</v>
      </c>
      <c r="C4" s="3">
        <v>14221921</v>
      </c>
      <c r="D4" s="3" t="s">
        <v>78</v>
      </c>
      <c r="E4" s="3">
        <f>VLOOKUP(D4,VIAJES!$D:$E,2,FALSE)</f>
        <v>52</v>
      </c>
      <c r="F4" s="9">
        <f>VLOOKUP(D4,VIAJES!$D:$F,3,FALSE)</f>
        <v>0.33958333333333335</v>
      </c>
      <c r="G4" s="9">
        <f>VLOOKUP(D4,VIAJES!$D:$G,4,FALSE)</f>
        <v>1.21875</v>
      </c>
      <c r="H4" s="3">
        <f>VLOOKUP(D4,VIAJES!$D:$H,5,FALSE)</f>
        <v>1176.79</v>
      </c>
      <c r="I4" s="3"/>
      <c r="J4" s="3"/>
      <c r="K4" s="3"/>
      <c r="L4" s="3"/>
      <c r="M4" s="3"/>
      <c r="N4" s="3"/>
      <c r="O4" s="3"/>
      <c r="P4" s="3"/>
      <c r="Q4" s="3"/>
      <c r="R4" s="3"/>
      <c r="S4" s="3">
        <f>IFERROR(INDEX(EVENTOS!$D:$D,MATCH(SCORE!S$2&amp;" "&amp;SCORE!$D4,EVENTOS!$F:$F,0)),0)</f>
        <v>2</v>
      </c>
      <c r="T4" s="3">
        <f>IFERROR(INDEX(EVENTOS!$D:$D,MATCH(SCORE!T$2&amp;" "&amp;SCORE!$D4,EVENTOS!$F:$F,0)),0)</f>
        <v>0</v>
      </c>
      <c r="U4" s="3">
        <f>IFERROR(INDEX(EVENTOS!$D:$D,MATCH(SCORE!U$2&amp;" "&amp;SCORE!$D4,EVENTOS!$F:$F,0)),0)</f>
        <v>0</v>
      </c>
      <c r="V4" s="3">
        <f>IFERROR(INDEX(EVENTOS!$D:$D,MATCH(SCORE!V$2&amp;" "&amp;SCORE!$D4,EVENTOS!$F:$F,0)),0)</f>
        <v>0</v>
      </c>
      <c r="W4" s="3">
        <f>IFERROR(INDEX(EVENTOS!$D:$D,MATCH(SCORE!W$2&amp;" "&amp;SCORE!$D4,EVENTOS!$F:$F,0)),0)</f>
        <v>0</v>
      </c>
      <c r="X4" s="3">
        <f>IFERROR(INDEX(EVENTOS!$D:$D,MATCH(SCORE!X$2&amp;" "&amp;SCORE!$D4,EVENTOS!$F:$F,0)),0)</f>
        <v>0</v>
      </c>
      <c r="Y4" s="3">
        <f>SUMIFS(EVENTOS!$D:$D, EVENTOS!$B:$B, D4, EVENTOS!$E:$E, "*GirAlto*")</f>
        <v>0</v>
      </c>
      <c r="Z4" s="3">
        <f>SUMIFS(EVENTOS!$D:$D, EVENTOS!$B:$B, D4, EVENTOS!$E:$E, "*GirMed*")</f>
        <v>2</v>
      </c>
      <c r="AA4" s="3">
        <f>SUMIFS(EVENTOS!$D:$D, EVENTOS!$B:$B, D4, EVENTOS!$E:$E, "*GirBajo*")</f>
        <v>10</v>
      </c>
      <c r="AB4" s="3">
        <f>IFERROR(INDEX(EVENTOS!$D:$D,MATCH(SCORE!AB$2&amp;" "&amp;SCORE!$D4,EVENTOS!$F:$F,0)),0)</f>
        <v>0</v>
      </c>
      <c r="AC4" s="3">
        <f>IFERROR(INDEX(EVENTOS!$D:$D,MATCH(SCORE!AC$2&amp;" "&amp;SCORE!$D4,EVENTOS!$F:$F,0)),0)</f>
        <v>0</v>
      </c>
      <c r="AD4" s="3">
        <f>IFERROR(INDEX(EVENTOS!$D:$D,MATCH(SCORE!AD$2&amp;" "&amp;SCORE!$D4,EVENTOS!$F:$F,0)),0)</f>
        <v>67</v>
      </c>
      <c r="AE4" s="3">
        <f t="shared" si="0"/>
        <v>535</v>
      </c>
      <c r="AF4" s="10">
        <f t="shared" si="1"/>
        <v>1829.0598290598289</v>
      </c>
      <c r="AG4" s="3">
        <f t="shared" si="2"/>
        <v>89</v>
      </c>
      <c r="AI4" t="s">
        <v>72</v>
      </c>
      <c r="AJ4" s="13"/>
    </row>
    <row r="5" spans="1:36" x14ac:dyDescent="0.25">
      <c r="A5" s="7"/>
      <c r="B5" s="8" t="s">
        <v>76</v>
      </c>
      <c r="C5" s="3">
        <v>14215986</v>
      </c>
      <c r="D5" s="3" t="s">
        <v>79</v>
      </c>
      <c r="E5" s="3">
        <f>VLOOKUP(D5,VIAJES!$D:$E,2,FALSE)</f>
        <v>27</v>
      </c>
      <c r="F5" s="9">
        <f>VLOOKUP(D5,VIAJES!$D:$F,3,FALSE)</f>
        <v>0.40833333333333333</v>
      </c>
      <c r="G5" s="9">
        <f>VLOOKUP(D5,VIAJES!$D:$G,4,FALSE)</f>
        <v>0.74305555555555558</v>
      </c>
      <c r="H5" s="3">
        <f>VLOOKUP(D5,VIAJES!$D:$H,5,FALSE)</f>
        <v>498.32</v>
      </c>
      <c r="I5" s="3"/>
      <c r="J5" s="3"/>
      <c r="K5" s="3"/>
      <c r="L5" s="3"/>
      <c r="M5" s="3"/>
      <c r="N5" s="3"/>
      <c r="O5" s="3"/>
      <c r="P5" s="3"/>
      <c r="Q5" s="3"/>
      <c r="R5" s="3"/>
      <c r="S5" s="3">
        <f>IFERROR(INDEX(EVENTOS!$D:$D,MATCH(SCORE!S$2&amp;" "&amp;SCORE!$D5,EVENTOS!$F:$F,0)),0)</f>
        <v>6</v>
      </c>
      <c r="T5" s="3">
        <f>IFERROR(INDEX(EVENTOS!$D:$D,MATCH(SCORE!T$2&amp;" "&amp;SCORE!$D5,EVENTOS!$F:$F,0)),0)</f>
        <v>0</v>
      </c>
      <c r="U5" s="3">
        <f>IFERROR(INDEX(EVENTOS!$D:$D,MATCH(SCORE!U$2&amp;" "&amp;SCORE!$D5,EVENTOS!$F:$F,0)),0)</f>
        <v>0</v>
      </c>
      <c r="V5" s="3">
        <f>IFERROR(INDEX(EVENTOS!$D:$D,MATCH(SCORE!V$2&amp;" "&amp;SCORE!$D5,EVENTOS!$F:$F,0)),0)</f>
        <v>1</v>
      </c>
      <c r="W5" s="3">
        <f>IFERROR(INDEX(EVENTOS!$D:$D,MATCH(SCORE!W$2&amp;" "&amp;SCORE!$D5,EVENTOS!$F:$F,0)),0)</f>
        <v>0</v>
      </c>
      <c r="X5" s="3">
        <f>IFERROR(INDEX(EVENTOS!$D:$D,MATCH(SCORE!X$2&amp;" "&amp;SCORE!$D5,EVENTOS!$F:$F,0)),0)</f>
        <v>0</v>
      </c>
      <c r="Y5" s="3">
        <f>SUMIFS(EVENTOS!$D:$D, EVENTOS!$B:$B, D5, EVENTOS!$E:$E, "*GirAlto*")</f>
        <v>0</v>
      </c>
      <c r="Z5" s="3">
        <f>SUMIFS(EVENTOS!$D:$D, EVENTOS!$B:$B, D5, EVENTOS!$E:$E, "*GirMed*")</f>
        <v>6</v>
      </c>
      <c r="AA5" s="3">
        <f>SUMIFS(EVENTOS!$D:$D, EVENTOS!$B:$B, D5, EVENTOS!$E:$E, "*GirBajo*")</f>
        <v>12</v>
      </c>
      <c r="AB5" s="3">
        <f>IFERROR(INDEX(EVENTOS!$D:$D,MATCH(SCORE!AB$2&amp;" "&amp;SCORE!$D5,EVENTOS!$F:$F,0)),0)</f>
        <v>0</v>
      </c>
      <c r="AC5" s="3">
        <f>IFERROR(INDEX(EVENTOS!$D:$D,MATCH(SCORE!AC$2&amp;" "&amp;SCORE!$D5,EVENTOS!$F:$F,0)),0)</f>
        <v>0</v>
      </c>
      <c r="AD5" s="3">
        <f>IFERROR(INDEX(EVENTOS!$D:$D,MATCH(SCORE!AD$2&amp;" "&amp;SCORE!$D5,EVENTOS!$F:$F,0)),0)</f>
        <v>5</v>
      </c>
      <c r="AE5" s="3">
        <f t="shared" si="0"/>
        <v>585</v>
      </c>
      <c r="AF5" s="10">
        <f t="shared" si="1"/>
        <v>3280.3738317757002</v>
      </c>
      <c r="AG5" s="3">
        <f t="shared" si="2"/>
        <v>85</v>
      </c>
      <c r="AI5" t="s">
        <v>73</v>
      </c>
      <c r="AJ5" s="14"/>
    </row>
    <row r="6" spans="1:36" x14ac:dyDescent="0.25">
      <c r="A6" s="7"/>
      <c r="B6" s="8" t="s">
        <v>76</v>
      </c>
      <c r="C6" s="3">
        <v>14218817</v>
      </c>
      <c r="D6" s="3" t="s">
        <v>80</v>
      </c>
      <c r="E6" s="3">
        <f>VLOOKUP(D6,VIAJES!$D:$E,2,FALSE)</f>
        <v>17</v>
      </c>
      <c r="F6" s="9">
        <f>VLOOKUP(D6,VIAJES!$D:$F,3,FALSE)</f>
        <v>0.16875000000000001</v>
      </c>
      <c r="G6" s="9">
        <f>VLOOKUP(D6,VIAJES!$D:$G,4,FALSE)</f>
        <v>0.21944444444444444</v>
      </c>
      <c r="H6" s="3">
        <f>VLOOKUP(D6,VIAJES!$D:$H,5,FALSE)</f>
        <v>181</v>
      </c>
      <c r="I6" s="3"/>
      <c r="J6" s="3"/>
      <c r="K6" s="3"/>
      <c r="L6" s="3"/>
      <c r="M6" s="3"/>
      <c r="N6" s="3"/>
      <c r="O6" s="3"/>
      <c r="P6" s="3"/>
      <c r="Q6" s="3"/>
      <c r="R6" s="3"/>
      <c r="S6" s="3">
        <f>IFERROR(INDEX(EVENTOS!$D:$D,MATCH(SCORE!S$2&amp;" "&amp;SCORE!$D6,EVENTOS!$F:$F,0)),0)</f>
        <v>3</v>
      </c>
      <c r="T6" s="3">
        <f>IFERROR(INDEX(EVENTOS!$D:$D,MATCH(SCORE!T$2&amp;" "&amp;SCORE!$D6,EVENTOS!$F:$F,0)),0)</f>
        <v>0</v>
      </c>
      <c r="U6" s="3">
        <f>IFERROR(INDEX(EVENTOS!$D:$D,MATCH(SCORE!U$2&amp;" "&amp;SCORE!$D6,EVENTOS!$F:$F,0)),0)</f>
        <v>0</v>
      </c>
      <c r="V6" s="3">
        <f>IFERROR(INDEX(EVENTOS!$D:$D,MATCH(SCORE!V$2&amp;" "&amp;SCORE!$D6,EVENTOS!$F:$F,0)),0)</f>
        <v>0</v>
      </c>
      <c r="W6" s="3">
        <f>IFERROR(INDEX(EVENTOS!$D:$D,MATCH(SCORE!W$2&amp;" "&amp;SCORE!$D6,EVENTOS!$F:$F,0)),0)</f>
        <v>0</v>
      </c>
      <c r="X6" s="3">
        <f>IFERROR(INDEX(EVENTOS!$D:$D,MATCH(SCORE!X$2&amp;" "&amp;SCORE!$D6,EVENTOS!$F:$F,0)),0)</f>
        <v>0</v>
      </c>
      <c r="Y6" s="3">
        <f>SUMIFS(EVENTOS!$D:$D, EVENTOS!$B:$B, D6, EVENTOS!$E:$E, "*GirAlto*")</f>
        <v>0</v>
      </c>
      <c r="Z6" s="3">
        <f>SUMIFS(EVENTOS!$D:$D, EVENTOS!$B:$B, D6, EVENTOS!$E:$E, "*GirMed*")</f>
        <v>1</v>
      </c>
      <c r="AA6" s="3">
        <f>SUMIFS(EVENTOS!$D:$D, EVENTOS!$B:$B, D6, EVENTOS!$E:$E, "*GirBajo*")</f>
        <v>0</v>
      </c>
      <c r="AB6" s="3">
        <f>IFERROR(INDEX(EVENTOS!$D:$D,MATCH(SCORE!AB$2&amp;" "&amp;SCORE!$D6,EVENTOS!$F:$F,0)),0)</f>
        <v>0</v>
      </c>
      <c r="AC6" s="3">
        <f>IFERROR(INDEX(EVENTOS!$D:$D,MATCH(SCORE!AC$2&amp;" "&amp;SCORE!$D6,EVENTOS!$F:$F,0)),0)</f>
        <v>0</v>
      </c>
      <c r="AD6" s="3">
        <f>IFERROR(INDEX(EVENTOS!$D:$D,MATCH(SCORE!AD$2&amp;" "&amp;SCORE!$D6,EVENTOS!$F:$F,0)),0)</f>
        <v>3</v>
      </c>
      <c r="AE6" s="3">
        <f t="shared" si="0"/>
        <v>190</v>
      </c>
      <c r="AF6" s="10">
        <f t="shared" si="1"/>
        <v>3607.594936708861</v>
      </c>
      <c r="AG6" s="3">
        <f t="shared" si="2"/>
        <v>84</v>
      </c>
      <c r="AI6" t="s">
        <v>74</v>
      </c>
      <c r="AJ6" s="15"/>
    </row>
    <row r="7" spans="1:36" x14ac:dyDescent="0.25">
      <c r="A7" s="7"/>
      <c r="B7" s="8" t="s">
        <v>76</v>
      </c>
      <c r="C7" s="3">
        <v>14222224</v>
      </c>
      <c r="D7" s="3" t="s">
        <v>81</v>
      </c>
      <c r="E7" s="3">
        <f>VLOOKUP(D7,VIAJES!$D:$E,2,FALSE)</f>
        <v>46</v>
      </c>
      <c r="F7" s="9">
        <f>VLOOKUP(D7,VIAJES!$D:$F,3,FALSE)</f>
        <v>0.27013888888888887</v>
      </c>
      <c r="G7" s="9">
        <f>VLOOKUP(D7,VIAJES!$D:$G,4,FALSE)</f>
        <v>1.3256944444444445</v>
      </c>
      <c r="H7" s="3">
        <f>VLOOKUP(D7,VIAJES!$D:$H,5,FALSE)</f>
        <v>1146.19</v>
      </c>
      <c r="I7" s="3"/>
      <c r="J7" s="3"/>
      <c r="K7" s="3"/>
      <c r="L7" s="3"/>
      <c r="M7" s="3"/>
      <c r="N7" s="3"/>
      <c r="O7" s="3"/>
      <c r="P7" s="3"/>
      <c r="Q7" s="3"/>
      <c r="R7" s="3"/>
      <c r="S7" s="3">
        <f>IFERROR(INDEX(EVENTOS!$D:$D,MATCH(SCORE!S$2&amp;" "&amp;SCORE!$D7,EVENTOS!$F:$F,0)),0)</f>
        <v>11</v>
      </c>
      <c r="T7" s="3">
        <f>IFERROR(INDEX(EVENTOS!$D:$D,MATCH(SCORE!T$2&amp;" "&amp;SCORE!$D7,EVENTOS!$F:$F,0)),0)</f>
        <v>17</v>
      </c>
      <c r="U7" s="3">
        <f>IFERROR(INDEX(EVENTOS!$D:$D,MATCH(SCORE!U$2&amp;" "&amp;SCORE!$D7,EVENTOS!$F:$F,0)),0)</f>
        <v>0</v>
      </c>
      <c r="V7" s="3">
        <f>IFERROR(INDEX(EVENTOS!$D:$D,MATCH(SCORE!V$2&amp;" "&amp;SCORE!$D7,EVENTOS!$F:$F,0)),0)</f>
        <v>0</v>
      </c>
      <c r="W7" s="3">
        <f>IFERROR(INDEX(EVENTOS!$D:$D,MATCH(SCORE!W$2&amp;" "&amp;SCORE!$D7,EVENTOS!$F:$F,0)),0)</f>
        <v>1</v>
      </c>
      <c r="X7" s="3">
        <f>IFERROR(INDEX(EVENTOS!$D:$D,MATCH(SCORE!X$2&amp;" "&amp;SCORE!$D7,EVENTOS!$F:$F,0)),0)</f>
        <v>2</v>
      </c>
      <c r="Y7" s="3">
        <f>SUMIFS(EVENTOS!$D:$D, EVENTOS!$B:$B, D7, EVENTOS!$E:$E, "*GirAlto*")</f>
        <v>3</v>
      </c>
      <c r="Z7" s="3">
        <f>SUMIFS(EVENTOS!$D:$D, EVENTOS!$B:$B, D7, EVENTOS!$E:$E, "*GirMed*")</f>
        <v>25</v>
      </c>
      <c r="AA7" s="3">
        <f>SUMIFS(EVENTOS!$D:$D, EVENTOS!$B:$B, D7, EVENTOS!$E:$E, "*GirBajo*")</f>
        <v>62</v>
      </c>
      <c r="AB7" s="3">
        <f>IFERROR(INDEX(EVENTOS!$D:$D,MATCH(SCORE!AB$2&amp;" "&amp;SCORE!$D7,EVENTOS!$F:$F,0)),0)</f>
        <v>0</v>
      </c>
      <c r="AC7" s="3">
        <f>IFERROR(INDEX(EVENTOS!$D:$D,MATCH(SCORE!AC$2&amp;" "&amp;SCORE!$D7,EVENTOS!$F:$F,0)),0)</f>
        <v>0</v>
      </c>
      <c r="AD7" s="3">
        <f>IFERROR(INDEX(EVENTOS!$D:$D,MATCH(SCORE!AD$2&amp;" "&amp;SCORE!$D7,EVENTOS!$F:$F,0)),0)</f>
        <v>1</v>
      </c>
      <c r="AE7" s="3">
        <f t="shared" si="0"/>
        <v>2100</v>
      </c>
      <c r="AF7" s="10">
        <f t="shared" si="1"/>
        <v>6600.3143006809833</v>
      </c>
      <c r="AG7" s="27">
        <f t="shared" si="2"/>
        <v>75</v>
      </c>
      <c r="AI7" t="s">
        <v>75</v>
      </c>
      <c r="AJ7" s="16"/>
    </row>
    <row r="8" spans="1:36" x14ac:dyDescent="0.25">
      <c r="A8" s="7"/>
      <c r="B8" s="8" t="s">
        <v>76</v>
      </c>
      <c r="C8" s="3">
        <v>14110812</v>
      </c>
      <c r="D8" s="3" t="s">
        <v>82</v>
      </c>
      <c r="E8" s="3">
        <f>VLOOKUP(D8,VIAJES!$D:$E,2,FALSE)</f>
        <v>15</v>
      </c>
      <c r="F8" s="9">
        <f>VLOOKUP(D8,VIAJES!$D:$F,3,FALSE)</f>
        <v>2.013888888888889E-2</v>
      </c>
      <c r="G8" s="9">
        <f>VLOOKUP(D8,VIAJES!$D:$G,4,FALSE)</f>
        <v>0.4</v>
      </c>
      <c r="H8" s="3">
        <f>VLOOKUP(D8,VIAJES!$D:$H,5,FALSE)</f>
        <v>484.61</v>
      </c>
      <c r="I8" s="3"/>
      <c r="J8" s="3"/>
      <c r="K8" s="3"/>
      <c r="L8" s="3"/>
      <c r="M8" s="3"/>
      <c r="N8" s="3"/>
      <c r="O8" s="3"/>
      <c r="P8" s="3"/>
      <c r="Q8" s="3"/>
      <c r="R8" s="3"/>
      <c r="S8" s="3">
        <f>IFERROR(INDEX(EVENTOS!$D:$D,MATCH(SCORE!S$2&amp;" "&amp;SCORE!$D8,EVENTOS!$F:$F,0)),0)</f>
        <v>0</v>
      </c>
      <c r="T8" s="3">
        <f>IFERROR(INDEX(EVENTOS!$D:$D,MATCH(SCORE!T$2&amp;" "&amp;SCORE!$D8,EVENTOS!$F:$F,0)),0)</f>
        <v>0</v>
      </c>
      <c r="U8" s="3">
        <f>IFERROR(INDEX(EVENTOS!$D:$D,MATCH(SCORE!U$2&amp;" "&amp;SCORE!$D8,EVENTOS!$F:$F,0)),0)</f>
        <v>0</v>
      </c>
      <c r="V8" s="3">
        <f>IFERROR(INDEX(EVENTOS!$D:$D,MATCH(SCORE!V$2&amp;" "&amp;SCORE!$D8,EVENTOS!$F:$F,0)),0)</f>
        <v>0</v>
      </c>
      <c r="W8" s="3">
        <f>IFERROR(INDEX(EVENTOS!$D:$D,MATCH(SCORE!W$2&amp;" "&amp;SCORE!$D8,EVENTOS!$F:$F,0)),0)</f>
        <v>1</v>
      </c>
      <c r="X8" s="3">
        <f>IFERROR(INDEX(EVENTOS!$D:$D,MATCH(SCORE!X$2&amp;" "&amp;SCORE!$D8,EVENTOS!$F:$F,0)),0)</f>
        <v>4</v>
      </c>
      <c r="Y8" s="3">
        <f>SUMIFS(EVENTOS!$D:$D, EVENTOS!$B:$B, D8, EVENTOS!$E:$E, "*GirAlto*")</f>
        <v>1</v>
      </c>
      <c r="Z8" s="3">
        <f>SUMIFS(EVENTOS!$D:$D, EVENTOS!$B:$B, D8, EVENTOS!$E:$E, "*GirMed*")</f>
        <v>9</v>
      </c>
      <c r="AA8" s="3">
        <f>SUMIFS(EVENTOS!$D:$D, EVENTOS!$B:$B, D8, EVENTOS!$E:$E, "*GirBajo*")</f>
        <v>43</v>
      </c>
      <c r="AB8" s="3">
        <f>IFERROR(INDEX(EVENTOS!$D:$D,MATCH(SCORE!AB$2&amp;" "&amp;SCORE!$D8,EVENTOS!$F:$F,0)),0)</f>
        <v>4</v>
      </c>
      <c r="AC8" s="3">
        <f>IFERROR(INDEX(EVENTOS!$D:$D,MATCH(SCORE!AC$2&amp;" "&amp;SCORE!$D8,EVENTOS!$F:$F,0)),0)</f>
        <v>31</v>
      </c>
      <c r="AD8" s="3">
        <f>IFERROR(INDEX(EVENTOS!$D:$D,MATCH(SCORE!AD$2&amp;" "&amp;SCORE!$D8,EVENTOS!$F:$F,0)),0)</f>
        <v>19</v>
      </c>
      <c r="AE8" s="3">
        <f t="shared" si="0"/>
        <v>1605</v>
      </c>
      <c r="AF8" s="10">
        <f t="shared" si="1"/>
        <v>16718.749999999996</v>
      </c>
      <c r="AG8" s="3">
        <f t="shared" si="2"/>
        <v>44</v>
      </c>
    </row>
    <row r="9" spans="1:36" x14ac:dyDescent="0.25">
      <c r="A9" s="7"/>
      <c r="B9" s="8" t="s">
        <v>76</v>
      </c>
      <c r="C9" s="3">
        <v>14222299</v>
      </c>
      <c r="D9" s="3" t="s">
        <v>83</v>
      </c>
      <c r="E9" s="3">
        <f>VLOOKUP(D9,VIAJES!$D:$E,2,FALSE)</f>
        <v>87</v>
      </c>
      <c r="F9" s="9">
        <f>VLOOKUP(D9,VIAJES!$D:$F,3,FALSE)</f>
        <v>0.34305555555555556</v>
      </c>
      <c r="G9" s="9">
        <f>VLOOKUP(D9,VIAJES!$D:$G,4,FALSE)</f>
        <v>1.6395833333333334</v>
      </c>
      <c r="H9" s="3">
        <f>VLOOKUP(D9,VIAJES!$D:$H,5,FALSE)</f>
        <v>1270.94</v>
      </c>
      <c r="I9" s="3"/>
      <c r="J9" s="3"/>
      <c r="K9" s="3"/>
      <c r="L9" s="3"/>
      <c r="M9" s="3"/>
      <c r="N9" s="3"/>
      <c r="O9" s="3"/>
      <c r="P9" s="3"/>
      <c r="Q9" s="3"/>
      <c r="R9" s="3"/>
      <c r="S9" s="3">
        <f>IFERROR(INDEX(EVENTOS!$D:$D,MATCH(SCORE!S$2&amp;" "&amp;SCORE!$D9,EVENTOS!$F:$F,0)),0)</f>
        <v>26</v>
      </c>
      <c r="T9" s="3">
        <f>IFERROR(INDEX(EVENTOS!$D:$D,MATCH(SCORE!T$2&amp;" "&amp;SCORE!$D9,EVENTOS!$F:$F,0)),0)</f>
        <v>198</v>
      </c>
      <c r="U9" s="3">
        <f>IFERROR(INDEX(EVENTOS!$D:$D,MATCH(SCORE!U$2&amp;" "&amp;SCORE!$D9,EVENTOS!$F:$F,0)),0)</f>
        <v>0</v>
      </c>
      <c r="V9" s="3">
        <f>IFERROR(INDEX(EVENTOS!$D:$D,MATCH(SCORE!V$2&amp;" "&amp;SCORE!$D9,EVENTOS!$F:$F,0)),0)</f>
        <v>1</v>
      </c>
      <c r="W9" s="3">
        <f>IFERROR(INDEX(EVENTOS!$D:$D,MATCH(SCORE!W$2&amp;" "&amp;SCORE!$D9,EVENTOS!$F:$F,0)),0)</f>
        <v>35</v>
      </c>
      <c r="X9" s="3">
        <f>IFERROR(INDEX(EVENTOS!$D:$D,MATCH(SCORE!X$2&amp;" "&amp;SCORE!$D9,EVENTOS!$F:$F,0)),0)</f>
        <v>28</v>
      </c>
      <c r="Y9" s="3">
        <f>SUMIFS(EVENTOS!$D:$D, EVENTOS!$B:$B, D9, EVENTOS!$E:$E, "*GirAlto*")</f>
        <v>5</v>
      </c>
      <c r="Z9" s="3">
        <f>SUMIFS(EVENTOS!$D:$D, EVENTOS!$B:$B, D9, EVENTOS!$E:$E, "*GirMed*")</f>
        <v>76</v>
      </c>
      <c r="AA9" s="3">
        <f>SUMIFS(EVENTOS!$D:$D, EVENTOS!$B:$B, D9, EVENTOS!$E:$E, "*GirBajo*")</f>
        <v>205</v>
      </c>
      <c r="AB9" s="3">
        <f>IFERROR(INDEX(EVENTOS!$D:$D,MATCH(SCORE!AB$2&amp;" "&amp;SCORE!$D9,EVENTOS!$F:$F,0)),0)</f>
        <v>0</v>
      </c>
      <c r="AC9" s="3">
        <f>IFERROR(INDEX(EVENTOS!$D:$D,MATCH(SCORE!AC$2&amp;" "&amp;SCORE!$D9,EVENTOS!$F:$F,0)),0)</f>
        <v>0</v>
      </c>
      <c r="AD9" s="3">
        <f>IFERROR(INDEX(EVENTOS!$D:$D,MATCH(SCORE!AD$2&amp;" "&amp;SCORE!$D9,EVENTOS!$F:$F,0)),0)</f>
        <v>12</v>
      </c>
      <c r="AE9" s="3">
        <f t="shared" si="0"/>
        <v>10550</v>
      </c>
      <c r="AF9" s="10">
        <f t="shared" si="1"/>
        <v>26810.673443456166</v>
      </c>
      <c r="AG9" s="3">
        <f t="shared" si="2"/>
        <v>14</v>
      </c>
    </row>
    <row r="10" spans="1:36" x14ac:dyDescent="0.25">
      <c r="A10" s="7"/>
      <c r="B10" s="8" t="s">
        <v>76</v>
      </c>
      <c r="C10" s="3">
        <v>14108427</v>
      </c>
      <c r="D10" s="3" t="s">
        <v>84</v>
      </c>
      <c r="E10" s="3">
        <f>VLOOKUP(D10,VIAJES!$D:$E,2,FALSE)</f>
        <v>25</v>
      </c>
      <c r="F10" s="9">
        <f>VLOOKUP(D10,VIAJES!$D:$F,3,FALSE)</f>
        <v>0.21527777777777779</v>
      </c>
      <c r="G10" s="9">
        <f>VLOOKUP(D10,VIAJES!$D:$G,4,FALSE)</f>
        <v>0.875</v>
      </c>
      <c r="H10" s="3">
        <f>VLOOKUP(D10,VIAJES!$D:$H,5,FALSE)</f>
        <v>773.72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f>IFERROR(INDEX(EVENTOS!$D:$D,MATCH(SCORE!S$2&amp;" "&amp;SCORE!$D10,EVENTOS!$F:$F,0)),0)</f>
        <v>0</v>
      </c>
      <c r="T10" s="3">
        <f>IFERROR(INDEX(EVENTOS!$D:$D,MATCH(SCORE!T$2&amp;" "&amp;SCORE!$D10,EVENTOS!$F:$F,0)),0)</f>
        <v>0</v>
      </c>
      <c r="U10" s="3">
        <f>IFERROR(INDEX(EVENTOS!$D:$D,MATCH(SCORE!U$2&amp;" "&amp;SCORE!$D10,EVENTOS!$F:$F,0)),0)</f>
        <v>0</v>
      </c>
      <c r="V10" s="3">
        <f>IFERROR(INDEX(EVENTOS!$D:$D,MATCH(SCORE!V$2&amp;" "&amp;SCORE!$D10,EVENTOS!$F:$F,0)),0)</f>
        <v>0</v>
      </c>
      <c r="W10" s="3">
        <f>IFERROR(INDEX(EVENTOS!$D:$D,MATCH(SCORE!W$2&amp;" "&amp;SCORE!$D10,EVENTOS!$F:$F,0)),0)</f>
        <v>0</v>
      </c>
      <c r="X10" s="3">
        <f>IFERROR(INDEX(EVENTOS!$D:$D,MATCH(SCORE!X$2&amp;" "&amp;SCORE!$D10,EVENTOS!$F:$F,0)),0)</f>
        <v>0</v>
      </c>
      <c r="Y10" s="3">
        <f>SUMIFS(EVENTOS!$D:$D, EVENTOS!$B:$B, D10, EVENTOS!$E:$E, "*GirAlto*")</f>
        <v>0</v>
      </c>
      <c r="Z10" s="3">
        <f>SUMIFS(EVENTOS!$D:$D, EVENTOS!$B:$B, D10, EVENTOS!$E:$E, "*GirMed*")</f>
        <v>0</v>
      </c>
      <c r="AA10" s="3">
        <f>SUMIFS(EVENTOS!$D:$D, EVENTOS!$B:$B, D10, EVENTOS!$E:$E, "*GirBajo*")</f>
        <v>3</v>
      </c>
      <c r="AB10" s="3">
        <f>IFERROR(INDEX(EVENTOS!$D:$D,MATCH(SCORE!AB$2&amp;" "&amp;SCORE!$D10,EVENTOS!$F:$F,0)),0)</f>
        <v>0</v>
      </c>
      <c r="AC10" s="3">
        <f>IFERROR(INDEX(EVENTOS!$D:$D,MATCH(SCORE!AC$2&amp;" "&amp;SCORE!$D10,EVENTOS!$F:$F,0)),0)</f>
        <v>0</v>
      </c>
      <c r="AD10" s="3">
        <f>IFERROR(INDEX(EVENTOS!$D:$D,MATCH(SCORE!AD$2&amp;" "&amp;SCORE!$D10,EVENTOS!$F:$F,0)),0)</f>
        <v>19</v>
      </c>
      <c r="AE10" s="3">
        <f t="shared" si="0"/>
        <v>110</v>
      </c>
      <c r="AF10" s="10">
        <f t="shared" si="1"/>
        <v>523.80952380952385</v>
      </c>
      <c r="AG10" s="3">
        <f t="shared" si="2"/>
        <v>93</v>
      </c>
      <c r="AI10">
        <f>SUM(AG3:AG223)</f>
        <v>7493</v>
      </c>
      <c r="AJ10">
        <f>AI10/87</f>
        <v>86.1264367816092</v>
      </c>
    </row>
    <row r="11" spans="1:36" x14ac:dyDescent="0.25">
      <c r="A11" s="7"/>
      <c r="B11" s="8" t="s">
        <v>76</v>
      </c>
      <c r="C11" s="3">
        <v>14111261</v>
      </c>
      <c r="D11" s="3" t="s">
        <v>85</v>
      </c>
      <c r="E11" s="3">
        <f>VLOOKUP(D11,VIAJES!$D:$E,2,FALSE)</f>
        <v>29</v>
      </c>
      <c r="F11" s="9">
        <f>VLOOKUP(D11,VIAJES!$D:$F,3,FALSE)</f>
        <v>0.19305555555555556</v>
      </c>
      <c r="G11" s="9">
        <f>VLOOKUP(D11,VIAJES!$D:$G,4,FALSE)</f>
        <v>1.0249999999999999</v>
      </c>
      <c r="H11" s="3">
        <f>VLOOKUP(D11,VIAJES!$D:$H,5,FALSE)</f>
        <v>859.1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f>IFERROR(INDEX(EVENTOS!$D:$D,MATCH(SCORE!S$2&amp;" "&amp;SCORE!$D11,EVENTOS!$F:$F,0)),0)</f>
        <v>1</v>
      </c>
      <c r="T11" s="3">
        <f>IFERROR(INDEX(EVENTOS!$D:$D,MATCH(SCORE!T$2&amp;" "&amp;SCORE!$D11,EVENTOS!$F:$F,0)),0)</f>
        <v>20</v>
      </c>
      <c r="U11" s="3">
        <f>IFERROR(INDEX(EVENTOS!$D:$D,MATCH(SCORE!U$2&amp;" "&amp;SCORE!$D11,EVENTOS!$F:$F,0)),0)</f>
        <v>0</v>
      </c>
      <c r="V11" s="3">
        <f>IFERROR(INDEX(EVENTOS!$D:$D,MATCH(SCORE!V$2&amp;" "&amp;SCORE!$D11,EVENTOS!$F:$F,0)),0)</f>
        <v>0</v>
      </c>
      <c r="W11" s="3">
        <f>IFERROR(INDEX(EVENTOS!$D:$D,MATCH(SCORE!W$2&amp;" "&amp;SCORE!$D11,EVENTOS!$F:$F,0)),0)</f>
        <v>0</v>
      </c>
      <c r="X11" s="3">
        <f>IFERROR(INDEX(EVENTOS!$D:$D,MATCH(SCORE!X$2&amp;" "&amp;SCORE!$D11,EVENTOS!$F:$F,0)),0)</f>
        <v>2</v>
      </c>
      <c r="Y11" s="3">
        <f>SUMIFS(EVENTOS!$D:$D, EVENTOS!$B:$B, D11, EVENTOS!$E:$E, "*GirAlto*")</f>
        <v>1</v>
      </c>
      <c r="Z11" s="3">
        <f>SUMIFS(EVENTOS!$D:$D, EVENTOS!$B:$B, D11, EVENTOS!$E:$E, "*GirMed*")</f>
        <v>1</v>
      </c>
      <c r="AA11" s="3">
        <f>SUMIFS(EVENTOS!$D:$D, EVENTOS!$B:$B, D11, EVENTOS!$E:$E, "*GirBajo*")</f>
        <v>9</v>
      </c>
      <c r="AB11" s="3">
        <f>IFERROR(INDEX(EVENTOS!$D:$D,MATCH(SCORE!AB$2&amp;" "&amp;SCORE!$D11,EVENTOS!$F:$F,0)),0)</f>
        <v>0</v>
      </c>
      <c r="AC11" s="3">
        <f>IFERROR(INDEX(EVENTOS!$D:$D,MATCH(SCORE!AC$2&amp;" "&amp;SCORE!$D11,EVENTOS!$F:$F,0)),0)</f>
        <v>0</v>
      </c>
      <c r="AD11" s="3">
        <f>IFERROR(INDEX(EVENTOS!$D:$D,MATCH(SCORE!AD$2&amp;" "&amp;SCORE!$D11,EVENTOS!$F:$F,0)),0)</f>
        <v>0</v>
      </c>
      <c r="AE11" s="3">
        <f t="shared" si="0"/>
        <v>680</v>
      </c>
      <c r="AF11" s="10">
        <f t="shared" si="1"/>
        <v>2764.227642276423</v>
      </c>
      <c r="AG11" s="3">
        <f t="shared" si="2"/>
        <v>86</v>
      </c>
    </row>
    <row r="12" spans="1:36" x14ac:dyDescent="0.25">
      <c r="A12" s="7"/>
      <c r="B12" s="8" t="s">
        <v>76</v>
      </c>
      <c r="C12" s="3">
        <v>14217288</v>
      </c>
      <c r="D12" s="3" t="s">
        <v>86</v>
      </c>
      <c r="E12" s="3">
        <f>VLOOKUP(D12,VIAJES!$D:$E,2,FALSE)</f>
        <v>23</v>
      </c>
      <c r="F12" s="9">
        <f>VLOOKUP(D12,VIAJES!$D:$F,3,FALSE)</f>
        <v>0.23749999999999999</v>
      </c>
      <c r="G12" s="9">
        <f>VLOOKUP(D12,VIAJES!$D:$G,4,FALSE)</f>
        <v>0.49027777777777776</v>
      </c>
      <c r="H12" s="3">
        <f>VLOOKUP(D12,VIAJES!$D:$H,5,FALSE)</f>
        <v>330.05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f>IFERROR(INDEX(EVENTOS!$D:$D,MATCH(SCORE!S$2&amp;" "&amp;SCORE!$D12,EVENTOS!$F:$F,0)),0)</f>
        <v>8</v>
      </c>
      <c r="T12" s="3">
        <f>IFERROR(INDEX(EVENTOS!$D:$D,MATCH(SCORE!T$2&amp;" "&amp;SCORE!$D12,EVENTOS!$F:$F,0)),0)</f>
        <v>0</v>
      </c>
      <c r="U12" s="3">
        <f>IFERROR(INDEX(EVENTOS!$D:$D,MATCH(SCORE!U$2&amp;" "&amp;SCORE!$D12,EVENTOS!$F:$F,0)),0)</f>
        <v>0</v>
      </c>
      <c r="V12" s="3">
        <f>IFERROR(INDEX(EVENTOS!$D:$D,MATCH(SCORE!V$2&amp;" "&amp;SCORE!$D12,EVENTOS!$F:$F,0)),0)</f>
        <v>2</v>
      </c>
      <c r="W12" s="3">
        <f>IFERROR(INDEX(EVENTOS!$D:$D,MATCH(SCORE!W$2&amp;" "&amp;SCORE!$D12,EVENTOS!$F:$F,0)),0)</f>
        <v>0</v>
      </c>
      <c r="X12" s="3">
        <f>IFERROR(INDEX(EVENTOS!$D:$D,MATCH(SCORE!X$2&amp;" "&amp;SCORE!$D12,EVENTOS!$F:$F,0)),0)</f>
        <v>0</v>
      </c>
      <c r="Y12" s="3">
        <f>SUMIFS(EVENTOS!$D:$D, EVENTOS!$B:$B, D12, EVENTOS!$E:$E, "*GirAlto*")</f>
        <v>0</v>
      </c>
      <c r="Z12" s="3">
        <f>SUMIFS(EVENTOS!$D:$D, EVENTOS!$B:$B, D12, EVENTOS!$E:$E, "*GirMed*")</f>
        <v>1</v>
      </c>
      <c r="AA12" s="3">
        <f>SUMIFS(EVENTOS!$D:$D, EVENTOS!$B:$B, D12, EVENTOS!$E:$E, "*GirBajo*")</f>
        <v>4</v>
      </c>
      <c r="AB12" s="3">
        <f>IFERROR(INDEX(EVENTOS!$D:$D,MATCH(SCORE!AB$2&amp;" "&amp;SCORE!$D12,EVENTOS!$F:$F,0)),0)</f>
        <v>0</v>
      </c>
      <c r="AC12" s="3">
        <f>IFERROR(INDEX(EVENTOS!$D:$D,MATCH(SCORE!AC$2&amp;" "&amp;SCORE!$D12,EVENTOS!$F:$F,0)),0)</f>
        <v>0</v>
      </c>
      <c r="AD12" s="3">
        <f>IFERROR(INDEX(EVENTOS!$D:$D,MATCH(SCORE!AD$2&amp;" "&amp;SCORE!$D12,EVENTOS!$F:$F,0)),0)</f>
        <v>1</v>
      </c>
      <c r="AE12" s="3">
        <f t="shared" si="0"/>
        <v>550</v>
      </c>
      <c r="AF12" s="10">
        <f t="shared" si="1"/>
        <v>4674.2209631728056</v>
      </c>
      <c r="AG12" s="3">
        <f t="shared" si="2"/>
        <v>80</v>
      </c>
    </row>
    <row r="13" spans="1:36" x14ac:dyDescent="0.25">
      <c r="A13" s="7"/>
      <c r="B13" s="8" t="s">
        <v>76</v>
      </c>
      <c r="C13" s="3">
        <v>14216383</v>
      </c>
      <c r="D13" s="3" t="s">
        <v>87</v>
      </c>
      <c r="E13" s="3">
        <f>VLOOKUP(D13,VIAJES!$D:$E,2,FALSE)</f>
        <v>29</v>
      </c>
      <c r="F13" s="9">
        <f>VLOOKUP(D13,VIAJES!$D:$F,3,FALSE)</f>
        <v>0.1673611111111111</v>
      </c>
      <c r="G13" s="9">
        <f>VLOOKUP(D13,VIAJES!$D:$G,4,FALSE)</f>
        <v>0.70833333333333337</v>
      </c>
      <c r="H13" s="3">
        <f>VLOOKUP(D13,VIAJES!$D:$H,5,FALSE)</f>
        <v>501.93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f>IFERROR(INDEX(EVENTOS!$D:$D,MATCH(SCORE!S$2&amp;" "&amp;SCORE!$D13,EVENTOS!$F:$F,0)),0)</f>
        <v>0</v>
      </c>
      <c r="T13" s="3">
        <f>IFERROR(INDEX(EVENTOS!$D:$D,MATCH(SCORE!T$2&amp;" "&amp;SCORE!$D13,EVENTOS!$F:$F,0)),0)</f>
        <v>0</v>
      </c>
      <c r="U13" s="3">
        <f>IFERROR(INDEX(EVENTOS!$D:$D,MATCH(SCORE!U$2&amp;" "&amp;SCORE!$D13,EVENTOS!$F:$F,0)),0)</f>
        <v>0</v>
      </c>
      <c r="V13" s="3">
        <f>IFERROR(INDEX(EVENTOS!$D:$D,MATCH(SCORE!V$2&amp;" "&amp;SCORE!$D13,EVENTOS!$F:$F,0)),0)</f>
        <v>0</v>
      </c>
      <c r="W13" s="3">
        <f>IFERROR(INDEX(EVENTOS!$D:$D,MATCH(SCORE!W$2&amp;" "&amp;SCORE!$D13,EVENTOS!$F:$F,0)),0)</f>
        <v>0</v>
      </c>
      <c r="X13" s="3">
        <f>IFERROR(INDEX(EVENTOS!$D:$D,MATCH(SCORE!X$2&amp;" "&amp;SCORE!$D13,EVENTOS!$F:$F,0)),0)</f>
        <v>0</v>
      </c>
      <c r="Y13" s="3">
        <f>SUMIFS(EVENTOS!$D:$D, EVENTOS!$B:$B, D13, EVENTOS!$E:$E, "*GirAlto*")</f>
        <v>0</v>
      </c>
      <c r="Z13" s="3">
        <f>SUMIFS(EVENTOS!$D:$D, EVENTOS!$B:$B, D13, EVENTOS!$E:$E, "*GirMed*")</f>
        <v>1</v>
      </c>
      <c r="AA13" s="3">
        <f>SUMIFS(EVENTOS!$D:$D, EVENTOS!$B:$B, D13, EVENTOS!$E:$E, "*GirBajo*")</f>
        <v>31</v>
      </c>
      <c r="AB13" s="3">
        <f>IFERROR(INDEX(EVENTOS!$D:$D,MATCH(SCORE!AB$2&amp;" "&amp;SCORE!$D13,EVENTOS!$F:$F,0)),0)</f>
        <v>0</v>
      </c>
      <c r="AC13" s="3">
        <f>IFERROR(INDEX(EVENTOS!$D:$D,MATCH(SCORE!AC$2&amp;" "&amp;SCORE!$D13,EVENTOS!$F:$F,0)),0)</f>
        <v>0</v>
      </c>
      <c r="AD13" s="3">
        <f>IFERROR(INDEX(EVENTOS!$D:$D,MATCH(SCORE!AD$2&amp;" "&amp;SCORE!$D13,EVENTOS!$F:$F,0)),0)</f>
        <v>0</v>
      </c>
      <c r="AE13" s="3">
        <f t="shared" si="0"/>
        <v>180</v>
      </c>
      <c r="AF13" s="10">
        <f t="shared" si="1"/>
        <v>1058.8235294117646</v>
      </c>
      <c r="AG13" s="3">
        <f t="shared" si="2"/>
        <v>91</v>
      </c>
    </row>
    <row r="14" spans="1:36" x14ac:dyDescent="0.25">
      <c r="A14" s="7"/>
      <c r="B14" s="8" t="s">
        <v>76</v>
      </c>
      <c r="C14" s="3">
        <v>14221929</v>
      </c>
      <c r="D14" s="3" t="s">
        <v>88</v>
      </c>
      <c r="E14" s="3">
        <f>VLOOKUP(D14,VIAJES!$D:$E,2,FALSE)</f>
        <v>20</v>
      </c>
      <c r="F14" s="9">
        <f>VLOOKUP(D14,VIAJES!$D:$F,3,FALSE)</f>
        <v>8.2638888888888887E-2</v>
      </c>
      <c r="G14" s="9">
        <f>VLOOKUP(D14,VIAJES!$D:$G,4,FALSE)</f>
        <v>0.55069444444444449</v>
      </c>
      <c r="H14" s="3">
        <f>VLOOKUP(D14,VIAJES!$D:$H,5,FALSE)</f>
        <v>554.66999999999996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f>IFERROR(INDEX(EVENTOS!$D:$D,MATCH(SCORE!S$2&amp;" "&amp;SCORE!$D14,EVENTOS!$F:$F,0)),0)</f>
        <v>1</v>
      </c>
      <c r="T14" s="3">
        <f>IFERROR(INDEX(EVENTOS!$D:$D,MATCH(SCORE!T$2&amp;" "&amp;SCORE!$D14,EVENTOS!$F:$F,0)),0)</f>
        <v>0</v>
      </c>
      <c r="U14" s="3">
        <f>IFERROR(INDEX(EVENTOS!$D:$D,MATCH(SCORE!U$2&amp;" "&amp;SCORE!$D14,EVENTOS!$F:$F,0)),0)</f>
        <v>0</v>
      </c>
      <c r="V14" s="3">
        <f>IFERROR(INDEX(EVENTOS!$D:$D,MATCH(SCORE!V$2&amp;" "&amp;SCORE!$D14,EVENTOS!$F:$F,0)),0)</f>
        <v>0</v>
      </c>
      <c r="W14" s="3">
        <f>IFERROR(INDEX(EVENTOS!$D:$D,MATCH(SCORE!W$2&amp;" "&amp;SCORE!$D14,EVENTOS!$F:$F,0)),0)</f>
        <v>1</v>
      </c>
      <c r="X14" s="3">
        <f>IFERROR(INDEX(EVENTOS!$D:$D,MATCH(SCORE!X$2&amp;" "&amp;SCORE!$D14,EVENTOS!$F:$F,0)),0)</f>
        <v>1</v>
      </c>
      <c r="Y14" s="3">
        <f>SUMIFS(EVENTOS!$D:$D, EVENTOS!$B:$B, D14, EVENTOS!$E:$E, "*GirAlto*")</f>
        <v>0</v>
      </c>
      <c r="Z14" s="3">
        <f>SUMIFS(EVENTOS!$D:$D, EVENTOS!$B:$B, D14, EVENTOS!$E:$E, "*GirMed*")</f>
        <v>1</v>
      </c>
      <c r="AA14" s="3">
        <f>SUMIFS(EVENTOS!$D:$D, EVENTOS!$B:$B, D14, EVENTOS!$E:$E, "*GirBajo*")</f>
        <v>2</v>
      </c>
      <c r="AB14" s="3">
        <f>IFERROR(INDEX(EVENTOS!$D:$D,MATCH(SCORE!AB$2&amp;" "&amp;SCORE!$D14,EVENTOS!$F:$F,0)),0)</f>
        <v>0</v>
      </c>
      <c r="AC14" s="3">
        <f>IFERROR(INDEX(EVENTOS!$D:$D,MATCH(SCORE!AC$2&amp;" "&amp;SCORE!$D14,EVENTOS!$F:$F,0)),0)</f>
        <v>0</v>
      </c>
      <c r="AD14" s="3">
        <f>IFERROR(INDEX(EVENTOS!$D:$D,MATCH(SCORE!AD$2&amp;" "&amp;SCORE!$D14,EVENTOS!$F:$F,0)),0)</f>
        <v>1</v>
      </c>
      <c r="AE14" s="3">
        <f t="shared" si="0"/>
        <v>120</v>
      </c>
      <c r="AF14" s="10">
        <f t="shared" si="1"/>
        <v>907.94451450189138</v>
      </c>
      <c r="AG14" s="3">
        <f t="shared" si="2"/>
        <v>92</v>
      </c>
    </row>
    <row r="15" spans="1:36" x14ac:dyDescent="0.25">
      <c r="A15" s="7"/>
      <c r="B15" s="8" t="s">
        <v>76</v>
      </c>
      <c r="C15" s="3">
        <v>14219642</v>
      </c>
      <c r="D15" s="3" t="s">
        <v>89</v>
      </c>
      <c r="E15" s="3">
        <f>VLOOKUP(D15,VIAJES!$D:$E,2,FALSE)</f>
        <v>57</v>
      </c>
      <c r="F15" s="9">
        <f>VLOOKUP(D15,VIAJES!$D:$F,3,FALSE)</f>
        <v>0.36180555555555555</v>
      </c>
      <c r="G15" s="9">
        <f>VLOOKUP(D15,VIAJES!$D:$G,4,FALSE)</f>
        <v>1.2923611111111111</v>
      </c>
      <c r="H15" s="3">
        <f>VLOOKUP(D15,VIAJES!$D:$H,5,FALSE)</f>
        <v>1067.57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f>IFERROR(INDEX(EVENTOS!$D:$D,MATCH(SCORE!S$2&amp;" "&amp;SCORE!$D15,EVENTOS!$F:$F,0)),0)</f>
        <v>5</v>
      </c>
      <c r="T15" s="3">
        <f>IFERROR(INDEX(EVENTOS!$D:$D,MATCH(SCORE!T$2&amp;" "&amp;SCORE!$D15,EVENTOS!$F:$F,0)),0)</f>
        <v>0</v>
      </c>
      <c r="U15" s="3">
        <f>IFERROR(INDEX(EVENTOS!$D:$D,MATCH(SCORE!U$2&amp;" "&amp;SCORE!$D15,EVENTOS!$F:$F,0)),0)</f>
        <v>0</v>
      </c>
      <c r="V15" s="3">
        <f>IFERROR(INDEX(EVENTOS!$D:$D,MATCH(SCORE!V$2&amp;" "&amp;SCORE!$D15,EVENTOS!$F:$F,0)),0)</f>
        <v>0</v>
      </c>
      <c r="W15" s="3">
        <f>IFERROR(INDEX(EVENTOS!$D:$D,MATCH(SCORE!W$2&amp;" "&amp;SCORE!$D15,EVENTOS!$F:$F,0)),0)</f>
        <v>0</v>
      </c>
      <c r="X15" s="3">
        <f>IFERROR(INDEX(EVENTOS!$D:$D,MATCH(SCORE!X$2&amp;" "&amp;SCORE!$D15,EVENTOS!$F:$F,0)),0)</f>
        <v>0</v>
      </c>
      <c r="Y15" s="3">
        <f>SUMIFS(EVENTOS!$D:$D, EVENTOS!$B:$B, D15, EVENTOS!$E:$E, "*GirAlto*")</f>
        <v>0</v>
      </c>
      <c r="Z15" s="3">
        <f>SUMIFS(EVENTOS!$D:$D, EVENTOS!$B:$B, D15, EVENTOS!$E:$E, "*GirMed*")</f>
        <v>14</v>
      </c>
      <c r="AA15" s="3">
        <f>SUMIFS(EVENTOS!$D:$D, EVENTOS!$B:$B, D15, EVENTOS!$E:$E, "*GirBajo*")</f>
        <v>108</v>
      </c>
      <c r="AB15" s="3">
        <f>IFERROR(INDEX(EVENTOS!$D:$D,MATCH(SCORE!AB$2&amp;" "&amp;SCORE!$D15,EVENTOS!$F:$F,0)),0)</f>
        <v>0</v>
      </c>
      <c r="AC15" s="3">
        <f>IFERROR(INDEX(EVENTOS!$D:$D,MATCH(SCORE!AC$2&amp;" "&amp;SCORE!$D15,EVENTOS!$F:$F,0)),0)</f>
        <v>0</v>
      </c>
      <c r="AD15" s="3">
        <f>IFERROR(INDEX(EVENTOS!$D:$D,MATCH(SCORE!AD$2&amp;" "&amp;SCORE!$D15,EVENTOS!$F:$F,0)),0)</f>
        <v>19</v>
      </c>
      <c r="AE15" s="3">
        <f t="shared" si="0"/>
        <v>1235</v>
      </c>
      <c r="AF15" s="10">
        <f t="shared" si="1"/>
        <v>3981.7302525523914</v>
      </c>
      <c r="AG15" s="3">
        <f t="shared" si="2"/>
        <v>83</v>
      </c>
    </row>
    <row r="16" spans="1:36" x14ac:dyDescent="0.25">
      <c r="A16" s="7"/>
      <c r="B16" s="8" t="s">
        <v>76</v>
      </c>
      <c r="C16" s="3">
        <v>14106275</v>
      </c>
      <c r="D16" s="3" t="s">
        <v>90</v>
      </c>
      <c r="E16" s="3">
        <f>VLOOKUP(D16,VIAJES!$D:$E,2,FALSE)</f>
        <v>42</v>
      </c>
      <c r="F16" s="9">
        <f>VLOOKUP(D16,VIAJES!$D:$F,3,FALSE)</f>
        <v>0.28749999999999998</v>
      </c>
      <c r="G16" s="9">
        <f>VLOOKUP(D16,VIAJES!$D:$G,4,FALSE)</f>
        <v>0.64930555555555558</v>
      </c>
      <c r="H16" s="3">
        <f>VLOOKUP(D16,VIAJES!$D:$H,5,FALSE)</f>
        <v>302.89999999999998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f>IFERROR(INDEX(EVENTOS!$D:$D,MATCH(SCORE!S$2&amp;" "&amp;SCORE!$D16,EVENTOS!$F:$F,0)),0)</f>
        <v>0</v>
      </c>
      <c r="T16" s="3">
        <f>IFERROR(INDEX(EVENTOS!$D:$D,MATCH(SCORE!T$2&amp;" "&amp;SCORE!$D16,EVENTOS!$F:$F,0)),0)</f>
        <v>0</v>
      </c>
      <c r="U16" s="3">
        <f>IFERROR(INDEX(EVENTOS!$D:$D,MATCH(SCORE!U$2&amp;" "&amp;SCORE!$D16,EVENTOS!$F:$F,0)),0)</f>
        <v>0</v>
      </c>
      <c r="V16" s="3">
        <f>IFERROR(INDEX(EVENTOS!$D:$D,MATCH(SCORE!V$2&amp;" "&amp;SCORE!$D16,EVENTOS!$F:$F,0)),0)</f>
        <v>0</v>
      </c>
      <c r="W16" s="3">
        <f>IFERROR(INDEX(EVENTOS!$D:$D,MATCH(SCORE!W$2&amp;" "&amp;SCORE!$D16,EVENTOS!$F:$F,0)),0)</f>
        <v>0</v>
      </c>
      <c r="X16" s="3">
        <f>IFERROR(INDEX(EVENTOS!$D:$D,MATCH(SCORE!X$2&amp;" "&amp;SCORE!$D16,EVENTOS!$F:$F,0)),0)</f>
        <v>0</v>
      </c>
      <c r="Y16" s="3">
        <f>SUMIFS(EVENTOS!$D:$D, EVENTOS!$B:$B, D16, EVENTOS!$E:$E, "*GirAlto*")</f>
        <v>0</v>
      </c>
      <c r="Z16" s="3">
        <f>SUMIFS(EVENTOS!$D:$D, EVENTOS!$B:$B, D16, EVENTOS!$E:$E, "*GirMed*")</f>
        <v>0</v>
      </c>
      <c r="AA16" s="3">
        <f>SUMIFS(EVENTOS!$D:$D, EVENTOS!$B:$B, D16, EVENTOS!$E:$E, "*GirBajo*")</f>
        <v>0</v>
      </c>
      <c r="AB16" s="3">
        <f>IFERROR(INDEX(EVENTOS!$D:$D,MATCH(SCORE!AB$2&amp;" "&amp;SCORE!$D16,EVENTOS!$F:$F,0)),0)</f>
        <v>0</v>
      </c>
      <c r="AC16" s="3">
        <f>IFERROR(INDEX(EVENTOS!$D:$D,MATCH(SCORE!AC$2&amp;" "&amp;SCORE!$D16,EVENTOS!$F:$F,0)),0)</f>
        <v>0</v>
      </c>
      <c r="AD16" s="3">
        <f>IFERROR(INDEX(EVENTOS!$D:$D,MATCH(SCORE!AD$2&amp;" "&amp;SCORE!$D16,EVENTOS!$F:$F,0)),0)</f>
        <v>0</v>
      </c>
      <c r="AE16" s="3">
        <f t="shared" si="0"/>
        <v>0</v>
      </c>
      <c r="AF16" s="10">
        <f t="shared" si="1"/>
        <v>0</v>
      </c>
      <c r="AG16" s="3">
        <f t="shared" si="2"/>
        <v>95</v>
      </c>
    </row>
    <row r="17" spans="1:33" x14ac:dyDescent="0.25">
      <c r="A17" s="7"/>
      <c r="B17" s="8" t="s">
        <v>76</v>
      </c>
      <c r="C17" s="3">
        <v>14222269</v>
      </c>
      <c r="D17" s="3" t="s">
        <v>91</v>
      </c>
      <c r="E17" s="3">
        <f>VLOOKUP(D17,VIAJES!$D:$E,2,FALSE)</f>
        <v>30</v>
      </c>
      <c r="F17" s="9">
        <f>VLOOKUP(D17,VIAJES!$D:$F,3,FALSE)</f>
        <v>0.33819444444444446</v>
      </c>
      <c r="G17" s="9">
        <f>VLOOKUP(D17,VIAJES!$D:$G,4,FALSE)</f>
        <v>1.3305555555555555</v>
      </c>
      <c r="H17" s="3">
        <f>VLOOKUP(D17,VIAJES!$D:$H,5,FALSE)</f>
        <v>706.44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>
        <f>IFERROR(INDEX(EVENTOS!$D:$D,MATCH(SCORE!S$2&amp;" "&amp;SCORE!$D17,EVENTOS!$F:$F,0)),0)</f>
        <v>0</v>
      </c>
      <c r="T17" s="3">
        <f>IFERROR(INDEX(EVENTOS!$D:$D,MATCH(SCORE!T$2&amp;" "&amp;SCORE!$D17,EVENTOS!$F:$F,0)),0)</f>
        <v>0</v>
      </c>
      <c r="U17" s="3">
        <f>IFERROR(INDEX(EVENTOS!$D:$D,MATCH(SCORE!U$2&amp;" "&amp;SCORE!$D17,EVENTOS!$F:$F,0)),0)</f>
        <v>0</v>
      </c>
      <c r="V17" s="3">
        <f>IFERROR(INDEX(EVENTOS!$D:$D,MATCH(SCORE!V$2&amp;" "&amp;SCORE!$D17,EVENTOS!$F:$F,0)),0)</f>
        <v>0</v>
      </c>
      <c r="W17" s="3">
        <f>IFERROR(INDEX(EVENTOS!$D:$D,MATCH(SCORE!W$2&amp;" "&amp;SCORE!$D17,EVENTOS!$F:$F,0)),0)</f>
        <v>0</v>
      </c>
      <c r="X17" s="3">
        <f>IFERROR(INDEX(EVENTOS!$D:$D,MATCH(SCORE!X$2&amp;" "&amp;SCORE!$D17,EVENTOS!$F:$F,0)),0)</f>
        <v>0</v>
      </c>
      <c r="Y17" s="3">
        <f>SUMIFS(EVENTOS!$D:$D, EVENTOS!$B:$B, D17, EVENTOS!$E:$E, "*GirAlto*")</f>
        <v>1</v>
      </c>
      <c r="Z17" s="3">
        <f>SUMIFS(EVENTOS!$D:$D, EVENTOS!$B:$B, D17, EVENTOS!$E:$E, "*GirMed*")</f>
        <v>5</v>
      </c>
      <c r="AA17" s="3">
        <f>SUMIFS(EVENTOS!$D:$D, EVENTOS!$B:$B, D17, EVENTOS!$E:$E, "*GirBajo*")</f>
        <v>19</v>
      </c>
      <c r="AB17" s="3">
        <f>IFERROR(INDEX(EVENTOS!$D:$D,MATCH(SCORE!AB$2&amp;" "&amp;SCORE!$D17,EVENTOS!$F:$F,0)),0)</f>
        <v>0</v>
      </c>
      <c r="AC17" s="3">
        <f>IFERROR(INDEX(EVENTOS!$D:$D,MATCH(SCORE!AC$2&amp;" "&amp;SCORE!$D17,EVENTOS!$F:$F,0)),0)</f>
        <v>0</v>
      </c>
      <c r="AD17" s="3">
        <f>IFERROR(INDEX(EVENTOS!$D:$D,MATCH(SCORE!AD$2&amp;" "&amp;SCORE!$D17,EVENTOS!$F:$F,0)),0)</f>
        <v>0</v>
      </c>
      <c r="AE17" s="3">
        <f t="shared" si="0"/>
        <v>270</v>
      </c>
      <c r="AF17" s="10">
        <f t="shared" si="1"/>
        <v>845.51148225469751</v>
      </c>
      <c r="AG17" s="3">
        <f t="shared" si="2"/>
        <v>92</v>
      </c>
    </row>
    <row r="18" spans="1:33" x14ac:dyDescent="0.25">
      <c r="A18" s="7"/>
      <c r="B18" s="8" t="s">
        <v>76</v>
      </c>
      <c r="C18" s="3">
        <v>14220597</v>
      </c>
      <c r="D18" s="3" t="s">
        <v>92</v>
      </c>
      <c r="E18" s="3">
        <f>VLOOKUP(D18,VIAJES!$D:$E,2,FALSE)</f>
        <v>50</v>
      </c>
      <c r="F18" s="9">
        <f>VLOOKUP(D18,VIAJES!$D:$F,3,FALSE)</f>
        <v>0.34513888888888888</v>
      </c>
      <c r="G18" s="9">
        <f>VLOOKUP(D18,VIAJES!$D:$G,4,FALSE)</f>
        <v>1.7368055555555555</v>
      </c>
      <c r="H18" s="3">
        <f>VLOOKUP(D18,VIAJES!$D:$H,5,FALSE)</f>
        <v>1462.42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f>IFERROR(INDEX(EVENTOS!$D:$D,MATCH(SCORE!S$2&amp;" "&amp;SCORE!$D18,EVENTOS!$F:$F,0)),0)</f>
        <v>1</v>
      </c>
      <c r="T18" s="3">
        <f>IFERROR(INDEX(EVENTOS!$D:$D,MATCH(SCORE!T$2&amp;" "&amp;SCORE!$D18,EVENTOS!$F:$F,0)),0)</f>
        <v>0</v>
      </c>
      <c r="U18" s="3">
        <f>IFERROR(INDEX(EVENTOS!$D:$D,MATCH(SCORE!U$2&amp;" "&amp;SCORE!$D18,EVENTOS!$F:$F,0)),0)</f>
        <v>0</v>
      </c>
      <c r="V18" s="3">
        <f>IFERROR(INDEX(EVENTOS!$D:$D,MATCH(SCORE!V$2&amp;" "&amp;SCORE!$D18,EVENTOS!$F:$F,0)),0)</f>
        <v>0</v>
      </c>
      <c r="W18" s="3">
        <f>IFERROR(INDEX(EVENTOS!$D:$D,MATCH(SCORE!W$2&amp;" "&amp;SCORE!$D18,EVENTOS!$F:$F,0)),0)</f>
        <v>0</v>
      </c>
      <c r="X18" s="3">
        <f>IFERROR(INDEX(EVENTOS!$D:$D,MATCH(SCORE!X$2&amp;" "&amp;SCORE!$D18,EVENTOS!$F:$F,0)),0)</f>
        <v>0</v>
      </c>
      <c r="Y18" s="3">
        <f>SUMIFS(EVENTOS!$D:$D, EVENTOS!$B:$B, D18, EVENTOS!$E:$E, "*GirAlto*")</f>
        <v>0</v>
      </c>
      <c r="Z18" s="3">
        <f>SUMIFS(EVENTOS!$D:$D, EVENTOS!$B:$B, D18, EVENTOS!$E:$E, "*GirMed*")</f>
        <v>0</v>
      </c>
      <c r="AA18" s="3">
        <f>SUMIFS(EVENTOS!$D:$D, EVENTOS!$B:$B, D18, EVENTOS!$E:$E, "*GirBajo*")</f>
        <v>15</v>
      </c>
      <c r="AB18" s="3">
        <f>IFERROR(INDEX(EVENTOS!$D:$D,MATCH(SCORE!AB$2&amp;" "&amp;SCORE!$D18,EVENTOS!$F:$F,0)),0)</f>
        <v>0</v>
      </c>
      <c r="AC18" s="3">
        <f>IFERROR(INDEX(EVENTOS!$D:$D,MATCH(SCORE!AC$2&amp;" "&amp;SCORE!$D18,EVENTOS!$F:$F,0)),0)</f>
        <v>0</v>
      </c>
      <c r="AD18" s="3">
        <f>IFERROR(INDEX(EVENTOS!$D:$D,MATCH(SCORE!AD$2&amp;" "&amp;SCORE!$D18,EVENTOS!$F:$F,0)),0)</f>
        <v>8</v>
      </c>
      <c r="AE18" s="3">
        <f t="shared" si="0"/>
        <v>165</v>
      </c>
      <c r="AF18" s="10">
        <f t="shared" si="1"/>
        <v>395.84166333466612</v>
      </c>
      <c r="AG18" s="3">
        <f t="shared" si="2"/>
        <v>93</v>
      </c>
    </row>
    <row r="19" spans="1:33" x14ac:dyDescent="0.25">
      <c r="A19" s="7"/>
      <c r="B19" s="8" t="s">
        <v>76</v>
      </c>
      <c r="C19" s="3">
        <v>14222352</v>
      </c>
      <c r="D19" s="3" t="s">
        <v>93</v>
      </c>
      <c r="E19" s="3">
        <f>VLOOKUP(D19,VIAJES!$D:$E,2,FALSE)</f>
        <v>85</v>
      </c>
      <c r="F19" s="9">
        <f>VLOOKUP(D19,VIAJES!$D:$F,3,FALSE)</f>
        <v>0.60902777777777772</v>
      </c>
      <c r="G19" s="9">
        <f>VLOOKUP(D19,VIAJES!$D:$G,4,FALSE)</f>
        <v>1.2402777777777778</v>
      </c>
      <c r="H19" s="3">
        <f>VLOOKUP(D19,VIAJES!$D:$H,5,FALSE)</f>
        <v>625.32000000000005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f>IFERROR(INDEX(EVENTOS!$D:$D,MATCH(SCORE!S$2&amp;" "&amp;SCORE!$D19,EVENTOS!$F:$F,0)),0)</f>
        <v>0</v>
      </c>
      <c r="T19" s="3">
        <f>IFERROR(INDEX(EVENTOS!$D:$D,MATCH(SCORE!T$2&amp;" "&amp;SCORE!$D19,EVENTOS!$F:$F,0)),0)</f>
        <v>0</v>
      </c>
      <c r="U19" s="3">
        <f>IFERROR(INDEX(EVENTOS!$D:$D,MATCH(SCORE!U$2&amp;" "&amp;SCORE!$D19,EVENTOS!$F:$F,0)),0)</f>
        <v>0</v>
      </c>
      <c r="V19" s="3">
        <f>IFERROR(INDEX(EVENTOS!$D:$D,MATCH(SCORE!V$2&amp;" "&amp;SCORE!$D19,EVENTOS!$F:$F,0)),0)</f>
        <v>0</v>
      </c>
      <c r="W19" s="3">
        <f>IFERROR(INDEX(EVENTOS!$D:$D,MATCH(SCORE!W$2&amp;" "&amp;SCORE!$D19,EVENTOS!$F:$F,0)),0)</f>
        <v>0</v>
      </c>
      <c r="X19" s="3">
        <f>IFERROR(INDEX(EVENTOS!$D:$D,MATCH(SCORE!X$2&amp;" "&amp;SCORE!$D19,EVENTOS!$F:$F,0)),0)</f>
        <v>0</v>
      </c>
      <c r="Y19" s="3">
        <f>SUMIFS(EVENTOS!$D:$D, EVENTOS!$B:$B, D19, EVENTOS!$E:$E, "*GirAlto*")</f>
        <v>0</v>
      </c>
      <c r="Z19" s="3">
        <f>SUMIFS(EVENTOS!$D:$D, EVENTOS!$B:$B, D19, EVENTOS!$E:$E, "*GirMed*")</f>
        <v>0</v>
      </c>
      <c r="AA19" s="3">
        <f>SUMIFS(EVENTOS!$D:$D, EVENTOS!$B:$B, D19, EVENTOS!$E:$E, "*GirBajo*")</f>
        <v>1</v>
      </c>
      <c r="AB19" s="3">
        <f>IFERROR(INDEX(EVENTOS!$D:$D,MATCH(SCORE!AB$2&amp;" "&amp;SCORE!$D19,EVENTOS!$F:$F,0)),0)</f>
        <v>0</v>
      </c>
      <c r="AC19" s="3">
        <f>IFERROR(INDEX(EVENTOS!$D:$D,MATCH(SCORE!AC$2&amp;" "&amp;SCORE!$D19,EVENTOS!$F:$F,0)),0)</f>
        <v>1</v>
      </c>
      <c r="AD19" s="3">
        <f>IFERROR(INDEX(EVENTOS!$D:$D,MATCH(SCORE!AD$2&amp;" "&amp;SCORE!$D19,EVENTOS!$F:$F,0)),0)</f>
        <v>4</v>
      </c>
      <c r="AE19" s="3">
        <f t="shared" si="0"/>
        <v>50</v>
      </c>
      <c r="AF19" s="10">
        <f t="shared" si="1"/>
        <v>167.973124300112</v>
      </c>
      <c r="AG19" s="3">
        <f t="shared" si="2"/>
        <v>94</v>
      </c>
    </row>
    <row r="20" spans="1:33" x14ac:dyDescent="0.25">
      <c r="A20" s="7"/>
      <c r="B20" s="8" t="s">
        <v>76</v>
      </c>
      <c r="C20" s="3">
        <v>14218655</v>
      </c>
      <c r="D20" s="3" t="s">
        <v>94</v>
      </c>
      <c r="E20" s="3">
        <f>VLOOKUP(D20,VIAJES!$D:$E,2,FALSE)</f>
        <v>24</v>
      </c>
      <c r="F20" s="9">
        <f>VLOOKUP(D20,VIAJES!$D:$F,3,FALSE)</f>
        <v>0.24444444444444444</v>
      </c>
      <c r="G20" s="9">
        <f>VLOOKUP(D20,VIAJES!$D:$G,4,FALSE)</f>
        <v>0.54027777777777775</v>
      </c>
      <c r="H20" s="3">
        <f>VLOOKUP(D20,VIAJES!$D:$H,5,FALSE)</f>
        <v>414.15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f>IFERROR(INDEX(EVENTOS!$D:$D,MATCH(SCORE!S$2&amp;" "&amp;SCORE!$D20,EVENTOS!$F:$F,0)),0)</f>
        <v>0</v>
      </c>
      <c r="T20" s="3">
        <f>IFERROR(INDEX(EVENTOS!$D:$D,MATCH(SCORE!T$2&amp;" "&amp;SCORE!$D20,EVENTOS!$F:$F,0)),0)</f>
        <v>0</v>
      </c>
      <c r="U20" s="3">
        <f>IFERROR(INDEX(EVENTOS!$D:$D,MATCH(SCORE!U$2&amp;" "&amp;SCORE!$D20,EVENTOS!$F:$F,0)),0)</f>
        <v>0</v>
      </c>
      <c r="V20" s="3">
        <f>IFERROR(INDEX(EVENTOS!$D:$D,MATCH(SCORE!V$2&amp;" "&amp;SCORE!$D20,EVENTOS!$F:$F,0)),0)</f>
        <v>0</v>
      </c>
      <c r="W20" s="3">
        <f>IFERROR(INDEX(EVENTOS!$D:$D,MATCH(SCORE!W$2&amp;" "&amp;SCORE!$D20,EVENTOS!$F:$F,0)),0)</f>
        <v>6</v>
      </c>
      <c r="X20" s="3">
        <f>IFERROR(INDEX(EVENTOS!$D:$D,MATCH(SCORE!X$2&amp;" "&amp;SCORE!$D20,EVENTOS!$F:$F,0)),0)</f>
        <v>5</v>
      </c>
      <c r="Y20" s="3">
        <f>SUMIFS(EVENTOS!$D:$D, EVENTOS!$B:$B, D20, EVENTOS!$E:$E, "*GirAlto*")</f>
        <v>0</v>
      </c>
      <c r="Z20" s="3">
        <f>SUMIFS(EVENTOS!$D:$D, EVENTOS!$B:$B, D20, EVENTOS!$E:$E, "*GirMed*")</f>
        <v>3</v>
      </c>
      <c r="AA20" s="3">
        <f>SUMIFS(EVENTOS!$D:$D, EVENTOS!$B:$B, D20, EVENTOS!$E:$E, "*GirBajo*")</f>
        <v>21</v>
      </c>
      <c r="AB20" s="3">
        <f>IFERROR(INDEX(EVENTOS!$D:$D,MATCH(SCORE!AB$2&amp;" "&amp;SCORE!$D20,EVENTOS!$F:$F,0)),0)</f>
        <v>0</v>
      </c>
      <c r="AC20" s="3">
        <f>IFERROR(INDEX(EVENTOS!$D:$D,MATCH(SCORE!AC$2&amp;" "&amp;SCORE!$D20,EVENTOS!$F:$F,0)),0)</f>
        <v>0</v>
      </c>
      <c r="AD20" s="3">
        <f>IFERROR(INDEX(EVENTOS!$D:$D,MATCH(SCORE!AD$2&amp;" "&amp;SCORE!$D20,EVENTOS!$F:$F,0)),0)</f>
        <v>4</v>
      </c>
      <c r="AE20" s="3">
        <f t="shared" si="0"/>
        <v>375</v>
      </c>
      <c r="AF20" s="10">
        <f t="shared" si="1"/>
        <v>2892.0308483290491</v>
      </c>
      <c r="AG20" s="3">
        <f t="shared" si="2"/>
        <v>86</v>
      </c>
    </row>
    <row r="21" spans="1:33" x14ac:dyDescent="0.25">
      <c r="A21" s="7"/>
      <c r="B21" s="8" t="s">
        <v>76</v>
      </c>
      <c r="C21" s="3">
        <v>14217918</v>
      </c>
      <c r="D21" s="3" t="s">
        <v>95</v>
      </c>
      <c r="E21" s="3">
        <f>VLOOKUP(D21,VIAJES!$D:$E,2,FALSE)</f>
        <v>30</v>
      </c>
      <c r="F21" s="9">
        <f>VLOOKUP(D21,VIAJES!$D:$F,3,FALSE)</f>
        <v>0.3263888888888889</v>
      </c>
      <c r="G21" s="9">
        <f>VLOOKUP(D21,VIAJES!$D:$G,4,FALSE)</f>
        <v>1.2465277777777777</v>
      </c>
      <c r="H21" s="3">
        <f>VLOOKUP(D21,VIAJES!$D:$H,5,FALSE)</f>
        <v>1191.6600000000001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>
        <f>IFERROR(INDEX(EVENTOS!$D:$D,MATCH(SCORE!S$2&amp;" "&amp;SCORE!$D21,EVENTOS!$F:$F,0)),0)</f>
        <v>2</v>
      </c>
      <c r="T21" s="3">
        <f>IFERROR(INDEX(EVENTOS!$D:$D,MATCH(SCORE!T$2&amp;" "&amp;SCORE!$D21,EVENTOS!$F:$F,0)),0)</f>
        <v>0</v>
      </c>
      <c r="U21" s="3">
        <f>IFERROR(INDEX(EVENTOS!$D:$D,MATCH(SCORE!U$2&amp;" "&amp;SCORE!$D21,EVENTOS!$F:$F,0)),0)</f>
        <v>0</v>
      </c>
      <c r="V21" s="3">
        <f>IFERROR(INDEX(EVENTOS!$D:$D,MATCH(SCORE!V$2&amp;" "&amp;SCORE!$D21,EVENTOS!$F:$F,0)),0)</f>
        <v>0</v>
      </c>
      <c r="W21" s="3">
        <f>IFERROR(INDEX(EVENTOS!$D:$D,MATCH(SCORE!W$2&amp;" "&amp;SCORE!$D21,EVENTOS!$F:$F,0)),0)</f>
        <v>0</v>
      </c>
      <c r="X21" s="3">
        <f>IFERROR(INDEX(EVENTOS!$D:$D,MATCH(SCORE!X$2&amp;" "&amp;SCORE!$D21,EVENTOS!$F:$F,0)),0)</f>
        <v>0</v>
      </c>
      <c r="Y21" s="3">
        <f>SUMIFS(EVENTOS!$D:$D, EVENTOS!$B:$B, D21, EVENTOS!$E:$E, "*GirAlto*")</f>
        <v>0</v>
      </c>
      <c r="Z21" s="3">
        <f>SUMIFS(EVENTOS!$D:$D, EVENTOS!$B:$B, D21, EVENTOS!$E:$E, "*GirMed*")</f>
        <v>1</v>
      </c>
      <c r="AA21" s="3">
        <f>SUMIFS(EVENTOS!$D:$D, EVENTOS!$B:$B, D21, EVENTOS!$E:$E, "*GirBajo*")</f>
        <v>6</v>
      </c>
      <c r="AB21" s="3">
        <f>IFERROR(INDEX(EVENTOS!$D:$D,MATCH(SCORE!AB$2&amp;" "&amp;SCORE!$D21,EVENTOS!$F:$F,0)),0)</f>
        <v>0</v>
      </c>
      <c r="AC21" s="3">
        <f>IFERROR(INDEX(EVENTOS!$D:$D,MATCH(SCORE!AC$2&amp;" "&amp;SCORE!$D21,EVENTOS!$F:$F,0)),0)</f>
        <v>0</v>
      </c>
      <c r="AD21" s="3">
        <f>IFERROR(INDEX(EVENTOS!$D:$D,MATCH(SCORE!AD$2&amp;" "&amp;SCORE!$D21,EVENTOS!$F:$F,0)),0)</f>
        <v>91</v>
      </c>
      <c r="AE21" s="3">
        <f t="shared" si="0"/>
        <v>610</v>
      </c>
      <c r="AF21" s="10">
        <f t="shared" si="1"/>
        <v>2038.9972144846797</v>
      </c>
      <c r="AG21" s="3">
        <f t="shared" si="2"/>
        <v>88</v>
      </c>
    </row>
    <row r="22" spans="1:33" x14ac:dyDescent="0.25">
      <c r="A22" s="7"/>
      <c r="B22" s="8" t="s">
        <v>76</v>
      </c>
      <c r="C22" s="3">
        <v>14220598</v>
      </c>
      <c r="D22" s="3" t="s">
        <v>96</v>
      </c>
      <c r="E22" s="3">
        <f>VLOOKUP(D22,VIAJES!$D:$E,2,FALSE)</f>
        <v>24</v>
      </c>
      <c r="F22" s="9">
        <f>VLOOKUP(D22,VIAJES!$D:$F,3,FALSE)</f>
        <v>0.15486111111111112</v>
      </c>
      <c r="G22" s="9">
        <f>VLOOKUP(D22,VIAJES!$D:$G,4,FALSE)</f>
        <v>0.71458333333333335</v>
      </c>
      <c r="H22" s="3">
        <f>VLOOKUP(D22,VIAJES!$D:$H,5,FALSE)</f>
        <v>689.59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f>IFERROR(INDEX(EVENTOS!$D:$D,MATCH(SCORE!S$2&amp;" "&amp;SCORE!$D22,EVENTOS!$F:$F,0)),0)</f>
        <v>1</v>
      </c>
      <c r="T22" s="3">
        <f>IFERROR(INDEX(EVENTOS!$D:$D,MATCH(SCORE!T$2&amp;" "&amp;SCORE!$D22,EVENTOS!$F:$F,0)),0)</f>
        <v>0</v>
      </c>
      <c r="U22" s="3">
        <f>IFERROR(INDEX(EVENTOS!$D:$D,MATCH(SCORE!U$2&amp;" "&amp;SCORE!$D22,EVENTOS!$F:$F,0)),0)</f>
        <v>0</v>
      </c>
      <c r="V22" s="3">
        <f>IFERROR(INDEX(EVENTOS!$D:$D,MATCH(SCORE!V$2&amp;" "&amp;SCORE!$D22,EVENTOS!$F:$F,0)),0)</f>
        <v>0</v>
      </c>
      <c r="W22" s="3">
        <f>IFERROR(INDEX(EVENTOS!$D:$D,MATCH(SCORE!W$2&amp;" "&amp;SCORE!$D22,EVENTOS!$F:$F,0)),0)</f>
        <v>0</v>
      </c>
      <c r="X22" s="3">
        <f>IFERROR(INDEX(EVENTOS!$D:$D,MATCH(SCORE!X$2&amp;" "&amp;SCORE!$D22,EVENTOS!$F:$F,0)),0)</f>
        <v>1</v>
      </c>
      <c r="Y22" s="3">
        <f>SUMIFS(EVENTOS!$D:$D, EVENTOS!$B:$B, D22, EVENTOS!$E:$E, "*GirAlto*")</f>
        <v>0</v>
      </c>
      <c r="Z22" s="3">
        <f>SUMIFS(EVENTOS!$D:$D, EVENTOS!$B:$B, D22, EVENTOS!$E:$E, "*GirMed*")</f>
        <v>0</v>
      </c>
      <c r="AA22" s="3">
        <f>SUMIFS(EVENTOS!$D:$D, EVENTOS!$B:$B, D22, EVENTOS!$E:$E, "*GirBajo*")</f>
        <v>5</v>
      </c>
      <c r="AB22" s="3">
        <f>IFERROR(INDEX(EVENTOS!$D:$D,MATCH(SCORE!AB$2&amp;" "&amp;SCORE!$D22,EVENTOS!$F:$F,0)),0)</f>
        <v>0</v>
      </c>
      <c r="AC22" s="3">
        <f>IFERROR(INDEX(EVENTOS!$D:$D,MATCH(SCORE!AC$2&amp;" "&amp;SCORE!$D22,EVENTOS!$F:$F,0)),0)</f>
        <v>0</v>
      </c>
      <c r="AD22" s="3">
        <f>IFERROR(INDEX(EVENTOS!$D:$D,MATCH(SCORE!AD$2&amp;" "&amp;SCORE!$D22,EVENTOS!$F:$F,0)),0)</f>
        <v>1</v>
      </c>
      <c r="AE22" s="3">
        <f t="shared" si="0"/>
        <v>85</v>
      </c>
      <c r="AF22" s="10">
        <f t="shared" si="1"/>
        <v>495.62682215743445</v>
      </c>
      <c r="AG22" s="3">
        <f t="shared" si="2"/>
        <v>93</v>
      </c>
    </row>
    <row r="23" spans="1:33" x14ac:dyDescent="0.25">
      <c r="A23" s="7"/>
      <c r="B23" s="8" t="s">
        <v>76</v>
      </c>
      <c r="C23" s="3">
        <v>14111997</v>
      </c>
      <c r="D23" s="3" t="s">
        <v>97</v>
      </c>
      <c r="E23" s="3">
        <f>VLOOKUP(D23,VIAJES!$D:$E,2,FALSE)</f>
        <v>42</v>
      </c>
      <c r="F23" s="9">
        <f>VLOOKUP(D23,VIAJES!$D:$F,3,FALSE)</f>
        <v>0.31874999999999998</v>
      </c>
      <c r="G23" s="9">
        <f>VLOOKUP(D23,VIAJES!$D:$G,4,FALSE)</f>
        <v>1.2395833333333333</v>
      </c>
      <c r="H23" s="3">
        <f>VLOOKUP(D23,VIAJES!$D:$H,5,FALSE)</f>
        <v>1108.46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f>IFERROR(INDEX(EVENTOS!$D:$D,MATCH(SCORE!S$2&amp;" "&amp;SCORE!$D23,EVENTOS!$F:$F,0)),0)</f>
        <v>1</v>
      </c>
      <c r="T23" s="3">
        <f>IFERROR(INDEX(EVENTOS!$D:$D,MATCH(SCORE!T$2&amp;" "&amp;SCORE!$D23,EVENTOS!$F:$F,0)),0)</f>
        <v>0</v>
      </c>
      <c r="U23" s="3">
        <f>IFERROR(INDEX(EVENTOS!$D:$D,MATCH(SCORE!U$2&amp;" "&amp;SCORE!$D23,EVENTOS!$F:$F,0)),0)</f>
        <v>0</v>
      </c>
      <c r="V23" s="3">
        <f>IFERROR(INDEX(EVENTOS!$D:$D,MATCH(SCORE!V$2&amp;" "&amp;SCORE!$D23,EVENTOS!$F:$F,0)),0)</f>
        <v>0</v>
      </c>
      <c r="W23" s="3">
        <f>IFERROR(INDEX(EVENTOS!$D:$D,MATCH(SCORE!W$2&amp;" "&amp;SCORE!$D23,EVENTOS!$F:$F,0)),0)</f>
        <v>0</v>
      </c>
      <c r="X23" s="3">
        <f>IFERROR(INDEX(EVENTOS!$D:$D,MATCH(SCORE!X$2&amp;" "&amp;SCORE!$D23,EVENTOS!$F:$F,0)),0)</f>
        <v>0</v>
      </c>
      <c r="Y23" s="3">
        <f>SUMIFS(EVENTOS!$D:$D, EVENTOS!$B:$B, D23, EVENTOS!$E:$E, "*GirAlto*")</f>
        <v>0</v>
      </c>
      <c r="Z23" s="3">
        <f>SUMIFS(EVENTOS!$D:$D, EVENTOS!$B:$B, D23, EVENTOS!$E:$E, "*GirMed*")</f>
        <v>0</v>
      </c>
      <c r="AA23" s="3">
        <f>SUMIFS(EVENTOS!$D:$D, EVENTOS!$B:$B, D23, EVENTOS!$E:$E, "*GirBajo*")</f>
        <v>19</v>
      </c>
      <c r="AB23" s="3">
        <f>IFERROR(INDEX(EVENTOS!$D:$D,MATCH(SCORE!AB$2&amp;" "&amp;SCORE!$D23,EVENTOS!$F:$F,0)),0)</f>
        <v>0</v>
      </c>
      <c r="AC23" s="3">
        <f>IFERROR(INDEX(EVENTOS!$D:$D,MATCH(SCORE!AC$2&amp;" "&amp;SCORE!$D23,EVENTOS!$F:$F,0)),0)</f>
        <v>0</v>
      </c>
      <c r="AD23" s="3">
        <f>IFERROR(INDEX(EVENTOS!$D:$D,MATCH(SCORE!AD$2&amp;" "&amp;SCORE!$D23,EVENTOS!$F:$F,0)),0)</f>
        <v>5</v>
      </c>
      <c r="AE23" s="3">
        <f t="shared" si="0"/>
        <v>170</v>
      </c>
      <c r="AF23" s="10">
        <f t="shared" si="1"/>
        <v>571.42857142857144</v>
      </c>
      <c r="AG23" s="3">
        <f t="shared" si="2"/>
        <v>93</v>
      </c>
    </row>
    <row r="24" spans="1:33" x14ac:dyDescent="0.25">
      <c r="A24" s="7"/>
      <c r="B24" s="8" t="s">
        <v>76</v>
      </c>
      <c r="C24" s="3">
        <v>14104889</v>
      </c>
      <c r="D24" s="3" t="s">
        <v>98</v>
      </c>
      <c r="E24" s="3">
        <f>VLOOKUP(D24,VIAJES!$D:$E,2,FALSE)</f>
        <v>3</v>
      </c>
      <c r="F24" s="9">
        <f>VLOOKUP(D24,VIAJES!$D:$F,3,FALSE)</f>
        <v>1.8055555555555554E-2</v>
      </c>
      <c r="G24" s="9">
        <f>VLOOKUP(D24,VIAJES!$D:$G,4,FALSE)</f>
        <v>3.0555555555555555E-2</v>
      </c>
      <c r="H24" s="3">
        <f>VLOOKUP(D24,VIAJES!$D:$H,5,FALSE)</f>
        <v>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>
        <f>IFERROR(INDEX(EVENTOS!$D:$D,MATCH(SCORE!S$2&amp;" "&amp;SCORE!$D24,EVENTOS!$F:$F,0)),0)</f>
        <v>0</v>
      </c>
      <c r="T24" s="3">
        <f>IFERROR(INDEX(EVENTOS!$D:$D,MATCH(SCORE!T$2&amp;" "&amp;SCORE!$D24,EVENTOS!$F:$F,0)),0)</f>
        <v>0</v>
      </c>
      <c r="U24" s="3">
        <f>IFERROR(INDEX(EVENTOS!$D:$D,MATCH(SCORE!U$2&amp;" "&amp;SCORE!$D24,EVENTOS!$F:$F,0)),0)</f>
        <v>0</v>
      </c>
      <c r="V24" s="3">
        <f>IFERROR(INDEX(EVENTOS!$D:$D,MATCH(SCORE!V$2&amp;" "&amp;SCORE!$D24,EVENTOS!$F:$F,0)),0)</f>
        <v>0</v>
      </c>
      <c r="W24" s="3">
        <f>IFERROR(INDEX(EVENTOS!$D:$D,MATCH(SCORE!W$2&amp;" "&amp;SCORE!$D24,EVENTOS!$F:$F,0)),0)</f>
        <v>0</v>
      </c>
      <c r="X24" s="3">
        <f>IFERROR(INDEX(EVENTOS!$D:$D,MATCH(SCORE!X$2&amp;" "&amp;SCORE!$D24,EVENTOS!$F:$F,0)),0)</f>
        <v>0</v>
      </c>
      <c r="Y24" s="3">
        <f>SUMIFS(EVENTOS!$D:$D, EVENTOS!$B:$B, D24, EVENTOS!$E:$E, "*GirAlto*")</f>
        <v>0</v>
      </c>
      <c r="Z24" s="3">
        <f>SUMIFS(EVENTOS!$D:$D, EVENTOS!$B:$B, D24, EVENTOS!$E:$E, "*GirMed*")</f>
        <v>0</v>
      </c>
      <c r="AA24" s="3">
        <f>SUMIFS(EVENTOS!$D:$D, EVENTOS!$B:$B, D24, EVENTOS!$E:$E, "*GirBajo*")</f>
        <v>0</v>
      </c>
      <c r="AB24" s="3">
        <f>IFERROR(INDEX(EVENTOS!$D:$D,MATCH(SCORE!AB$2&amp;" "&amp;SCORE!$D24,EVENTOS!$F:$F,0)),0)</f>
        <v>0</v>
      </c>
      <c r="AC24" s="3">
        <f>IFERROR(INDEX(EVENTOS!$D:$D,MATCH(SCORE!AC$2&amp;" "&amp;SCORE!$D24,EVENTOS!$F:$F,0)),0)</f>
        <v>0</v>
      </c>
      <c r="AD24" s="3">
        <f>IFERROR(INDEX(EVENTOS!$D:$D,MATCH(SCORE!AD$2&amp;" "&amp;SCORE!$D24,EVENTOS!$F:$F,0)),0)</f>
        <v>0</v>
      </c>
      <c r="AE24" s="3">
        <f t="shared" si="0"/>
        <v>0</v>
      </c>
      <c r="AF24" s="10">
        <f t="shared" si="1"/>
        <v>0</v>
      </c>
      <c r="AG24" s="3">
        <f t="shared" si="2"/>
        <v>95</v>
      </c>
    </row>
    <row r="25" spans="1:33" x14ac:dyDescent="0.25">
      <c r="A25" s="7"/>
      <c r="B25" s="8" t="s">
        <v>76</v>
      </c>
      <c r="C25" s="3">
        <v>14106276</v>
      </c>
      <c r="D25" s="3" t="s">
        <v>99</v>
      </c>
      <c r="E25" s="3">
        <f>VLOOKUP(D25,VIAJES!$D:$E,2,FALSE)</f>
        <v>36</v>
      </c>
      <c r="F25" s="9">
        <f>VLOOKUP(D25,VIAJES!$D:$F,3,FALSE)</f>
        <v>0.29305555555555557</v>
      </c>
      <c r="G25" s="9">
        <f>VLOOKUP(D25,VIAJES!$D:$G,4,FALSE)</f>
        <v>0.63611111111111107</v>
      </c>
      <c r="H25" s="3">
        <f>VLOOKUP(D25,VIAJES!$D:$H,5,FALSE)</f>
        <v>372.1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>
        <f>IFERROR(INDEX(EVENTOS!$D:$D,MATCH(SCORE!S$2&amp;" "&amp;SCORE!$D25,EVENTOS!$F:$F,0)),0)</f>
        <v>0</v>
      </c>
      <c r="T25" s="3">
        <f>IFERROR(INDEX(EVENTOS!$D:$D,MATCH(SCORE!T$2&amp;" "&amp;SCORE!$D25,EVENTOS!$F:$F,0)),0)</f>
        <v>0</v>
      </c>
      <c r="U25" s="3">
        <f>IFERROR(INDEX(EVENTOS!$D:$D,MATCH(SCORE!U$2&amp;" "&amp;SCORE!$D25,EVENTOS!$F:$F,0)),0)</f>
        <v>0</v>
      </c>
      <c r="V25" s="3">
        <f>IFERROR(INDEX(EVENTOS!$D:$D,MATCH(SCORE!V$2&amp;" "&amp;SCORE!$D25,EVENTOS!$F:$F,0)),0)</f>
        <v>0</v>
      </c>
      <c r="W25" s="3">
        <f>IFERROR(INDEX(EVENTOS!$D:$D,MATCH(SCORE!W$2&amp;" "&amp;SCORE!$D25,EVENTOS!$F:$F,0)),0)</f>
        <v>0</v>
      </c>
      <c r="X25" s="3">
        <f>IFERROR(INDEX(EVENTOS!$D:$D,MATCH(SCORE!X$2&amp;" "&amp;SCORE!$D25,EVENTOS!$F:$F,0)),0)</f>
        <v>0</v>
      </c>
      <c r="Y25" s="3">
        <f>SUMIFS(EVENTOS!$D:$D, EVENTOS!$B:$B, D25, EVENTOS!$E:$E, "*GirAlto*")</f>
        <v>0</v>
      </c>
      <c r="Z25" s="3">
        <f>SUMIFS(EVENTOS!$D:$D, EVENTOS!$B:$B, D25, EVENTOS!$E:$E, "*GirMed*")</f>
        <v>0</v>
      </c>
      <c r="AA25" s="3">
        <f>SUMIFS(EVENTOS!$D:$D, EVENTOS!$B:$B, D25, EVENTOS!$E:$E, "*GirBajo*")</f>
        <v>0</v>
      </c>
      <c r="AB25" s="3">
        <f>IFERROR(INDEX(EVENTOS!$D:$D,MATCH(SCORE!AB$2&amp;" "&amp;SCORE!$D25,EVENTOS!$F:$F,0)),0)</f>
        <v>0</v>
      </c>
      <c r="AC25" s="3">
        <f>IFERROR(INDEX(EVENTOS!$D:$D,MATCH(SCORE!AC$2&amp;" "&amp;SCORE!$D25,EVENTOS!$F:$F,0)),0)</f>
        <v>0</v>
      </c>
      <c r="AD25" s="3">
        <f>IFERROR(INDEX(EVENTOS!$D:$D,MATCH(SCORE!AD$2&amp;" "&amp;SCORE!$D25,EVENTOS!$F:$F,0)),0)</f>
        <v>1</v>
      </c>
      <c r="AE25" s="3">
        <f t="shared" si="0"/>
        <v>5</v>
      </c>
      <c r="AF25" s="10">
        <f t="shared" si="1"/>
        <v>32.751091703056773</v>
      </c>
      <c r="AG25" s="3">
        <f t="shared" si="2"/>
        <v>94</v>
      </c>
    </row>
    <row r="26" spans="1:33" x14ac:dyDescent="0.25">
      <c r="A26" s="7"/>
      <c r="B26" s="8" t="s">
        <v>76</v>
      </c>
      <c r="C26" s="3">
        <v>14215245</v>
      </c>
      <c r="D26" s="3" t="s">
        <v>100</v>
      </c>
      <c r="E26" s="3">
        <f>VLOOKUP(D26,VIAJES!$D:$E,2,FALSE)</f>
        <v>15</v>
      </c>
      <c r="F26" s="9">
        <f>VLOOKUP(D26,VIAJES!$D:$F,3,FALSE)</f>
        <v>0.17986111111111111</v>
      </c>
      <c r="G26" s="9">
        <f>VLOOKUP(D26,VIAJES!$D:$G,4,FALSE)</f>
        <v>0.4236111111111111</v>
      </c>
      <c r="H26" s="3">
        <f>VLOOKUP(D26,VIAJES!$D:$H,5,FALSE)</f>
        <v>193.87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>
        <f>IFERROR(INDEX(EVENTOS!$D:$D,MATCH(SCORE!S$2&amp;" "&amp;SCORE!$D26,EVENTOS!$F:$F,0)),0)</f>
        <v>0</v>
      </c>
      <c r="T26" s="3">
        <f>IFERROR(INDEX(EVENTOS!$D:$D,MATCH(SCORE!T$2&amp;" "&amp;SCORE!$D26,EVENTOS!$F:$F,0)),0)</f>
        <v>0</v>
      </c>
      <c r="U26" s="3">
        <f>IFERROR(INDEX(EVENTOS!$D:$D,MATCH(SCORE!U$2&amp;" "&amp;SCORE!$D26,EVENTOS!$F:$F,0)),0)</f>
        <v>0</v>
      </c>
      <c r="V26" s="3">
        <f>IFERROR(INDEX(EVENTOS!$D:$D,MATCH(SCORE!V$2&amp;" "&amp;SCORE!$D26,EVENTOS!$F:$F,0)),0)</f>
        <v>0</v>
      </c>
      <c r="W26" s="3">
        <f>IFERROR(INDEX(EVENTOS!$D:$D,MATCH(SCORE!W$2&amp;" "&amp;SCORE!$D26,EVENTOS!$F:$F,0)),0)</f>
        <v>0</v>
      </c>
      <c r="X26" s="3">
        <f>IFERROR(INDEX(EVENTOS!$D:$D,MATCH(SCORE!X$2&amp;" "&amp;SCORE!$D26,EVENTOS!$F:$F,0)),0)</f>
        <v>0</v>
      </c>
      <c r="Y26" s="3">
        <f>SUMIFS(EVENTOS!$D:$D, EVENTOS!$B:$B, D26, EVENTOS!$E:$E, "*GirAlto*")</f>
        <v>0</v>
      </c>
      <c r="Z26" s="3">
        <f>SUMIFS(EVENTOS!$D:$D, EVENTOS!$B:$B, D26, EVENTOS!$E:$E, "*GirMed*")</f>
        <v>0</v>
      </c>
      <c r="AA26" s="3">
        <f>SUMIFS(EVENTOS!$D:$D, EVENTOS!$B:$B, D26, EVENTOS!$E:$E, "*GirBajo*")</f>
        <v>1</v>
      </c>
      <c r="AB26" s="3">
        <f>IFERROR(INDEX(EVENTOS!$D:$D,MATCH(SCORE!AB$2&amp;" "&amp;SCORE!$D26,EVENTOS!$F:$F,0)),0)</f>
        <v>0</v>
      </c>
      <c r="AC26" s="3">
        <f>IFERROR(INDEX(EVENTOS!$D:$D,MATCH(SCORE!AC$2&amp;" "&amp;SCORE!$D26,EVENTOS!$F:$F,0)),0)</f>
        <v>0</v>
      </c>
      <c r="AD26" s="3">
        <f>IFERROR(INDEX(EVENTOS!$D:$D,MATCH(SCORE!AD$2&amp;" "&amp;SCORE!$D26,EVENTOS!$F:$F,0)),0)</f>
        <v>0</v>
      </c>
      <c r="AE26" s="3">
        <f t="shared" si="0"/>
        <v>5</v>
      </c>
      <c r="AF26" s="10">
        <f t="shared" si="1"/>
        <v>49.180327868852466</v>
      </c>
      <c r="AG26" s="3">
        <f t="shared" si="2"/>
        <v>94</v>
      </c>
    </row>
    <row r="27" spans="1:33" x14ac:dyDescent="0.25">
      <c r="A27" s="7"/>
      <c r="B27" s="8" t="s">
        <v>76</v>
      </c>
      <c r="C27" s="3">
        <v>14219361</v>
      </c>
      <c r="D27" s="3" t="s">
        <v>101</v>
      </c>
      <c r="E27" s="3">
        <f>VLOOKUP(D27,VIAJES!$D:$E,2,FALSE)</f>
        <v>38</v>
      </c>
      <c r="F27" s="9">
        <f>VLOOKUP(D27,VIAJES!$D:$F,3,FALSE)</f>
        <v>0.30902777777777779</v>
      </c>
      <c r="G27" s="9">
        <f>VLOOKUP(D27,VIAJES!$D:$G,4,FALSE)</f>
        <v>0.62013888888888891</v>
      </c>
      <c r="H27" s="3">
        <f>VLOOKUP(D27,VIAJES!$D:$H,5,FALSE)</f>
        <v>274.32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>
        <f>IFERROR(INDEX(EVENTOS!$D:$D,MATCH(SCORE!S$2&amp;" "&amp;SCORE!$D27,EVENTOS!$F:$F,0)),0)</f>
        <v>0</v>
      </c>
      <c r="T27" s="3">
        <f>IFERROR(INDEX(EVENTOS!$D:$D,MATCH(SCORE!T$2&amp;" "&amp;SCORE!$D27,EVENTOS!$F:$F,0)),0)</f>
        <v>0</v>
      </c>
      <c r="U27" s="3">
        <f>IFERROR(INDEX(EVENTOS!$D:$D,MATCH(SCORE!U$2&amp;" "&amp;SCORE!$D27,EVENTOS!$F:$F,0)),0)</f>
        <v>0</v>
      </c>
      <c r="V27" s="3">
        <f>IFERROR(INDEX(EVENTOS!$D:$D,MATCH(SCORE!V$2&amp;" "&amp;SCORE!$D27,EVENTOS!$F:$F,0)),0)</f>
        <v>0</v>
      </c>
      <c r="W27" s="3">
        <f>IFERROR(INDEX(EVENTOS!$D:$D,MATCH(SCORE!W$2&amp;" "&amp;SCORE!$D27,EVENTOS!$F:$F,0)),0)</f>
        <v>0</v>
      </c>
      <c r="X27" s="3">
        <f>IFERROR(INDEX(EVENTOS!$D:$D,MATCH(SCORE!X$2&amp;" "&amp;SCORE!$D27,EVENTOS!$F:$F,0)),0)</f>
        <v>0</v>
      </c>
      <c r="Y27" s="3">
        <f>SUMIFS(EVENTOS!$D:$D, EVENTOS!$B:$B, D27, EVENTOS!$E:$E, "*GirAlto*")</f>
        <v>0</v>
      </c>
      <c r="Z27" s="3">
        <f>SUMIFS(EVENTOS!$D:$D, EVENTOS!$B:$B, D27, EVENTOS!$E:$E, "*GirMed*")</f>
        <v>0</v>
      </c>
      <c r="AA27" s="3">
        <f>SUMIFS(EVENTOS!$D:$D, EVENTOS!$B:$B, D27, EVENTOS!$E:$E, "*GirBajo*")</f>
        <v>6</v>
      </c>
      <c r="AB27" s="3">
        <f>IFERROR(INDEX(EVENTOS!$D:$D,MATCH(SCORE!AB$2&amp;" "&amp;SCORE!$D27,EVENTOS!$F:$F,0)),0)</f>
        <v>0</v>
      </c>
      <c r="AC27" s="3">
        <f>IFERROR(INDEX(EVENTOS!$D:$D,MATCH(SCORE!AC$2&amp;" "&amp;SCORE!$D27,EVENTOS!$F:$F,0)),0)</f>
        <v>0</v>
      </c>
      <c r="AD27" s="3">
        <f>IFERROR(INDEX(EVENTOS!$D:$D,MATCH(SCORE!AD$2&amp;" "&amp;SCORE!$D27,EVENTOS!$F:$F,0)),0)</f>
        <v>0</v>
      </c>
      <c r="AE27" s="3">
        <f t="shared" si="0"/>
        <v>30</v>
      </c>
      <c r="AF27" s="10">
        <f t="shared" si="1"/>
        <v>201.56774916013438</v>
      </c>
      <c r="AG27" s="3">
        <f t="shared" si="2"/>
        <v>94</v>
      </c>
    </row>
    <row r="28" spans="1:33" x14ac:dyDescent="0.25">
      <c r="A28" s="7"/>
      <c r="B28" s="8" t="s">
        <v>76</v>
      </c>
      <c r="C28" s="3">
        <v>14111652</v>
      </c>
      <c r="D28" s="3" t="s">
        <v>102</v>
      </c>
      <c r="E28" s="3">
        <f>VLOOKUP(D28,VIAJES!$D:$E,2,FALSE)</f>
        <v>34</v>
      </c>
      <c r="F28" s="9">
        <f>VLOOKUP(D28,VIAJES!$D:$F,3,FALSE)</f>
        <v>0.24305555555555555</v>
      </c>
      <c r="G28" s="9">
        <f>VLOOKUP(D28,VIAJES!$D:$G,4,FALSE)</f>
        <v>0.89583333333333337</v>
      </c>
      <c r="H28" s="3">
        <f>VLOOKUP(D28,VIAJES!$D:$H,5,FALSE)</f>
        <v>770.36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f>IFERROR(INDEX(EVENTOS!$D:$D,MATCH(SCORE!S$2&amp;" "&amp;SCORE!$D28,EVENTOS!$F:$F,0)),0)</f>
        <v>3</v>
      </c>
      <c r="T28" s="3">
        <f>IFERROR(INDEX(EVENTOS!$D:$D,MATCH(SCORE!T$2&amp;" "&amp;SCORE!$D28,EVENTOS!$F:$F,0)),0)</f>
        <v>0</v>
      </c>
      <c r="U28" s="3">
        <f>IFERROR(INDEX(EVENTOS!$D:$D,MATCH(SCORE!U$2&amp;" "&amp;SCORE!$D28,EVENTOS!$F:$F,0)),0)</f>
        <v>0</v>
      </c>
      <c r="V28" s="3">
        <f>IFERROR(INDEX(EVENTOS!$D:$D,MATCH(SCORE!V$2&amp;" "&amp;SCORE!$D28,EVENTOS!$F:$F,0)),0)</f>
        <v>0</v>
      </c>
      <c r="W28" s="3">
        <f>IFERROR(INDEX(EVENTOS!$D:$D,MATCH(SCORE!W$2&amp;" "&amp;SCORE!$D28,EVENTOS!$F:$F,0)),0)</f>
        <v>0</v>
      </c>
      <c r="X28" s="3">
        <f>IFERROR(INDEX(EVENTOS!$D:$D,MATCH(SCORE!X$2&amp;" "&amp;SCORE!$D28,EVENTOS!$F:$F,0)),0)</f>
        <v>1</v>
      </c>
      <c r="Y28" s="3">
        <f>SUMIFS(EVENTOS!$D:$D, EVENTOS!$B:$B, D28, EVENTOS!$E:$E, "*GirAlto*")</f>
        <v>0</v>
      </c>
      <c r="Z28" s="3">
        <f>SUMIFS(EVENTOS!$D:$D, EVENTOS!$B:$B, D28, EVENTOS!$E:$E, "*GirMed*")</f>
        <v>5</v>
      </c>
      <c r="AA28" s="3">
        <f>SUMIFS(EVENTOS!$D:$D, EVENTOS!$B:$B, D28, EVENTOS!$E:$E, "*GirBajo*")</f>
        <v>59</v>
      </c>
      <c r="AB28" s="3">
        <f>IFERROR(INDEX(EVENTOS!$D:$D,MATCH(SCORE!AB$2&amp;" "&amp;SCORE!$D28,EVENTOS!$F:$F,0)),0)</f>
        <v>0</v>
      </c>
      <c r="AC28" s="3">
        <f>IFERROR(INDEX(EVENTOS!$D:$D,MATCH(SCORE!AC$2&amp;" "&amp;SCORE!$D28,EVENTOS!$F:$F,0)),0)</f>
        <v>0</v>
      </c>
      <c r="AD28" s="3">
        <f>IFERROR(INDEX(EVENTOS!$D:$D,MATCH(SCORE!AD$2&amp;" "&amp;SCORE!$D28,EVENTOS!$F:$F,0)),0)</f>
        <v>8</v>
      </c>
      <c r="AE28" s="3">
        <f t="shared" si="0"/>
        <v>615</v>
      </c>
      <c r="AF28" s="10">
        <f t="shared" si="1"/>
        <v>2860.4651162790697</v>
      </c>
      <c r="AG28" s="3">
        <f t="shared" si="2"/>
        <v>86</v>
      </c>
    </row>
    <row r="29" spans="1:33" x14ac:dyDescent="0.25">
      <c r="A29" s="7"/>
      <c r="B29" s="8" t="s">
        <v>76</v>
      </c>
      <c r="C29" s="3">
        <v>14221253</v>
      </c>
      <c r="D29" s="3" t="s">
        <v>103</v>
      </c>
      <c r="E29" s="3">
        <f>VLOOKUP(D29,VIAJES!$D:$E,2,FALSE)</f>
        <v>29</v>
      </c>
      <c r="F29" s="9">
        <f>VLOOKUP(D29,VIAJES!$D:$F,3,FALSE)</f>
        <v>0.23680555555555555</v>
      </c>
      <c r="G29" s="9">
        <f>VLOOKUP(D29,VIAJES!$D:$G,4,FALSE)</f>
        <v>0.75555555555555554</v>
      </c>
      <c r="H29" s="3">
        <f>VLOOKUP(D29,VIAJES!$D:$H,5,FALSE)</f>
        <v>674.69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f>IFERROR(INDEX(EVENTOS!$D:$D,MATCH(SCORE!S$2&amp;" "&amp;SCORE!$D29,EVENTOS!$F:$F,0)),0)</f>
        <v>2</v>
      </c>
      <c r="T29" s="3">
        <f>IFERROR(INDEX(EVENTOS!$D:$D,MATCH(SCORE!T$2&amp;" "&amp;SCORE!$D29,EVENTOS!$F:$F,0)),0)</f>
        <v>0</v>
      </c>
      <c r="U29" s="3">
        <f>IFERROR(INDEX(EVENTOS!$D:$D,MATCH(SCORE!U$2&amp;" "&amp;SCORE!$D29,EVENTOS!$F:$F,0)),0)</f>
        <v>0</v>
      </c>
      <c r="V29" s="3">
        <f>IFERROR(INDEX(EVENTOS!$D:$D,MATCH(SCORE!V$2&amp;" "&amp;SCORE!$D29,EVENTOS!$F:$F,0)),0)</f>
        <v>0</v>
      </c>
      <c r="W29" s="3">
        <f>IFERROR(INDEX(EVENTOS!$D:$D,MATCH(SCORE!W$2&amp;" "&amp;SCORE!$D29,EVENTOS!$F:$F,0)),0)</f>
        <v>0</v>
      </c>
      <c r="X29" s="3">
        <f>IFERROR(INDEX(EVENTOS!$D:$D,MATCH(SCORE!X$2&amp;" "&amp;SCORE!$D29,EVENTOS!$F:$F,0)),0)</f>
        <v>0</v>
      </c>
      <c r="Y29" s="3">
        <f>SUMIFS(EVENTOS!$D:$D, EVENTOS!$B:$B, D29, EVENTOS!$E:$E, "*GirAlto*")</f>
        <v>0</v>
      </c>
      <c r="Z29" s="3">
        <f>SUMIFS(EVENTOS!$D:$D, EVENTOS!$B:$B, D29, EVENTOS!$E:$E, "*GirMed*")</f>
        <v>16</v>
      </c>
      <c r="AA29" s="3">
        <f>SUMIFS(EVENTOS!$D:$D, EVENTOS!$B:$B, D29, EVENTOS!$E:$E, "*GirBajo*")</f>
        <v>58</v>
      </c>
      <c r="AB29" s="3">
        <f>IFERROR(INDEX(EVENTOS!$D:$D,MATCH(SCORE!AB$2&amp;" "&amp;SCORE!$D29,EVENTOS!$F:$F,0)),0)</f>
        <v>9</v>
      </c>
      <c r="AC29" s="3">
        <f>IFERROR(INDEX(EVENTOS!$D:$D,MATCH(SCORE!AC$2&amp;" "&amp;SCORE!$D29,EVENTOS!$F:$F,0)),0)</f>
        <v>43</v>
      </c>
      <c r="AD29" s="3">
        <f>IFERROR(INDEX(EVENTOS!$D:$D,MATCH(SCORE!AD$2&amp;" "&amp;SCORE!$D29,EVENTOS!$F:$F,0)),0)</f>
        <v>62</v>
      </c>
      <c r="AE29" s="3">
        <f t="shared" si="0"/>
        <v>2625</v>
      </c>
      <c r="AF29" s="10">
        <f t="shared" si="1"/>
        <v>14476.10294117647</v>
      </c>
      <c r="AG29" s="3">
        <f t="shared" si="2"/>
        <v>51</v>
      </c>
    </row>
    <row r="30" spans="1:33" x14ac:dyDescent="0.25">
      <c r="A30" s="7"/>
      <c r="B30" s="8" t="s">
        <v>76</v>
      </c>
      <c r="C30" s="3">
        <v>14110810</v>
      </c>
      <c r="D30" s="3" t="s">
        <v>104</v>
      </c>
      <c r="E30" s="3">
        <f>VLOOKUP(D30,VIAJES!$D:$E,2,FALSE)</f>
        <v>38</v>
      </c>
      <c r="F30" s="9">
        <f>VLOOKUP(D30,VIAJES!$D:$F,3,FALSE)</f>
        <v>0.21736111111111112</v>
      </c>
      <c r="G30" s="9">
        <f>VLOOKUP(D30,VIAJES!$D:$G,4,FALSE)</f>
        <v>0.99791666666666667</v>
      </c>
      <c r="H30" s="3">
        <f>VLOOKUP(D30,VIAJES!$D:$H,5,FALSE)</f>
        <v>908.37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>
        <f>IFERROR(INDEX(EVENTOS!$D:$D,MATCH(SCORE!S$2&amp;" "&amp;SCORE!$D30,EVENTOS!$F:$F,0)),0)</f>
        <v>3</v>
      </c>
      <c r="T30" s="3">
        <f>IFERROR(INDEX(EVENTOS!$D:$D,MATCH(SCORE!T$2&amp;" "&amp;SCORE!$D30,EVENTOS!$F:$F,0)),0)</f>
        <v>0</v>
      </c>
      <c r="U30" s="3">
        <f>IFERROR(INDEX(EVENTOS!$D:$D,MATCH(SCORE!U$2&amp;" "&amp;SCORE!$D30,EVENTOS!$F:$F,0)),0)</f>
        <v>0</v>
      </c>
      <c r="V30" s="3">
        <f>IFERROR(INDEX(EVENTOS!$D:$D,MATCH(SCORE!V$2&amp;" "&amp;SCORE!$D30,EVENTOS!$F:$F,0)),0)</f>
        <v>0</v>
      </c>
      <c r="W30" s="3">
        <f>IFERROR(INDEX(EVENTOS!$D:$D,MATCH(SCORE!W$2&amp;" "&amp;SCORE!$D30,EVENTOS!$F:$F,0)),0)</f>
        <v>0</v>
      </c>
      <c r="X30" s="3">
        <f>IFERROR(INDEX(EVENTOS!$D:$D,MATCH(SCORE!X$2&amp;" "&amp;SCORE!$D30,EVENTOS!$F:$F,0)),0)</f>
        <v>0</v>
      </c>
      <c r="Y30" s="3">
        <f>SUMIFS(EVENTOS!$D:$D, EVENTOS!$B:$B, D30, EVENTOS!$E:$E, "*GirAlto*")</f>
        <v>0</v>
      </c>
      <c r="Z30" s="3">
        <f>SUMIFS(EVENTOS!$D:$D, EVENTOS!$B:$B, D30, EVENTOS!$E:$E, "*GirMed*")</f>
        <v>1</v>
      </c>
      <c r="AA30" s="3">
        <f>SUMIFS(EVENTOS!$D:$D, EVENTOS!$B:$B, D30, EVENTOS!$E:$E, "*GirBajo*")</f>
        <v>46</v>
      </c>
      <c r="AB30" s="3">
        <f>IFERROR(INDEX(EVENTOS!$D:$D,MATCH(SCORE!AB$2&amp;" "&amp;SCORE!$D30,EVENTOS!$F:$F,0)),0)</f>
        <v>0</v>
      </c>
      <c r="AC30" s="3">
        <f>IFERROR(INDEX(EVENTOS!$D:$D,MATCH(SCORE!AC$2&amp;" "&amp;SCORE!$D30,EVENTOS!$F:$F,0)),0)</f>
        <v>0</v>
      </c>
      <c r="AD30" s="3">
        <f>IFERROR(INDEX(EVENTOS!$D:$D,MATCH(SCORE!AD$2&amp;" "&amp;SCORE!$D30,EVENTOS!$F:$F,0)),0)</f>
        <v>6</v>
      </c>
      <c r="AE30" s="3">
        <f t="shared" si="0"/>
        <v>435</v>
      </c>
      <c r="AF30" s="10">
        <f t="shared" si="1"/>
        <v>1816.2839248434238</v>
      </c>
      <c r="AG30" s="3">
        <f t="shared" si="2"/>
        <v>89</v>
      </c>
    </row>
    <row r="31" spans="1:33" x14ac:dyDescent="0.25">
      <c r="A31" s="7"/>
      <c r="B31" s="8" t="s">
        <v>76</v>
      </c>
      <c r="C31" s="3">
        <v>14103513</v>
      </c>
      <c r="D31" s="3" t="s">
        <v>105</v>
      </c>
      <c r="E31" s="3">
        <f>VLOOKUP(D31,VIAJES!$D:$E,2,FALSE)</f>
        <v>29</v>
      </c>
      <c r="F31" s="9">
        <f>VLOOKUP(D31,VIAJES!$D:$F,3,FALSE)</f>
        <v>0.17569444444444443</v>
      </c>
      <c r="G31" s="9">
        <f>VLOOKUP(D31,VIAJES!$D:$G,4,FALSE)</f>
        <v>0.50624999999999998</v>
      </c>
      <c r="H31" s="3">
        <f>VLOOKUP(D31,VIAJES!$D:$H,5,FALSE)</f>
        <v>334.12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>
        <f>IFERROR(INDEX(EVENTOS!$D:$D,MATCH(SCORE!S$2&amp;" "&amp;SCORE!$D31,EVENTOS!$F:$F,0)),0)</f>
        <v>0</v>
      </c>
      <c r="T31" s="3">
        <f>IFERROR(INDEX(EVENTOS!$D:$D,MATCH(SCORE!T$2&amp;" "&amp;SCORE!$D31,EVENTOS!$F:$F,0)),0)</f>
        <v>0</v>
      </c>
      <c r="U31" s="3">
        <f>IFERROR(INDEX(EVENTOS!$D:$D,MATCH(SCORE!U$2&amp;" "&amp;SCORE!$D31,EVENTOS!$F:$F,0)),0)</f>
        <v>0</v>
      </c>
      <c r="V31" s="3">
        <f>IFERROR(INDEX(EVENTOS!$D:$D,MATCH(SCORE!V$2&amp;" "&amp;SCORE!$D31,EVENTOS!$F:$F,0)),0)</f>
        <v>0</v>
      </c>
      <c r="W31" s="3">
        <f>IFERROR(INDEX(EVENTOS!$D:$D,MATCH(SCORE!W$2&amp;" "&amp;SCORE!$D31,EVENTOS!$F:$F,0)),0)</f>
        <v>3</v>
      </c>
      <c r="X31" s="3">
        <f>IFERROR(INDEX(EVENTOS!$D:$D,MATCH(SCORE!X$2&amp;" "&amp;SCORE!$D31,EVENTOS!$F:$F,0)),0)</f>
        <v>0</v>
      </c>
      <c r="Y31" s="3">
        <f>SUMIFS(EVENTOS!$D:$D, EVENTOS!$B:$B, D31, EVENTOS!$E:$E, "*GirAlto*")</f>
        <v>0</v>
      </c>
      <c r="Z31" s="3">
        <f>SUMIFS(EVENTOS!$D:$D, EVENTOS!$B:$B, D31, EVENTOS!$E:$E, "*GirMed*")</f>
        <v>0</v>
      </c>
      <c r="AA31" s="3">
        <f>SUMIFS(EVENTOS!$D:$D, EVENTOS!$B:$B, D31, EVENTOS!$E:$E, "*GirBajo*")</f>
        <v>10</v>
      </c>
      <c r="AB31" s="3">
        <f>IFERROR(INDEX(EVENTOS!$D:$D,MATCH(SCORE!AB$2&amp;" "&amp;SCORE!$D31,EVENTOS!$F:$F,0)),0)</f>
        <v>0</v>
      </c>
      <c r="AC31" s="3">
        <f>IFERROR(INDEX(EVENTOS!$D:$D,MATCH(SCORE!AC$2&amp;" "&amp;SCORE!$D31,EVENTOS!$F:$F,0)),0)</f>
        <v>0</v>
      </c>
      <c r="AD31" s="3">
        <f>IFERROR(INDEX(EVENTOS!$D:$D,MATCH(SCORE!AD$2&amp;" "&amp;SCORE!$D31,EVENTOS!$F:$F,0)),0)</f>
        <v>4</v>
      </c>
      <c r="AE31" s="3">
        <f t="shared" si="0"/>
        <v>145</v>
      </c>
      <c r="AF31" s="10">
        <f t="shared" si="1"/>
        <v>1193.4156378600826</v>
      </c>
      <c r="AG31" s="3">
        <f t="shared" si="2"/>
        <v>91</v>
      </c>
    </row>
    <row r="32" spans="1:33" x14ac:dyDescent="0.25">
      <c r="A32" s="7"/>
      <c r="B32" s="8" t="s">
        <v>76</v>
      </c>
      <c r="C32" s="3">
        <v>14222426</v>
      </c>
      <c r="D32" s="3" t="s">
        <v>106</v>
      </c>
      <c r="E32" s="3">
        <f>VLOOKUP(D32,VIAJES!$D:$E,2,FALSE)</f>
        <v>44</v>
      </c>
      <c r="F32" s="9">
        <f>VLOOKUP(D32,VIAJES!$D:$F,3,FALSE)</f>
        <v>0.39652777777777776</v>
      </c>
      <c r="G32" s="9">
        <f>VLOOKUP(D32,VIAJES!$D:$G,4,FALSE)</f>
        <v>1.3111111111111111</v>
      </c>
      <c r="H32" s="3">
        <f>VLOOKUP(D32,VIAJES!$D:$H,5,FALSE)</f>
        <v>764.13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>
        <f>IFERROR(INDEX(EVENTOS!$D:$D,MATCH(SCORE!S$2&amp;" "&amp;SCORE!$D32,EVENTOS!$F:$F,0)),0)</f>
        <v>0</v>
      </c>
      <c r="T32" s="3">
        <f>IFERROR(INDEX(EVENTOS!$D:$D,MATCH(SCORE!T$2&amp;" "&amp;SCORE!$D32,EVENTOS!$F:$F,0)),0)</f>
        <v>0</v>
      </c>
      <c r="U32" s="3">
        <f>IFERROR(INDEX(EVENTOS!$D:$D,MATCH(SCORE!U$2&amp;" "&amp;SCORE!$D32,EVENTOS!$F:$F,0)),0)</f>
        <v>0</v>
      </c>
      <c r="V32" s="3">
        <f>IFERROR(INDEX(EVENTOS!$D:$D,MATCH(SCORE!V$2&amp;" "&amp;SCORE!$D32,EVENTOS!$F:$F,0)),0)</f>
        <v>0</v>
      </c>
      <c r="W32" s="3">
        <f>IFERROR(INDEX(EVENTOS!$D:$D,MATCH(SCORE!W$2&amp;" "&amp;SCORE!$D32,EVENTOS!$F:$F,0)),0)</f>
        <v>1</v>
      </c>
      <c r="X32" s="3">
        <f>IFERROR(INDEX(EVENTOS!$D:$D,MATCH(SCORE!X$2&amp;" "&amp;SCORE!$D32,EVENTOS!$F:$F,0)),0)</f>
        <v>0</v>
      </c>
      <c r="Y32" s="3">
        <f>SUMIFS(EVENTOS!$D:$D, EVENTOS!$B:$B, D32, EVENTOS!$E:$E, "*GirAlto*")</f>
        <v>0</v>
      </c>
      <c r="Z32" s="3">
        <f>SUMIFS(EVENTOS!$D:$D, EVENTOS!$B:$B, D32, EVENTOS!$E:$E, "*GirMed*")</f>
        <v>0</v>
      </c>
      <c r="AA32" s="3">
        <f>SUMIFS(EVENTOS!$D:$D, EVENTOS!$B:$B, D32, EVENTOS!$E:$E, "*GirBajo*")</f>
        <v>7</v>
      </c>
      <c r="AB32" s="3">
        <f>IFERROR(INDEX(EVENTOS!$D:$D,MATCH(SCORE!AB$2&amp;" "&amp;SCORE!$D32,EVENTOS!$F:$F,0)),0)</f>
        <v>0</v>
      </c>
      <c r="AC32" s="3">
        <f>IFERROR(INDEX(EVENTOS!$D:$D,MATCH(SCORE!AC$2&amp;" "&amp;SCORE!$D32,EVENTOS!$F:$F,0)),0)</f>
        <v>5</v>
      </c>
      <c r="AD32" s="3">
        <f>IFERROR(INDEX(EVENTOS!$D:$D,MATCH(SCORE!AD$2&amp;" "&amp;SCORE!$D32,EVENTOS!$F:$F,0)),0)</f>
        <v>35</v>
      </c>
      <c r="AE32" s="3">
        <f t="shared" si="0"/>
        <v>360</v>
      </c>
      <c r="AF32" s="10">
        <f t="shared" si="1"/>
        <v>1144.0677966101694</v>
      </c>
      <c r="AG32" s="3">
        <f t="shared" si="2"/>
        <v>91</v>
      </c>
    </row>
    <row r="33" spans="1:33" x14ac:dyDescent="0.25">
      <c r="A33" s="7"/>
      <c r="B33" s="8" t="s">
        <v>76</v>
      </c>
      <c r="C33" s="3">
        <v>14213371</v>
      </c>
      <c r="D33" s="3" t="s">
        <v>107</v>
      </c>
      <c r="E33" s="3">
        <f>VLOOKUP(D33,VIAJES!$D:$E,2,FALSE)</f>
        <v>45</v>
      </c>
      <c r="F33" s="9">
        <f>VLOOKUP(D33,VIAJES!$D:$F,3,FALSE)</f>
        <v>0.14583333333333334</v>
      </c>
      <c r="G33" s="9">
        <f>VLOOKUP(D33,VIAJES!$D:$G,4,FALSE)</f>
        <v>0.47152777777777777</v>
      </c>
      <c r="H33" s="3">
        <f>VLOOKUP(D33,VIAJES!$D:$H,5,FALSE)</f>
        <v>233.06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>
        <f>IFERROR(INDEX(EVENTOS!$D:$D,MATCH(SCORE!S$2&amp;" "&amp;SCORE!$D33,EVENTOS!$F:$F,0)),0)</f>
        <v>0</v>
      </c>
      <c r="T33" s="3">
        <f>IFERROR(INDEX(EVENTOS!$D:$D,MATCH(SCORE!T$2&amp;" "&amp;SCORE!$D33,EVENTOS!$F:$F,0)),0)</f>
        <v>0</v>
      </c>
      <c r="U33" s="3">
        <f>IFERROR(INDEX(EVENTOS!$D:$D,MATCH(SCORE!U$2&amp;" "&amp;SCORE!$D33,EVENTOS!$F:$F,0)),0)</f>
        <v>0</v>
      </c>
      <c r="V33" s="3">
        <f>IFERROR(INDEX(EVENTOS!$D:$D,MATCH(SCORE!V$2&amp;" "&amp;SCORE!$D33,EVENTOS!$F:$F,0)),0)</f>
        <v>0</v>
      </c>
      <c r="W33" s="3">
        <f>IFERROR(INDEX(EVENTOS!$D:$D,MATCH(SCORE!W$2&amp;" "&amp;SCORE!$D33,EVENTOS!$F:$F,0)),0)</f>
        <v>0</v>
      </c>
      <c r="X33" s="3">
        <f>IFERROR(INDEX(EVENTOS!$D:$D,MATCH(SCORE!X$2&amp;" "&amp;SCORE!$D33,EVENTOS!$F:$F,0)),0)</f>
        <v>0</v>
      </c>
      <c r="Y33" s="3">
        <f>SUMIFS(EVENTOS!$D:$D, EVENTOS!$B:$B, D33, EVENTOS!$E:$E, "*GirAlto*")</f>
        <v>0</v>
      </c>
      <c r="Z33" s="3">
        <f>SUMIFS(EVENTOS!$D:$D, EVENTOS!$B:$B, D33, EVENTOS!$E:$E, "*GirMed*")</f>
        <v>1</v>
      </c>
      <c r="AA33" s="3">
        <f>SUMIFS(EVENTOS!$D:$D, EVENTOS!$B:$B, D33, EVENTOS!$E:$E, "*GirBajo*")</f>
        <v>4</v>
      </c>
      <c r="AB33" s="3">
        <f>IFERROR(INDEX(EVENTOS!$D:$D,MATCH(SCORE!AB$2&amp;" "&amp;SCORE!$D33,EVENTOS!$F:$F,0)),0)</f>
        <v>0</v>
      </c>
      <c r="AC33" s="3">
        <f>IFERROR(INDEX(EVENTOS!$D:$D,MATCH(SCORE!AC$2&amp;" "&amp;SCORE!$D33,EVENTOS!$F:$F,0)),0)</f>
        <v>0</v>
      </c>
      <c r="AD33" s="3">
        <f>IFERROR(INDEX(EVENTOS!$D:$D,MATCH(SCORE!AD$2&amp;" "&amp;SCORE!$D33,EVENTOS!$F:$F,0)),0)</f>
        <v>0</v>
      </c>
      <c r="AE33" s="3">
        <f t="shared" si="0"/>
        <v>45</v>
      </c>
      <c r="AF33" s="10">
        <f t="shared" si="1"/>
        <v>397.64359351988219</v>
      </c>
      <c r="AG33" s="3">
        <f t="shared" si="2"/>
        <v>93</v>
      </c>
    </row>
    <row r="34" spans="1:33" x14ac:dyDescent="0.25">
      <c r="A34" s="7"/>
      <c r="B34" s="8" t="s">
        <v>76</v>
      </c>
      <c r="C34" s="3">
        <v>14217373</v>
      </c>
      <c r="D34" s="3" t="s">
        <v>108</v>
      </c>
      <c r="E34" s="3">
        <f>VLOOKUP(D34,VIAJES!$D:$E,2,FALSE)</f>
        <v>17</v>
      </c>
      <c r="F34" s="9">
        <f>VLOOKUP(D34,VIAJES!$D:$F,3,FALSE)</f>
        <v>0.2076388888888889</v>
      </c>
      <c r="G34" s="9">
        <f>VLOOKUP(D34,VIAJES!$D:$G,4,FALSE)</f>
        <v>0.37013888888888891</v>
      </c>
      <c r="H34" s="3">
        <f>VLOOKUP(D34,VIAJES!$D:$H,5,FALSE)</f>
        <v>236.82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>
        <f>IFERROR(INDEX(EVENTOS!$D:$D,MATCH(SCORE!S$2&amp;" "&amp;SCORE!$D34,EVENTOS!$F:$F,0)),0)</f>
        <v>8</v>
      </c>
      <c r="T34" s="3">
        <f>IFERROR(INDEX(EVENTOS!$D:$D,MATCH(SCORE!T$2&amp;" "&amp;SCORE!$D34,EVENTOS!$F:$F,0)),0)</f>
        <v>0</v>
      </c>
      <c r="U34" s="3">
        <f>IFERROR(INDEX(EVENTOS!$D:$D,MATCH(SCORE!U$2&amp;" "&amp;SCORE!$D34,EVENTOS!$F:$F,0)),0)</f>
        <v>0</v>
      </c>
      <c r="V34" s="3">
        <f>IFERROR(INDEX(EVENTOS!$D:$D,MATCH(SCORE!V$2&amp;" "&amp;SCORE!$D34,EVENTOS!$F:$F,0)),0)</f>
        <v>0</v>
      </c>
      <c r="W34" s="3">
        <f>IFERROR(INDEX(EVENTOS!$D:$D,MATCH(SCORE!W$2&amp;" "&amp;SCORE!$D34,EVENTOS!$F:$F,0)),0)</f>
        <v>1</v>
      </c>
      <c r="X34" s="3">
        <f>IFERROR(INDEX(EVENTOS!$D:$D,MATCH(SCORE!X$2&amp;" "&amp;SCORE!$D34,EVENTOS!$F:$F,0)),0)</f>
        <v>2</v>
      </c>
      <c r="Y34" s="3">
        <f>SUMIFS(EVENTOS!$D:$D, EVENTOS!$B:$B, D34, EVENTOS!$E:$E, "*GirAlto*")</f>
        <v>0</v>
      </c>
      <c r="Z34" s="3">
        <f>SUMIFS(EVENTOS!$D:$D, EVENTOS!$B:$B, D34, EVENTOS!$E:$E, "*GirMed*")</f>
        <v>0</v>
      </c>
      <c r="AA34" s="3">
        <f>SUMIFS(EVENTOS!$D:$D, EVENTOS!$B:$B, D34, EVENTOS!$E:$E, "*GirBajo*")</f>
        <v>1</v>
      </c>
      <c r="AB34" s="3">
        <f>IFERROR(INDEX(EVENTOS!$D:$D,MATCH(SCORE!AB$2&amp;" "&amp;SCORE!$D34,EVENTOS!$F:$F,0)),0)</f>
        <v>0</v>
      </c>
      <c r="AC34" s="3">
        <f>IFERROR(INDEX(EVENTOS!$D:$D,MATCH(SCORE!AC$2&amp;" "&amp;SCORE!$D34,EVENTOS!$F:$F,0)),0)</f>
        <v>0</v>
      </c>
      <c r="AD34" s="3">
        <f>IFERROR(INDEX(EVENTOS!$D:$D,MATCH(SCORE!AD$2&amp;" "&amp;SCORE!$D34,EVENTOS!$F:$F,0)),0)</f>
        <v>0</v>
      </c>
      <c r="AE34" s="3">
        <f t="shared" si="0"/>
        <v>440</v>
      </c>
      <c r="AF34" s="10">
        <f t="shared" si="1"/>
        <v>4953.0956848030019</v>
      </c>
      <c r="AG34" s="3">
        <f t="shared" si="2"/>
        <v>80</v>
      </c>
    </row>
    <row r="35" spans="1:33" x14ac:dyDescent="0.25">
      <c r="A35" s="7"/>
      <c r="B35" s="8" t="s">
        <v>76</v>
      </c>
      <c r="C35" s="3">
        <v>14219234</v>
      </c>
      <c r="D35" s="3" t="s">
        <v>109</v>
      </c>
      <c r="E35" s="3">
        <f>VLOOKUP(D35,VIAJES!$D:$E,2,FALSE)</f>
        <v>48</v>
      </c>
      <c r="F35" s="9">
        <f>VLOOKUP(D35,VIAJES!$D:$F,3,FALSE)</f>
        <v>0.2722222222222222</v>
      </c>
      <c r="G35" s="9">
        <f>VLOOKUP(D35,VIAJES!$D:$G,4,FALSE)</f>
        <v>0.99861111111111112</v>
      </c>
      <c r="H35" s="3">
        <f>VLOOKUP(D35,VIAJES!$D:$H,5,FALSE)</f>
        <v>895.26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>
        <f>IFERROR(INDEX(EVENTOS!$D:$D,MATCH(SCORE!S$2&amp;" "&amp;SCORE!$D35,EVENTOS!$F:$F,0)),0)</f>
        <v>1</v>
      </c>
      <c r="T35" s="3">
        <f>IFERROR(INDEX(EVENTOS!$D:$D,MATCH(SCORE!T$2&amp;" "&amp;SCORE!$D35,EVENTOS!$F:$F,0)),0)</f>
        <v>0</v>
      </c>
      <c r="U35" s="3">
        <f>IFERROR(INDEX(EVENTOS!$D:$D,MATCH(SCORE!U$2&amp;" "&amp;SCORE!$D35,EVENTOS!$F:$F,0)),0)</f>
        <v>0</v>
      </c>
      <c r="V35" s="3">
        <f>IFERROR(INDEX(EVENTOS!$D:$D,MATCH(SCORE!V$2&amp;" "&amp;SCORE!$D35,EVENTOS!$F:$F,0)),0)</f>
        <v>0</v>
      </c>
      <c r="W35" s="3">
        <f>IFERROR(INDEX(EVENTOS!$D:$D,MATCH(SCORE!W$2&amp;" "&amp;SCORE!$D35,EVENTOS!$F:$F,0)),0)</f>
        <v>0</v>
      </c>
      <c r="X35" s="3">
        <f>IFERROR(INDEX(EVENTOS!$D:$D,MATCH(SCORE!X$2&amp;" "&amp;SCORE!$D35,EVENTOS!$F:$F,0)),0)</f>
        <v>0</v>
      </c>
      <c r="Y35" s="3">
        <f>SUMIFS(EVENTOS!$D:$D, EVENTOS!$B:$B, D35, EVENTOS!$E:$E, "*GirAlto*")</f>
        <v>0</v>
      </c>
      <c r="Z35" s="3">
        <f>SUMIFS(EVENTOS!$D:$D, EVENTOS!$B:$B, D35, EVENTOS!$E:$E, "*GirMed*")</f>
        <v>4</v>
      </c>
      <c r="AA35" s="3">
        <f>SUMIFS(EVENTOS!$D:$D, EVENTOS!$B:$B, D35, EVENTOS!$E:$E, "*GirBajo*")</f>
        <v>32</v>
      </c>
      <c r="AB35" s="3">
        <f>IFERROR(INDEX(EVENTOS!$D:$D,MATCH(SCORE!AB$2&amp;" "&amp;SCORE!$D35,EVENTOS!$F:$F,0)),0)</f>
        <v>0</v>
      </c>
      <c r="AC35" s="3">
        <f>IFERROR(INDEX(EVENTOS!$D:$D,MATCH(SCORE!AC$2&amp;" "&amp;SCORE!$D35,EVENTOS!$F:$F,0)),0)</f>
        <v>3</v>
      </c>
      <c r="AD35" s="3">
        <f>IFERROR(INDEX(EVENTOS!$D:$D,MATCH(SCORE!AD$2&amp;" "&amp;SCORE!$D35,EVENTOS!$F:$F,0)),0)</f>
        <v>123</v>
      </c>
      <c r="AE35" s="3">
        <f t="shared" si="0"/>
        <v>1000</v>
      </c>
      <c r="AF35" s="10">
        <f t="shared" si="1"/>
        <v>4172.4617524339355</v>
      </c>
      <c r="AG35" s="3">
        <f t="shared" si="2"/>
        <v>82</v>
      </c>
    </row>
    <row r="36" spans="1:33" x14ac:dyDescent="0.25">
      <c r="A36" s="7"/>
      <c r="B36" s="8" t="s">
        <v>76</v>
      </c>
      <c r="C36" s="3">
        <v>14214785</v>
      </c>
      <c r="D36" s="3" t="s">
        <v>110</v>
      </c>
      <c r="E36" s="3">
        <f>VLOOKUP(D36,VIAJES!$D:$E,2,FALSE)</f>
        <v>11</v>
      </c>
      <c r="F36" s="9">
        <f>VLOOKUP(D36,VIAJES!$D:$F,3,FALSE)</f>
        <v>6.5277777777777782E-2</v>
      </c>
      <c r="G36" s="9">
        <f>VLOOKUP(D36,VIAJES!$D:$G,4,FALSE)</f>
        <v>4.0972222222222222E-2</v>
      </c>
      <c r="H36" s="3">
        <f>VLOOKUP(D36,VIAJES!$D:$H,5,FALSE)</f>
        <v>25.91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>
        <f>IFERROR(INDEX(EVENTOS!$D:$D,MATCH(SCORE!S$2&amp;" "&amp;SCORE!$D36,EVENTOS!$F:$F,0)),0)</f>
        <v>0</v>
      </c>
      <c r="T36" s="3">
        <f>IFERROR(INDEX(EVENTOS!$D:$D,MATCH(SCORE!T$2&amp;" "&amp;SCORE!$D36,EVENTOS!$F:$F,0)),0)</f>
        <v>0</v>
      </c>
      <c r="U36" s="3">
        <f>IFERROR(INDEX(EVENTOS!$D:$D,MATCH(SCORE!U$2&amp;" "&amp;SCORE!$D36,EVENTOS!$F:$F,0)),0)</f>
        <v>0</v>
      </c>
      <c r="V36" s="3">
        <f>IFERROR(INDEX(EVENTOS!$D:$D,MATCH(SCORE!V$2&amp;" "&amp;SCORE!$D36,EVENTOS!$F:$F,0)),0)</f>
        <v>0</v>
      </c>
      <c r="W36" s="3">
        <f>IFERROR(INDEX(EVENTOS!$D:$D,MATCH(SCORE!W$2&amp;" "&amp;SCORE!$D36,EVENTOS!$F:$F,0)),0)</f>
        <v>0</v>
      </c>
      <c r="X36" s="3">
        <f>IFERROR(INDEX(EVENTOS!$D:$D,MATCH(SCORE!X$2&amp;" "&amp;SCORE!$D36,EVENTOS!$F:$F,0)),0)</f>
        <v>0</v>
      </c>
      <c r="Y36" s="3">
        <f>SUMIFS(EVENTOS!$D:$D, EVENTOS!$B:$B, D36, EVENTOS!$E:$E, "*GirAlto*")</f>
        <v>0</v>
      </c>
      <c r="Z36" s="3">
        <f>SUMIFS(EVENTOS!$D:$D, EVENTOS!$B:$B, D36, EVENTOS!$E:$E, "*GirMed*")</f>
        <v>0</v>
      </c>
      <c r="AA36" s="3">
        <f>SUMIFS(EVENTOS!$D:$D, EVENTOS!$B:$B, D36, EVENTOS!$E:$E, "*GirBajo*")</f>
        <v>0</v>
      </c>
      <c r="AB36" s="3">
        <f>IFERROR(INDEX(EVENTOS!$D:$D,MATCH(SCORE!AB$2&amp;" "&amp;SCORE!$D36,EVENTOS!$F:$F,0)),0)</f>
        <v>0</v>
      </c>
      <c r="AC36" s="3">
        <f>IFERROR(INDEX(EVENTOS!$D:$D,MATCH(SCORE!AC$2&amp;" "&amp;SCORE!$D36,EVENTOS!$F:$F,0)),0)</f>
        <v>0</v>
      </c>
      <c r="AD36" s="3">
        <f>IFERROR(INDEX(EVENTOS!$D:$D,MATCH(SCORE!AD$2&amp;" "&amp;SCORE!$D36,EVENTOS!$F:$F,0)),0)</f>
        <v>0</v>
      </c>
      <c r="AE36" s="3">
        <f t="shared" si="0"/>
        <v>0</v>
      </c>
      <c r="AF36" s="10">
        <f t="shared" si="1"/>
        <v>0</v>
      </c>
      <c r="AG36" s="3">
        <f t="shared" si="2"/>
        <v>95</v>
      </c>
    </row>
    <row r="37" spans="1:33" x14ac:dyDescent="0.25">
      <c r="A37" s="7"/>
      <c r="B37" s="8" t="s">
        <v>76</v>
      </c>
      <c r="C37" s="3">
        <v>14219362</v>
      </c>
      <c r="D37" s="3" t="s">
        <v>111</v>
      </c>
      <c r="E37" s="3">
        <f>VLOOKUP(D37,VIAJES!$D:$E,2,FALSE)</f>
        <v>182</v>
      </c>
      <c r="F37" s="9">
        <f>VLOOKUP(D37,VIAJES!$D:$F,3,FALSE)</f>
        <v>0.58750000000000002</v>
      </c>
      <c r="G37" s="9">
        <f>VLOOKUP(D37,VIAJES!$D:$G,4,FALSE)</f>
        <v>1.7993055555555555</v>
      </c>
      <c r="H37" s="3">
        <f>VLOOKUP(D37,VIAJES!$D:$H,5,FALSE)</f>
        <v>2102.9699999999998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>
        <f>IFERROR(INDEX(EVENTOS!$D:$D,MATCH(SCORE!S$2&amp;" "&amp;SCORE!$D37,EVENTOS!$F:$F,0)),0)</f>
        <v>11</v>
      </c>
      <c r="T37" s="3">
        <f>IFERROR(INDEX(EVENTOS!$D:$D,MATCH(SCORE!T$2&amp;" "&amp;SCORE!$D37,EVENTOS!$F:$F,0)),0)</f>
        <v>0</v>
      </c>
      <c r="U37" s="3">
        <f>IFERROR(INDEX(EVENTOS!$D:$D,MATCH(SCORE!U$2&amp;" "&amp;SCORE!$D37,EVENTOS!$F:$F,0)),0)</f>
        <v>0</v>
      </c>
      <c r="V37" s="3">
        <f>IFERROR(INDEX(EVENTOS!$D:$D,MATCH(SCORE!V$2&amp;" "&amp;SCORE!$D37,EVENTOS!$F:$F,0)),0)</f>
        <v>1</v>
      </c>
      <c r="W37" s="3">
        <f>IFERROR(INDEX(EVENTOS!$D:$D,MATCH(SCORE!W$2&amp;" "&amp;SCORE!$D37,EVENTOS!$F:$F,0)),0)</f>
        <v>9</v>
      </c>
      <c r="X37" s="3">
        <f>IFERROR(INDEX(EVENTOS!$D:$D,MATCH(SCORE!X$2&amp;" "&amp;SCORE!$D37,EVENTOS!$F:$F,0)),0)</f>
        <v>14</v>
      </c>
      <c r="Y37" s="3">
        <f>SUMIFS(EVENTOS!$D:$D, EVENTOS!$B:$B, D37, EVENTOS!$E:$E, "*GirAlto*")</f>
        <v>26</v>
      </c>
      <c r="Z37" s="3">
        <f>SUMIFS(EVENTOS!$D:$D, EVENTOS!$B:$B, D37, EVENTOS!$E:$E, "*GirMed*")</f>
        <v>122</v>
      </c>
      <c r="AA37" s="3">
        <f>SUMIFS(EVENTOS!$D:$D, EVENTOS!$B:$B, D37, EVENTOS!$E:$E, "*GirBajo*")</f>
        <v>173</v>
      </c>
      <c r="AB37" s="3">
        <f>IFERROR(INDEX(EVENTOS!$D:$D,MATCH(SCORE!AB$2&amp;" "&amp;SCORE!$D37,EVENTOS!$F:$F,0)),0)</f>
        <v>108</v>
      </c>
      <c r="AC37" s="3">
        <f>IFERROR(INDEX(EVENTOS!$D:$D,MATCH(SCORE!AC$2&amp;" "&amp;SCORE!$D37,EVENTOS!$F:$F,0)),0)</f>
        <v>199</v>
      </c>
      <c r="AD37" s="3">
        <f>IFERROR(INDEX(EVENTOS!$D:$D,MATCH(SCORE!AD$2&amp;" "&amp;SCORE!$D37,EVENTOS!$F:$F,0)),0)</f>
        <v>236</v>
      </c>
      <c r="AE37" s="3">
        <f t="shared" si="0"/>
        <v>17665</v>
      </c>
      <c r="AF37" s="10">
        <f t="shared" si="1"/>
        <v>40906.985719799311</v>
      </c>
      <c r="AG37" s="3">
        <f t="shared" si="2"/>
        <v>5</v>
      </c>
    </row>
    <row r="38" spans="1:33" x14ac:dyDescent="0.25">
      <c r="A38" s="7"/>
      <c r="B38" s="8" t="s">
        <v>76</v>
      </c>
      <c r="C38" s="3">
        <v>14110412</v>
      </c>
      <c r="D38" s="3" t="s">
        <v>112</v>
      </c>
      <c r="E38" s="3">
        <f>VLOOKUP(D38,VIAJES!$D:$E,2,FALSE)</f>
        <v>41</v>
      </c>
      <c r="F38" s="9">
        <f>VLOOKUP(D38,VIAJES!$D:$F,3,FALSE)</f>
        <v>0.17916666666666667</v>
      </c>
      <c r="G38" s="9">
        <f>VLOOKUP(D38,VIAJES!$D:$G,4,FALSE)</f>
        <v>0.52986111111111112</v>
      </c>
      <c r="H38" s="3">
        <f>VLOOKUP(D38,VIAJES!$D:$H,5,FALSE)</f>
        <v>187.64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>
        <f>IFERROR(INDEX(EVENTOS!$D:$D,MATCH(SCORE!S$2&amp;" "&amp;SCORE!$D38,EVENTOS!$F:$F,0)),0)</f>
        <v>0</v>
      </c>
      <c r="T38" s="3">
        <f>IFERROR(INDEX(EVENTOS!$D:$D,MATCH(SCORE!T$2&amp;" "&amp;SCORE!$D38,EVENTOS!$F:$F,0)),0)</f>
        <v>0</v>
      </c>
      <c r="U38" s="3">
        <f>IFERROR(INDEX(EVENTOS!$D:$D,MATCH(SCORE!U$2&amp;" "&amp;SCORE!$D38,EVENTOS!$F:$F,0)),0)</f>
        <v>0</v>
      </c>
      <c r="V38" s="3">
        <f>IFERROR(INDEX(EVENTOS!$D:$D,MATCH(SCORE!V$2&amp;" "&amp;SCORE!$D38,EVENTOS!$F:$F,0)),0)</f>
        <v>0</v>
      </c>
      <c r="W38" s="3">
        <f>IFERROR(INDEX(EVENTOS!$D:$D,MATCH(SCORE!W$2&amp;" "&amp;SCORE!$D38,EVENTOS!$F:$F,0)),0)</f>
        <v>0</v>
      </c>
      <c r="X38" s="3">
        <f>IFERROR(INDEX(EVENTOS!$D:$D,MATCH(SCORE!X$2&amp;" "&amp;SCORE!$D38,EVENTOS!$F:$F,0)),0)</f>
        <v>0</v>
      </c>
      <c r="Y38" s="3">
        <f>SUMIFS(EVENTOS!$D:$D, EVENTOS!$B:$B, D38, EVENTOS!$E:$E, "*GirAlto*")</f>
        <v>0</v>
      </c>
      <c r="Z38" s="3">
        <f>SUMIFS(EVENTOS!$D:$D, EVENTOS!$B:$B, D38, EVENTOS!$E:$E, "*GirMed*")</f>
        <v>0</v>
      </c>
      <c r="AA38" s="3">
        <f>SUMIFS(EVENTOS!$D:$D, EVENTOS!$B:$B, D38, EVENTOS!$E:$E, "*GirBajo*")</f>
        <v>2</v>
      </c>
      <c r="AB38" s="3">
        <f>IFERROR(INDEX(EVENTOS!$D:$D,MATCH(SCORE!AB$2&amp;" "&amp;SCORE!$D38,EVENTOS!$F:$F,0)),0)</f>
        <v>0</v>
      </c>
      <c r="AC38" s="3">
        <f>IFERROR(INDEX(EVENTOS!$D:$D,MATCH(SCORE!AC$2&amp;" "&amp;SCORE!$D38,EVENTOS!$F:$F,0)),0)</f>
        <v>0</v>
      </c>
      <c r="AD38" s="3">
        <f>IFERROR(INDEX(EVENTOS!$D:$D,MATCH(SCORE!AD$2&amp;" "&amp;SCORE!$D38,EVENTOS!$F:$F,0)),0)</f>
        <v>0</v>
      </c>
      <c r="AE38" s="3">
        <f t="shared" si="0"/>
        <v>10</v>
      </c>
      <c r="AF38" s="10">
        <f t="shared" si="1"/>
        <v>78.636959370904322</v>
      </c>
      <c r="AG38" s="3">
        <f t="shared" si="2"/>
        <v>94</v>
      </c>
    </row>
    <row r="39" spans="1:33" x14ac:dyDescent="0.25">
      <c r="A39" s="7"/>
      <c r="B39" s="8" t="s">
        <v>76</v>
      </c>
      <c r="C39" s="3">
        <v>14220736</v>
      </c>
      <c r="D39" s="3" t="s">
        <v>113</v>
      </c>
      <c r="E39" s="3">
        <f>VLOOKUP(D39,VIAJES!$D:$E,2,FALSE)</f>
        <v>37</v>
      </c>
      <c r="F39" s="9">
        <f>VLOOKUP(D39,VIAJES!$D:$F,3,FALSE)</f>
        <v>0.40138888888888891</v>
      </c>
      <c r="G39" s="9">
        <f>VLOOKUP(D39,VIAJES!$D:$G,4,FALSE)</f>
        <v>0.75972222222222219</v>
      </c>
      <c r="H39" s="3">
        <f>VLOOKUP(D39,VIAJES!$D:$H,5,FALSE)</f>
        <v>443.16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>
        <f>IFERROR(INDEX(EVENTOS!$D:$D,MATCH(SCORE!S$2&amp;" "&amp;SCORE!$D39,EVENTOS!$F:$F,0)),0)</f>
        <v>6</v>
      </c>
      <c r="T39" s="3">
        <f>IFERROR(INDEX(EVENTOS!$D:$D,MATCH(SCORE!T$2&amp;" "&amp;SCORE!$D39,EVENTOS!$F:$F,0)),0)</f>
        <v>0</v>
      </c>
      <c r="U39" s="3">
        <f>IFERROR(INDEX(EVENTOS!$D:$D,MATCH(SCORE!U$2&amp;" "&amp;SCORE!$D39,EVENTOS!$F:$F,0)),0)</f>
        <v>0</v>
      </c>
      <c r="V39" s="3">
        <f>IFERROR(INDEX(EVENTOS!$D:$D,MATCH(SCORE!V$2&amp;" "&amp;SCORE!$D39,EVENTOS!$F:$F,0)),0)</f>
        <v>0</v>
      </c>
      <c r="W39" s="3">
        <f>IFERROR(INDEX(EVENTOS!$D:$D,MATCH(SCORE!W$2&amp;" "&amp;SCORE!$D39,EVENTOS!$F:$F,0)),0)</f>
        <v>1</v>
      </c>
      <c r="X39" s="3">
        <f>IFERROR(INDEX(EVENTOS!$D:$D,MATCH(SCORE!X$2&amp;" "&amp;SCORE!$D39,EVENTOS!$F:$F,0)),0)</f>
        <v>0</v>
      </c>
      <c r="Y39" s="3">
        <f>SUMIFS(EVENTOS!$D:$D, EVENTOS!$B:$B, D39, EVENTOS!$E:$E, "*GirAlto*")</f>
        <v>0</v>
      </c>
      <c r="Z39" s="3">
        <f>SUMIFS(EVENTOS!$D:$D, EVENTOS!$B:$B, D39, EVENTOS!$E:$E, "*GirMed*")</f>
        <v>0</v>
      </c>
      <c r="AA39" s="3">
        <f>SUMIFS(EVENTOS!$D:$D, EVENTOS!$B:$B, D39, EVENTOS!$E:$E, "*GirBajo*")</f>
        <v>3</v>
      </c>
      <c r="AB39" s="3">
        <f>IFERROR(INDEX(EVENTOS!$D:$D,MATCH(SCORE!AB$2&amp;" "&amp;SCORE!$D39,EVENTOS!$F:$F,0)),0)</f>
        <v>0</v>
      </c>
      <c r="AC39" s="3">
        <f>IFERROR(INDEX(EVENTOS!$D:$D,MATCH(SCORE!AC$2&amp;" "&amp;SCORE!$D39,EVENTOS!$F:$F,0)),0)</f>
        <v>0</v>
      </c>
      <c r="AD39" s="3">
        <f>IFERROR(INDEX(EVENTOS!$D:$D,MATCH(SCORE!AD$2&amp;" "&amp;SCORE!$D39,EVENTOS!$F:$F,0)),0)</f>
        <v>1</v>
      </c>
      <c r="AE39" s="3">
        <f t="shared" si="0"/>
        <v>345</v>
      </c>
      <c r="AF39" s="10">
        <f t="shared" si="1"/>
        <v>1892.1389396709324</v>
      </c>
      <c r="AG39" s="3">
        <f t="shared" si="2"/>
        <v>89</v>
      </c>
    </row>
    <row r="40" spans="1:33" x14ac:dyDescent="0.25">
      <c r="A40" s="7"/>
      <c r="B40" s="8" t="s">
        <v>76</v>
      </c>
      <c r="C40" s="3">
        <v>14111336</v>
      </c>
      <c r="D40" s="3" t="s">
        <v>114</v>
      </c>
      <c r="E40" s="3">
        <f>VLOOKUP(D40,VIAJES!$D:$E,2,FALSE)</f>
        <v>31</v>
      </c>
      <c r="F40" s="9">
        <f>VLOOKUP(D40,VIAJES!$D:$F,3,FALSE)</f>
        <v>0.2638888888888889</v>
      </c>
      <c r="G40" s="9">
        <f>VLOOKUP(D40,VIAJES!$D:$G,4,FALSE)</f>
        <v>0.93263888888888891</v>
      </c>
      <c r="H40" s="3">
        <f>VLOOKUP(D40,VIAJES!$D:$H,5,FALSE)</f>
        <v>778.52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f>IFERROR(INDEX(EVENTOS!$D:$D,MATCH(SCORE!S$2&amp;" "&amp;SCORE!$D40,EVENTOS!$F:$F,0)),0)</f>
        <v>3</v>
      </c>
      <c r="T40" s="3">
        <f>IFERROR(INDEX(EVENTOS!$D:$D,MATCH(SCORE!T$2&amp;" "&amp;SCORE!$D40,EVENTOS!$F:$F,0)),0)</f>
        <v>2</v>
      </c>
      <c r="U40" s="3">
        <f>IFERROR(INDEX(EVENTOS!$D:$D,MATCH(SCORE!U$2&amp;" "&amp;SCORE!$D40,EVENTOS!$F:$F,0)),0)</f>
        <v>0</v>
      </c>
      <c r="V40" s="3">
        <f>IFERROR(INDEX(EVENTOS!$D:$D,MATCH(SCORE!V$2&amp;" "&amp;SCORE!$D40,EVENTOS!$F:$F,0)),0)</f>
        <v>0</v>
      </c>
      <c r="W40" s="3">
        <f>IFERROR(INDEX(EVENTOS!$D:$D,MATCH(SCORE!W$2&amp;" "&amp;SCORE!$D40,EVENTOS!$F:$F,0)),0)</f>
        <v>0</v>
      </c>
      <c r="X40" s="3">
        <f>IFERROR(INDEX(EVENTOS!$D:$D,MATCH(SCORE!X$2&amp;" "&amp;SCORE!$D40,EVENTOS!$F:$F,0)),0)</f>
        <v>0</v>
      </c>
      <c r="Y40" s="3">
        <f>SUMIFS(EVENTOS!$D:$D, EVENTOS!$B:$B, D40, EVENTOS!$E:$E, "*GirAlto*")</f>
        <v>0</v>
      </c>
      <c r="Z40" s="3">
        <f>SUMIFS(EVENTOS!$D:$D, EVENTOS!$B:$B, D40, EVENTOS!$E:$E, "*GirMed*")</f>
        <v>2</v>
      </c>
      <c r="AA40" s="3">
        <f>SUMIFS(EVENTOS!$D:$D, EVENTOS!$B:$B, D40, EVENTOS!$E:$E, "*GirBajo*")</f>
        <v>12</v>
      </c>
      <c r="AB40" s="3">
        <f>IFERROR(INDEX(EVENTOS!$D:$D,MATCH(SCORE!AB$2&amp;" "&amp;SCORE!$D40,EVENTOS!$F:$F,0)),0)</f>
        <v>0</v>
      </c>
      <c r="AC40" s="3">
        <f>IFERROR(INDEX(EVENTOS!$D:$D,MATCH(SCORE!AC$2&amp;" "&amp;SCORE!$D40,EVENTOS!$F:$F,0)),0)</f>
        <v>0</v>
      </c>
      <c r="AD40" s="3">
        <f>IFERROR(INDEX(EVENTOS!$D:$D,MATCH(SCORE!AD$2&amp;" "&amp;SCORE!$D40,EVENTOS!$F:$F,0)),0)</f>
        <v>16</v>
      </c>
      <c r="AE40" s="3">
        <f t="shared" si="0"/>
        <v>390</v>
      </c>
      <c r="AF40" s="10">
        <f t="shared" si="1"/>
        <v>1742.3678332092329</v>
      </c>
      <c r="AG40" s="3">
        <f t="shared" si="2"/>
        <v>89</v>
      </c>
    </row>
    <row r="41" spans="1:33" x14ac:dyDescent="0.25">
      <c r="A41" s="7"/>
      <c r="B41" s="8" t="s">
        <v>76</v>
      </c>
      <c r="C41" s="3">
        <v>14217447</v>
      </c>
      <c r="D41" s="3" t="s">
        <v>115</v>
      </c>
      <c r="E41" s="3">
        <f>VLOOKUP(D41,VIAJES!$D:$E,2,FALSE)</f>
        <v>30</v>
      </c>
      <c r="F41" s="9">
        <f>VLOOKUP(D41,VIAJES!$D:$F,3,FALSE)</f>
        <v>0.2722222222222222</v>
      </c>
      <c r="G41" s="9">
        <f>VLOOKUP(D41,VIAJES!$D:$G,4,FALSE)</f>
        <v>0.68333333333333335</v>
      </c>
      <c r="H41" s="3">
        <f>VLOOKUP(D41,VIAJES!$D:$H,5,FALSE)</f>
        <v>478.67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>
        <f>IFERROR(INDEX(EVENTOS!$D:$D,MATCH(SCORE!S$2&amp;" "&amp;SCORE!$D41,EVENTOS!$F:$F,0)),0)</f>
        <v>15</v>
      </c>
      <c r="T41" s="3">
        <f>IFERROR(INDEX(EVENTOS!$D:$D,MATCH(SCORE!T$2&amp;" "&amp;SCORE!$D41,EVENTOS!$F:$F,0)),0)</f>
        <v>0</v>
      </c>
      <c r="U41" s="3">
        <f>IFERROR(INDEX(EVENTOS!$D:$D,MATCH(SCORE!U$2&amp;" "&amp;SCORE!$D41,EVENTOS!$F:$F,0)),0)</f>
        <v>0</v>
      </c>
      <c r="V41" s="3">
        <f>IFERROR(INDEX(EVENTOS!$D:$D,MATCH(SCORE!V$2&amp;" "&amp;SCORE!$D41,EVENTOS!$F:$F,0)),0)</f>
        <v>3</v>
      </c>
      <c r="W41" s="3">
        <f>IFERROR(INDEX(EVENTOS!$D:$D,MATCH(SCORE!W$2&amp;" "&amp;SCORE!$D41,EVENTOS!$F:$F,0)),0)</f>
        <v>7</v>
      </c>
      <c r="X41" s="3">
        <f>IFERROR(INDEX(EVENTOS!$D:$D,MATCH(SCORE!X$2&amp;" "&amp;SCORE!$D41,EVENTOS!$F:$F,0)),0)</f>
        <v>2</v>
      </c>
      <c r="Y41" s="3">
        <f>SUMIFS(EVENTOS!$D:$D, EVENTOS!$B:$B, D41, EVENTOS!$E:$E, "*GirAlto*")</f>
        <v>0</v>
      </c>
      <c r="Z41" s="3">
        <f>SUMIFS(EVENTOS!$D:$D, EVENTOS!$B:$B, D41, EVENTOS!$E:$E, "*GirMed*")</f>
        <v>0</v>
      </c>
      <c r="AA41" s="3">
        <f>SUMIFS(EVENTOS!$D:$D, EVENTOS!$B:$B, D41, EVENTOS!$E:$E, "*GirBajo*")</f>
        <v>7</v>
      </c>
      <c r="AB41" s="3">
        <f>IFERROR(INDEX(EVENTOS!$D:$D,MATCH(SCORE!AB$2&amp;" "&amp;SCORE!$D41,EVENTOS!$F:$F,0)),0)</f>
        <v>0</v>
      </c>
      <c r="AC41" s="3">
        <f>IFERROR(INDEX(EVENTOS!$D:$D,MATCH(SCORE!AC$2&amp;" "&amp;SCORE!$D41,EVENTOS!$F:$F,0)),0)</f>
        <v>0</v>
      </c>
      <c r="AD41" s="3">
        <f>IFERROR(INDEX(EVENTOS!$D:$D,MATCH(SCORE!AD$2&amp;" "&amp;SCORE!$D41,EVENTOS!$F:$F,0)),0)</f>
        <v>0</v>
      </c>
      <c r="AE41" s="3">
        <f t="shared" si="0"/>
        <v>1120</v>
      </c>
      <c r="AF41" s="10">
        <f t="shared" si="1"/>
        <v>6829.2682926829275</v>
      </c>
      <c r="AG41" s="3">
        <f t="shared" si="2"/>
        <v>74</v>
      </c>
    </row>
    <row r="42" spans="1:33" x14ac:dyDescent="0.25">
      <c r="A42" s="7"/>
      <c r="B42" s="8" t="s">
        <v>76</v>
      </c>
      <c r="C42" s="3">
        <v>14213524</v>
      </c>
      <c r="D42" s="3" t="s">
        <v>116</v>
      </c>
      <c r="E42" s="3">
        <f>VLOOKUP(D42,VIAJES!$D:$E,2,FALSE)</f>
        <v>54</v>
      </c>
      <c r="F42" s="9">
        <f>VLOOKUP(D42,VIAJES!$D:$F,3,FALSE)</f>
        <v>0.23333333333333334</v>
      </c>
      <c r="G42" s="9">
        <f>VLOOKUP(D42,VIAJES!$D:$G,4,FALSE)</f>
        <v>0.82777777777777772</v>
      </c>
      <c r="H42" s="3">
        <f>VLOOKUP(D42,VIAJES!$D:$H,5,FALSE)</f>
        <v>425.02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>
        <f>IFERROR(INDEX(EVENTOS!$D:$D,MATCH(SCORE!S$2&amp;" "&amp;SCORE!$D42,EVENTOS!$F:$F,0)),0)</f>
        <v>0</v>
      </c>
      <c r="T42" s="3">
        <f>IFERROR(INDEX(EVENTOS!$D:$D,MATCH(SCORE!T$2&amp;" "&amp;SCORE!$D42,EVENTOS!$F:$F,0)),0)</f>
        <v>0</v>
      </c>
      <c r="U42" s="3">
        <f>IFERROR(INDEX(EVENTOS!$D:$D,MATCH(SCORE!U$2&amp;" "&amp;SCORE!$D42,EVENTOS!$F:$F,0)),0)</f>
        <v>0</v>
      </c>
      <c r="V42" s="3">
        <f>IFERROR(INDEX(EVENTOS!$D:$D,MATCH(SCORE!V$2&amp;" "&amp;SCORE!$D42,EVENTOS!$F:$F,0)),0)</f>
        <v>0</v>
      </c>
      <c r="W42" s="3">
        <f>IFERROR(INDEX(EVENTOS!$D:$D,MATCH(SCORE!W$2&amp;" "&amp;SCORE!$D42,EVENTOS!$F:$F,0)),0)</f>
        <v>0</v>
      </c>
      <c r="X42" s="3">
        <f>IFERROR(INDEX(EVENTOS!$D:$D,MATCH(SCORE!X$2&amp;" "&amp;SCORE!$D42,EVENTOS!$F:$F,0)),0)</f>
        <v>0</v>
      </c>
      <c r="Y42" s="3">
        <f>SUMIFS(EVENTOS!$D:$D, EVENTOS!$B:$B, D42, EVENTOS!$E:$E, "*GirAlto*")</f>
        <v>0</v>
      </c>
      <c r="Z42" s="3">
        <f>SUMIFS(EVENTOS!$D:$D, EVENTOS!$B:$B, D42, EVENTOS!$E:$E, "*GirMed*")</f>
        <v>0</v>
      </c>
      <c r="AA42" s="3">
        <f>SUMIFS(EVENTOS!$D:$D, EVENTOS!$B:$B, D42, EVENTOS!$E:$E, "*GirBajo*")</f>
        <v>1</v>
      </c>
      <c r="AB42" s="3">
        <f>IFERROR(INDEX(EVENTOS!$D:$D,MATCH(SCORE!AB$2&amp;" "&amp;SCORE!$D42,EVENTOS!$F:$F,0)),0)</f>
        <v>0</v>
      </c>
      <c r="AC42" s="3">
        <f>IFERROR(INDEX(EVENTOS!$D:$D,MATCH(SCORE!AC$2&amp;" "&amp;SCORE!$D42,EVENTOS!$F:$F,0)),0)</f>
        <v>0</v>
      </c>
      <c r="AD42" s="3">
        <f>IFERROR(INDEX(EVENTOS!$D:$D,MATCH(SCORE!AD$2&amp;" "&amp;SCORE!$D42,EVENTOS!$F:$F,0)),0)</f>
        <v>0</v>
      </c>
      <c r="AE42" s="3">
        <f t="shared" si="0"/>
        <v>5</v>
      </c>
      <c r="AF42" s="10">
        <f t="shared" si="1"/>
        <v>25.167785234899327</v>
      </c>
      <c r="AG42" s="3">
        <f t="shared" si="2"/>
        <v>94</v>
      </c>
    </row>
    <row r="43" spans="1:33" x14ac:dyDescent="0.25">
      <c r="A43" s="7"/>
      <c r="B43" s="8" t="s">
        <v>76</v>
      </c>
      <c r="C43" s="3">
        <v>14106954</v>
      </c>
      <c r="D43" s="3" t="s">
        <v>117</v>
      </c>
      <c r="E43" s="3">
        <f>VLOOKUP(D43,VIAJES!$D:$E,2,FALSE)</f>
        <v>33</v>
      </c>
      <c r="F43" s="9">
        <f>VLOOKUP(D43,VIAJES!$D:$F,3,FALSE)</f>
        <v>0.24027777777777778</v>
      </c>
      <c r="G43" s="9">
        <f>VLOOKUP(D43,VIAJES!$D:$G,4,FALSE)</f>
        <v>0.60624999999999996</v>
      </c>
      <c r="H43" s="3">
        <f>VLOOKUP(D43,VIAJES!$D:$H,5,FALSE)</f>
        <v>231.84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>
        <f>IFERROR(INDEX(EVENTOS!$D:$D,MATCH(SCORE!S$2&amp;" "&amp;SCORE!$D43,EVENTOS!$F:$F,0)),0)</f>
        <v>0</v>
      </c>
      <c r="T43" s="3">
        <f>IFERROR(INDEX(EVENTOS!$D:$D,MATCH(SCORE!T$2&amp;" "&amp;SCORE!$D43,EVENTOS!$F:$F,0)),0)</f>
        <v>0</v>
      </c>
      <c r="U43" s="3">
        <f>IFERROR(INDEX(EVENTOS!$D:$D,MATCH(SCORE!U$2&amp;" "&amp;SCORE!$D43,EVENTOS!$F:$F,0)),0)</f>
        <v>0</v>
      </c>
      <c r="V43" s="3">
        <f>IFERROR(INDEX(EVENTOS!$D:$D,MATCH(SCORE!V$2&amp;" "&amp;SCORE!$D43,EVENTOS!$F:$F,0)),0)</f>
        <v>0</v>
      </c>
      <c r="W43" s="3">
        <f>IFERROR(INDEX(EVENTOS!$D:$D,MATCH(SCORE!W$2&amp;" "&amp;SCORE!$D43,EVENTOS!$F:$F,0)),0)</f>
        <v>0</v>
      </c>
      <c r="X43" s="3">
        <f>IFERROR(INDEX(EVENTOS!$D:$D,MATCH(SCORE!X$2&amp;" "&amp;SCORE!$D43,EVENTOS!$F:$F,0)),0)</f>
        <v>0</v>
      </c>
      <c r="Y43" s="3">
        <f>SUMIFS(EVENTOS!$D:$D, EVENTOS!$B:$B, D43, EVENTOS!$E:$E, "*GirAlto*")</f>
        <v>0</v>
      </c>
      <c r="Z43" s="3">
        <f>SUMIFS(EVENTOS!$D:$D, EVENTOS!$B:$B, D43, EVENTOS!$E:$E, "*GirMed*")</f>
        <v>0</v>
      </c>
      <c r="AA43" s="3">
        <f>SUMIFS(EVENTOS!$D:$D, EVENTOS!$B:$B, D43, EVENTOS!$E:$E, "*GirBajo*")</f>
        <v>0</v>
      </c>
      <c r="AB43" s="3">
        <f>IFERROR(INDEX(EVENTOS!$D:$D,MATCH(SCORE!AB$2&amp;" "&amp;SCORE!$D43,EVENTOS!$F:$F,0)),0)</f>
        <v>0</v>
      </c>
      <c r="AC43" s="3">
        <f>IFERROR(INDEX(EVENTOS!$D:$D,MATCH(SCORE!AC$2&amp;" "&amp;SCORE!$D43,EVENTOS!$F:$F,0)),0)</f>
        <v>0</v>
      </c>
      <c r="AD43" s="3">
        <f>IFERROR(INDEX(EVENTOS!$D:$D,MATCH(SCORE!AD$2&amp;" "&amp;SCORE!$D43,EVENTOS!$F:$F,0)),0)</f>
        <v>0</v>
      </c>
      <c r="AE43" s="3">
        <f t="shared" si="0"/>
        <v>0</v>
      </c>
      <c r="AF43" s="10">
        <f t="shared" si="1"/>
        <v>0</v>
      </c>
      <c r="AG43" s="3">
        <f t="shared" si="2"/>
        <v>95</v>
      </c>
    </row>
    <row r="44" spans="1:33" x14ac:dyDescent="0.25">
      <c r="A44" s="7"/>
      <c r="B44" s="8" t="s">
        <v>76</v>
      </c>
      <c r="C44" s="3">
        <v>14221358</v>
      </c>
      <c r="D44" s="3" t="s">
        <v>118</v>
      </c>
      <c r="E44" s="3">
        <f>VLOOKUP(D44,VIAJES!$D:$E,2,FALSE)</f>
        <v>33</v>
      </c>
      <c r="F44" s="9">
        <f>VLOOKUP(D44,VIAJES!$D:$F,3,FALSE)</f>
        <v>0.1736111111111111</v>
      </c>
      <c r="G44" s="9">
        <f>VLOOKUP(D44,VIAJES!$D:$G,4,FALSE)</f>
        <v>0.52430555555555558</v>
      </c>
      <c r="H44" s="3">
        <f>VLOOKUP(D44,VIAJES!$D:$H,5,FALSE)</f>
        <v>190.98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>
        <f>IFERROR(INDEX(EVENTOS!$D:$D,MATCH(SCORE!S$2&amp;" "&amp;SCORE!$D44,EVENTOS!$F:$F,0)),0)</f>
        <v>0</v>
      </c>
      <c r="T44" s="3">
        <f>IFERROR(INDEX(EVENTOS!$D:$D,MATCH(SCORE!T$2&amp;" "&amp;SCORE!$D44,EVENTOS!$F:$F,0)),0)</f>
        <v>0</v>
      </c>
      <c r="U44" s="3">
        <f>IFERROR(INDEX(EVENTOS!$D:$D,MATCH(SCORE!U$2&amp;" "&amp;SCORE!$D44,EVENTOS!$F:$F,0)),0)</f>
        <v>0</v>
      </c>
      <c r="V44" s="3">
        <f>IFERROR(INDEX(EVENTOS!$D:$D,MATCH(SCORE!V$2&amp;" "&amp;SCORE!$D44,EVENTOS!$F:$F,0)),0)</f>
        <v>0</v>
      </c>
      <c r="W44" s="3">
        <f>IFERROR(INDEX(EVENTOS!$D:$D,MATCH(SCORE!W$2&amp;" "&amp;SCORE!$D44,EVENTOS!$F:$F,0)),0)</f>
        <v>0</v>
      </c>
      <c r="X44" s="3">
        <f>IFERROR(INDEX(EVENTOS!$D:$D,MATCH(SCORE!X$2&amp;" "&amp;SCORE!$D44,EVENTOS!$F:$F,0)),0)</f>
        <v>0</v>
      </c>
      <c r="Y44" s="3">
        <f>SUMIFS(EVENTOS!$D:$D, EVENTOS!$B:$B, D44, EVENTOS!$E:$E, "*GirAlto*")</f>
        <v>0</v>
      </c>
      <c r="Z44" s="3">
        <f>SUMIFS(EVENTOS!$D:$D, EVENTOS!$B:$B, D44, EVENTOS!$E:$E, "*GirMed*")</f>
        <v>0</v>
      </c>
      <c r="AA44" s="3">
        <f>SUMIFS(EVENTOS!$D:$D, EVENTOS!$B:$B, D44, EVENTOS!$E:$E, "*GirBajo*")</f>
        <v>0</v>
      </c>
      <c r="AB44" s="3">
        <f>IFERROR(INDEX(EVENTOS!$D:$D,MATCH(SCORE!AB$2&amp;" "&amp;SCORE!$D44,EVENTOS!$F:$F,0)),0)</f>
        <v>0</v>
      </c>
      <c r="AC44" s="3">
        <f>IFERROR(INDEX(EVENTOS!$D:$D,MATCH(SCORE!AC$2&amp;" "&amp;SCORE!$D44,EVENTOS!$F:$F,0)),0)</f>
        <v>0</v>
      </c>
      <c r="AD44" s="3">
        <f>IFERROR(INDEX(EVENTOS!$D:$D,MATCH(SCORE!AD$2&amp;" "&amp;SCORE!$D44,EVENTOS!$F:$F,0)),0)</f>
        <v>0</v>
      </c>
      <c r="AE44" s="3">
        <f t="shared" si="0"/>
        <v>0</v>
      </c>
      <c r="AF44" s="10">
        <f t="shared" si="1"/>
        <v>0</v>
      </c>
      <c r="AG44" s="3">
        <f t="shared" si="2"/>
        <v>95</v>
      </c>
    </row>
    <row r="45" spans="1:33" x14ac:dyDescent="0.25">
      <c r="A45" s="7"/>
      <c r="B45" s="8" t="s">
        <v>76</v>
      </c>
      <c r="C45" s="3">
        <v>14222163</v>
      </c>
      <c r="D45" s="3" t="s">
        <v>119</v>
      </c>
      <c r="E45" s="3">
        <f>VLOOKUP(D45,VIAJES!$D:$E,2,FALSE)</f>
        <v>47</v>
      </c>
      <c r="F45" s="9">
        <f>VLOOKUP(D45,VIAJES!$D:$F,3,FALSE)</f>
        <v>0.23194444444444445</v>
      </c>
      <c r="G45" s="9">
        <f>VLOOKUP(D45,VIAJES!$D:$G,4,FALSE)</f>
        <v>0.91805555555555551</v>
      </c>
      <c r="H45" s="3">
        <f>VLOOKUP(D45,VIAJES!$D:$H,5,FALSE)</f>
        <v>762.29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>
        <f>IFERROR(INDEX(EVENTOS!$D:$D,MATCH(SCORE!S$2&amp;" "&amp;SCORE!$D45,EVENTOS!$F:$F,0)),0)</f>
        <v>1</v>
      </c>
      <c r="T45" s="3">
        <f>IFERROR(INDEX(EVENTOS!$D:$D,MATCH(SCORE!T$2&amp;" "&amp;SCORE!$D45,EVENTOS!$F:$F,0)),0)</f>
        <v>13</v>
      </c>
      <c r="U45" s="3">
        <f>IFERROR(INDEX(EVENTOS!$D:$D,MATCH(SCORE!U$2&amp;" "&amp;SCORE!$D45,EVENTOS!$F:$F,0)),0)</f>
        <v>0</v>
      </c>
      <c r="V45" s="3">
        <f>IFERROR(INDEX(EVENTOS!$D:$D,MATCH(SCORE!V$2&amp;" "&amp;SCORE!$D45,EVENTOS!$F:$F,0)),0)</f>
        <v>0</v>
      </c>
      <c r="W45" s="3">
        <f>IFERROR(INDEX(EVENTOS!$D:$D,MATCH(SCORE!W$2&amp;" "&amp;SCORE!$D45,EVENTOS!$F:$F,0)),0)</f>
        <v>1</v>
      </c>
      <c r="X45" s="3">
        <f>IFERROR(INDEX(EVENTOS!$D:$D,MATCH(SCORE!X$2&amp;" "&amp;SCORE!$D45,EVENTOS!$F:$F,0)),0)</f>
        <v>3</v>
      </c>
      <c r="Y45" s="3">
        <f>SUMIFS(EVENTOS!$D:$D, EVENTOS!$B:$B, D45, EVENTOS!$E:$E, "*GirAlto*")</f>
        <v>0</v>
      </c>
      <c r="Z45" s="3">
        <f>SUMIFS(EVENTOS!$D:$D, EVENTOS!$B:$B, D45, EVENTOS!$E:$E, "*GirMed*")</f>
        <v>6</v>
      </c>
      <c r="AA45" s="3">
        <f>SUMIFS(EVENTOS!$D:$D, EVENTOS!$B:$B, D45, EVENTOS!$E:$E, "*GirBajo*")</f>
        <v>37</v>
      </c>
      <c r="AB45" s="3">
        <f>IFERROR(INDEX(EVENTOS!$D:$D,MATCH(SCORE!AB$2&amp;" "&amp;SCORE!$D45,EVENTOS!$F:$F,0)),0)</f>
        <v>0</v>
      </c>
      <c r="AC45" s="3">
        <f>IFERROR(INDEX(EVENTOS!$D:$D,MATCH(SCORE!AC$2&amp;" "&amp;SCORE!$D45,EVENTOS!$F:$F,0)),0)</f>
        <v>0</v>
      </c>
      <c r="AD45" s="3">
        <f>IFERROR(INDEX(EVENTOS!$D:$D,MATCH(SCORE!AD$2&amp;" "&amp;SCORE!$D45,EVENTOS!$F:$F,0)),0)</f>
        <v>1</v>
      </c>
      <c r="AE45" s="3">
        <f t="shared" si="0"/>
        <v>755</v>
      </c>
      <c r="AF45" s="10">
        <f t="shared" si="1"/>
        <v>3426.6263237518915</v>
      </c>
      <c r="AG45" s="3">
        <f t="shared" si="2"/>
        <v>84</v>
      </c>
    </row>
    <row r="46" spans="1:33" x14ac:dyDescent="0.25">
      <c r="A46" s="7"/>
      <c r="B46" s="8" t="s">
        <v>76</v>
      </c>
      <c r="C46" s="3"/>
      <c r="D46" s="3" t="s">
        <v>120</v>
      </c>
      <c r="E46" s="3">
        <f>VLOOKUP(D46,VIAJES!$D:$E,2,FALSE)</f>
        <v>3</v>
      </c>
      <c r="F46" s="9">
        <f>VLOOKUP(D46,VIAJES!$D:$F,3,FALSE)</f>
        <v>2.7777777777777779E-3</v>
      </c>
      <c r="G46" s="9">
        <f>VLOOKUP(D46,VIAJES!$D:$G,4,FALSE)</f>
        <v>3.4027777777777775E-2</v>
      </c>
      <c r="H46" s="3">
        <f>VLOOKUP(D46,VIAJES!$D:$H,5,FALSE)</f>
        <v>47.52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>
        <f>IFERROR(INDEX(EVENTOS!$D:$D,MATCH(SCORE!S$2&amp;" "&amp;SCORE!$D46,EVENTOS!$F:$F,0)),0)</f>
        <v>0</v>
      </c>
      <c r="T46" s="3">
        <f>IFERROR(INDEX(EVENTOS!$D:$D,MATCH(SCORE!T$2&amp;" "&amp;SCORE!$D46,EVENTOS!$F:$F,0)),0)</f>
        <v>0</v>
      </c>
      <c r="U46" s="3">
        <f>IFERROR(INDEX(EVENTOS!$D:$D,MATCH(SCORE!U$2&amp;" "&amp;SCORE!$D46,EVENTOS!$F:$F,0)),0)</f>
        <v>0</v>
      </c>
      <c r="V46" s="3">
        <f>IFERROR(INDEX(EVENTOS!$D:$D,MATCH(SCORE!V$2&amp;" "&amp;SCORE!$D46,EVENTOS!$F:$F,0)),0)</f>
        <v>0</v>
      </c>
      <c r="W46" s="3">
        <f>IFERROR(INDEX(EVENTOS!$D:$D,MATCH(SCORE!W$2&amp;" "&amp;SCORE!$D46,EVENTOS!$F:$F,0)),0)</f>
        <v>0</v>
      </c>
      <c r="X46" s="3">
        <f>IFERROR(INDEX(EVENTOS!$D:$D,MATCH(SCORE!X$2&amp;" "&amp;SCORE!$D46,EVENTOS!$F:$F,0)),0)</f>
        <v>0</v>
      </c>
      <c r="Y46" s="3">
        <f>SUMIFS(EVENTOS!$D:$D, EVENTOS!$B:$B, D46, EVENTOS!$E:$E, "*GirAlto*")</f>
        <v>0</v>
      </c>
      <c r="Z46" s="3">
        <f>SUMIFS(EVENTOS!$D:$D, EVENTOS!$B:$B, D46, EVENTOS!$E:$E, "*GirMed*")</f>
        <v>1</v>
      </c>
      <c r="AA46" s="3">
        <f>SUMIFS(EVENTOS!$D:$D, EVENTOS!$B:$B, D46, EVENTOS!$E:$E, "*GirBajo*")</f>
        <v>3</v>
      </c>
      <c r="AB46" s="3">
        <f>IFERROR(INDEX(EVENTOS!$D:$D,MATCH(SCORE!AB$2&amp;" "&amp;SCORE!$D46,EVENTOS!$F:$F,0)),0)</f>
        <v>0</v>
      </c>
      <c r="AC46" s="3">
        <f>IFERROR(INDEX(EVENTOS!$D:$D,MATCH(SCORE!AC$2&amp;" "&amp;SCORE!$D46,EVENTOS!$F:$F,0)),0)</f>
        <v>1</v>
      </c>
      <c r="AD46" s="3">
        <f>IFERROR(INDEX(EVENTOS!$D:$D,MATCH(SCORE!AD$2&amp;" "&amp;SCORE!$D46,EVENTOS!$F:$F,0)),0)</f>
        <v>10</v>
      </c>
      <c r="AE46" s="3">
        <f t="shared" si="0"/>
        <v>115</v>
      </c>
      <c r="AF46" s="10">
        <f t="shared" si="1"/>
        <v>14081.632653061226</v>
      </c>
      <c r="AG46" s="3">
        <f t="shared" si="2"/>
        <v>52</v>
      </c>
    </row>
    <row r="47" spans="1:33" x14ac:dyDescent="0.25">
      <c r="A47" s="7"/>
      <c r="B47" s="8" t="s">
        <v>76</v>
      </c>
      <c r="C47" s="3"/>
      <c r="D47" s="3" t="s">
        <v>121</v>
      </c>
      <c r="E47" s="3">
        <f>VLOOKUP(D47,VIAJES!$D:$E,2,FALSE)</f>
        <v>2</v>
      </c>
      <c r="F47" s="9">
        <f>VLOOKUP(D47,VIAJES!$D:$F,3,FALSE)</f>
        <v>6.2500000000000003E-3</v>
      </c>
      <c r="G47" s="9">
        <f>VLOOKUP(D47,VIAJES!$D:$G,4,FALSE)</f>
        <v>4.8611111111111112E-2</v>
      </c>
      <c r="H47" s="3">
        <f>VLOOKUP(D47,VIAJES!$D:$H,5,FALSE)</f>
        <v>54.55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>
        <f>IFERROR(INDEX(EVENTOS!$D:$D,MATCH(SCORE!S$2&amp;" "&amp;SCORE!$D47,EVENTOS!$F:$F,0)),0)</f>
        <v>2</v>
      </c>
      <c r="T47" s="3">
        <f>IFERROR(INDEX(EVENTOS!$D:$D,MATCH(SCORE!T$2&amp;" "&amp;SCORE!$D47,EVENTOS!$F:$F,0)),0)</f>
        <v>0</v>
      </c>
      <c r="U47" s="3">
        <f>IFERROR(INDEX(EVENTOS!$D:$D,MATCH(SCORE!U$2&amp;" "&amp;SCORE!$D47,EVENTOS!$F:$F,0)),0)</f>
        <v>0</v>
      </c>
      <c r="V47" s="3">
        <f>IFERROR(INDEX(EVENTOS!$D:$D,MATCH(SCORE!V$2&amp;" "&amp;SCORE!$D47,EVENTOS!$F:$F,0)),0)</f>
        <v>0</v>
      </c>
      <c r="W47" s="3">
        <f>IFERROR(INDEX(EVENTOS!$D:$D,MATCH(SCORE!W$2&amp;" "&amp;SCORE!$D47,EVENTOS!$F:$F,0)),0)</f>
        <v>0</v>
      </c>
      <c r="X47" s="3">
        <f>IFERROR(INDEX(EVENTOS!$D:$D,MATCH(SCORE!X$2&amp;" "&amp;SCORE!$D47,EVENTOS!$F:$F,0)),0)</f>
        <v>0</v>
      </c>
      <c r="Y47" s="3">
        <f>SUMIFS(EVENTOS!$D:$D, EVENTOS!$B:$B, D47, EVENTOS!$E:$E, "*GirAlto*")</f>
        <v>0</v>
      </c>
      <c r="Z47" s="3">
        <f>SUMIFS(EVENTOS!$D:$D, EVENTOS!$B:$B, D47, EVENTOS!$E:$E, "*GirMed*")</f>
        <v>0</v>
      </c>
      <c r="AA47" s="3">
        <f>SUMIFS(EVENTOS!$D:$D, EVENTOS!$B:$B, D47, EVENTOS!$E:$E, "*GirBajo*")</f>
        <v>0</v>
      </c>
      <c r="AB47" s="3">
        <f>IFERROR(INDEX(EVENTOS!$D:$D,MATCH(SCORE!AB$2&amp;" "&amp;SCORE!$D47,EVENTOS!$F:$F,0)),0)</f>
        <v>0</v>
      </c>
      <c r="AC47" s="3">
        <f>IFERROR(INDEX(EVENTOS!$D:$D,MATCH(SCORE!AC$2&amp;" "&amp;SCORE!$D47,EVENTOS!$F:$F,0)),0)</f>
        <v>0</v>
      </c>
      <c r="AD47" s="3">
        <f>IFERROR(INDEX(EVENTOS!$D:$D,MATCH(SCORE!AD$2&amp;" "&amp;SCORE!$D47,EVENTOS!$F:$F,0)),0)</f>
        <v>4</v>
      </c>
      <c r="AE47" s="3">
        <f t="shared" si="0"/>
        <v>120</v>
      </c>
      <c r="AF47" s="10">
        <f t="shared" si="1"/>
        <v>10285.714285714284</v>
      </c>
      <c r="AG47" s="3">
        <f t="shared" si="2"/>
        <v>64</v>
      </c>
    </row>
    <row r="48" spans="1:33" x14ac:dyDescent="0.25">
      <c r="A48" s="7"/>
      <c r="B48" s="8" t="s">
        <v>76</v>
      </c>
      <c r="C48" s="3"/>
      <c r="D48" s="3" t="s">
        <v>122</v>
      </c>
      <c r="E48" s="3">
        <f>VLOOKUP(D48,VIAJES!$D:$E,2,FALSE)</f>
        <v>8</v>
      </c>
      <c r="F48" s="9">
        <f>VLOOKUP(D48,VIAJES!$D:$F,3,FALSE)</f>
        <v>4.0972222222222222E-2</v>
      </c>
      <c r="G48" s="9">
        <f>VLOOKUP(D48,VIAJES!$D:$G,4,FALSE)</f>
        <v>0.11736111111111111</v>
      </c>
      <c r="H48" s="3">
        <f>VLOOKUP(D48,VIAJES!$D:$H,5,FALSE)</f>
        <v>92.9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>
        <f>IFERROR(INDEX(EVENTOS!$D:$D,MATCH(SCORE!S$2&amp;" "&amp;SCORE!$D48,EVENTOS!$F:$F,0)),0)</f>
        <v>2</v>
      </c>
      <c r="T48" s="3">
        <f>IFERROR(INDEX(EVENTOS!$D:$D,MATCH(SCORE!T$2&amp;" "&amp;SCORE!$D48,EVENTOS!$F:$F,0)),0)</f>
        <v>0</v>
      </c>
      <c r="U48" s="3">
        <f>IFERROR(INDEX(EVENTOS!$D:$D,MATCH(SCORE!U$2&amp;" "&amp;SCORE!$D48,EVENTOS!$F:$F,0)),0)</f>
        <v>0</v>
      </c>
      <c r="V48" s="3">
        <f>IFERROR(INDEX(EVENTOS!$D:$D,MATCH(SCORE!V$2&amp;" "&amp;SCORE!$D48,EVENTOS!$F:$F,0)),0)</f>
        <v>0</v>
      </c>
      <c r="W48" s="3">
        <f>IFERROR(INDEX(EVENTOS!$D:$D,MATCH(SCORE!W$2&amp;" "&amp;SCORE!$D48,EVENTOS!$F:$F,0)),0)</f>
        <v>0</v>
      </c>
      <c r="X48" s="3">
        <f>IFERROR(INDEX(EVENTOS!$D:$D,MATCH(SCORE!X$2&amp;" "&amp;SCORE!$D48,EVENTOS!$F:$F,0)),0)</f>
        <v>0</v>
      </c>
      <c r="Y48" s="3">
        <f>SUMIFS(EVENTOS!$D:$D, EVENTOS!$B:$B, D48, EVENTOS!$E:$E, "*GirAlto*")</f>
        <v>0</v>
      </c>
      <c r="Z48" s="3">
        <f>SUMIFS(EVENTOS!$D:$D, EVENTOS!$B:$B, D48, EVENTOS!$E:$E, "*GirMed*")</f>
        <v>0</v>
      </c>
      <c r="AA48" s="3">
        <f>SUMIFS(EVENTOS!$D:$D, EVENTOS!$B:$B, D48, EVENTOS!$E:$E, "*GirBajo*")</f>
        <v>0</v>
      </c>
      <c r="AB48" s="3">
        <f>IFERROR(INDEX(EVENTOS!$D:$D,MATCH(SCORE!AB$2&amp;" "&amp;SCORE!$D48,EVENTOS!$F:$F,0)),0)</f>
        <v>0</v>
      </c>
      <c r="AC48" s="3">
        <f>IFERROR(INDEX(EVENTOS!$D:$D,MATCH(SCORE!AC$2&amp;" "&amp;SCORE!$D48,EVENTOS!$F:$F,0)),0)</f>
        <v>0</v>
      </c>
      <c r="AD48" s="3">
        <f>IFERROR(INDEX(EVENTOS!$D:$D,MATCH(SCORE!AD$2&amp;" "&amp;SCORE!$D48,EVENTOS!$F:$F,0)),0)</f>
        <v>3</v>
      </c>
      <c r="AE48" s="3">
        <f t="shared" si="0"/>
        <v>115</v>
      </c>
      <c r="AF48" s="10">
        <f t="shared" si="1"/>
        <v>4082.8402366863911</v>
      </c>
      <c r="AG48" s="3">
        <f t="shared" si="2"/>
        <v>82</v>
      </c>
    </row>
    <row r="49" spans="1:33" x14ac:dyDescent="0.25">
      <c r="A49" s="7"/>
      <c r="B49" s="8" t="s">
        <v>76</v>
      </c>
      <c r="C49" s="3"/>
      <c r="D49" s="3" t="s">
        <v>123</v>
      </c>
      <c r="E49" s="3">
        <f>VLOOKUP(D49,VIAJES!$D:$E,2,FALSE)</f>
        <v>5</v>
      </c>
      <c r="F49" s="9">
        <f>VLOOKUP(D49,VIAJES!$D:$F,3,FALSE)</f>
        <v>1.8749999999999999E-2</v>
      </c>
      <c r="G49" s="9">
        <f>VLOOKUP(D49,VIAJES!$D:$G,4,FALSE)</f>
        <v>9.2361111111111116E-2</v>
      </c>
      <c r="H49" s="3">
        <f>VLOOKUP(D49,VIAJES!$D:$H,5,FALSE)</f>
        <v>100.08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f>IFERROR(INDEX(EVENTOS!$D:$D,MATCH(SCORE!S$2&amp;" "&amp;SCORE!$D49,EVENTOS!$F:$F,0)),0)</f>
        <v>1</v>
      </c>
      <c r="T49" s="3">
        <f>IFERROR(INDEX(EVENTOS!$D:$D,MATCH(SCORE!T$2&amp;" "&amp;SCORE!$D49,EVENTOS!$F:$F,0)),0)</f>
        <v>0</v>
      </c>
      <c r="U49" s="3">
        <f>IFERROR(INDEX(EVENTOS!$D:$D,MATCH(SCORE!U$2&amp;" "&amp;SCORE!$D49,EVENTOS!$F:$F,0)),0)</f>
        <v>0</v>
      </c>
      <c r="V49" s="3">
        <f>IFERROR(INDEX(EVENTOS!$D:$D,MATCH(SCORE!V$2&amp;" "&amp;SCORE!$D49,EVENTOS!$F:$F,0)),0)</f>
        <v>0</v>
      </c>
      <c r="W49" s="3">
        <f>IFERROR(INDEX(EVENTOS!$D:$D,MATCH(SCORE!W$2&amp;" "&amp;SCORE!$D49,EVENTOS!$F:$F,0)),0)</f>
        <v>0</v>
      </c>
      <c r="X49" s="3">
        <f>IFERROR(INDEX(EVENTOS!$D:$D,MATCH(SCORE!X$2&amp;" "&amp;SCORE!$D49,EVENTOS!$F:$F,0)),0)</f>
        <v>0</v>
      </c>
      <c r="Y49" s="3">
        <f>SUMIFS(EVENTOS!$D:$D, EVENTOS!$B:$B, D49, EVENTOS!$E:$E, "*GirAlto*")</f>
        <v>0</v>
      </c>
      <c r="Z49" s="3">
        <f>SUMIFS(EVENTOS!$D:$D, EVENTOS!$B:$B, D49, EVENTOS!$E:$E, "*GirMed*")</f>
        <v>0</v>
      </c>
      <c r="AA49" s="3">
        <f>SUMIFS(EVENTOS!$D:$D, EVENTOS!$B:$B, D49, EVENTOS!$E:$E, "*GirBajo*")</f>
        <v>2</v>
      </c>
      <c r="AB49" s="3">
        <f>IFERROR(INDEX(EVENTOS!$D:$D,MATCH(SCORE!AB$2&amp;" "&amp;SCORE!$D49,EVENTOS!$F:$F,0)),0)</f>
        <v>0</v>
      </c>
      <c r="AC49" s="3">
        <f>IFERROR(INDEX(EVENTOS!$D:$D,MATCH(SCORE!AC$2&amp;" "&amp;SCORE!$D49,EVENTOS!$F:$F,0)),0)</f>
        <v>0</v>
      </c>
      <c r="AD49" s="3">
        <f>IFERROR(INDEX(EVENTOS!$D:$D,MATCH(SCORE!AD$2&amp;" "&amp;SCORE!$D49,EVENTOS!$F:$F,0)),0)</f>
        <v>3</v>
      </c>
      <c r="AE49" s="3">
        <f t="shared" si="0"/>
        <v>75</v>
      </c>
      <c r="AF49" s="10">
        <f t="shared" si="1"/>
        <v>3383.458646616541</v>
      </c>
      <c r="AG49" s="3">
        <f t="shared" si="2"/>
        <v>84</v>
      </c>
    </row>
    <row r="50" spans="1:33" x14ac:dyDescent="0.25">
      <c r="A50" s="7"/>
      <c r="B50" s="8" t="s">
        <v>76</v>
      </c>
      <c r="C50" s="3"/>
      <c r="D50" s="3" t="s">
        <v>124</v>
      </c>
      <c r="E50" s="3">
        <f>VLOOKUP(D50,VIAJES!$D:$E,2,FALSE)</f>
        <v>4</v>
      </c>
      <c r="F50" s="9">
        <f>VLOOKUP(D50,VIAJES!$D:$F,3,FALSE)</f>
        <v>1.7361111111111112E-2</v>
      </c>
      <c r="G50" s="9">
        <f>VLOOKUP(D50,VIAJES!$D:$G,4,FALSE)</f>
        <v>4.8611111111111112E-2</v>
      </c>
      <c r="H50" s="3">
        <f>VLOOKUP(D50,VIAJES!$D:$H,5,FALSE)</f>
        <v>46.65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>
        <f>IFERROR(INDEX(EVENTOS!$D:$D,MATCH(SCORE!S$2&amp;" "&amp;SCORE!$D50,EVENTOS!$F:$F,0)),0)</f>
        <v>0</v>
      </c>
      <c r="T50" s="3">
        <f>IFERROR(INDEX(EVENTOS!$D:$D,MATCH(SCORE!T$2&amp;" "&amp;SCORE!$D50,EVENTOS!$F:$F,0)),0)</f>
        <v>0</v>
      </c>
      <c r="U50" s="3">
        <f>IFERROR(INDEX(EVENTOS!$D:$D,MATCH(SCORE!U$2&amp;" "&amp;SCORE!$D50,EVENTOS!$F:$F,0)),0)</f>
        <v>0</v>
      </c>
      <c r="V50" s="3">
        <f>IFERROR(INDEX(EVENTOS!$D:$D,MATCH(SCORE!V$2&amp;" "&amp;SCORE!$D50,EVENTOS!$F:$F,0)),0)</f>
        <v>0</v>
      </c>
      <c r="W50" s="3">
        <f>IFERROR(INDEX(EVENTOS!$D:$D,MATCH(SCORE!W$2&amp;" "&amp;SCORE!$D50,EVENTOS!$F:$F,0)),0)</f>
        <v>0</v>
      </c>
      <c r="X50" s="3">
        <f>IFERROR(INDEX(EVENTOS!$D:$D,MATCH(SCORE!X$2&amp;" "&amp;SCORE!$D50,EVENTOS!$F:$F,0)),0)</f>
        <v>0</v>
      </c>
      <c r="Y50" s="3">
        <f>SUMIFS(EVENTOS!$D:$D, EVENTOS!$B:$B, D50, EVENTOS!$E:$E, "*GirAlto*")</f>
        <v>0</v>
      </c>
      <c r="Z50" s="3">
        <f>SUMIFS(EVENTOS!$D:$D, EVENTOS!$B:$B, D50, EVENTOS!$E:$E, "*GirMed*")</f>
        <v>0</v>
      </c>
      <c r="AA50" s="3">
        <f>SUMIFS(EVENTOS!$D:$D, EVENTOS!$B:$B, D50, EVENTOS!$E:$E, "*GirBajo*")</f>
        <v>0</v>
      </c>
      <c r="AB50" s="3">
        <f>IFERROR(INDEX(EVENTOS!$D:$D,MATCH(SCORE!AB$2&amp;" "&amp;SCORE!$D50,EVENTOS!$F:$F,0)),0)</f>
        <v>0</v>
      </c>
      <c r="AC50" s="3">
        <f>IFERROR(INDEX(EVENTOS!$D:$D,MATCH(SCORE!AC$2&amp;" "&amp;SCORE!$D50,EVENTOS!$F:$F,0)),0)</f>
        <v>0</v>
      </c>
      <c r="AD50" s="3">
        <f>IFERROR(INDEX(EVENTOS!$D:$D,MATCH(SCORE!AD$2&amp;" "&amp;SCORE!$D50,EVENTOS!$F:$F,0)),0)</f>
        <v>0</v>
      </c>
      <c r="AE50" s="3">
        <f t="shared" si="0"/>
        <v>0</v>
      </c>
      <c r="AF50" s="10">
        <f t="shared" si="1"/>
        <v>0</v>
      </c>
      <c r="AG50" s="3">
        <f t="shared" si="2"/>
        <v>95</v>
      </c>
    </row>
    <row r="51" spans="1:33" x14ac:dyDescent="0.25">
      <c r="A51" s="7"/>
      <c r="B51" s="8" t="s">
        <v>76</v>
      </c>
      <c r="C51" s="3"/>
      <c r="D51" s="3" t="s">
        <v>125</v>
      </c>
      <c r="E51" s="3">
        <f>VLOOKUP(D51,VIAJES!$D:$E,2,FALSE)</f>
        <v>4</v>
      </c>
      <c r="F51" s="9">
        <f>VLOOKUP(D51,VIAJES!$D:$F,3,FALSE)</f>
        <v>1.3888888888888888E-2</v>
      </c>
      <c r="G51" s="9">
        <f>VLOOKUP(D51,VIAJES!$D:$G,4,FALSE)</f>
        <v>9.8611111111111108E-2</v>
      </c>
      <c r="H51" s="3">
        <f>VLOOKUP(D51,VIAJES!$D:$H,5,FALSE)</f>
        <v>108.53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>
        <f>IFERROR(INDEX(EVENTOS!$D:$D,MATCH(SCORE!S$2&amp;" "&amp;SCORE!$D51,EVENTOS!$F:$F,0)),0)</f>
        <v>0</v>
      </c>
      <c r="T51" s="3">
        <f>IFERROR(INDEX(EVENTOS!$D:$D,MATCH(SCORE!T$2&amp;" "&amp;SCORE!$D51,EVENTOS!$F:$F,0)),0)</f>
        <v>0</v>
      </c>
      <c r="U51" s="3">
        <f>IFERROR(INDEX(EVENTOS!$D:$D,MATCH(SCORE!U$2&amp;" "&amp;SCORE!$D51,EVENTOS!$F:$F,0)),0)</f>
        <v>0</v>
      </c>
      <c r="V51" s="3">
        <f>IFERROR(INDEX(EVENTOS!$D:$D,MATCH(SCORE!V$2&amp;" "&amp;SCORE!$D51,EVENTOS!$F:$F,0)),0)</f>
        <v>0</v>
      </c>
      <c r="W51" s="3">
        <f>IFERROR(INDEX(EVENTOS!$D:$D,MATCH(SCORE!W$2&amp;" "&amp;SCORE!$D51,EVENTOS!$F:$F,0)),0)</f>
        <v>0</v>
      </c>
      <c r="X51" s="3">
        <f>IFERROR(INDEX(EVENTOS!$D:$D,MATCH(SCORE!X$2&amp;" "&amp;SCORE!$D51,EVENTOS!$F:$F,0)),0)</f>
        <v>0</v>
      </c>
      <c r="Y51" s="3">
        <f>SUMIFS(EVENTOS!$D:$D, EVENTOS!$B:$B, D51, EVENTOS!$E:$E, "*GirAlto*")</f>
        <v>0</v>
      </c>
      <c r="Z51" s="3">
        <f>SUMIFS(EVENTOS!$D:$D, EVENTOS!$B:$B, D51, EVENTOS!$E:$E, "*GirMed*")</f>
        <v>0</v>
      </c>
      <c r="AA51" s="3">
        <f>SUMIFS(EVENTOS!$D:$D, EVENTOS!$B:$B, D51, EVENTOS!$E:$E, "*GirBajo*")</f>
        <v>1</v>
      </c>
      <c r="AB51" s="3">
        <f>IFERROR(INDEX(EVENTOS!$D:$D,MATCH(SCORE!AB$2&amp;" "&amp;SCORE!$D51,EVENTOS!$F:$F,0)),0)</f>
        <v>0</v>
      </c>
      <c r="AC51" s="3">
        <f>IFERROR(INDEX(EVENTOS!$D:$D,MATCH(SCORE!AC$2&amp;" "&amp;SCORE!$D51,EVENTOS!$F:$F,0)),0)</f>
        <v>0</v>
      </c>
      <c r="AD51" s="3">
        <f>IFERROR(INDEX(EVENTOS!$D:$D,MATCH(SCORE!AD$2&amp;" "&amp;SCORE!$D51,EVENTOS!$F:$F,0)),0)</f>
        <v>7</v>
      </c>
      <c r="AE51" s="3">
        <f t="shared" si="0"/>
        <v>40</v>
      </c>
      <c r="AF51" s="10">
        <f t="shared" si="1"/>
        <v>1690.1408450704225</v>
      </c>
      <c r="AG51" s="3">
        <f t="shared" si="2"/>
        <v>89</v>
      </c>
    </row>
    <row r="52" spans="1:33" x14ac:dyDescent="0.25">
      <c r="A52" s="7"/>
      <c r="B52" s="8" t="s">
        <v>76</v>
      </c>
      <c r="C52" s="3"/>
      <c r="D52" s="3" t="s">
        <v>126</v>
      </c>
      <c r="E52" s="3">
        <f>VLOOKUP(D52,VIAJES!$D:$E,2,FALSE)</f>
        <v>1</v>
      </c>
      <c r="F52" s="9">
        <f>VLOOKUP(D52,VIAJES!$D:$F,3,FALSE)</f>
        <v>3.472222222222222E-3</v>
      </c>
      <c r="G52" s="9">
        <f>VLOOKUP(D52,VIAJES!$D:$G,4,FALSE)</f>
        <v>2.0833333333333333E-3</v>
      </c>
      <c r="H52" s="3">
        <f>VLOOKUP(D52,VIAJES!$D:$H,5,FALSE)</f>
        <v>0.49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>
        <f>IFERROR(INDEX(EVENTOS!$D:$D,MATCH(SCORE!S$2&amp;" "&amp;SCORE!$D52,EVENTOS!$F:$F,0)),0)</f>
        <v>0</v>
      </c>
      <c r="T52" s="3">
        <f>IFERROR(INDEX(EVENTOS!$D:$D,MATCH(SCORE!T$2&amp;" "&amp;SCORE!$D52,EVENTOS!$F:$F,0)),0)</f>
        <v>0</v>
      </c>
      <c r="U52" s="3">
        <f>IFERROR(INDEX(EVENTOS!$D:$D,MATCH(SCORE!U$2&amp;" "&amp;SCORE!$D52,EVENTOS!$F:$F,0)),0)</f>
        <v>0</v>
      </c>
      <c r="V52" s="3">
        <f>IFERROR(INDEX(EVENTOS!$D:$D,MATCH(SCORE!V$2&amp;" "&amp;SCORE!$D52,EVENTOS!$F:$F,0)),0)</f>
        <v>0</v>
      </c>
      <c r="W52" s="3">
        <f>IFERROR(INDEX(EVENTOS!$D:$D,MATCH(SCORE!W$2&amp;" "&amp;SCORE!$D52,EVENTOS!$F:$F,0)),0)</f>
        <v>0</v>
      </c>
      <c r="X52" s="3">
        <f>IFERROR(INDEX(EVENTOS!$D:$D,MATCH(SCORE!X$2&amp;" "&amp;SCORE!$D52,EVENTOS!$F:$F,0)),0)</f>
        <v>0</v>
      </c>
      <c r="Y52" s="3">
        <f>SUMIFS(EVENTOS!$D:$D, EVENTOS!$B:$B, D52, EVENTOS!$E:$E, "*GirAlto*")</f>
        <v>0</v>
      </c>
      <c r="Z52" s="3">
        <f>SUMIFS(EVENTOS!$D:$D, EVENTOS!$B:$B, D52, EVENTOS!$E:$E, "*GirMed*")</f>
        <v>0</v>
      </c>
      <c r="AA52" s="3">
        <f>SUMIFS(EVENTOS!$D:$D, EVENTOS!$B:$B, D52, EVENTOS!$E:$E, "*GirBajo*")</f>
        <v>0</v>
      </c>
      <c r="AB52" s="3">
        <f>IFERROR(INDEX(EVENTOS!$D:$D,MATCH(SCORE!AB$2&amp;" "&amp;SCORE!$D52,EVENTOS!$F:$F,0)),0)</f>
        <v>0</v>
      </c>
      <c r="AC52" s="3">
        <f>IFERROR(INDEX(EVENTOS!$D:$D,MATCH(SCORE!AC$2&amp;" "&amp;SCORE!$D52,EVENTOS!$F:$F,0)),0)</f>
        <v>0</v>
      </c>
      <c r="AD52" s="3">
        <f>IFERROR(INDEX(EVENTOS!$D:$D,MATCH(SCORE!AD$2&amp;" "&amp;SCORE!$D52,EVENTOS!$F:$F,0)),0)</f>
        <v>0</v>
      </c>
      <c r="AE52" s="3">
        <f t="shared" si="0"/>
        <v>0</v>
      </c>
      <c r="AF52" s="10">
        <f t="shared" si="1"/>
        <v>0</v>
      </c>
      <c r="AG52" s="3">
        <f t="shared" si="2"/>
        <v>95</v>
      </c>
    </row>
    <row r="53" spans="1:33" x14ac:dyDescent="0.25">
      <c r="A53" s="7"/>
      <c r="B53" s="8" t="s">
        <v>76</v>
      </c>
      <c r="C53" s="3"/>
      <c r="D53" s="3" t="s">
        <v>127</v>
      </c>
      <c r="E53" s="3">
        <f>VLOOKUP(D53,VIAJES!$D:$E,2,FALSE)</f>
        <v>1</v>
      </c>
      <c r="F53" s="9">
        <f>VLOOKUP(D53,VIAJES!$D:$F,3,FALSE)</f>
        <v>1.5277777777777777E-2</v>
      </c>
      <c r="G53" s="9">
        <f>VLOOKUP(D53,VIAJES!$D:$G,4,FALSE)</f>
        <v>5.9722222222222225E-2</v>
      </c>
      <c r="H53" s="3">
        <f>VLOOKUP(D53,VIAJES!$D:$H,5,FALSE)</f>
        <v>68.7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>
        <f>IFERROR(INDEX(EVENTOS!$D:$D,MATCH(SCORE!S$2&amp;" "&amp;SCORE!$D53,EVENTOS!$F:$F,0)),0)</f>
        <v>1</v>
      </c>
      <c r="T53" s="3">
        <f>IFERROR(INDEX(EVENTOS!$D:$D,MATCH(SCORE!T$2&amp;" "&amp;SCORE!$D53,EVENTOS!$F:$F,0)),0)</f>
        <v>0</v>
      </c>
      <c r="U53" s="3">
        <f>IFERROR(INDEX(EVENTOS!$D:$D,MATCH(SCORE!U$2&amp;" "&amp;SCORE!$D53,EVENTOS!$F:$F,0)),0)</f>
        <v>0</v>
      </c>
      <c r="V53" s="3">
        <f>IFERROR(INDEX(EVENTOS!$D:$D,MATCH(SCORE!V$2&amp;" "&amp;SCORE!$D53,EVENTOS!$F:$F,0)),0)</f>
        <v>0</v>
      </c>
      <c r="W53" s="3">
        <f>IFERROR(INDEX(EVENTOS!$D:$D,MATCH(SCORE!W$2&amp;" "&amp;SCORE!$D53,EVENTOS!$F:$F,0)),0)</f>
        <v>0</v>
      </c>
      <c r="X53" s="3">
        <f>IFERROR(INDEX(EVENTOS!$D:$D,MATCH(SCORE!X$2&amp;" "&amp;SCORE!$D53,EVENTOS!$F:$F,0)),0)</f>
        <v>0</v>
      </c>
      <c r="Y53" s="3">
        <f>SUMIFS(EVENTOS!$D:$D, EVENTOS!$B:$B, D53, EVENTOS!$E:$E, "*GirAlto*")</f>
        <v>0</v>
      </c>
      <c r="Z53" s="3">
        <f>SUMIFS(EVENTOS!$D:$D, EVENTOS!$B:$B, D53, EVENTOS!$E:$E, "*GirMed*")</f>
        <v>0</v>
      </c>
      <c r="AA53" s="3">
        <f>SUMIFS(EVENTOS!$D:$D, EVENTOS!$B:$B, D53, EVENTOS!$E:$E, "*GirBajo*")</f>
        <v>0</v>
      </c>
      <c r="AB53" s="3">
        <f>IFERROR(INDEX(EVENTOS!$D:$D,MATCH(SCORE!AB$2&amp;" "&amp;SCORE!$D53,EVENTOS!$F:$F,0)),0)</f>
        <v>0</v>
      </c>
      <c r="AC53" s="3">
        <f>IFERROR(INDEX(EVENTOS!$D:$D,MATCH(SCORE!AC$2&amp;" "&amp;SCORE!$D53,EVENTOS!$F:$F,0)),0)</f>
        <v>0</v>
      </c>
      <c r="AD53" s="3">
        <f>IFERROR(INDEX(EVENTOS!$D:$D,MATCH(SCORE!AD$2&amp;" "&amp;SCORE!$D53,EVENTOS!$F:$F,0)),0)</f>
        <v>0</v>
      </c>
      <c r="AE53" s="3">
        <f t="shared" si="0"/>
        <v>50</v>
      </c>
      <c r="AF53" s="10">
        <f t="shared" si="1"/>
        <v>3488.3720930232557</v>
      </c>
      <c r="AG53" s="3">
        <f t="shared" si="2"/>
        <v>84</v>
      </c>
    </row>
    <row r="54" spans="1:33" x14ac:dyDescent="0.25">
      <c r="A54" s="7"/>
      <c r="B54" s="8" t="s">
        <v>76</v>
      </c>
      <c r="C54" s="3"/>
      <c r="D54" s="3" t="s">
        <v>128</v>
      </c>
      <c r="E54" s="3">
        <f>VLOOKUP(D54,VIAJES!$D:$E,2,FALSE)</f>
        <v>5</v>
      </c>
      <c r="F54" s="9">
        <f>VLOOKUP(D54,VIAJES!$D:$F,3,FALSE)</f>
        <v>3.4722222222222224E-2</v>
      </c>
      <c r="G54" s="9">
        <f>VLOOKUP(D54,VIAJES!$D:$G,4,FALSE)</f>
        <v>0.12430555555555556</v>
      </c>
      <c r="H54" s="3">
        <f>VLOOKUP(D54,VIAJES!$D:$H,5,FALSE)</f>
        <v>112.3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>
        <f>IFERROR(INDEX(EVENTOS!$D:$D,MATCH(SCORE!S$2&amp;" "&amp;SCORE!$D54,EVENTOS!$F:$F,0)),0)</f>
        <v>2</v>
      </c>
      <c r="T54" s="3">
        <f>IFERROR(INDEX(EVENTOS!$D:$D,MATCH(SCORE!T$2&amp;" "&amp;SCORE!$D54,EVENTOS!$F:$F,0)),0)</f>
        <v>0</v>
      </c>
      <c r="U54" s="3">
        <f>IFERROR(INDEX(EVENTOS!$D:$D,MATCH(SCORE!U$2&amp;" "&amp;SCORE!$D54,EVENTOS!$F:$F,0)),0)</f>
        <v>0</v>
      </c>
      <c r="V54" s="3">
        <f>IFERROR(INDEX(EVENTOS!$D:$D,MATCH(SCORE!V$2&amp;" "&amp;SCORE!$D54,EVENTOS!$F:$F,0)),0)</f>
        <v>0</v>
      </c>
      <c r="W54" s="3">
        <f>IFERROR(INDEX(EVENTOS!$D:$D,MATCH(SCORE!W$2&amp;" "&amp;SCORE!$D54,EVENTOS!$F:$F,0)),0)</f>
        <v>0</v>
      </c>
      <c r="X54" s="3">
        <f>IFERROR(INDEX(EVENTOS!$D:$D,MATCH(SCORE!X$2&amp;" "&amp;SCORE!$D54,EVENTOS!$F:$F,0)),0)</f>
        <v>0</v>
      </c>
      <c r="Y54" s="3">
        <f>SUMIFS(EVENTOS!$D:$D, EVENTOS!$B:$B, D54, EVENTOS!$E:$E, "*GirAlto*")</f>
        <v>0</v>
      </c>
      <c r="Z54" s="3">
        <f>SUMIFS(EVENTOS!$D:$D, EVENTOS!$B:$B, D54, EVENTOS!$E:$E, "*GirMed*")</f>
        <v>0</v>
      </c>
      <c r="AA54" s="3">
        <f>SUMIFS(EVENTOS!$D:$D, EVENTOS!$B:$B, D54, EVENTOS!$E:$E, "*GirBajo*")</f>
        <v>0</v>
      </c>
      <c r="AB54" s="3">
        <f>IFERROR(INDEX(EVENTOS!$D:$D,MATCH(SCORE!AB$2&amp;" "&amp;SCORE!$D54,EVENTOS!$F:$F,0)),0)</f>
        <v>0</v>
      </c>
      <c r="AC54" s="3">
        <f>IFERROR(INDEX(EVENTOS!$D:$D,MATCH(SCORE!AC$2&amp;" "&amp;SCORE!$D54,EVENTOS!$F:$F,0)),0)</f>
        <v>0</v>
      </c>
      <c r="AD54" s="3">
        <f>IFERROR(INDEX(EVENTOS!$D:$D,MATCH(SCORE!AD$2&amp;" "&amp;SCORE!$D54,EVENTOS!$F:$F,0)),0)</f>
        <v>0</v>
      </c>
      <c r="AE54" s="3">
        <f t="shared" si="0"/>
        <v>100</v>
      </c>
      <c r="AF54" s="10">
        <f t="shared" si="1"/>
        <v>3351.9553072625699</v>
      </c>
      <c r="AG54" s="3">
        <f t="shared" si="2"/>
        <v>84</v>
      </c>
    </row>
    <row r="55" spans="1:33" x14ac:dyDescent="0.25">
      <c r="A55" s="7"/>
      <c r="B55" s="8" t="s">
        <v>76</v>
      </c>
      <c r="C55" s="3"/>
      <c r="D55" s="3" t="s">
        <v>129</v>
      </c>
      <c r="E55" s="3">
        <f>VLOOKUP(D55,VIAJES!$D:$E,2,FALSE)</f>
        <v>5</v>
      </c>
      <c r="F55" s="9">
        <f>VLOOKUP(D55,VIAJES!$D:$F,3,FALSE)</f>
        <v>4.8611111111111112E-3</v>
      </c>
      <c r="G55" s="9">
        <f>VLOOKUP(D55,VIAJES!$D:$G,4,FALSE)</f>
        <v>6.0416666666666667E-2</v>
      </c>
      <c r="H55" s="3">
        <f>VLOOKUP(D55,VIAJES!$D:$H,5,FALSE)</f>
        <v>59.44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>
        <f>IFERROR(INDEX(EVENTOS!$D:$D,MATCH(SCORE!S$2&amp;" "&amp;SCORE!$D55,EVENTOS!$F:$F,0)),0)</f>
        <v>0</v>
      </c>
      <c r="T55" s="3">
        <f>IFERROR(INDEX(EVENTOS!$D:$D,MATCH(SCORE!T$2&amp;" "&amp;SCORE!$D55,EVENTOS!$F:$F,0)),0)</f>
        <v>0</v>
      </c>
      <c r="U55" s="3">
        <f>IFERROR(INDEX(EVENTOS!$D:$D,MATCH(SCORE!U$2&amp;" "&amp;SCORE!$D55,EVENTOS!$F:$F,0)),0)</f>
        <v>0</v>
      </c>
      <c r="V55" s="3">
        <f>IFERROR(INDEX(EVENTOS!$D:$D,MATCH(SCORE!V$2&amp;" "&amp;SCORE!$D55,EVENTOS!$F:$F,0)),0)</f>
        <v>0</v>
      </c>
      <c r="W55" s="3">
        <f>IFERROR(INDEX(EVENTOS!$D:$D,MATCH(SCORE!W$2&amp;" "&amp;SCORE!$D55,EVENTOS!$F:$F,0)),0)</f>
        <v>0</v>
      </c>
      <c r="X55" s="3">
        <f>IFERROR(INDEX(EVENTOS!$D:$D,MATCH(SCORE!X$2&amp;" "&amp;SCORE!$D55,EVENTOS!$F:$F,0)),0)</f>
        <v>0</v>
      </c>
      <c r="Y55" s="3">
        <f>SUMIFS(EVENTOS!$D:$D, EVENTOS!$B:$B, D55, EVENTOS!$E:$E, "*GirAlto*")</f>
        <v>0</v>
      </c>
      <c r="Z55" s="3">
        <f>SUMIFS(EVENTOS!$D:$D, EVENTOS!$B:$B, D55, EVENTOS!$E:$E, "*GirMed*")</f>
        <v>1</v>
      </c>
      <c r="AA55" s="3">
        <f>SUMIFS(EVENTOS!$D:$D, EVENTOS!$B:$B, D55, EVENTOS!$E:$E, "*GirBajo*")</f>
        <v>0</v>
      </c>
      <c r="AB55" s="3">
        <f>IFERROR(INDEX(EVENTOS!$D:$D,MATCH(SCORE!AB$2&amp;" "&amp;SCORE!$D55,EVENTOS!$F:$F,0)),0)</f>
        <v>0</v>
      </c>
      <c r="AC55" s="3">
        <f>IFERROR(INDEX(EVENTOS!$D:$D,MATCH(SCORE!AC$2&amp;" "&amp;SCORE!$D55,EVENTOS!$F:$F,0)),0)</f>
        <v>0</v>
      </c>
      <c r="AD55" s="3">
        <f>IFERROR(INDEX(EVENTOS!$D:$D,MATCH(SCORE!AD$2&amp;" "&amp;SCORE!$D55,EVENTOS!$F:$F,0)),0)</f>
        <v>1</v>
      </c>
      <c r="AE55" s="3">
        <f t="shared" si="0"/>
        <v>30</v>
      </c>
      <c r="AF55" s="10">
        <f t="shared" si="1"/>
        <v>2068.9655172413795</v>
      </c>
      <c r="AG55" s="3">
        <f t="shared" si="2"/>
        <v>88</v>
      </c>
    </row>
    <row r="56" spans="1:33" x14ac:dyDescent="0.25">
      <c r="A56" s="7"/>
      <c r="B56" s="8" t="s">
        <v>76</v>
      </c>
      <c r="C56" s="3">
        <v>14218381</v>
      </c>
      <c r="D56" s="3" t="s">
        <v>130</v>
      </c>
      <c r="E56" s="3">
        <f>VLOOKUP(D56,VIAJES!$D:$E,2,FALSE)</f>
        <v>32</v>
      </c>
      <c r="F56" s="9">
        <f>VLOOKUP(D56,VIAJES!$D:$F,3,FALSE)</f>
        <v>0.27708333333333335</v>
      </c>
      <c r="G56" s="9">
        <f>VLOOKUP(D56,VIAJES!$D:$G,4,FALSE)</f>
        <v>0.75069444444444444</v>
      </c>
      <c r="H56" s="3">
        <f>VLOOKUP(D56,VIAJES!$D:$H,5,FALSE)</f>
        <v>446.44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>
        <f>IFERROR(INDEX(EVENTOS!$D:$D,MATCH(SCORE!S$2&amp;" "&amp;SCORE!$D56,EVENTOS!$F:$F,0)),0)</f>
        <v>0</v>
      </c>
      <c r="T56" s="3">
        <f>IFERROR(INDEX(EVENTOS!$D:$D,MATCH(SCORE!T$2&amp;" "&amp;SCORE!$D56,EVENTOS!$F:$F,0)),0)</f>
        <v>0</v>
      </c>
      <c r="U56" s="3">
        <f>IFERROR(INDEX(EVENTOS!$D:$D,MATCH(SCORE!U$2&amp;" "&amp;SCORE!$D56,EVENTOS!$F:$F,0)),0)</f>
        <v>0</v>
      </c>
      <c r="V56" s="3">
        <f>IFERROR(INDEX(EVENTOS!$D:$D,MATCH(SCORE!V$2&amp;" "&amp;SCORE!$D56,EVENTOS!$F:$F,0)),0)</f>
        <v>0</v>
      </c>
      <c r="W56" s="3">
        <f>IFERROR(INDEX(EVENTOS!$D:$D,MATCH(SCORE!W$2&amp;" "&amp;SCORE!$D56,EVENTOS!$F:$F,0)),0)</f>
        <v>0</v>
      </c>
      <c r="X56" s="3">
        <f>IFERROR(INDEX(EVENTOS!$D:$D,MATCH(SCORE!X$2&amp;" "&amp;SCORE!$D56,EVENTOS!$F:$F,0)),0)</f>
        <v>0</v>
      </c>
      <c r="Y56" s="3">
        <f>SUMIFS(EVENTOS!$D:$D, EVENTOS!$B:$B, D56, EVENTOS!$E:$E, "*GirAlto*")</f>
        <v>0</v>
      </c>
      <c r="Z56" s="3">
        <f>SUMIFS(EVENTOS!$D:$D, EVENTOS!$B:$B, D56, EVENTOS!$E:$E, "*GirMed*")</f>
        <v>0</v>
      </c>
      <c r="AA56" s="3">
        <f>SUMIFS(EVENTOS!$D:$D, EVENTOS!$B:$B, D56, EVENTOS!$E:$E, "*GirBajo*")</f>
        <v>4</v>
      </c>
      <c r="AB56" s="3">
        <f>IFERROR(INDEX(EVENTOS!$D:$D,MATCH(SCORE!AB$2&amp;" "&amp;SCORE!$D56,EVENTOS!$F:$F,0)),0)</f>
        <v>0</v>
      </c>
      <c r="AC56" s="3">
        <f>IFERROR(INDEX(EVENTOS!$D:$D,MATCH(SCORE!AC$2&amp;" "&amp;SCORE!$D56,EVENTOS!$F:$F,0)),0)</f>
        <v>0</v>
      </c>
      <c r="AD56" s="3">
        <f>IFERROR(INDEX(EVENTOS!$D:$D,MATCH(SCORE!AD$2&amp;" "&amp;SCORE!$D56,EVENTOS!$F:$F,0)),0)</f>
        <v>0</v>
      </c>
      <c r="AE56" s="3">
        <f t="shared" si="0"/>
        <v>20</v>
      </c>
      <c r="AF56" s="10">
        <f t="shared" si="1"/>
        <v>111.00832562442184</v>
      </c>
      <c r="AG56" s="3">
        <f t="shared" si="2"/>
        <v>94</v>
      </c>
    </row>
    <row r="57" spans="1:33" x14ac:dyDescent="0.25">
      <c r="A57" s="7"/>
      <c r="B57" s="8" t="s">
        <v>76</v>
      </c>
      <c r="C57" s="3">
        <v>14111999</v>
      </c>
      <c r="D57" s="3" t="s">
        <v>131</v>
      </c>
      <c r="E57" s="3">
        <f>VLOOKUP(D57,VIAJES!$D:$E,2,FALSE)</f>
        <v>38</v>
      </c>
      <c r="F57" s="9">
        <f>VLOOKUP(D57,VIAJES!$D:$F,3,FALSE)</f>
        <v>0.19097222222222221</v>
      </c>
      <c r="G57" s="9">
        <f>VLOOKUP(D57,VIAJES!$D:$G,4,FALSE)</f>
        <v>1.0090277777777779</v>
      </c>
      <c r="H57" s="3">
        <f>VLOOKUP(D57,VIAJES!$D:$H,5,FALSE)</f>
        <v>802.11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>
        <f>IFERROR(INDEX(EVENTOS!$D:$D,MATCH(SCORE!S$2&amp;" "&amp;SCORE!$D57,EVENTOS!$F:$F,0)),0)</f>
        <v>5</v>
      </c>
      <c r="T57" s="3">
        <f>IFERROR(INDEX(EVENTOS!$D:$D,MATCH(SCORE!T$2&amp;" "&amp;SCORE!$D57,EVENTOS!$F:$F,0)),0)</f>
        <v>0</v>
      </c>
      <c r="U57" s="3">
        <f>IFERROR(INDEX(EVENTOS!$D:$D,MATCH(SCORE!U$2&amp;" "&amp;SCORE!$D57,EVENTOS!$F:$F,0)),0)</f>
        <v>0</v>
      </c>
      <c r="V57" s="3">
        <f>IFERROR(INDEX(EVENTOS!$D:$D,MATCH(SCORE!V$2&amp;" "&amp;SCORE!$D57,EVENTOS!$F:$F,0)),0)</f>
        <v>0</v>
      </c>
      <c r="W57" s="3">
        <f>IFERROR(INDEX(EVENTOS!$D:$D,MATCH(SCORE!W$2&amp;" "&amp;SCORE!$D57,EVENTOS!$F:$F,0)),0)</f>
        <v>0</v>
      </c>
      <c r="X57" s="3">
        <f>IFERROR(INDEX(EVENTOS!$D:$D,MATCH(SCORE!X$2&amp;" "&amp;SCORE!$D57,EVENTOS!$F:$F,0)),0)</f>
        <v>1</v>
      </c>
      <c r="Y57" s="3">
        <f>SUMIFS(EVENTOS!$D:$D, EVENTOS!$B:$B, D57, EVENTOS!$E:$E, "*GirAlto*")</f>
        <v>0</v>
      </c>
      <c r="Z57" s="3">
        <f>SUMIFS(EVENTOS!$D:$D, EVENTOS!$B:$B, D57, EVENTOS!$E:$E, "*GirMed*")</f>
        <v>9</v>
      </c>
      <c r="AA57" s="3">
        <f>SUMIFS(EVENTOS!$D:$D, EVENTOS!$B:$B, D57, EVENTOS!$E:$E, "*GirBajo*")</f>
        <v>27</v>
      </c>
      <c r="AB57" s="3">
        <f>IFERROR(INDEX(EVENTOS!$D:$D,MATCH(SCORE!AB$2&amp;" "&amp;SCORE!$D57,EVENTOS!$F:$F,0)),0)</f>
        <v>0</v>
      </c>
      <c r="AC57" s="3">
        <f>IFERROR(INDEX(EVENTOS!$D:$D,MATCH(SCORE!AC$2&amp;" "&amp;SCORE!$D57,EVENTOS!$F:$F,0)),0)</f>
        <v>0</v>
      </c>
      <c r="AD57" s="3">
        <f>IFERROR(INDEX(EVENTOS!$D:$D,MATCH(SCORE!AD$2&amp;" "&amp;SCORE!$D57,EVENTOS!$F:$F,0)),0)</f>
        <v>12</v>
      </c>
      <c r="AE57" s="3">
        <f t="shared" si="0"/>
        <v>675</v>
      </c>
      <c r="AF57" s="10">
        <f t="shared" si="1"/>
        <v>2787.3365450791466</v>
      </c>
      <c r="AG57" s="3">
        <f t="shared" si="2"/>
        <v>86</v>
      </c>
    </row>
    <row r="58" spans="1:33" x14ac:dyDescent="0.25">
      <c r="A58" s="7"/>
      <c r="B58" s="8" t="s">
        <v>76</v>
      </c>
      <c r="C58" s="3">
        <v>14213259</v>
      </c>
      <c r="D58" s="3" t="s">
        <v>132</v>
      </c>
      <c r="E58" s="3">
        <f>VLOOKUP(D58,VIAJES!$D:$E,2,FALSE)</f>
        <v>58</v>
      </c>
      <c r="F58" s="9">
        <f>VLOOKUP(D58,VIAJES!$D:$F,3,FALSE)</f>
        <v>0.39652777777777776</v>
      </c>
      <c r="G58" s="9">
        <f>VLOOKUP(D58,VIAJES!$D:$G,4,FALSE)</f>
        <v>1.4090277777777778</v>
      </c>
      <c r="H58" s="3">
        <f>VLOOKUP(D58,VIAJES!$D:$H,5,FALSE)</f>
        <v>1087.04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>
        <f>IFERROR(INDEX(EVENTOS!$D:$D,MATCH(SCORE!S$2&amp;" "&amp;SCORE!$D58,EVENTOS!$F:$F,0)),0)</f>
        <v>0</v>
      </c>
      <c r="T58" s="3">
        <f>IFERROR(INDEX(EVENTOS!$D:$D,MATCH(SCORE!T$2&amp;" "&amp;SCORE!$D58,EVENTOS!$F:$F,0)),0)</f>
        <v>0</v>
      </c>
      <c r="U58" s="3">
        <f>IFERROR(INDEX(EVENTOS!$D:$D,MATCH(SCORE!U$2&amp;" "&amp;SCORE!$D58,EVENTOS!$F:$F,0)),0)</f>
        <v>0</v>
      </c>
      <c r="V58" s="3">
        <f>IFERROR(INDEX(EVENTOS!$D:$D,MATCH(SCORE!V$2&amp;" "&amp;SCORE!$D58,EVENTOS!$F:$F,0)),0)</f>
        <v>0</v>
      </c>
      <c r="W58" s="3">
        <f>IFERROR(INDEX(EVENTOS!$D:$D,MATCH(SCORE!W$2&amp;" "&amp;SCORE!$D58,EVENTOS!$F:$F,0)),0)</f>
        <v>0</v>
      </c>
      <c r="X58" s="3">
        <f>IFERROR(INDEX(EVENTOS!$D:$D,MATCH(SCORE!X$2&amp;" "&amp;SCORE!$D58,EVENTOS!$F:$F,0)),0)</f>
        <v>0</v>
      </c>
      <c r="Y58" s="3">
        <f>SUMIFS(EVENTOS!$D:$D, EVENTOS!$B:$B, D58, EVENTOS!$E:$E, "*GirAlto*")</f>
        <v>0</v>
      </c>
      <c r="Z58" s="3">
        <f>SUMIFS(EVENTOS!$D:$D, EVENTOS!$B:$B, D58, EVENTOS!$E:$E, "*GirMed*")</f>
        <v>0</v>
      </c>
      <c r="AA58" s="3">
        <f>SUMIFS(EVENTOS!$D:$D, EVENTOS!$B:$B, D58, EVENTOS!$E:$E, "*GirBajo*")</f>
        <v>3</v>
      </c>
      <c r="AB58" s="3">
        <f>IFERROR(INDEX(EVENTOS!$D:$D,MATCH(SCORE!AB$2&amp;" "&amp;SCORE!$D58,EVENTOS!$F:$F,0)),0)</f>
        <v>0</v>
      </c>
      <c r="AC58" s="3">
        <f>IFERROR(INDEX(EVENTOS!$D:$D,MATCH(SCORE!AC$2&amp;" "&amp;SCORE!$D58,EVENTOS!$F:$F,0)),0)</f>
        <v>0</v>
      </c>
      <c r="AD58" s="3">
        <f>IFERROR(INDEX(EVENTOS!$D:$D,MATCH(SCORE!AD$2&amp;" "&amp;SCORE!$D58,EVENTOS!$F:$F,0)),0)</f>
        <v>72</v>
      </c>
      <c r="AE58" s="3">
        <f t="shared" si="0"/>
        <v>375</v>
      </c>
      <c r="AF58" s="10">
        <f t="shared" si="1"/>
        <v>1108.9206505667817</v>
      </c>
      <c r="AG58" s="3">
        <f t="shared" si="2"/>
        <v>91</v>
      </c>
    </row>
    <row r="59" spans="1:33" x14ac:dyDescent="0.25">
      <c r="A59" s="7"/>
      <c r="B59" s="8" t="s">
        <v>76</v>
      </c>
      <c r="C59" s="3">
        <v>14221966</v>
      </c>
      <c r="D59" s="3" t="s">
        <v>133</v>
      </c>
      <c r="E59" s="3">
        <f>VLOOKUP(D59,VIAJES!$D:$E,2,FALSE)</f>
        <v>34</v>
      </c>
      <c r="F59" s="9">
        <f>VLOOKUP(D59,VIAJES!$D:$F,3,FALSE)</f>
        <v>0.2298611111111111</v>
      </c>
      <c r="G59" s="9">
        <f>VLOOKUP(D59,VIAJES!$D:$G,4,FALSE)</f>
        <v>0.77638888888888891</v>
      </c>
      <c r="H59" s="3">
        <f>VLOOKUP(D59,VIAJES!$D:$H,5,FALSE)</f>
        <v>552.22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>
        <f>IFERROR(INDEX(EVENTOS!$D:$D,MATCH(SCORE!S$2&amp;" "&amp;SCORE!$D59,EVENTOS!$F:$F,0)),0)</f>
        <v>0</v>
      </c>
      <c r="T59" s="3">
        <f>IFERROR(INDEX(EVENTOS!$D:$D,MATCH(SCORE!T$2&amp;" "&amp;SCORE!$D59,EVENTOS!$F:$F,0)),0)</f>
        <v>0</v>
      </c>
      <c r="U59" s="3">
        <f>IFERROR(INDEX(EVENTOS!$D:$D,MATCH(SCORE!U$2&amp;" "&amp;SCORE!$D59,EVENTOS!$F:$F,0)),0)</f>
        <v>0</v>
      </c>
      <c r="V59" s="3">
        <f>IFERROR(INDEX(EVENTOS!$D:$D,MATCH(SCORE!V$2&amp;" "&amp;SCORE!$D59,EVENTOS!$F:$F,0)),0)</f>
        <v>0</v>
      </c>
      <c r="W59" s="3">
        <f>IFERROR(INDEX(EVENTOS!$D:$D,MATCH(SCORE!W$2&amp;" "&amp;SCORE!$D59,EVENTOS!$F:$F,0)),0)</f>
        <v>0</v>
      </c>
      <c r="X59" s="3">
        <f>IFERROR(INDEX(EVENTOS!$D:$D,MATCH(SCORE!X$2&amp;" "&amp;SCORE!$D59,EVENTOS!$F:$F,0)),0)</f>
        <v>0</v>
      </c>
      <c r="Y59" s="3">
        <f>SUMIFS(EVENTOS!$D:$D, EVENTOS!$B:$B, D59, EVENTOS!$E:$E, "*GirAlto*")</f>
        <v>0</v>
      </c>
      <c r="Z59" s="3">
        <f>SUMIFS(EVENTOS!$D:$D, EVENTOS!$B:$B, D59, EVENTOS!$E:$E, "*GirMed*")</f>
        <v>6</v>
      </c>
      <c r="AA59" s="3">
        <f>SUMIFS(EVENTOS!$D:$D, EVENTOS!$B:$B, D59, EVENTOS!$E:$E, "*GirBajo*")</f>
        <v>25</v>
      </c>
      <c r="AB59" s="3">
        <f>IFERROR(INDEX(EVENTOS!$D:$D,MATCH(SCORE!AB$2&amp;" "&amp;SCORE!$D59,EVENTOS!$F:$F,0)),0)</f>
        <v>0</v>
      </c>
      <c r="AC59" s="3">
        <f>IFERROR(INDEX(EVENTOS!$D:$D,MATCH(SCORE!AC$2&amp;" "&amp;SCORE!$D59,EVENTOS!$F:$F,0)),0)</f>
        <v>5</v>
      </c>
      <c r="AD59" s="3">
        <f>IFERROR(INDEX(EVENTOS!$D:$D,MATCH(SCORE!AD$2&amp;" "&amp;SCORE!$D59,EVENTOS!$F:$F,0)),0)</f>
        <v>44</v>
      </c>
      <c r="AE59" s="3">
        <f t="shared" si="0"/>
        <v>620</v>
      </c>
      <c r="AF59" s="10">
        <f t="shared" si="1"/>
        <v>3327.3703041144904</v>
      </c>
      <c r="AG59" s="3">
        <f t="shared" si="2"/>
        <v>85</v>
      </c>
    </row>
    <row r="60" spans="1:33" x14ac:dyDescent="0.25">
      <c r="A60" s="7"/>
      <c r="B60" s="8" t="s">
        <v>76</v>
      </c>
      <c r="C60" s="3">
        <v>14217374</v>
      </c>
      <c r="D60" s="3" t="s">
        <v>134</v>
      </c>
      <c r="E60" s="3">
        <f>VLOOKUP(D60,VIAJES!$D:$E,2,FALSE)</f>
        <v>34</v>
      </c>
      <c r="F60" s="9">
        <f>VLOOKUP(D60,VIAJES!$D:$F,3,FALSE)</f>
        <v>0.29375000000000001</v>
      </c>
      <c r="G60" s="9">
        <f>VLOOKUP(D60,VIAJES!$D:$G,4,FALSE)</f>
        <v>0.95416666666666672</v>
      </c>
      <c r="H60" s="3">
        <f>VLOOKUP(D60,VIAJES!$D:$H,5,FALSE)</f>
        <v>478.61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f>IFERROR(INDEX(EVENTOS!$D:$D,MATCH(SCORE!S$2&amp;" "&amp;SCORE!$D60,EVENTOS!$F:$F,0)),0)</f>
        <v>0</v>
      </c>
      <c r="T60" s="3">
        <f>IFERROR(INDEX(EVENTOS!$D:$D,MATCH(SCORE!T$2&amp;" "&amp;SCORE!$D60,EVENTOS!$F:$F,0)),0)</f>
        <v>0</v>
      </c>
      <c r="U60" s="3">
        <f>IFERROR(INDEX(EVENTOS!$D:$D,MATCH(SCORE!U$2&amp;" "&amp;SCORE!$D60,EVENTOS!$F:$F,0)),0)</f>
        <v>0</v>
      </c>
      <c r="V60" s="3">
        <f>IFERROR(INDEX(EVENTOS!$D:$D,MATCH(SCORE!V$2&amp;" "&amp;SCORE!$D60,EVENTOS!$F:$F,0)),0)</f>
        <v>0</v>
      </c>
      <c r="W60" s="3">
        <f>IFERROR(INDEX(EVENTOS!$D:$D,MATCH(SCORE!W$2&amp;" "&amp;SCORE!$D60,EVENTOS!$F:$F,0)),0)</f>
        <v>0</v>
      </c>
      <c r="X60" s="3">
        <f>IFERROR(INDEX(EVENTOS!$D:$D,MATCH(SCORE!X$2&amp;" "&amp;SCORE!$D60,EVENTOS!$F:$F,0)),0)</f>
        <v>0</v>
      </c>
      <c r="Y60" s="3">
        <f>SUMIFS(EVENTOS!$D:$D, EVENTOS!$B:$B, D60, EVENTOS!$E:$E, "*GirAlto*")</f>
        <v>0</v>
      </c>
      <c r="Z60" s="3">
        <f>SUMIFS(EVENTOS!$D:$D, EVENTOS!$B:$B, D60, EVENTOS!$E:$E, "*GirMed*")</f>
        <v>1</v>
      </c>
      <c r="AA60" s="3">
        <f>SUMIFS(EVENTOS!$D:$D, EVENTOS!$B:$B, D60, EVENTOS!$E:$E, "*GirBajo*")</f>
        <v>0</v>
      </c>
      <c r="AB60" s="3">
        <f>IFERROR(INDEX(EVENTOS!$D:$D,MATCH(SCORE!AB$2&amp;" "&amp;SCORE!$D60,EVENTOS!$F:$F,0)),0)</f>
        <v>0</v>
      </c>
      <c r="AC60" s="3">
        <f>IFERROR(INDEX(EVENTOS!$D:$D,MATCH(SCORE!AC$2&amp;" "&amp;SCORE!$D60,EVENTOS!$F:$F,0)),0)</f>
        <v>0</v>
      </c>
      <c r="AD60" s="3">
        <f>IFERROR(INDEX(EVENTOS!$D:$D,MATCH(SCORE!AD$2&amp;" "&amp;SCORE!$D60,EVENTOS!$F:$F,0)),0)</f>
        <v>0</v>
      </c>
      <c r="AE60" s="3">
        <f t="shared" si="0"/>
        <v>25</v>
      </c>
      <c r="AF60" s="10">
        <f t="shared" si="1"/>
        <v>109.17030567685589</v>
      </c>
      <c r="AG60" s="3">
        <f t="shared" si="2"/>
        <v>94</v>
      </c>
    </row>
    <row r="61" spans="1:33" x14ac:dyDescent="0.25">
      <c r="A61" s="7"/>
      <c r="B61" s="8" t="s">
        <v>76</v>
      </c>
      <c r="C61" s="3">
        <v>14108047</v>
      </c>
      <c r="D61" s="3" t="s">
        <v>135</v>
      </c>
      <c r="E61" s="3">
        <f>VLOOKUP(D61,VIAJES!$D:$E,2,FALSE)</f>
        <v>16</v>
      </c>
      <c r="F61" s="9">
        <f>VLOOKUP(D61,VIAJES!$D:$F,3,FALSE)</f>
        <v>9.3055555555555558E-2</v>
      </c>
      <c r="G61" s="9">
        <f>VLOOKUP(D61,VIAJES!$D:$G,4,FALSE)</f>
        <v>0.24444444444444444</v>
      </c>
      <c r="H61" s="3">
        <f>VLOOKUP(D61,VIAJES!$D:$H,5,FALSE)</f>
        <v>186.87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>
        <f>IFERROR(INDEX(EVENTOS!$D:$D,MATCH(SCORE!S$2&amp;" "&amp;SCORE!$D61,EVENTOS!$F:$F,0)),0)</f>
        <v>0</v>
      </c>
      <c r="T61" s="3">
        <f>IFERROR(INDEX(EVENTOS!$D:$D,MATCH(SCORE!T$2&amp;" "&amp;SCORE!$D61,EVENTOS!$F:$F,0)),0)</f>
        <v>0</v>
      </c>
      <c r="U61" s="3">
        <f>IFERROR(INDEX(EVENTOS!$D:$D,MATCH(SCORE!U$2&amp;" "&amp;SCORE!$D61,EVENTOS!$F:$F,0)),0)</f>
        <v>0</v>
      </c>
      <c r="V61" s="3">
        <f>IFERROR(INDEX(EVENTOS!$D:$D,MATCH(SCORE!V$2&amp;" "&amp;SCORE!$D61,EVENTOS!$F:$F,0)),0)</f>
        <v>0</v>
      </c>
      <c r="W61" s="3">
        <f>IFERROR(INDEX(EVENTOS!$D:$D,MATCH(SCORE!W$2&amp;" "&amp;SCORE!$D61,EVENTOS!$F:$F,0)),0)</f>
        <v>0</v>
      </c>
      <c r="X61" s="3">
        <f>IFERROR(INDEX(EVENTOS!$D:$D,MATCH(SCORE!X$2&amp;" "&amp;SCORE!$D61,EVENTOS!$F:$F,0)),0)</f>
        <v>0</v>
      </c>
      <c r="Y61" s="3">
        <f>SUMIFS(EVENTOS!$D:$D, EVENTOS!$B:$B, D61, EVENTOS!$E:$E, "*GirAlto*")</f>
        <v>0</v>
      </c>
      <c r="Z61" s="3">
        <f>SUMIFS(EVENTOS!$D:$D, EVENTOS!$B:$B, D61, EVENTOS!$E:$E, "*GirMed*")</f>
        <v>1</v>
      </c>
      <c r="AA61" s="3">
        <f>SUMIFS(EVENTOS!$D:$D, EVENTOS!$B:$B, D61, EVENTOS!$E:$E, "*GirBajo*")</f>
        <v>4</v>
      </c>
      <c r="AB61" s="3">
        <f>IFERROR(INDEX(EVENTOS!$D:$D,MATCH(SCORE!AB$2&amp;" "&amp;SCORE!$D61,EVENTOS!$F:$F,0)),0)</f>
        <v>0</v>
      </c>
      <c r="AC61" s="3">
        <f>IFERROR(INDEX(EVENTOS!$D:$D,MATCH(SCORE!AC$2&amp;" "&amp;SCORE!$D61,EVENTOS!$F:$F,0)),0)</f>
        <v>0</v>
      </c>
      <c r="AD61" s="3">
        <f>IFERROR(INDEX(EVENTOS!$D:$D,MATCH(SCORE!AD$2&amp;" "&amp;SCORE!$D61,EVENTOS!$F:$F,0)),0)</f>
        <v>0</v>
      </c>
      <c r="AE61" s="3">
        <f t="shared" si="0"/>
        <v>45</v>
      </c>
      <c r="AF61" s="10">
        <f t="shared" si="1"/>
        <v>767.04545454545462</v>
      </c>
      <c r="AG61" s="3">
        <f t="shared" si="2"/>
        <v>92</v>
      </c>
    </row>
    <row r="62" spans="1:33" x14ac:dyDescent="0.25">
      <c r="A62" s="7"/>
      <c r="B62" s="8" t="s">
        <v>76</v>
      </c>
      <c r="C62" s="3">
        <v>14106267</v>
      </c>
      <c r="D62" s="3" t="s">
        <v>136</v>
      </c>
      <c r="E62" s="3">
        <f>VLOOKUP(D62,VIAJES!$D:$E,2,FALSE)</f>
        <v>39</v>
      </c>
      <c r="F62" s="9">
        <f>VLOOKUP(D62,VIAJES!$D:$F,3,FALSE)</f>
        <v>0.1451388888888889</v>
      </c>
      <c r="G62" s="9">
        <f>VLOOKUP(D62,VIAJES!$D:$G,4,FALSE)</f>
        <v>0.95486111111111116</v>
      </c>
      <c r="H62" s="3">
        <f>VLOOKUP(D62,VIAJES!$D:$H,5,FALSE)</f>
        <v>532.04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>
        <f>IFERROR(INDEX(EVENTOS!$D:$D,MATCH(SCORE!S$2&amp;" "&amp;SCORE!$D62,EVENTOS!$F:$F,0)),0)</f>
        <v>0</v>
      </c>
      <c r="T62" s="3">
        <f>IFERROR(INDEX(EVENTOS!$D:$D,MATCH(SCORE!T$2&amp;" "&amp;SCORE!$D62,EVENTOS!$F:$F,0)),0)</f>
        <v>0</v>
      </c>
      <c r="U62" s="3">
        <f>IFERROR(INDEX(EVENTOS!$D:$D,MATCH(SCORE!U$2&amp;" "&amp;SCORE!$D62,EVENTOS!$F:$F,0)),0)</f>
        <v>0</v>
      </c>
      <c r="V62" s="3">
        <f>IFERROR(INDEX(EVENTOS!$D:$D,MATCH(SCORE!V$2&amp;" "&amp;SCORE!$D62,EVENTOS!$F:$F,0)),0)</f>
        <v>0</v>
      </c>
      <c r="W62" s="3">
        <f>IFERROR(INDEX(EVENTOS!$D:$D,MATCH(SCORE!W$2&amp;" "&amp;SCORE!$D62,EVENTOS!$F:$F,0)),0)</f>
        <v>0</v>
      </c>
      <c r="X62" s="3">
        <f>IFERROR(INDEX(EVENTOS!$D:$D,MATCH(SCORE!X$2&amp;" "&amp;SCORE!$D62,EVENTOS!$F:$F,0)),0)</f>
        <v>0</v>
      </c>
      <c r="Y62" s="3">
        <f>SUMIFS(EVENTOS!$D:$D, EVENTOS!$B:$B, D62, EVENTOS!$E:$E, "*GirAlto*")</f>
        <v>0</v>
      </c>
      <c r="Z62" s="3">
        <f>SUMIFS(EVENTOS!$D:$D, EVENTOS!$B:$B, D62, EVENTOS!$E:$E, "*GirMed*")</f>
        <v>0</v>
      </c>
      <c r="AA62" s="3">
        <f>SUMIFS(EVENTOS!$D:$D, EVENTOS!$B:$B, D62, EVENTOS!$E:$E, "*GirBajo*")</f>
        <v>0</v>
      </c>
      <c r="AB62" s="3">
        <f>IFERROR(INDEX(EVENTOS!$D:$D,MATCH(SCORE!AB$2&amp;" "&amp;SCORE!$D62,EVENTOS!$F:$F,0)),0)</f>
        <v>0</v>
      </c>
      <c r="AC62" s="3">
        <f>IFERROR(INDEX(EVENTOS!$D:$D,MATCH(SCORE!AC$2&amp;" "&amp;SCORE!$D62,EVENTOS!$F:$F,0)),0)</f>
        <v>0</v>
      </c>
      <c r="AD62" s="3">
        <f>IFERROR(INDEX(EVENTOS!$D:$D,MATCH(SCORE!AD$2&amp;" "&amp;SCORE!$D62,EVENTOS!$F:$F,0)),0)</f>
        <v>5</v>
      </c>
      <c r="AE62" s="3">
        <f t="shared" si="0"/>
        <v>25</v>
      </c>
      <c r="AF62" s="10">
        <f t="shared" si="1"/>
        <v>109.09090909090908</v>
      </c>
      <c r="AG62" s="3">
        <f t="shared" si="2"/>
        <v>94</v>
      </c>
    </row>
    <row r="63" spans="1:33" x14ac:dyDescent="0.25">
      <c r="A63" s="7"/>
      <c r="B63" s="8" t="s">
        <v>76</v>
      </c>
      <c r="C63" s="3">
        <v>14111321</v>
      </c>
      <c r="D63" s="3" t="s">
        <v>137</v>
      </c>
      <c r="E63" s="3">
        <f>VLOOKUP(D63,VIAJES!$D:$E,2,FALSE)</f>
        <v>25</v>
      </c>
      <c r="F63" s="9">
        <f>VLOOKUP(D63,VIAJES!$D:$F,3,FALSE)</f>
        <v>0.19027777777777777</v>
      </c>
      <c r="G63" s="9">
        <f>VLOOKUP(D63,VIAJES!$D:$G,4,FALSE)</f>
        <v>0.34652777777777777</v>
      </c>
      <c r="H63" s="3">
        <f>VLOOKUP(D63,VIAJES!$D:$H,5,FALSE)</f>
        <v>198.97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>
        <f>IFERROR(INDEX(EVENTOS!$D:$D,MATCH(SCORE!S$2&amp;" "&amp;SCORE!$D63,EVENTOS!$F:$F,0)),0)</f>
        <v>0</v>
      </c>
      <c r="T63" s="3">
        <f>IFERROR(INDEX(EVENTOS!$D:$D,MATCH(SCORE!T$2&amp;" "&amp;SCORE!$D63,EVENTOS!$F:$F,0)),0)</f>
        <v>0</v>
      </c>
      <c r="U63" s="3">
        <f>IFERROR(INDEX(EVENTOS!$D:$D,MATCH(SCORE!U$2&amp;" "&amp;SCORE!$D63,EVENTOS!$F:$F,0)),0)</f>
        <v>0</v>
      </c>
      <c r="V63" s="3">
        <f>IFERROR(INDEX(EVENTOS!$D:$D,MATCH(SCORE!V$2&amp;" "&amp;SCORE!$D63,EVENTOS!$F:$F,0)),0)</f>
        <v>0</v>
      </c>
      <c r="W63" s="3">
        <f>IFERROR(INDEX(EVENTOS!$D:$D,MATCH(SCORE!W$2&amp;" "&amp;SCORE!$D63,EVENTOS!$F:$F,0)),0)</f>
        <v>0</v>
      </c>
      <c r="X63" s="3">
        <f>IFERROR(INDEX(EVENTOS!$D:$D,MATCH(SCORE!X$2&amp;" "&amp;SCORE!$D63,EVENTOS!$F:$F,0)),0)</f>
        <v>0</v>
      </c>
      <c r="Y63" s="3">
        <f>SUMIFS(EVENTOS!$D:$D, EVENTOS!$B:$B, D63, EVENTOS!$E:$E, "*GirAlto*")</f>
        <v>0</v>
      </c>
      <c r="Z63" s="3">
        <f>SUMIFS(EVENTOS!$D:$D, EVENTOS!$B:$B, D63, EVENTOS!$E:$E, "*GirMed*")</f>
        <v>0</v>
      </c>
      <c r="AA63" s="3">
        <f>SUMIFS(EVENTOS!$D:$D, EVENTOS!$B:$B, D63, EVENTOS!$E:$E, "*GirBajo*")</f>
        <v>8</v>
      </c>
      <c r="AB63" s="3">
        <f>IFERROR(INDEX(EVENTOS!$D:$D,MATCH(SCORE!AB$2&amp;" "&amp;SCORE!$D63,EVENTOS!$F:$F,0)),0)</f>
        <v>0</v>
      </c>
      <c r="AC63" s="3">
        <f>IFERROR(INDEX(EVENTOS!$D:$D,MATCH(SCORE!AC$2&amp;" "&amp;SCORE!$D63,EVENTOS!$F:$F,0)),0)</f>
        <v>0</v>
      </c>
      <c r="AD63" s="3">
        <f>IFERROR(INDEX(EVENTOS!$D:$D,MATCH(SCORE!AD$2&amp;" "&amp;SCORE!$D63,EVENTOS!$F:$F,0)),0)</f>
        <v>5</v>
      </c>
      <c r="AE63" s="3">
        <f t="shared" si="0"/>
        <v>65</v>
      </c>
      <c r="AF63" s="10">
        <f t="shared" si="1"/>
        <v>781.56312625250507</v>
      </c>
      <c r="AG63" s="3">
        <f t="shared" si="2"/>
        <v>92</v>
      </c>
    </row>
    <row r="64" spans="1:33" x14ac:dyDescent="0.25">
      <c r="A64" s="7"/>
      <c r="B64" s="8" t="s">
        <v>76</v>
      </c>
      <c r="C64" s="3">
        <v>14102637</v>
      </c>
      <c r="D64" s="3" t="s">
        <v>138</v>
      </c>
      <c r="E64" s="3">
        <f>VLOOKUP(D64,VIAJES!$D:$E,2,FALSE)</f>
        <v>37</v>
      </c>
      <c r="F64" s="9">
        <f>VLOOKUP(D64,VIAJES!$D:$F,3,FALSE)</f>
        <v>0.31805555555555554</v>
      </c>
      <c r="G64" s="9">
        <f>VLOOKUP(D64,VIAJES!$D:$G,4,FALSE)</f>
        <v>0.85902777777777772</v>
      </c>
      <c r="H64" s="3">
        <f>VLOOKUP(D64,VIAJES!$D:$H,5,FALSE)</f>
        <v>407.67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>
        <f>IFERROR(INDEX(EVENTOS!$D:$D,MATCH(SCORE!S$2&amp;" "&amp;SCORE!$D64,EVENTOS!$F:$F,0)),0)</f>
        <v>0</v>
      </c>
      <c r="T64" s="3">
        <f>IFERROR(INDEX(EVENTOS!$D:$D,MATCH(SCORE!T$2&amp;" "&amp;SCORE!$D64,EVENTOS!$F:$F,0)),0)</f>
        <v>0</v>
      </c>
      <c r="U64" s="3">
        <f>IFERROR(INDEX(EVENTOS!$D:$D,MATCH(SCORE!U$2&amp;" "&amp;SCORE!$D64,EVENTOS!$F:$F,0)),0)</f>
        <v>0</v>
      </c>
      <c r="V64" s="3">
        <f>IFERROR(INDEX(EVENTOS!$D:$D,MATCH(SCORE!V$2&amp;" "&amp;SCORE!$D64,EVENTOS!$F:$F,0)),0)</f>
        <v>0</v>
      </c>
      <c r="W64" s="3">
        <f>IFERROR(INDEX(EVENTOS!$D:$D,MATCH(SCORE!W$2&amp;" "&amp;SCORE!$D64,EVENTOS!$F:$F,0)),0)</f>
        <v>0</v>
      </c>
      <c r="X64" s="3">
        <f>IFERROR(INDEX(EVENTOS!$D:$D,MATCH(SCORE!X$2&amp;" "&amp;SCORE!$D64,EVENTOS!$F:$F,0)),0)</f>
        <v>1</v>
      </c>
      <c r="Y64" s="3">
        <f>SUMIFS(EVENTOS!$D:$D, EVENTOS!$B:$B, D64, EVENTOS!$E:$E, "*GirAlto*")</f>
        <v>0</v>
      </c>
      <c r="Z64" s="3">
        <f>SUMIFS(EVENTOS!$D:$D, EVENTOS!$B:$B, D64, EVENTOS!$E:$E, "*GirMed*")</f>
        <v>2</v>
      </c>
      <c r="AA64" s="3">
        <f>SUMIFS(EVENTOS!$D:$D, EVENTOS!$B:$B, D64, EVENTOS!$E:$E, "*GirBajo*")</f>
        <v>3</v>
      </c>
      <c r="AB64" s="3">
        <f>IFERROR(INDEX(EVENTOS!$D:$D,MATCH(SCORE!AB$2&amp;" "&amp;SCORE!$D64,EVENTOS!$F:$F,0)),0)</f>
        <v>0</v>
      </c>
      <c r="AC64" s="3">
        <f>IFERROR(INDEX(EVENTOS!$D:$D,MATCH(SCORE!AC$2&amp;" "&amp;SCORE!$D64,EVENTOS!$F:$F,0)),0)</f>
        <v>0</v>
      </c>
      <c r="AD64" s="3">
        <f>IFERROR(INDEX(EVENTOS!$D:$D,MATCH(SCORE!AD$2&amp;" "&amp;SCORE!$D64,EVENTOS!$F:$F,0)),0)</f>
        <v>1</v>
      </c>
      <c r="AE64" s="3">
        <f t="shared" si="0"/>
        <v>75</v>
      </c>
      <c r="AF64" s="10">
        <f t="shared" si="1"/>
        <v>363.78334680679063</v>
      </c>
      <c r="AG64" s="3">
        <f t="shared" si="2"/>
        <v>93</v>
      </c>
    </row>
    <row r="65" spans="1:33" x14ac:dyDescent="0.25">
      <c r="A65" s="7"/>
      <c r="B65" s="8" t="s">
        <v>76</v>
      </c>
      <c r="C65" s="3">
        <v>14102638</v>
      </c>
      <c r="D65" s="3" t="s">
        <v>139</v>
      </c>
      <c r="E65" s="3">
        <f>VLOOKUP(D65,VIAJES!$D:$E,2,FALSE)</f>
        <v>36</v>
      </c>
      <c r="F65" s="9">
        <f>VLOOKUP(D65,VIAJES!$D:$F,3,FALSE)</f>
        <v>0.15277777777777779</v>
      </c>
      <c r="G65" s="9">
        <f>VLOOKUP(D65,VIAJES!$D:$G,4,FALSE)</f>
        <v>0.7729166666666667</v>
      </c>
      <c r="H65" s="3">
        <f>VLOOKUP(D65,VIAJES!$D:$H,5,FALSE)</f>
        <v>485.34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>
        <f>IFERROR(INDEX(EVENTOS!$D:$D,MATCH(SCORE!S$2&amp;" "&amp;SCORE!$D65,EVENTOS!$F:$F,0)),0)</f>
        <v>4</v>
      </c>
      <c r="T65" s="3">
        <f>IFERROR(INDEX(EVENTOS!$D:$D,MATCH(SCORE!T$2&amp;" "&amp;SCORE!$D65,EVENTOS!$F:$F,0)),0)</f>
        <v>0</v>
      </c>
      <c r="U65" s="3">
        <f>IFERROR(INDEX(EVENTOS!$D:$D,MATCH(SCORE!U$2&amp;" "&amp;SCORE!$D65,EVENTOS!$F:$F,0)),0)</f>
        <v>0</v>
      </c>
      <c r="V65" s="3">
        <f>IFERROR(INDEX(EVENTOS!$D:$D,MATCH(SCORE!V$2&amp;" "&amp;SCORE!$D65,EVENTOS!$F:$F,0)),0)</f>
        <v>0</v>
      </c>
      <c r="W65" s="3">
        <f>IFERROR(INDEX(EVENTOS!$D:$D,MATCH(SCORE!W$2&amp;" "&amp;SCORE!$D65,EVENTOS!$F:$F,0)),0)</f>
        <v>0</v>
      </c>
      <c r="X65" s="3">
        <f>IFERROR(INDEX(EVENTOS!$D:$D,MATCH(SCORE!X$2&amp;" "&amp;SCORE!$D65,EVENTOS!$F:$F,0)),0)</f>
        <v>0</v>
      </c>
      <c r="Y65" s="3">
        <f>SUMIFS(EVENTOS!$D:$D, EVENTOS!$B:$B, D65, EVENTOS!$E:$E, "*GirAlto*")</f>
        <v>0</v>
      </c>
      <c r="Z65" s="3">
        <f>SUMIFS(EVENTOS!$D:$D, EVENTOS!$B:$B, D65, EVENTOS!$E:$E, "*GirMed*")</f>
        <v>0</v>
      </c>
      <c r="AA65" s="3">
        <f>SUMIFS(EVENTOS!$D:$D, EVENTOS!$B:$B, D65, EVENTOS!$E:$E, "*GirBajo*")</f>
        <v>2</v>
      </c>
      <c r="AB65" s="3">
        <f>IFERROR(INDEX(EVENTOS!$D:$D,MATCH(SCORE!AB$2&amp;" "&amp;SCORE!$D65,EVENTOS!$F:$F,0)),0)</f>
        <v>0</v>
      </c>
      <c r="AC65" s="3">
        <f>IFERROR(INDEX(EVENTOS!$D:$D,MATCH(SCORE!AC$2&amp;" "&amp;SCORE!$D65,EVENTOS!$F:$F,0)),0)</f>
        <v>0</v>
      </c>
      <c r="AD65" s="3">
        <f>IFERROR(INDEX(EVENTOS!$D:$D,MATCH(SCORE!AD$2&amp;" "&amp;SCORE!$D65,EVENTOS!$F:$F,0)),0)</f>
        <v>1</v>
      </c>
      <c r="AE65" s="3">
        <f t="shared" si="0"/>
        <v>215</v>
      </c>
      <c r="AF65" s="10">
        <f t="shared" si="1"/>
        <v>1159.0296495956873</v>
      </c>
      <c r="AG65" s="3">
        <f t="shared" si="2"/>
        <v>91</v>
      </c>
    </row>
    <row r="66" spans="1:33" x14ac:dyDescent="0.25">
      <c r="A66" s="7"/>
      <c r="B66" s="8" t="s">
        <v>76</v>
      </c>
      <c r="C66" s="3">
        <v>14218735</v>
      </c>
      <c r="D66" s="3" t="s">
        <v>140</v>
      </c>
      <c r="E66" s="3">
        <f>VLOOKUP(D66,VIAJES!$D:$E,2,FALSE)</f>
        <v>33</v>
      </c>
      <c r="F66" s="9">
        <f>VLOOKUP(D66,VIAJES!$D:$F,3,FALSE)</f>
        <v>9.0972222222222218E-2</v>
      </c>
      <c r="G66" s="9">
        <f>VLOOKUP(D66,VIAJES!$D:$G,4,FALSE)</f>
        <v>0.90208333333333335</v>
      </c>
      <c r="H66" s="3">
        <f>VLOOKUP(D66,VIAJES!$D:$H,5,FALSE)</f>
        <v>691.5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>
        <f>IFERROR(INDEX(EVENTOS!$D:$D,MATCH(SCORE!S$2&amp;" "&amp;SCORE!$D66,EVENTOS!$F:$F,0)),0)</f>
        <v>0</v>
      </c>
      <c r="T66" s="3">
        <f>IFERROR(INDEX(EVENTOS!$D:$D,MATCH(SCORE!T$2&amp;" "&amp;SCORE!$D66,EVENTOS!$F:$F,0)),0)</f>
        <v>0</v>
      </c>
      <c r="U66" s="3">
        <f>IFERROR(INDEX(EVENTOS!$D:$D,MATCH(SCORE!U$2&amp;" "&amp;SCORE!$D66,EVENTOS!$F:$F,0)),0)</f>
        <v>0</v>
      </c>
      <c r="V66" s="3">
        <f>IFERROR(INDEX(EVENTOS!$D:$D,MATCH(SCORE!V$2&amp;" "&amp;SCORE!$D66,EVENTOS!$F:$F,0)),0)</f>
        <v>0</v>
      </c>
      <c r="W66" s="3">
        <f>IFERROR(INDEX(EVENTOS!$D:$D,MATCH(SCORE!W$2&amp;" "&amp;SCORE!$D66,EVENTOS!$F:$F,0)),0)</f>
        <v>0</v>
      </c>
      <c r="X66" s="3">
        <f>IFERROR(INDEX(EVENTOS!$D:$D,MATCH(SCORE!X$2&amp;" "&amp;SCORE!$D66,EVENTOS!$F:$F,0)),0)</f>
        <v>0</v>
      </c>
      <c r="Y66" s="3">
        <f>SUMIFS(EVENTOS!$D:$D, EVENTOS!$B:$B, D66, EVENTOS!$E:$E, "*GirAlto*")</f>
        <v>0</v>
      </c>
      <c r="Z66" s="3">
        <f>SUMIFS(EVENTOS!$D:$D, EVENTOS!$B:$B, D66, EVENTOS!$E:$E, "*GirMed*")</f>
        <v>0</v>
      </c>
      <c r="AA66" s="3">
        <f>SUMIFS(EVENTOS!$D:$D, EVENTOS!$B:$B, D66, EVENTOS!$E:$E, "*GirBajo*")</f>
        <v>6</v>
      </c>
      <c r="AB66" s="3">
        <f>IFERROR(INDEX(EVENTOS!$D:$D,MATCH(SCORE!AB$2&amp;" "&amp;SCORE!$D66,EVENTOS!$F:$F,0)),0)</f>
        <v>0</v>
      </c>
      <c r="AC66" s="3">
        <f>IFERROR(INDEX(EVENTOS!$D:$D,MATCH(SCORE!AC$2&amp;" "&amp;SCORE!$D66,EVENTOS!$F:$F,0)),0)</f>
        <v>3</v>
      </c>
      <c r="AD66" s="3">
        <f>IFERROR(INDEX(EVENTOS!$D:$D,MATCH(SCORE!AD$2&amp;" "&amp;SCORE!$D66,EVENTOS!$F:$F,0)),0)</f>
        <v>46</v>
      </c>
      <c r="AE66" s="3">
        <f t="shared" si="0"/>
        <v>335</v>
      </c>
      <c r="AF66" s="10">
        <f t="shared" si="1"/>
        <v>1547.3441108545035</v>
      </c>
      <c r="AG66" s="3">
        <f t="shared" si="2"/>
        <v>90</v>
      </c>
    </row>
    <row r="67" spans="1:33" x14ac:dyDescent="0.25">
      <c r="A67" s="7"/>
      <c r="B67" s="8" t="s">
        <v>76</v>
      </c>
      <c r="C67" s="3">
        <v>14220077</v>
      </c>
      <c r="D67" s="3" t="s">
        <v>141</v>
      </c>
      <c r="E67" s="3">
        <f>VLOOKUP(D67,VIAJES!$D:$E,2,FALSE)</f>
        <v>40</v>
      </c>
      <c r="F67" s="9">
        <f>VLOOKUP(D67,VIAJES!$D:$F,3,FALSE)</f>
        <v>0.26458333333333334</v>
      </c>
      <c r="G67" s="9">
        <f>VLOOKUP(D67,VIAJES!$D:$G,4,FALSE)</f>
        <v>0.93263888888888891</v>
      </c>
      <c r="H67" s="3">
        <f>VLOOKUP(D67,VIAJES!$D:$H,5,FALSE)</f>
        <v>663.23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>
        <f>IFERROR(INDEX(EVENTOS!$D:$D,MATCH(SCORE!S$2&amp;" "&amp;SCORE!$D67,EVENTOS!$F:$F,0)),0)</f>
        <v>0</v>
      </c>
      <c r="T67" s="3">
        <f>IFERROR(INDEX(EVENTOS!$D:$D,MATCH(SCORE!T$2&amp;" "&amp;SCORE!$D67,EVENTOS!$F:$F,0)),0)</f>
        <v>1</v>
      </c>
      <c r="U67" s="3">
        <f>IFERROR(INDEX(EVENTOS!$D:$D,MATCH(SCORE!U$2&amp;" "&amp;SCORE!$D67,EVENTOS!$F:$F,0)),0)</f>
        <v>0</v>
      </c>
      <c r="V67" s="3">
        <f>IFERROR(INDEX(EVENTOS!$D:$D,MATCH(SCORE!V$2&amp;" "&amp;SCORE!$D67,EVENTOS!$F:$F,0)),0)</f>
        <v>0</v>
      </c>
      <c r="W67" s="3">
        <f>IFERROR(INDEX(EVENTOS!$D:$D,MATCH(SCORE!W$2&amp;" "&amp;SCORE!$D67,EVENTOS!$F:$F,0)),0)</f>
        <v>0</v>
      </c>
      <c r="X67" s="3">
        <f>IFERROR(INDEX(EVENTOS!$D:$D,MATCH(SCORE!X$2&amp;" "&amp;SCORE!$D67,EVENTOS!$F:$F,0)),0)</f>
        <v>0</v>
      </c>
      <c r="Y67" s="3">
        <f>SUMIFS(EVENTOS!$D:$D, EVENTOS!$B:$B, D67, EVENTOS!$E:$E, "*GirAlto*")</f>
        <v>0</v>
      </c>
      <c r="Z67" s="3">
        <f>SUMIFS(EVENTOS!$D:$D, EVENTOS!$B:$B, D67, EVENTOS!$E:$E, "*GirMed*")</f>
        <v>0</v>
      </c>
      <c r="AA67" s="3">
        <f>SUMIFS(EVENTOS!$D:$D, EVENTOS!$B:$B, D67, EVENTOS!$E:$E, "*GirBajo*")</f>
        <v>1</v>
      </c>
      <c r="AB67" s="3">
        <f>IFERROR(INDEX(EVENTOS!$D:$D,MATCH(SCORE!AB$2&amp;" "&amp;SCORE!$D67,EVENTOS!$F:$F,0)),0)</f>
        <v>0</v>
      </c>
      <c r="AC67" s="3">
        <f>IFERROR(INDEX(EVENTOS!$D:$D,MATCH(SCORE!AC$2&amp;" "&amp;SCORE!$D67,EVENTOS!$F:$F,0)),0)</f>
        <v>0</v>
      </c>
      <c r="AD67" s="3">
        <f>IFERROR(INDEX(EVENTOS!$D:$D,MATCH(SCORE!AD$2&amp;" "&amp;SCORE!$D67,EVENTOS!$F:$F,0)),0)</f>
        <v>1</v>
      </c>
      <c r="AE67" s="3">
        <f t="shared" ref="AE67:AE130" si="3">((S67+V67+Y67+AB67)*50)+((T67+W67+Z67+AC67)*25)+((U67+X67+AA67+AD67)*5)</f>
        <v>35</v>
      </c>
      <c r="AF67" s="10">
        <f t="shared" ref="AF67:AF130" si="4">AE67/(G67*24)*100</f>
        <v>156.36634400595682</v>
      </c>
      <c r="AG67" s="3">
        <f t="shared" ref="AG67:AG130" si="5">IF(D67&lt;&gt;"",IF(AF67&gt;=30000,5,ROUNDDOWN((((5-95)*(AF67-0))/(30000-0))+95,0)),"")</f>
        <v>94</v>
      </c>
    </row>
    <row r="68" spans="1:33" x14ac:dyDescent="0.25">
      <c r="A68" s="7"/>
      <c r="B68" s="8" t="s">
        <v>76</v>
      </c>
      <c r="C68" s="3">
        <v>14216692</v>
      </c>
      <c r="D68" s="3" t="s">
        <v>142</v>
      </c>
      <c r="E68" s="3">
        <f>VLOOKUP(D68,VIAJES!$D:$E,2,FALSE)</f>
        <v>53</v>
      </c>
      <c r="F68" s="9">
        <f>VLOOKUP(D68,VIAJES!$D:$F,3,FALSE)</f>
        <v>0.26874999999999999</v>
      </c>
      <c r="G68" s="9">
        <f>VLOOKUP(D68,VIAJES!$D:$G,4,FALSE)</f>
        <v>1.1944444444444444</v>
      </c>
      <c r="H68" s="3">
        <f>VLOOKUP(D68,VIAJES!$D:$H,5,FALSE)</f>
        <v>1115.71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>
        <f>IFERROR(INDEX(EVENTOS!$D:$D,MATCH(SCORE!S$2&amp;" "&amp;SCORE!$D68,EVENTOS!$F:$F,0)),0)</f>
        <v>4</v>
      </c>
      <c r="T68" s="3">
        <f>IFERROR(INDEX(EVENTOS!$D:$D,MATCH(SCORE!T$2&amp;" "&amp;SCORE!$D68,EVENTOS!$F:$F,0)),0)</f>
        <v>5</v>
      </c>
      <c r="U68" s="3">
        <f>IFERROR(INDEX(EVENTOS!$D:$D,MATCH(SCORE!U$2&amp;" "&amp;SCORE!$D68,EVENTOS!$F:$F,0)),0)</f>
        <v>0</v>
      </c>
      <c r="V68" s="3">
        <f>IFERROR(INDEX(EVENTOS!$D:$D,MATCH(SCORE!V$2&amp;" "&amp;SCORE!$D68,EVENTOS!$F:$F,0)),0)</f>
        <v>0</v>
      </c>
      <c r="W68" s="3">
        <f>IFERROR(INDEX(EVENTOS!$D:$D,MATCH(SCORE!W$2&amp;" "&amp;SCORE!$D68,EVENTOS!$F:$F,0)),0)</f>
        <v>0</v>
      </c>
      <c r="X68" s="3">
        <f>IFERROR(INDEX(EVENTOS!$D:$D,MATCH(SCORE!X$2&amp;" "&amp;SCORE!$D68,EVENTOS!$F:$F,0)),0)</f>
        <v>2</v>
      </c>
      <c r="Y68" s="3">
        <f>SUMIFS(EVENTOS!$D:$D, EVENTOS!$B:$B, D68, EVENTOS!$E:$E, "*GirAlto*")</f>
        <v>0</v>
      </c>
      <c r="Z68" s="3">
        <f>SUMIFS(EVENTOS!$D:$D, EVENTOS!$B:$B, D68, EVENTOS!$E:$E, "*GirMed*")</f>
        <v>7</v>
      </c>
      <c r="AA68" s="3">
        <f>SUMIFS(EVENTOS!$D:$D, EVENTOS!$B:$B, D68, EVENTOS!$E:$E, "*GirBajo*")</f>
        <v>197</v>
      </c>
      <c r="AB68" s="3">
        <f>IFERROR(INDEX(EVENTOS!$D:$D,MATCH(SCORE!AB$2&amp;" "&amp;SCORE!$D68,EVENTOS!$F:$F,0)),0)</f>
        <v>0</v>
      </c>
      <c r="AC68" s="3">
        <f>IFERROR(INDEX(EVENTOS!$D:$D,MATCH(SCORE!AC$2&amp;" "&amp;SCORE!$D68,EVENTOS!$F:$F,0)),0)</f>
        <v>4</v>
      </c>
      <c r="AD68" s="3">
        <f>IFERROR(INDEX(EVENTOS!$D:$D,MATCH(SCORE!AD$2&amp;" "&amp;SCORE!$D68,EVENTOS!$F:$F,0)),0)</f>
        <v>124</v>
      </c>
      <c r="AE68" s="3">
        <f t="shared" si="3"/>
        <v>2215</v>
      </c>
      <c r="AF68" s="10">
        <f t="shared" si="4"/>
        <v>7726.7441860465124</v>
      </c>
      <c r="AG68" s="3">
        <f t="shared" si="5"/>
        <v>71</v>
      </c>
    </row>
    <row r="69" spans="1:33" x14ac:dyDescent="0.25">
      <c r="A69" s="7"/>
      <c r="B69" s="8" t="s">
        <v>76</v>
      </c>
      <c r="C69" s="3">
        <v>14220985</v>
      </c>
      <c r="D69" s="3" t="s">
        <v>143</v>
      </c>
      <c r="E69" s="3">
        <f>VLOOKUP(D69,VIAJES!$D:$E,2,FALSE)</f>
        <v>51</v>
      </c>
      <c r="F69" s="9">
        <f>VLOOKUP(D69,VIAJES!$D:$F,3,FALSE)</f>
        <v>0.24861111111111112</v>
      </c>
      <c r="G69" s="9">
        <f>VLOOKUP(D69,VIAJES!$D:$G,4,FALSE)</f>
        <v>0.79027777777777775</v>
      </c>
      <c r="H69" s="3">
        <f>VLOOKUP(D69,VIAJES!$D:$H,5,FALSE)</f>
        <v>570.20000000000005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>
        <f>IFERROR(INDEX(EVENTOS!$D:$D,MATCH(SCORE!S$2&amp;" "&amp;SCORE!$D69,EVENTOS!$F:$F,0)),0)</f>
        <v>0</v>
      </c>
      <c r="T69" s="3">
        <f>IFERROR(INDEX(EVENTOS!$D:$D,MATCH(SCORE!T$2&amp;" "&amp;SCORE!$D69,EVENTOS!$F:$F,0)),0)</f>
        <v>0</v>
      </c>
      <c r="U69" s="3">
        <f>IFERROR(INDEX(EVENTOS!$D:$D,MATCH(SCORE!U$2&amp;" "&amp;SCORE!$D69,EVENTOS!$F:$F,0)),0)</f>
        <v>0</v>
      </c>
      <c r="V69" s="3">
        <f>IFERROR(INDEX(EVENTOS!$D:$D,MATCH(SCORE!V$2&amp;" "&amp;SCORE!$D69,EVENTOS!$F:$F,0)),0)</f>
        <v>0</v>
      </c>
      <c r="W69" s="3">
        <f>IFERROR(INDEX(EVENTOS!$D:$D,MATCH(SCORE!W$2&amp;" "&amp;SCORE!$D69,EVENTOS!$F:$F,0)),0)</f>
        <v>2</v>
      </c>
      <c r="X69" s="3">
        <f>IFERROR(INDEX(EVENTOS!$D:$D,MATCH(SCORE!X$2&amp;" "&amp;SCORE!$D69,EVENTOS!$F:$F,0)),0)</f>
        <v>0</v>
      </c>
      <c r="Y69" s="3">
        <f>SUMIFS(EVENTOS!$D:$D, EVENTOS!$B:$B, D69, EVENTOS!$E:$E, "*GirAlto*")</f>
        <v>0</v>
      </c>
      <c r="Z69" s="3">
        <f>SUMIFS(EVENTOS!$D:$D, EVENTOS!$B:$B, D69, EVENTOS!$E:$E, "*GirMed*")</f>
        <v>1</v>
      </c>
      <c r="AA69" s="3">
        <f>SUMIFS(EVENTOS!$D:$D, EVENTOS!$B:$B, D69, EVENTOS!$E:$E, "*GirBajo*")</f>
        <v>7</v>
      </c>
      <c r="AB69" s="3">
        <f>IFERROR(INDEX(EVENTOS!$D:$D,MATCH(SCORE!AB$2&amp;" "&amp;SCORE!$D69,EVENTOS!$F:$F,0)),0)</f>
        <v>0</v>
      </c>
      <c r="AC69" s="3">
        <f>IFERROR(INDEX(EVENTOS!$D:$D,MATCH(SCORE!AC$2&amp;" "&amp;SCORE!$D69,EVENTOS!$F:$F,0)),0)</f>
        <v>2</v>
      </c>
      <c r="AD69" s="3">
        <f>IFERROR(INDEX(EVENTOS!$D:$D,MATCH(SCORE!AD$2&amp;" "&amp;SCORE!$D69,EVENTOS!$F:$F,0)),0)</f>
        <v>34</v>
      </c>
      <c r="AE69" s="3">
        <f t="shared" si="3"/>
        <v>330</v>
      </c>
      <c r="AF69" s="10">
        <f t="shared" si="4"/>
        <v>1739.8945518453427</v>
      </c>
      <c r="AG69" s="3">
        <f t="shared" si="5"/>
        <v>89</v>
      </c>
    </row>
    <row r="70" spans="1:33" x14ac:dyDescent="0.25">
      <c r="A70" s="7"/>
      <c r="B70" s="8" t="s">
        <v>76</v>
      </c>
      <c r="C70" s="3">
        <v>14213028</v>
      </c>
      <c r="D70" s="3" t="s">
        <v>144</v>
      </c>
      <c r="E70" s="3">
        <f>VLOOKUP(D70,VIAJES!$D:$E,2,FALSE)</f>
        <v>48</v>
      </c>
      <c r="F70" s="9">
        <f>VLOOKUP(D70,VIAJES!$D:$F,3,FALSE)</f>
        <v>0.22222222222222221</v>
      </c>
      <c r="G70" s="9">
        <f>VLOOKUP(D70,VIAJES!$D:$G,4,FALSE)</f>
        <v>0.48958333333333331</v>
      </c>
      <c r="H70" s="3">
        <f>VLOOKUP(D70,VIAJES!$D:$H,5,FALSE)</f>
        <v>217.75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>
        <f>IFERROR(INDEX(EVENTOS!$D:$D,MATCH(SCORE!S$2&amp;" "&amp;SCORE!$D70,EVENTOS!$F:$F,0)),0)</f>
        <v>0</v>
      </c>
      <c r="T70" s="3">
        <f>IFERROR(INDEX(EVENTOS!$D:$D,MATCH(SCORE!T$2&amp;" "&amp;SCORE!$D70,EVENTOS!$F:$F,0)),0)</f>
        <v>0</v>
      </c>
      <c r="U70" s="3">
        <f>IFERROR(INDEX(EVENTOS!$D:$D,MATCH(SCORE!U$2&amp;" "&amp;SCORE!$D70,EVENTOS!$F:$F,0)),0)</f>
        <v>0</v>
      </c>
      <c r="V70" s="3">
        <f>IFERROR(INDEX(EVENTOS!$D:$D,MATCH(SCORE!V$2&amp;" "&amp;SCORE!$D70,EVENTOS!$F:$F,0)),0)</f>
        <v>0</v>
      </c>
      <c r="W70" s="3">
        <f>IFERROR(INDEX(EVENTOS!$D:$D,MATCH(SCORE!W$2&amp;" "&amp;SCORE!$D70,EVENTOS!$F:$F,0)),0)</f>
        <v>0</v>
      </c>
      <c r="X70" s="3">
        <f>IFERROR(INDEX(EVENTOS!$D:$D,MATCH(SCORE!X$2&amp;" "&amp;SCORE!$D70,EVENTOS!$F:$F,0)),0)</f>
        <v>2</v>
      </c>
      <c r="Y70" s="3">
        <f>SUMIFS(EVENTOS!$D:$D, EVENTOS!$B:$B, D70, EVENTOS!$E:$E, "*GirAlto*")</f>
        <v>0</v>
      </c>
      <c r="Z70" s="3">
        <f>SUMIFS(EVENTOS!$D:$D, EVENTOS!$B:$B, D70, EVENTOS!$E:$E, "*GirMed*")</f>
        <v>2</v>
      </c>
      <c r="AA70" s="3">
        <f>SUMIFS(EVENTOS!$D:$D, EVENTOS!$B:$B, D70, EVENTOS!$E:$E, "*GirBajo*")</f>
        <v>14</v>
      </c>
      <c r="AB70" s="3">
        <f>IFERROR(INDEX(EVENTOS!$D:$D,MATCH(SCORE!AB$2&amp;" "&amp;SCORE!$D70,EVENTOS!$F:$F,0)),0)</f>
        <v>0</v>
      </c>
      <c r="AC70" s="3">
        <f>IFERROR(INDEX(EVENTOS!$D:$D,MATCH(SCORE!AC$2&amp;" "&amp;SCORE!$D70,EVENTOS!$F:$F,0)),0)</f>
        <v>0</v>
      </c>
      <c r="AD70" s="3">
        <f>IFERROR(INDEX(EVENTOS!$D:$D,MATCH(SCORE!AD$2&amp;" "&amp;SCORE!$D70,EVENTOS!$F:$F,0)),0)</f>
        <v>0</v>
      </c>
      <c r="AE70" s="3">
        <f t="shared" si="3"/>
        <v>130</v>
      </c>
      <c r="AF70" s="10">
        <f t="shared" si="4"/>
        <v>1106.3829787234044</v>
      </c>
      <c r="AG70" s="3">
        <f t="shared" si="5"/>
        <v>91</v>
      </c>
    </row>
    <row r="71" spans="1:33" x14ac:dyDescent="0.25">
      <c r="A71" s="7"/>
      <c r="B71" s="8" t="s">
        <v>76</v>
      </c>
      <c r="C71" s="3">
        <v>14106273</v>
      </c>
      <c r="D71" s="3" t="s">
        <v>145</v>
      </c>
      <c r="E71" s="3">
        <f>VLOOKUP(D71,VIAJES!$D:$E,2,FALSE)</f>
        <v>44</v>
      </c>
      <c r="F71" s="9">
        <f>VLOOKUP(D71,VIAJES!$D:$F,3,FALSE)</f>
        <v>0.26597222222222222</v>
      </c>
      <c r="G71" s="9">
        <f>VLOOKUP(D71,VIAJES!$D:$G,4,FALSE)</f>
        <v>0.64513888888888893</v>
      </c>
      <c r="H71" s="3">
        <f>VLOOKUP(D71,VIAJES!$D:$H,5,FALSE)</f>
        <v>432.04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>
        <f>IFERROR(INDEX(EVENTOS!$D:$D,MATCH(SCORE!S$2&amp;" "&amp;SCORE!$D71,EVENTOS!$F:$F,0)),0)</f>
        <v>0</v>
      </c>
      <c r="T71" s="3">
        <f>IFERROR(INDEX(EVENTOS!$D:$D,MATCH(SCORE!T$2&amp;" "&amp;SCORE!$D71,EVENTOS!$F:$F,0)),0)</f>
        <v>1</v>
      </c>
      <c r="U71" s="3">
        <f>IFERROR(INDEX(EVENTOS!$D:$D,MATCH(SCORE!U$2&amp;" "&amp;SCORE!$D71,EVENTOS!$F:$F,0)),0)</f>
        <v>0</v>
      </c>
      <c r="V71" s="3">
        <f>IFERROR(INDEX(EVENTOS!$D:$D,MATCH(SCORE!V$2&amp;" "&amp;SCORE!$D71,EVENTOS!$F:$F,0)),0)</f>
        <v>0</v>
      </c>
      <c r="W71" s="3">
        <f>IFERROR(INDEX(EVENTOS!$D:$D,MATCH(SCORE!W$2&amp;" "&amp;SCORE!$D71,EVENTOS!$F:$F,0)),0)</f>
        <v>0</v>
      </c>
      <c r="X71" s="3">
        <f>IFERROR(INDEX(EVENTOS!$D:$D,MATCH(SCORE!X$2&amp;" "&amp;SCORE!$D71,EVENTOS!$F:$F,0)),0)</f>
        <v>0</v>
      </c>
      <c r="Y71" s="3">
        <f>SUMIFS(EVENTOS!$D:$D, EVENTOS!$B:$B, D71, EVENTOS!$E:$E, "*GirAlto*")</f>
        <v>0</v>
      </c>
      <c r="Z71" s="3">
        <f>SUMIFS(EVENTOS!$D:$D, EVENTOS!$B:$B, D71, EVENTOS!$E:$E, "*GirMed*")</f>
        <v>0</v>
      </c>
      <c r="AA71" s="3">
        <f>SUMIFS(EVENTOS!$D:$D, EVENTOS!$B:$B, D71, EVENTOS!$E:$E, "*GirBajo*")</f>
        <v>0</v>
      </c>
      <c r="AB71" s="3">
        <f>IFERROR(INDEX(EVENTOS!$D:$D,MATCH(SCORE!AB$2&amp;" "&amp;SCORE!$D71,EVENTOS!$F:$F,0)),0)</f>
        <v>0</v>
      </c>
      <c r="AC71" s="3">
        <f>IFERROR(INDEX(EVENTOS!$D:$D,MATCH(SCORE!AC$2&amp;" "&amp;SCORE!$D71,EVENTOS!$F:$F,0)),0)</f>
        <v>0</v>
      </c>
      <c r="AD71" s="3">
        <f>IFERROR(INDEX(EVENTOS!$D:$D,MATCH(SCORE!AD$2&amp;" "&amp;SCORE!$D71,EVENTOS!$F:$F,0)),0)</f>
        <v>1</v>
      </c>
      <c r="AE71" s="3">
        <f t="shared" si="3"/>
        <v>30</v>
      </c>
      <c r="AF71" s="10">
        <f t="shared" si="4"/>
        <v>193.75672766415499</v>
      </c>
      <c r="AG71" s="3">
        <f t="shared" si="5"/>
        <v>94</v>
      </c>
    </row>
    <row r="72" spans="1:33" x14ac:dyDescent="0.25">
      <c r="A72" s="7"/>
      <c r="B72" s="8" t="s">
        <v>76</v>
      </c>
      <c r="C72" s="3">
        <v>14220693</v>
      </c>
      <c r="D72" s="3" t="s">
        <v>146</v>
      </c>
      <c r="E72" s="3">
        <f>VLOOKUP(D72,VIAJES!$D:$E,2,FALSE)</f>
        <v>26</v>
      </c>
      <c r="F72" s="9">
        <f>VLOOKUP(D72,VIAJES!$D:$F,3,FALSE)</f>
        <v>0.44513888888888886</v>
      </c>
      <c r="G72" s="9">
        <f>VLOOKUP(D72,VIAJES!$D:$G,4,FALSE)</f>
        <v>0.63194444444444442</v>
      </c>
      <c r="H72" s="3">
        <f>VLOOKUP(D72,VIAJES!$D:$H,5,FALSE)</f>
        <v>457.99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>
        <f>IFERROR(INDEX(EVENTOS!$D:$D,MATCH(SCORE!S$2&amp;" "&amp;SCORE!$D72,EVENTOS!$F:$F,0)),0)</f>
        <v>0</v>
      </c>
      <c r="T72" s="3">
        <f>IFERROR(INDEX(EVENTOS!$D:$D,MATCH(SCORE!T$2&amp;" "&amp;SCORE!$D72,EVENTOS!$F:$F,0)),0)</f>
        <v>1</v>
      </c>
      <c r="U72" s="3">
        <f>IFERROR(INDEX(EVENTOS!$D:$D,MATCH(SCORE!U$2&amp;" "&amp;SCORE!$D72,EVENTOS!$F:$F,0)),0)</f>
        <v>0</v>
      </c>
      <c r="V72" s="3">
        <f>IFERROR(INDEX(EVENTOS!$D:$D,MATCH(SCORE!V$2&amp;" "&amp;SCORE!$D72,EVENTOS!$F:$F,0)),0)</f>
        <v>0</v>
      </c>
      <c r="W72" s="3">
        <f>IFERROR(INDEX(EVENTOS!$D:$D,MATCH(SCORE!W$2&amp;" "&amp;SCORE!$D72,EVENTOS!$F:$F,0)),0)</f>
        <v>0</v>
      </c>
      <c r="X72" s="3">
        <f>IFERROR(INDEX(EVENTOS!$D:$D,MATCH(SCORE!X$2&amp;" "&amp;SCORE!$D72,EVENTOS!$F:$F,0)),0)</f>
        <v>0</v>
      </c>
      <c r="Y72" s="3">
        <f>SUMIFS(EVENTOS!$D:$D, EVENTOS!$B:$B, D72, EVENTOS!$E:$E, "*GirAlto*")</f>
        <v>0</v>
      </c>
      <c r="Z72" s="3">
        <f>SUMIFS(EVENTOS!$D:$D, EVENTOS!$B:$B, D72, EVENTOS!$E:$E, "*GirMed*")</f>
        <v>0</v>
      </c>
      <c r="AA72" s="3">
        <f>SUMIFS(EVENTOS!$D:$D, EVENTOS!$B:$B, D72, EVENTOS!$E:$E, "*GirBajo*")</f>
        <v>10</v>
      </c>
      <c r="AB72" s="3">
        <f>IFERROR(INDEX(EVENTOS!$D:$D,MATCH(SCORE!AB$2&amp;" "&amp;SCORE!$D72,EVENTOS!$F:$F,0)),0)</f>
        <v>0</v>
      </c>
      <c r="AC72" s="3">
        <f>IFERROR(INDEX(EVENTOS!$D:$D,MATCH(SCORE!AC$2&amp;" "&amp;SCORE!$D72,EVENTOS!$F:$F,0)),0)</f>
        <v>0</v>
      </c>
      <c r="AD72" s="3">
        <f>IFERROR(INDEX(EVENTOS!$D:$D,MATCH(SCORE!AD$2&amp;" "&amp;SCORE!$D72,EVENTOS!$F:$F,0)),0)</f>
        <v>2</v>
      </c>
      <c r="AE72" s="3">
        <f t="shared" si="3"/>
        <v>85</v>
      </c>
      <c r="AF72" s="10">
        <f t="shared" si="4"/>
        <v>560.43956043956052</v>
      </c>
      <c r="AG72" s="3">
        <f t="shared" si="5"/>
        <v>93</v>
      </c>
    </row>
    <row r="73" spans="1:33" x14ac:dyDescent="0.25">
      <c r="A73" s="7"/>
      <c r="B73" s="8" t="s">
        <v>76</v>
      </c>
      <c r="C73" s="3">
        <v>14100913</v>
      </c>
      <c r="D73" s="3" t="s">
        <v>147</v>
      </c>
      <c r="E73" s="3">
        <f>VLOOKUP(D73,VIAJES!$D:$E,2,FALSE)</f>
        <v>22</v>
      </c>
      <c r="F73" s="9">
        <f>VLOOKUP(D73,VIAJES!$D:$F,3,FALSE)</f>
        <v>0.24652777777777779</v>
      </c>
      <c r="G73" s="9">
        <f>VLOOKUP(D73,VIAJES!$D:$G,4,FALSE)</f>
        <v>0.90833333333333333</v>
      </c>
      <c r="H73" s="3">
        <f>VLOOKUP(D73,VIAJES!$D:$H,5,FALSE)</f>
        <v>805.16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>
        <f>IFERROR(INDEX(EVENTOS!$D:$D,MATCH(SCORE!S$2&amp;" "&amp;SCORE!$D73,EVENTOS!$F:$F,0)),0)</f>
        <v>0</v>
      </c>
      <c r="T73" s="3">
        <f>IFERROR(INDEX(EVENTOS!$D:$D,MATCH(SCORE!T$2&amp;" "&amp;SCORE!$D73,EVENTOS!$F:$F,0)),0)</f>
        <v>0</v>
      </c>
      <c r="U73" s="3">
        <f>IFERROR(INDEX(EVENTOS!$D:$D,MATCH(SCORE!U$2&amp;" "&amp;SCORE!$D73,EVENTOS!$F:$F,0)),0)</f>
        <v>0</v>
      </c>
      <c r="V73" s="3">
        <f>IFERROR(INDEX(EVENTOS!$D:$D,MATCH(SCORE!V$2&amp;" "&amp;SCORE!$D73,EVENTOS!$F:$F,0)),0)</f>
        <v>0</v>
      </c>
      <c r="W73" s="3">
        <f>IFERROR(INDEX(EVENTOS!$D:$D,MATCH(SCORE!W$2&amp;" "&amp;SCORE!$D73,EVENTOS!$F:$F,0)),0)</f>
        <v>0</v>
      </c>
      <c r="X73" s="3">
        <f>IFERROR(INDEX(EVENTOS!$D:$D,MATCH(SCORE!X$2&amp;" "&amp;SCORE!$D73,EVENTOS!$F:$F,0)),0)</f>
        <v>0</v>
      </c>
      <c r="Y73" s="3">
        <f>SUMIFS(EVENTOS!$D:$D, EVENTOS!$B:$B, D73, EVENTOS!$E:$E, "*GirAlto*")</f>
        <v>0</v>
      </c>
      <c r="Z73" s="3">
        <f>SUMIFS(EVENTOS!$D:$D, EVENTOS!$B:$B, D73, EVENTOS!$E:$E, "*GirMed*")</f>
        <v>1</v>
      </c>
      <c r="AA73" s="3">
        <f>SUMIFS(EVENTOS!$D:$D, EVENTOS!$B:$B, D73, EVENTOS!$E:$E, "*GirBajo*")</f>
        <v>2</v>
      </c>
      <c r="AB73" s="3">
        <f>IFERROR(INDEX(EVENTOS!$D:$D,MATCH(SCORE!AB$2&amp;" "&amp;SCORE!$D73,EVENTOS!$F:$F,0)),0)</f>
        <v>0</v>
      </c>
      <c r="AC73" s="3">
        <f>IFERROR(INDEX(EVENTOS!$D:$D,MATCH(SCORE!AC$2&amp;" "&amp;SCORE!$D73,EVENTOS!$F:$F,0)),0)</f>
        <v>0</v>
      </c>
      <c r="AD73" s="3">
        <f>IFERROR(INDEX(EVENTOS!$D:$D,MATCH(SCORE!AD$2&amp;" "&amp;SCORE!$D73,EVENTOS!$F:$F,0)),0)</f>
        <v>0</v>
      </c>
      <c r="AE73" s="3">
        <f t="shared" si="3"/>
        <v>35</v>
      </c>
      <c r="AF73" s="10">
        <f t="shared" si="4"/>
        <v>160.55045871559633</v>
      </c>
      <c r="AG73" s="3">
        <f t="shared" si="5"/>
        <v>94</v>
      </c>
    </row>
    <row r="74" spans="1:33" x14ac:dyDescent="0.25">
      <c r="A74" s="7"/>
      <c r="B74" s="8" t="s">
        <v>76</v>
      </c>
      <c r="C74" s="3">
        <v>14221054</v>
      </c>
      <c r="D74" s="3" t="s">
        <v>148</v>
      </c>
      <c r="E74" s="3">
        <f>VLOOKUP(D74,VIAJES!$D:$E,2,FALSE)</f>
        <v>43</v>
      </c>
      <c r="F74" s="9">
        <f>VLOOKUP(D74,VIAJES!$D:$F,3,FALSE)</f>
        <v>0.13402777777777777</v>
      </c>
      <c r="G74" s="9">
        <f>VLOOKUP(D74,VIAJES!$D:$G,4,FALSE)</f>
        <v>0.78611111111111109</v>
      </c>
      <c r="H74" s="3">
        <f>VLOOKUP(D74,VIAJES!$D:$H,5,FALSE)</f>
        <v>531.33000000000004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>
        <f>IFERROR(INDEX(EVENTOS!$D:$D,MATCH(SCORE!S$2&amp;" "&amp;SCORE!$D74,EVENTOS!$F:$F,0)),0)</f>
        <v>1</v>
      </c>
      <c r="T74" s="3">
        <f>IFERROR(INDEX(EVENTOS!$D:$D,MATCH(SCORE!T$2&amp;" "&amp;SCORE!$D74,EVENTOS!$F:$F,0)),0)</f>
        <v>21</v>
      </c>
      <c r="U74" s="3">
        <f>IFERROR(INDEX(EVENTOS!$D:$D,MATCH(SCORE!U$2&amp;" "&amp;SCORE!$D74,EVENTOS!$F:$F,0)),0)</f>
        <v>0</v>
      </c>
      <c r="V74" s="3">
        <f>IFERROR(INDEX(EVENTOS!$D:$D,MATCH(SCORE!V$2&amp;" "&amp;SCORE!$D74,EVENTOS!$F:$F,0)),0)</f>
        <v>0</v>
      </c>
      <c r="W74" s="3">
        <f>IFERROR(INDEX(EVENTOS!$D:$D,MATCH(SCORE!W$2&amp;" "&amp;SCORE!$D74,EVENTOS!$F:$F,0)),0)</f>
        <v>0</v>
      </c>
      <c r="X74" s="3">
        <f>IFERROR(INDEX(EVENTOS!$D:$D,MATCH(SCORE!X$2&amp;" "&amp;SCORE!$D74,EVENTOS!$F:$F,0)),0)</f>
        <v>1</v>
      </c>
      <c r="Y74" s="3">
        <f>SUMIFS(EVENTOS!$D:$D, EVENTOS!$B:$B, D74, EVENTOS!$E:$E, "*GirAlto*")</f>
        <v>0</v>
      </c>
      <c r="Z74" s="3">
        <f>SUMIFS(EVENTOS!$D:$D, EVENTOS!$B:$B, D74, EVENTOS!$E:$E, "*GirMed*")</f>
        <v>1</v>
      </c>
      <c r="AA74" s="3">
        <f>SUMIFS(EVENTOS!$D:$D, EVENTOS!$B:$B, D74, EVENTOS!$E:$E, "*GirBajo*")</f>
        <v>6</v>
      </c>
      <c r="AB74" s="3">
        <f>IFERROR(INDEX(EVENTOS!$D:$D,MATCH(SCORE!AB$2&amp;" "&amp;SCORE!$D74,EVENTOS!$F:$F,0)),0)</f>
        <v>0</v>
      </c>
      <c r="AC74" s="3">
        <f>IFERROR(INDEX(EVENTOS!$D:$D,MATCH(SCORE!AC$2&amp;" "&amp;SCORE!$D74,EVENTOS!$F:$F,0)),0)</f>
        <v>0</v>
      </c>
      <c r="AD74" s="3">
        <f>IFERROR(INDEX(EVENTOS!$D:$D,MATCH(SCORE!AD$2&amp;" "&amp;SCORE!$D74,EVENTOS!$F:$F,0)),0)</f>
        <v>0</v>
      </c>
      <c r="AE74" s="3">
        <f t="shared" si="3"/>
        <v>635</v>
      </c>
      <c r="AF74" s="10">
        <f t="shared" si="4"/>
        <v>3365.7243816254413</v>
      </c>
      <c r="AG74" s="3">
        <f t="shared" si="5"/>
        <v>84</v>
      </c>
    </row>
    <row r="75" spans="1:33" x14ac:dyDescent="0.25">
      <c r="A75" s="7"/>
      <c r="B75" s="8" t="s">
        <v>76</v>
      </c>
      <c r="C75" s="3">
        <v>14111447</v>
      </c>
      <c r="D75" s="3" t="s">
        <v>149</v>
      </c>
      <c r="E75" s="3">
        <f>VLOOKUP(D75,VIAJES!$D:$E,2,FALSE)</f>
        <v>38</v>
      </c>
      <c r="F75" s="9">
        <f>VLOOKUP(D75,VIAJES!$D:$F,3,FALSE)</f>
        <v>0.1736111111111111</v>
      </c>
      <c r="G75" s="9">
        <f>VLOOKUP(D75,VIAJES!$D:$G,4,FALSE)</f>
        <v>0.70347222222222228</v>
      </c>
      <c r="H75" s="3">
        <f>VLOOKUP(D75,VIAJES!$D:$H,5,FALSE)</f>
        <v>472.56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>
        <f>IFERROR(INDEX(EVENTOS!$D:$D,MATCH(SCORE!S$2&amp;" "&amp;SCORE!$D75,EVENTOS!$F:$F,0)),0)</f>
        <v>0</v>
      </c>
      <c r="T75" s="3">
        <f>IFERROR(INDEX(EVENTOS!$D:$D,MATCH(SCORE!T$2&amp;" "&amp;SCORE!$D75,EVENTOS!$F:$F,0)),0)</f>
        <v>0</v>
      </c>
      <c r="U75" s="3">
        <f>IFERROR(INDEX(EVENTOS!$D:$D,MATCH(SCORE!U$2&amp;" "&amp;SCORE!$D75,EVENTOS!$F:$F,0)),0)</f>
        <v>0</v>
      </c>
      <c r="V75" s="3">
        <f>IFERROR(INDEX(EVENTOS!$D:$D,MATCH(SCORE!V$2&amp;" "&amp;SCORE!$D75,EVENTOS!$F:$F,0)),0)</f>
        <v>0</v>
      </c>
      <c r="W75" s="3">
        <f>IFERROR(INDEX(EVENTOS!$D:$D,MATCH(SCORE!W$2&amp;" "&amp;SCORE!$D75,EVENTOS!$F:$F,0)),0)</f>
        <v>0</v>
      </c>
      <c r="X75" s="3">
        <f>IFERROR(INDEX(EVENTOS!$D:$D,MATCH(SCORE!X$2&amp;" "&amp;SCORE!$D75,EVENTOS!$F:$F,0)),0)</f>
        <v>0</v>
      </c>
      <c r="Y75" s="3">
        <f>SUMIFS(EVENTOS!$D:$D, EVENTOS!$B:$B, D75, EVENTOS!$E:$E, "*GirAlto*")</f>
        <v>1</v>
      </c>
      <c r="Z75" s="3">
        <f>SUMIFS(EVENTOS!$D:$D, EVENTOS!$B:$B, D75, EVENTOS!$E:$E, "*GirMed*")</f>
        <v>5</v>
      </c>
      <c r="AA75" s="3">
        <f>SUMIFS(EVENTOS!$D:$D, EVENTOS!$B:$B, D75, EVENTOS!$E:$E, "*GirBajo*")</f>
        <v>12</v>
      </c>
      <c r="AB75" s="3">
        <f>IFERROR(INDEX(EVENTOS!$D:$D,MATCH(SCORE!AB$2&amp;" "&amp;SCORE!$D75,EVENTOS!$F:$F,0)),0)</f>
        <v>0</v>
      </c>
      <c r="AC75" s="3">
        <f>IFERROR(INDEX(EVENTOS!$D:$D,MATCH(SCORE!AC$2&amp;" "&amp;SCORE!$D75,EVENTOS!$F:$F,0)),0)</f>
        <v>3</v>
      </c>
      <c r="AD75" s="3">
        <f>IFERROR(INDEX(EVENTOS!$D:$D,MATCH(SCORE!AD$2&amp;" "&amp;SCORE!$D75,EVENTOS!$F:$F,0)),0)</f>
        <v>12</v>
      </c>
      <c r="AE75" s="3">
        <f t="shared" si="3"/>
        <v>370</v>
      </c>
      <c r="AF75" s="10">
        <f t="shared" si="4"/>
        <v>2191.5103652517278</v>
      </c>
      <c r="AG75" s="3">
        <f t="shared" si="5"/>
        <v>88</v>
      </c>
    </row>
    <row r="76" spans="1:33" x14ac:dyDescent="0.25">
      <c r="A76" s="7"/>
      <c r="B76" s="8" t="s">
        <v>76</v>
      </c>
      <c r="C76" s="3">
        <v>14111633</v>
      </c>
      <c r="D76" s="3" t="s">
        <v>150</v>
      </c>
      <c r="E76" s="3">
        <f>VLOOKUP(D76,VIAJES!$D:$E,2,FALSE)</f>
        <v>40</v>
      </c>
      <c r="F76" s="9">
        <f>VLOOKUP(D76,VIAJES!$D:$F,3,FALSE)</f>
        <v>0.2013888888888889</v>
      </c>
      <c r="G76" s="9">
        <f>VLOOKUP(D76,VIAJES!$D:$G,4,FALSE)</f>
        <v>0.84722222222222221</v>
      </c>
      <c r="H76" s="3">
        <f>VLOOKUP(D76,VIAJES!$D:$H,5,FALSE)</f>
        <v>550.52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>
        <f>IFERROR(INDEX(EVENTOS!$D:$D,MATCH(SCORE!S$2&amp;" "&amp;SCORE!$D76,EVENTOS!$F:$F,0)),0)</f>
        <v>0</v>
      </c>
      <c r="T76" s="3">
        <f>IFERROR(INDEX(EVENTOS!$D:$D,MATCH(SCORE!T$2&amp;" "&amp;SCORE!$D76,EVENTOS!$F:$F,0)),0)</f>
        <v>0</v>
      </c>
      <c r="U76" s="3">
        <f>IFERROR(INDEX(EVENTOS!$D:$D,MATCH(SCORE!U$2&amp;" "&amp;SCORE!$D76,EVENTOS!$F:$F,0)),0)</f>
        <v>0</v>
      </c>
      <c r="V76" s="3">
        <f>IFERROR(INDEX(EVENTOS!$D:$D,MATCH(SCORE!V$2&amp;" "&amp;SCORE!$D76,EVENTOS!$F:$F,0)),0)</f>
        <v>0</v>
      </c>
      <c r="W76" s="3">
        <f>IFERROR(INDEX(EVENTOS!$D:$D,MATCH(SCORE!W$2&amp;" "&amp;SCORE!$D76,EVENTOS!$F:$F,0)),0)</f>
        <v>0</v>
      </c>
      <c r="X76" s="3">
        <f>IFERROR(INDEX(EVENTOS!$D:$D,MATCH(SCORE!X$2&amp;" "&amp;SCORE!$D76,EVENTOS!$F:$F,0)),0)</f>
        <v>1</v>
      </c>
      <c r="Y76" s="3">
        <f>SUMIFS(EVENTOS!$D:$D, EVENTOS!$B:$B, D76, EVENTOS!$E:$E, "*GirAlto*")</f>
        <v>0</v>
      </c>
      <c r="Z76" s="3">
        <f>SUMIFS(EVENTOS!$D:$D, EVENTOS!$B:$B, D76, EVENTOS!$E:$E, "*GirMed*")</f>
        <v>1</v>
      </c>
      <c r="AA76" s="3">
        <f>SUMIFS(EVENTOS!$D:$D, EVENTOS!$B:$B, D76, EVENTOS!$E:$E, "*GirBajo*")</f>
        <v>7</v>
      </c>
      <c r="AB76" s="3">
        <f>IFERROR(INDEX(EVENTOS!$D:$D,MATCH(SCORE!AB$2&amp;" "&amp;SCORE!$D76,EVENTOS!$F:$F,0)),0)</f>
        <v>0</v>
      </c>
      <c r="AC76" s="3">
        <f>IFERROR(INDEX(EVENTOS!$D:$D,MATCH(SCORE!AC$2&amp;" "&amp;SCORE!$D76,EVENTOS!$F:$F,0)),0)</f>
        <v>0</v>
      </c>
      <c r="AD76" s="3">
        <f>IFERROR(INDEX(EVENTOS!$D:$D,MATCH(SCORE!AD$2&amp;" "&amp;SCORE!$D76,EVENTOS!$F:$F,0)),0)</f>
        <v>2</v>
      </c>
      <c r="AE76" s="3">
        <f t="shared" si="3"/>
        <v>75</v>
      </c>
      <c r="AF76" s="10">
        <f t="shared" si="4"/>
        <v>368.85245901639348</v>
      </c>
      <c r="AG76" s="3">
        <f t="shared" si="5"/>
        <v>93</v>
      </c>
    </row>
    <row r="77" spans="1:33" x14ac:dyDescent="0.25">
      <c r="A77" s="7"/>
      <c r="B77" s="8" t="s">
        <v>76</v>
      </c>
      <c r="C77" s="3">
        <v>14108533</v>
      </c>
      <c r="D77" s="3" t="s">
        <v>151</v>
      </c>
      <c r="E77" s="3">
        <f>VLOOKUP(D77,VIAJES!$D:$E,2,FALSE)</f>
        <v>29</v>
      </c>
      <c r="F77" s="9">
        <f>VLOOKUP(D77,VIAJES!$D:$F,3,FALSE)</f>
        <v>0.15277777777777779</v>
      </c>
      <c r="G77" s="9">
        <f>VLOOKUP(D77,VIAJES!$D:$G,4,FALSE)</f>
        <v>0.43611111111111112</v>
      </c>
      <c r="H77" s="3">
        <f>VLOOKUP(D77,VIAJES!$D:$H,5,FALSE)</f>
        <v>193.22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>
        <f>IFERROR(INDEX(EVENTOS!$D:$D,MATCH(SCORE!S$2&amp;" "&amp;SCORE!$D77,EVENTOS!$F:$F,0)),0)</f>
        <v>0</v>
      </c>
      <c r="T77" s="3">
        <f>IFERROR(INDEX(EVENTOS!$D:$D,MATCH(SCORE!T$2&amp;" "&amp;SCORE!$D77,EVENTOS!$F:$F,0)),0)</f>
        <v>4</v>
      </c>
      <c r="U77" s="3">
        <f>IFERROR(INDEX(EVENTOS!$D:$D,MATCH(SCORE!U$2&amp;" "&amp;SCORE!$D77,EVENTOS!$F:$F,0)),0)</f>
        <v>0</v>
      </c>
      <c r="V77" s="3">
        <f>IFERROR(INDEX(EVENTOS!$D:$D,MATCH(SCORE!V$2&amp;" "&amp;SCORE!$D77,EVENTOS!$F:$F,0)),0)</f>
        <v>0</v>
      </c>
      <c r="W77" s="3">
        <f>IFERROR(INDEX(EVENTOS!$D:$D,MATCH(SCORE!W$2&amp;" "&amp;SCORE!$D77,EVENTOS!$F:$F,0)),0)</f>
        <v>0</v>
      </c>
      <c r="X77" s="3">
        <f>IFERROR(INDEX(EVENTOS!$D:$D,MATCH(SCORE!X$2&amp;" "&amp;SCORE!$D77,EVENTOS!$F:$F,0)),0)</f>
        <v>0</v>
      </c>
      <c r="Y77" s="3">
        <f>SUMIFS(EVENTOS!$D:$D, EVENTOS!$B:$B, D77, EVENTOS!$E:$E, "*GirAlto*")</f>
        <v>0</v>
      </c>
      <c r="Z77" s="3">
        <f>SUMIFS(EVENTOS!$D:$D, EVENTOS!$B:$B, D77, EVENTOS!$E:$E, "*GirMed*")</f>
        <v>0</v>
      </c>
      <c r="AA77" s="3">
        <f>SUMIFS(EVENTOS!$D:$D, EVENTOS!$B:$B, D77, EVENTOS!$E:$E, "*GirBajo*")</f>
        <v>2</v>
      </c>
      <c r="AB77" s="3">
        <f>IFERROR(INDEX(EVENTOS!$D:$D,MATCH(SCORE!AB$2&amp;" "&amp;SCORE!$D77,EVENTOS!$F:$F,0)),0)</f>
        <v>0</v>
      </c>
      <c r="AC77" s="3">
        <f>IFERROR(INDEX(EVENTOS!$D:$D,MATCH(SCORE!AC$2&amp;" "&amp;SCORE!$D77,EVENTOS!$F:$F,0)),0)</f>
        <v>0</v>
      </c>
      <c r="AD77" s="3">
        <f>IFERROR(INDEX(EVENTOS!$D:$D,MATCH(SCORE!AD$2&amp;" "&amp;SCORE!$D77,EVENTOS!$F:$F,0)),0)</f>
        <v>0</v>
      </c>
      <c r="AE77" s="3">
        <f t="shared" si="3"/>
        <v>110</v>
      </c>
      <c r="AF77" s="10">
        <f t="shared" si="4"/>
        <v>1050.9554140127389</v>
      </c>
      <c r="AG77" s="3">
        <f t="shared" si="5"/>
        <v>91</v>
      </c>
    </row>
    <row r="78" spans="1:33" x14ac:dyDescent="0.25">
      <c r="A78" s="7"/>
      <c r="B78" s="8" t="s">
        <v>76</v>
      </c>
      <c r="C78" s="3">
        <v>14222208</v>
      </c>
      <c r="D78" s="3" t="s">
        <v>152</v>
      </c>
      <c r="E78" s="3">
        <f>VLOOKUP(D78,VIAJES!$D:$E,2,FALSE)</f>
        <v>31</v>
      </c>
      <c r="F78" s="9">
        <f>VLOOKUP(D78,VIAJES!$D:$F,3,FALSE)</f>
        <v>0.22361111111111112</v>
      </c>
      <c r="G78" s="9">
        <f>VLOOKUP(D78,VIAJES!$D:$G,4,FALSE)</f>
        <v>0.81319444444444444</v>
      </c>
      <c r="H78" s="3">
        <f>VLOOKUP(D78,VIAJES!$D:$H,5,FALSE)</f>
        <v>652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>
        <f>IFERROR(INDEX(EVENTOS!$D:$D,MATCH(SCORE!S$2&amp;" "&amp;SCORE!$D78,EVENTOS!$F:$F,0)),0)</f>
        <v>0</v>
      </c>
      <c r="T78" s="3">
        <f>IFERROR(INDEX(EVENTOS!$D:$D,MATCH(SCORE!T$2&amp;" "&amp;SCORE!$D78,EVENTOS!$F:$F,0)),0)</f>
        <v>0</v>
      </c>
      <c r="U78" s="3">
        <f>IFERROR(INDEX(EVENTOS!$D:$D,MATCH(SCORE!U$2&amp;" "&amp;SCORE!$D78,EVENTOS!$F:$F,0)),0)</f>
        <v>0</v>
      </c>
      <c r="V78" s="3">
        <f>IFERROR(INDEX(EVENTOS!$D:$D,MATCH(SCORE!V$2&amp;" "&amp;SCORE!$D78,EVENTOS!$F:$F,0)),0)</f>
        <v>0</v>
      </c>
      <c r="W78" s="3">
        <f>IFERROR(INDEX(EVENTOS!$D:$D,MATCH(SCORE!W$2&amp;" "&amp;SCORE!$D78,EVENTOS!$F:$F,0)),0)</f>
        <v>0</v>
      </c>
      <c r="X78" s="3">
        <f>IFERROR(INDEX(EVENTOS!$D:$D,MATCH(SCORE!X$2&amp;" "&amp;SCORE!$D78,EVENTOS!$F:$F,0)),0)</f>
        <v>0</v>
      </c>
      <c r="Y78" s="3">
        <f>SUMIFS(EVENTOS!$D:$D, EVENTOS!$B:$B, D78, EVENTOS!$E:$E, "*GirAlto*")</f>
        <v>0</v>
      </c>
      <c r="Z78" s="3">
        <f>SUMIFS(EVENTOS!$D:$D, EVENTOS!$B:$B, D78, EVENTOS!$E:$E, "*GirMed*")</f>
        <v>1</v>
      </c>
      <c r="AA78" s="3">
        <f>SUMIFS(EVENTOS!$D:$D, EVENTOS!$B:$B, D78, EVENTOS!$E:$E, "*GirBajo*")</f>
        <v>2</v>
      </c>
      <c r="AB78" s="3">
        <f>IFERROR(INDEX(EVENTOS!$D:$D,MATCH(SCORE!AB$2&amp;" "&amp;SCORE!$D78,EVENTOS!$F:$F,0)),0)</f>
        <v>0</v>
      </c>
      <c r="AC78" s="3">
        <f>IFERROR(INDEX(EVENTOS!$D:$D,MATCH(SCORE!AC$2&amp;" "&amp;SCORE!$D78,EVENTOS!$F:$F,0)),0)</f>
        <v>0</v>
      </c>
      <c r="AD78" s="3">
        <f>IFERROR(INDEX(EVENTOS!$D:$D,MATCH(SCORE!AD$2&amp;" "&amp;SCORE!$D78,EVENTOS!$F:$F,0)),0)</f>
        <v>4</v>
      </c>
      <c r="AE78" s="3">
        <f t="shared" si="3"/>
        <v>55</v>
      </c>
      <c r="AF78" s="10">
        <f t="shared" si="4"/>
        <v>281.81041844577288</v>
      </c>
      <c r="AG78" s="3">
        <f t="shared" si="5"/>
        <v>94</v>
      </c>
    </row>
    <row r="79" spans="1:33" x14ac:dyDescent="0.25">
      <c r="A79" s="7"/>
      <c r="B79" s="8" t="s">
        <v>76</v>
      </c>
      <c r="C79" s="3">
        <v>14222206</v>
      </c>
      <c r="D79" s="3" t="s">
        <v>153</v>
      </c>
      <c r="E79" s="3">
        <f>VLOOKUP(D79,VIAJES!$D:$E,2,FALSE)</f>
        <v>27</v>
      </c>
      <c r="F79" s="9">
        <f>VLOOKUP(D79,VIAJES!$D:$F,3,FALSE)</f>
        <v>0.29305555555555557</v>
      </c>
      <c r="G79" s="9">
        <f>VLOOKUP(D79,VIAJES!$D:$G,4,FALSE)</f>
        <v>0.87013888888888891</v>
      </c>
      <c r="H79" s="3">
        <f>VLOOKUP(D79,VIAJES!$D:$H,5,FALSE)</f>
        <v>706.66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>
        <f>IFERROR(INDEX(EVENTOS!$D:$D,MATCH(SCORE!S$2&amp;" "&amp;SCORE!$D79,EVENTOS!$F:$F,0)),0)</f>
        <v>0</v>
      </c>
      <c r="T79" s="3">
        <f>IFERROR(INDEX(EVENTOS!$D:$D,MATCH(SCORE!T$2&amp;" "&amp;SCORE!$D79,EVENTOS!$F:$F,0)),0)</f>
        <v>0</v>
      </c>
      <c r="U79" s="3">
        <f>IFERROR(INDEX(EVENTOS!$D:$D,MATCH(SCORE!U$2&amp;" "&amp;SCORE!$D79,EVENTOS!$F:$F,0)),0)</f>
        <v>0</v>
      </c>
      <c r="V79" s="3">
        <f>IFERROR(INDEX(EVENTOS!$D:$D,MATCH(SCORE!V$2&amp;" "&amp;SCORE!$D79,EVENTOS!$F:$F,0)),0)</f>
        <v>0</v>
      </c>
      <c r="W79" s="3">
        <f>IFERROR(INDEX(EVENTOS!$D:$D,MATCH(SCORE!W$2&amp;" "&amp;SCORE!$D79,EVENTOS!$F:$F,0)),0)</f>
        <v>0</v>
      </c>
      <c r="X79" s="3">
        <f>IFERROR(INDEX(EVENTOS!$D:$D,MATCH(SCORE!X$2&amp;" "&amp;SCORE!$D79,EVENTOS!$F:$F,0)),0)</f>
        <v>0</v>
      </c>
      <c r="Y79" s="3">
        <f>SUMIFS(EVENTOS!$D:$D, EVENTOS!$B:$B, D79, EVENTOS!$E:$E, "*GirAlto*")</f>
        <v>0</v>
      </c>
      <c r="Z79" s="3">
        <f>SUMIFS(EVENTOS!$D:$D, EVENTOS!$B:$B, D79, EVENTOS!$E:$E, "*GirMed*")</f>
        <v>1</v>
      </c>
      <c r="AA79" s="3">
        <f>SUMIFS(EVENTOS!$D:$D, EVENTOS!$B:$B, D79, EVENTOS!$E:$E, "*GirBajo*")</f>
        <v>5</v>
      </c>
      <c r="AB79" s="3">
        <f>IFERROR(INDEX(EVENTOS!$D:$D,MATCH(SCORE!AB$2&amp;" "&amp;SCORE!$D79,EVENTOS!$F:$F,0)),0)</f>
        <v>0</v>
      </c>
      <c r="AC79" s="3">
        <f>IFERROR(INDEX(EVENTOS!$D:$D,MATCH(SCORE!AC$2&amp;" "&amp;SCORE!$D79,EVENTOS!$F:$F,0)),0)</f>
        <v>0</v>
      </c>
      <c r="AD79" s="3">
        <f>IFERROR(INDEX(EVENTOS!$D:$D,MATCH(SCORE!AD$2&amp;" "&amp;SCORE!$D79,EVENTOS!$F:$F,0)),0)</f>
        <v>16</v>
      </c>
      <c r="AE79" s="3">
        <f t="shared" si="3"/>
        <v>130</v>
      </c>
      <c r="AF79" s="10">
        <f t="shared" si="4"/>
        <v>622.50598563447727</v>
      </c>
      <c r="AG79" s="3">
        <f t="shared" si="5"/>
        <v>93</v>
      </c>
    </row>
    <row r="80" spans="1:33" x14ac:dyDescent="0.25">
      <c r="A80" s="7"/>
      <c r="B80" s="8" t="s">
        <v>76</v>
      </c>
      <c r="C80" s="3">
        <v>14221591</v>
      </c>
      <c r="D80" s="3" t="s">
        <v>154</v>
      </c>
      <c r="E80" s="3">
        <f>VLOOKUP(D80,VIAJES!$D:$E,2,FALSE)</f>
        <v>25</v>
      </c>
      <c r="F80" s="9">
        <f>VLOOKUP(D80,VIAJES!$D:$F,3,FALSE)</f>
        <v>0.24722222222222223</v>
      </c>
      <c r="G80" s="9">
        <f>VLOOKUP(D80,VIAJES!$D:$G,4,FALSE)</f>
        <v>0.78333333333333333</v>
      </c>
      <c r="H80" s="3">
        <f>VLOOKUP(D80,VIAJES!$D:$H,5,FALSE)</f>
        <v>377.13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>
        <f>IFERROR(INDEX(EVENTOS!$D:$D,MATCH(SCORE!S$2&amp;" "&amp;SCORE!$D80,EVENTOS!$F:$F,0)),0)</f>
        <v>0</v>
      </c>
      <c r="T80" s="3">
        <f>IFERROR(INDEX(EVENTOS!$D:$D,MATCH(SCORE!T$2&amp;" "&amp;SCORE!$D80,EVENTOS!$F:$F,0)),0)</f>
        <v>0</v>
      </c>
      <c r="U80" s="3">
        <f>IFERROR(INDEX(EVENTOS!$D:$D,MATCH(SCORE!U$2&amp;" "&amp;SCORE!$D80,EVENTOS!$F:$F,0)),0)</f>
        <v>0</v>
      </c>
      <c r="V80" s="3">
        <f>IFERROR(INDEX(EVENTOS!$D:$D,MATCH(SCORE!V$2&amp;" "&amp;SCORE!$D80,EVENTOS!$F:$F,0)),0)</f>
        <v>0</v>
      </c>
      <c r="W80" s="3">
        <f>IFERROR(INDEX(EVENTOS!$D:$D,MATCH(SCORE!W$2&amp;" "&amp;SCORE!$D80,EVENTOS!$F:$F,0)),0)</f>
        <v>0</v>
      </c>
      <c r="X80" s="3">
        <f>IFERROR(INDEX(EVENTOS!$D:$D,MATCH(SCORE!X$2&amp;" "&amp;SCORE!$D80,EVENTOS!$F:$F,0)),0)</f>
        <v>0</v>
      </c>
      <c r="Y80" s="3">
        <f>SUMIFS(EVENTOS!$D:$D, EVENTOS!$B:$B, D80, EVENTOS!$E:$E, "*GirAlto*")</f>
        <v>0</v>
      </c>
      <c r="Z80" s="3">
        <f>SUMIFS(EVENTOS!$D:$D, EVENTOS!$B:$B, D80, EVENTOS!$E:$E, "*GirMed*")</f>
        <v>0</v>
      </c>
      <c r="AA80" s="3">
        <f>SUMIFS(EVENTOS!$D:$D, EVENTOS!$B:$B, D80, EVENTOS!$E:$E, "*GirBajo*")</f>
        <v>2</v>
      </c>
      <c r="AB80" s="3">
        <f>IFERROR(INDEX(EVENTOS!$D:$D,MATCH(SCORE!AB$2&amp;" "&amp;SCORE!$D80,EVENTOS!$F:$F,0)),0)</f>
        <v>0</v>
      </c>
      <c r="AC80" s="3">
        <f>IFERROR(INDEX(EVENTOS!$D:$D,MATCH(SCORE!AC$2&amp;" "&amp;SCORE!$D80,EVENTOS!$F:$F,0)),0)</f>
        <v>0</v>
      </c>
      <c r="AD80" s="3">
        <f>IFERROR(INDEX(EVENTOS!$D:$D,MATCH(SCORE!AD$2&amp;" "&amp;SCORE!$D80,EVENTOS!$F:$F,0)),0)</f>
        <v>0</v>
      </c>
      <c r="AE80" s="3">
        <f t="shared" si="3"/>
        <v>10</v>
      </c>
      <c r="AF80" s="10">
        <f t="shared" si="4"/>
        <v>53.191489361702125</v>
      </c>
      <c r="AG80" s="3">
        <f t="shared" si="5"/>
        <v>94</v>
      </c>
    </row>
    <row r="81" spans="1:33" x14ac:dyDescent="0.25">
      <c r="A81" s="7"/>
      <c r="B81" s="8" t="s">
        <v>76</v>
      </c>
      <c r="C81" s="3">
        <v>14106642</v>
      </c>
      <c r="D81" s="3" t="s">
        <v>155</v>
      </c>
      <c r="E81" s="3">
        <f>VLOOKUP(D81,VIAJES!$D:$E,2,FALSE)</f>
        <v>31</v>
      </c>
      <c r="F81" s="9">
        <f>VLOOKUP(D81,VIAJES!$D:$F,3,FALSE)</f>
        <v>0.11666666666666667</v>
      </c>
      <c r="G81" s="9">
        <f>VLOOKUP(D81,VIAJES!$D:$G,4,FALSE)</f>
        <v>0.47638888888888886</v>
      </c>
      <c r="H81" s="3">
        <f>VLOOKUP(D81,VIAJES!$D:$H,5,FALSE)</f>
        <v>224.96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>
        <f>IFERROR(INDEX(EVENTOS!$D:$D,MATCH(SCORE!S$2&amp;" "&amp;SCORE!$D81,EVENTOS!$F:$F,0)),0)</f>
        <v>0</v>
      </c>
      <c r="T81" s="3">
        <f>IFERROR(INDEX(EVENTOS!$D:$D,MATCH(SCORE!T$2&amp;" "&amp;SCORE!$D81,EVENTOS!$F:$F,0)),0)</f>
        <v>0</v>
      </c>
      <c r="U81" s="3">
        <f>IFERROR(INDEX(EVENTOS!$D:$D,MATCH(SCORE!U$2&amp;" "&amp;SCORE!$D81,EVENTOS!$F:$F,0)),0)</f>
        <v>0</v>
      </c>
      <c r="V81" s="3">
        <f>IFERROR(INDEX(EVENTOS!$D:$D,MATCH(SCORE!V$2&amp;" "&amp;SCORE!$D81,EVENTOS!$F:$F,0)),0)</f>
        <v>0</v>
      </c>
      <c r="W81" s="3">
        <f>IFERROR(INDEX(EVENTOS!$D:$D,MATCH(SCORE!W$2&amp;" "&amp;SCORE!$D81,EVENTOS!$F:$F,0)),0)</f>
        <v>0</v>
      </c>
      <c r="X81" s="3">
        <f>IFERROR(INDEX(EVENTOS!$D:$D,MATCH(SCORE!X$2&amp;" "&amp;SCORE!$D81,EVENTOS!$F:$F,0)),0)</f>
        <v>0</v>
      </c>
      <c r="Y81" s="3">
        <f>SUMIFS(EVENTOS!$D:$D, EVENTOS!$B:$B, D81, EVENTOS!$E:$E, "*GirAlto*")</f>
        <v>0</v>
      </c>
      <c r="Z81" s="3">
        <f>SUMIFS(EVENTOS!$D:$D, EVENTOS!$B:$B, D81, EVENTOS!$E:$E, "*GirMed*")</f>
        <v>0</v>
      </c>
      <c r="AA81" s="3">
        <f>SUMIFS(EVENTOS!$D:$D, EVENTOS!$B:$B, D81, EVENTOS!$E:$E, "*GirBajo*")</f>
        <v>0</v>
      </c>
      <c r="AB81" s="3">
        <f>IFERROR(INDEX(EVENTOS!$D:$D,MATCH(SCORE!AB$2&amp;" "&amp;SCORE!$D81,EVENTOS!$F:$F,0)),0)</f>
        <v>0</v>
      </c>
      <c r="AC81" s="3">
        <f>IFERROR(INDEX(EVENTOS!$D:$D,MATCH(SCORE!AC$2&amp;" "&amp;SCORE!$D81,EVENTOS!$F:$F,0)),0)</f>
        <v>0</v>
      </c>
      <c r="AD81" s="3">
        <f>IFERROR(INDEX(EVENTOS!$D:$D,MATCH(SCORE!AD$2&amp;" "&amp;SCORE!$D81,EVENTOS!$F:$F,0)),0)</f>
        <v>0</v>
      </c>
      <c r="AE81" s="3">
        <f t="shared" si="3"/>
        <v>0</v>
      </c>
      <c r="AF81" s="10">
        <f t="shared" si="4"/>
        <v>0</v>
      </c>
      <c r="AG81" s="3">
        <f t="shared" si="5"/>
        <v>95</v>
      </c>
    </row>
    <row r="82" spans="1:33" x14ac:dyDescent="0.25">
      <c r="A82" s="7"/>
      <c r="B82" s="8" t="s">
        <v>76</v>
      </c>
      <c r="C82" s="3">
        <v>14222082</v>
      </c>
      <c r="D82" s="3" t="s">
        <v>156</v>
      </c>
      <c r="E82" s="3">
        <f>VLOOKUP(D82,VIAJES!$D:$E,2,FALSE)</f>
        <v>42</v>
      </c>
      <c r="F82" s="9">
        <f>VLOOKUP(D82,VIAJES!$D:$F,3,FALSE)</f>
        <v>0.15347222222222223</v>
      </c>
      <c r="G82" s="9">
        <f>VLOOKUP(D82,VIAJES!$D:$G,4,FALSE)</f>
        <v>0.93263888888888891</v>
      </c>
      <c r="H82" s="3">
        <f>VLOOKUP(D82,VIAJES!$D:$H,5,FALSE)</f>
        <v>823.75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>
        <f>IFERROR(INDEX(EVENTOS!$D:$D,MATCH(SCORE!S$2&amp;" "&amp;SCORE!$D82,EVENTOS!$F:$F,0)),0)</f>
        <v>4</v>
      </c>
      <c r="T82" s="3">
        <f>IFERROR(INDEX(EVENTOS!$D:$D,MATCH(SCORE!T$2&amp;" "&amp;SCORE!$D82,EVENTOS!$F:$F,0)),0)</f>
        <v>13</v>
      </c>
      <c r="U82" s="3">
        <f>IFERROR(INDEX(EVENTOS!$D:$D,MATCH(SCORE!U$2&amp;" "&amp;SCORE!$D82,EVENTOS!$F:$F,0)),0)</f>
        <v>0</v>
      </c>
      <c r="V82" s="3">
        <f>IFERROR(INDEX(EVENTOS!$D:$D,MATCH(SCORE!V$2&amp;" "&amp;SCORE!$D82,EVENTOS!$F:$F,0)),0)</f>
        <v>0</v>
      </c>
      <c r="W82" s="3">
        <f>IFERROR(INDEX(EVENTOS!$D:$D,MATCH(SCORE!W$2&amp;" "&amp;SCORE!$D82,EVENTOS!$F:$F,0)),0)</f>
        <v>3</v>
      </c>
      <c r="X82" s="3">
        <f>IFERROR(INDEX(EVENTOS!$D:$D,MATCH(SCORE!X$2&amp;" "&amp;SCORE!$D82,EVENTOS!$F:$F,0)),0)</f>
        <v>1</v>
      </c>
      <c r="Y82" s="3">
        <f>SUMIFS(EVENTOS!$D:$D, EVENTOS!$B:$B, D82, EVENTOS!$E:$E, "*GirAlto*")</f>
        <v>0</v>
      </c>
      <c r="Z82" s="3">
        <f>SUMIFS(EVENTOS!$D:$D, EVENTOS!$B:$B, D82, EVENTOS!$E:$E, "*GirMed*")</f>
        <v>8</v>
      </c>
      <c r="AA82" s="3">
        <f>SUMIFS(EVENTOS!$D:$D, EVENTOS!$B:$B, D82, EVENTOS!$E:$E, "*GirBajo*")</f>
        <v>28</v>
      </c>
      <c r="AB82" s="3">
        <f>IFERROR(INDEX(EVENTOS!$D:$D,MATCH(SCORE!AB$2&amp;" "&amp;SCORE!$D82,EVENTOS!$F:$F,0)),0)</f>
        <v>0</v>
      </c>
      <c r="AC82" s="3">
        <f>IFERROR(INDEX(EVENTOS!$D:$D,MATCH(SCORE!AC$2&amp;" "&amp;SCORE!$D82,EVENTOS!$F:$F,0)),0)</f>
        <v>14</v>
      </c>
      <c r="AD82" s="3">
        <f>IFERROR(INDEX(EVENTOS!$D:$D,MATCH(SCORE!AD$2&amp;" "&amp;SCORE!$D82,EVENTOS!$F:$F,0)),0)</f>
        <v>29</v>
      </c>
      <c r="AE82" s="3">
        <f t="shared" si="3"/>
        <v>1440</v>
      </c>
      <c r="AF82" s="10">
        <f t="shared" si="4"/>
        <v>6433.3581533879378</v>
      </c>
      <c r="AG82" s="3">
        <f t="shared" si="5"/>
        <v>75</v>
      </c>
    </row>
    <row r="83" spans="1:33" x14ac:dyDescent="0.25">
      <c r="A83" s="7"/>
      <c r="B83" s="8" t="s">
        <v>76</v>
      </c>
      <c r="C83" s="3">
        <v>14216357</v>
      </c>
      <c r="D83" s="3" t="s">
        <v>157</v>
      </c>
      <c r="E83" s="3">
        <f>VLOOKUP(D83,VIAJES!$D:$E,2,FALSE)</f>
        <v>38</v>
      </c>
      <c r="F83" s="9">
        <f>VLOOKUP(D83,VIAJES!$D:$F,3,FALSE)</f>
        <v>0.11597222222222223</v>
      </c>
      <c r="G83" s="9">
        <f>VLOOKUP(D83,VIAJES!$D:$G,4,FALSE)</f>
        <v>0.47430555555555554</v>
      </c>
      <c r="H83" s="3">
        <f>VLOOKUP(D83,VIAJES!$D:$H,5,FALSE)</f>
        <v>264.97000000000003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>
        <f>IFERROR(INDEX(EVENTOS!$D:$D,MATCH(SCORE!S$2&amp;" "&amp;SCORE!$D83,EVENTOS!$F:$F,0)),0)</f>
        <v>0</v>
      </c>
      <c r="T83" s="3">
        <f>IFERROR(INDEX(EVENTOS!$D:$D,MATCH(SCORE!T$2&amp;" "&amp;SCORE!$D83,EVENTOS!$F:$F,0)),0)</f>
        <v>0</v>
      </c>
      <c r="U83" s="3">
        <f>IFERROR(INDEX(EVENTOS!$D:$D,MATCH(SCORE!U$2&amp;" "&amp;SCORE!$D83,EVENTOS!$F:$F,0)),0)</f>
        <v>0</v>
      </c>
      <c r="V83" s="3">
        <f>IFERROR(INDEX(EVENTOS!$D:$D,MATCH(SCORE!V$2&amp;" "&amp;SCORE!$D83,EVENTOS!$F:$F,0)),0)</f>
        <v>0</v>
      </c>
      <c r="W83" s="3">
        <f>IFERROR(INDEX(EVENTOS!$D:$D,MATCH(SCORE!W$2&amp;" "&amp;SCORE!$D83,EVENTOS!$F:$F,0)),0)</f>
        <v>0</v>
      </c>
      <c r="X83" s="3">
        <f>IFERROR(INDEX(EVENTOS!$D:$D,MATCH(SCORE!X$2&amp;" "&amp;SCORE!$D83,EVENTOS!$F:$F,0)),0)</f>
        <v>0</v>
      </c>
      <c r="Y83" s="3">
        <f>SUMIFS(EVENTOS!$D:$D, EVENTOS!$B:$B, D83, EVENTOS!$E:$E, "*GirAlto*")</f>
        <v>0</v>
      </c>
      <c r="Z83" s="3">
        <f>SUMIFS(EVENTOS!$D:$D, EVENTOS!$B:$B, D83, EVENTOS!$E:$E, "*GirMed*")</f>
        <v>0</v>
      </c>
      <c r="AA83" s="3">
        <f>SUMIFS(EVENTOS!$D:$D, EVENTOS!$B:$B, D83, EVENTOS!$E:$E, "*GirBajo*")</f>
        <v>4</v>
      </c>
      <c r="AB83" s="3">
        <f>IFERROR(INDEX(EVENTOS!$D:$D,MATCH(SCORE!AB$2&amp;" "&amp;SCORE!$D83,EVENTOS!$F:$F,0)),0)</f>
        <v>0</v>
      </c>
      <c r="AC83" s="3">
        <f>IFERROR(INDEX(EVENTOS!$D:$D,MATCH(SCORE!AC$2&amp;" "&amp;SCORE!$D83,EVENTOS!$F:$F,0)),0)</f>
        <v>0</v>
      </c>
      <c r="AD83" s="3">
        <f>IFERROR(INDEX(EVENTOS!$D:$D,MATCH(SCORE!AD$2&amp;" "&amp;SCORE!$D83,EVENTOS!$F:$F,0)),0)</f>
        <v>0</v>
      </c>
      <c r="AE83" s="3">
        <f t="shared" si="3"/>
        <v>20</v>
      </c>
      <c r="AF83" s="10">
        <f t="shared" si="4"/>
        <v>175.69546120058567</v>
      </c>
      <c r="AG83" s="3">
        <f t="shared" si="5"/>
        <v>94</v>
      </c>
    </row>
    <row r="84" spans="1:33" x14ac:dyDescent="0.25">
      <c r="A84" s="7"/>
      <c r="B84" s="8" t="s">
        <v>76</v>
      </c>
      <c r="C84" s="3">
        <v>14106270</v>
      </c>
      <c r="D84" s="3" t="s">
        <v>158</v>
      </c>
      <c r="E84" s="3">
        <f>VLOOKUP(D84,VIAJES!$D:$E,2,FALSE)</f>
        <v>7</v>
      </c>
      <c r="F84" s="9">
        <f>VLOOKUP(D84,VIAJES!$D:$F,3,FALSE)</f>
        <v>0.05</v>
      </c>
      <c r="G84" s="9">
        <f>VLOOKUP(D84,VIAJES!$D:$G,4,FALSE)</f>
        <v>0.1076388888888889</v>
      </c>
      <c r="H84" s="3">
        <f>VLOOKUP(D84,VIAJES!$D:$H,5,FALSE)</f>
        <v>57.14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>
        <f>IFERROR(INDEX(EVENTOS!$D:$D,MATCH(SCORE!S$2&amp;" "&amp;SCORE!$D84,EVENTOS!$F:$F,0)),0)</f>
        <v>0</v>
      </c>
      <c r="T84" s="3">
        <f>IFERROR(INDEX(EVENTOS!$D:$D,MATCH(SCORE!T$2&amp;" "&amp;SCORE!$D84,EVENTOS!$F:$F,0)),0)</f>
        <v>0</v>
      </c>
      <c r="U84" s="3">
        <f>IFERROR(INDEX(EVENTOS!$D:$D,MATCH(SCORE!U$2&amp;" "&amp;SCORE!$D84,EVENTOS!$F:$F,0)),0)</f>
        <v>0</v>
      </c>
      <c r="V84" s="3">
        <f>IFERROR(INDEX(EVENTOS!$D:$D,MATCH(SCORE!V$2&amp;" "&amp;SCORE!$D84,EVENTOS!$F:$F,0)),0)</f>
        <v>0</v>
      </c>
      <c r="W84" s="3">
        <f>IFERROR(INDEX(EVENTOS!$D:$D,MATCH(SCORE!W$2&amp;" "&amp;SCORE!$D84,EVENTOS!$F:$F,0)),0)</f>
        <v>0</v>
      </c>
      <c r="X84" s="3">
        <f>IFERROR(INDEX(EVENTOS!$D:$D,MATCH(SCORE!X$2&amp;" "&amp;SCORE!$D84,EVENTOS!$F:$F,0)),0)</f>
        <v>0</v>
      </c>
      <c r="Y84" s="3">
        <f>SUMIFS(EVENTOS!$D:$D, EVENTOS!$B:$B, D84, EVENTOS!$E:$E, "*GirAlto*")</f>
        <v>0</v>
      </c>
      <c r="Z84" s="3">
        <f>SUMIFS(EVENTOS!$D:$D, EVENTOS!$B:$B, D84, EVENTOS!$E:$E, "*GirMed*")</f>
        <v>0</v>
      </c>
      <c r="AA84" s="3">
        <f>SUMIFS(EVENTOS!$D:$D, EVENTOS!$B:$B, D84, EVENTOS!$E:$E, "*GirBajo*")</f>
        <v>2</v>
      </c>
      <c r="AB84" s="3">
        <f>IFERROR(INDEX(EVENTOS!$D:$D,MATCH(SCORE!AB$2&amp;" "&amp;SCORE!$D84,EVENTOS!$F:$F,0)),0)</f>
        <v>0</v>
      </c>
      <c r="AC84" s="3">
        <f>IFERROR(INDEX(EVENTOS!$D:$D,MATCH(SCORE!AC$2&amp;" "&amp;SCORE!$D84,EVENTOS!$F:$F,0)),0)</f>
        <v>0</v>
      </c>
      <c r="AD84" s="3">
        <f>IFERROR(INDEX(EVENTOS!$D:$D,MATCH(SCORE!AD$2&amp;" "&amp;SCORE!$D84,EVENTOS!$F:$F,0)),0)</f>
        <v>0</v>
      </c>
      <c r="AE84" s="3">
        <f t="shared" si="3"/>
        <v>10</v>
      </c>
      <c r="AF84" s="10">
        <f t="shared" si="4"/>
        <v>387.09677419354836</v>
      </c>
      <c r="AG84" s="3">
        <f t="shared" si="5"/>
        <v>93</v>
      </c>
    </row>
    <row r="85" spans="1:33" x14ac:dyDescent="0.25">
      <c r="A85" s="7"/>
      <c r="B85" s="8" t="s">
        <v>76</v>
      </c>
      <c r="C85" s="3">
        <v>14221918</v>
      </c>
      <c r="D85" s="3" t="s">
        <v>159</v>
      </c>
      <c r="E85" s="3">
        <f>VLOOKUP(D85,VIAJES!$D:$E,2,FALSE)</f>
        <v>44</v>
      </c>
      <c r="F85" s="9">
        <f>VLOOKUP(D85,VIAJES!$D:$F,3,FALSE)</f>
        <v>0.31458333333333333</v>
      </c>
      <c r="G85" s="9">
        <f>VLOOKUP(D85,VIAJES!$D:$G,4,FALSE)</f>
        <v>0.82499999999999996</v>
      </c>
      <c r="H85" s="3">
        <f>VLOOKUP(D85,VIAJES!$D:$H,5,FALSE)</f>
        <v>344.72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>
        <f>IFERROR(INDEX(EVENTOS!$D:$D,MATCH(SCORE!S$2&amp;" "&amp;SCORE!$D85,EVENTOS!$F:$F,0)),0)</f>
        <v>0</v>
      </c>
      <c r="T85" s="3">
        <f>IFERROR(INDEX(EVENTOS!$D:$D,MATCH(SCORE!T$2&amp;" "&amp;SCORE!$D85,EVENTOS!$F:$F,0)),0)</f>
        <v>0</v>
      </c>
      <c r="U85" s="3">
        <f>IFERROR(INDEX(EVENTOS!$D:$D,MATCH(SCORE!U$2&amp;" "&amp;SCORE!$D85,EVENTOS!$F:$F,0)),0)</f>
        <v>0</v>
      </c>
      <c r="V85" s="3">
        <f>IFERROR(INDEX(EVENTOS!$D:$D,MATCH(SCORE!V$2&amp;" "&amp;SCORE!$D85,EVENTOS!$F:$F,0)),0)</f>
        <v>0</v>
      </c>
      <c r="W85" s="3">
        <f>IFERROR(INDEX(EVENTOS!$D:$D,MATCH(SCORE!W$2&amp;" "&amp;SCORE!$D85,EVENTOS!$F:$F,0)),0)</f>
        <v>0</v>
      </c>
      <c r="X85" s="3">
        <f>IFERROR(INDEX(EVENTOS!$D:$D,MATCH(SCORE!X$2&amp;" "&amp;SCORE!$D85,EVENTOS!$F:$F,0)),0)</f>
        <v>0</v>
      </c>
      <c r="Y85" s="3">
        <f>SUMIFS(EVENTOS!$D:$D, EVENTOS!$B:$B, D85, EVENTOS!$E:$E, "*GirAlto*")</f>
        <v>0</v>
      </c>
      <c r="Z85" s="3">
        <f>SUMIFS(EVENTOS!$D:$D, EVENTOS!$B:$B, D85, EVENTOS!$E:$E, "*GirMed*")</f>
        <v>0</v>
      </c>
      <c r="AA85" s="3">
        <f>SUMIFS(EVENTOS!$D:$D, EVENTOS!$B:$B, D85, EVENTOS!$E:$E, "*GirBajo*")</f>
        <v>0</v>
      </c>
      <c r="AB85" s="3">
        <f>IFERROR(INDEX(EVENTOS!$D:$D,MATCH(SCORE!AB$2&amp;" "&amp;SCORE!$D85,EVENTOS!$F:$F,0)),0)</f>
        <v>0</v>
      </c>
      <c r="AC85" s="3">
        <f>IFERROR(INDEX(EVENTOS!$D:$D,MATCH(SCORE!AC$2&amp;" "&amp;SCORE!$D85,EVENTOS!$F:$F,0)),0)</f>
        <v>0</v>
      </c>
      <c r="AD85" s="3">
        <f>IFERROR(INDEX(EVENTOS!$D:$D,MATCH(SCORE!AD$2&amp;" "&amp;SCORE!$D85,EVENTOS!$F:$F,0)),0)</f>
        <v>0</v>
      </c>
      <c r="AE85" s="3">
        <f t="shared" si="3"/>
        <v>0</v>
      </c>
      <c r="AF85" s="10">
        <f t="shared" si="4"/>
        <v>0</v>
      </c>
      <c r="AG85" s="3">
        <f t="shared" si="5"/>
        <v>95</v>
      </c>
    </row>
    <row r="86" spans="1:33" x14ac:dyDescent="0.25">
      <c r="A86" s="7"/>
      <c r="B86" s="8" t="s">
        <v>76</v>
      </c>
      <c r="C86" s="3">
        <v>14103046</v>
      </c>
      <c r="D86" s="3" t="s">
        <v>160</v>
      </c>
      <c r="E86" s="3">
        <f>VLOOKUP(D86,VIAJES!$D:$E,2,FALSE)</f>
        <v>49</v>
      </c>
      <c r="F86" s="9">
        <f>VLOOKUP(D86,VIAJES!$D:$F,3,FALSE)</f>
        <v>0.25486111111111109</v>
      </c>
      <c r="G86" s="9">
        <f>VLOOKUP(D86,VIAJES!$D:$G,4,FALSE)</f>
        <v>0.97013888888888888</v>
      </c>
      <c r="H86" s="3">
        <f>VLOOKUP(D86,VIAJES!$D:$H,5,FALSE)</f>
        <v>1020.16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>
        <f>IFERROR(INDEX(EVENTOS!$D:$D,MATCH(SCORE!S$2&amp;" "&amp;SCORE!$D86,EVENTOS!$F:$F,0)),0)</f>
        <v>1</v>
      </c>
      <c r="T86" s="3">
        <f>IFERROR(INDEX(EVENTOS!$D:$D,MATCH(SCORE!T$2&amp;" "&amp;SCORE!$D86,EVENTOS!$F:$F,0)),0)</f>
        <v>0</v>
      </c>
      <c r="U86" s="3">
        <f>IFERROR(INDEX(EVENTOS!$D:$D,MATCH(SCORE!U$2&amp;" "&amp;SCORE!$D86,EVENTOS!$F:$F,0)),0)</f>
        <v>0</v>
      </c>
      <c r="V86" s="3">
        <f>IFERROR(INDEX(EVENTOS!$D:$D,MATCH(SCORE!V$2&amp;" "&amp;SCORE!$D86,EVENTOS!$F:$F,0)),0)</f>
        <v>0</v>
      </c>
      <c r="W86" s="3">
        <f>IFERROR(INDEX(EVENTOS!$D:$D,MATCH(SCORE!W$2&amp;" "&amp;SCORE!$D86,EVENTOS!$F:$F,0)),0)</f>
        <v>0</v>
      </c>
      <c r="X86" s="3">
        <f>IFERROR(INDEX(EVENTOS!$D:$D,MATCH(SCORE!X$2&amp;" "&amp;SCORE!$D86,EVENTOS!$F:$F,0)),0)</f>
        <v>1</v>
      </c>
      <c r="Y86" s="3">
        <f>SUMIFS(EVENTOS!$D:$D, EVENTOS!$B:$B, D86, EVENTOS!$E:$E, "*GirAlto*")</f>
        <v>0</v>
      </c>
      <c r="Z86" s="3">
        <f>SUMIFS(EVENTOS!$D:$D, EVENTOS!$B:$B, D86, EVENTOS!$E:$E, "*GirMed*")</f>
        <v>0</v>
      </c>
      <c r="AA86" s="3">
        <f>SUMIFS(EVENTOS!$D:$D, EVENTOS!$B:$B, D86, EVENTOS!$E:$E, "*GirBajo*")</f>
        <v>3</v>
      </c>
      <c r="AB86" s="3">
        <f>IFERROR(INDEX(EVENTOS!$D:$D,MATCH(SCORE!AB$2&amp;" "&amp;SCORE!$D86,EVENTOS!$F:$F,0)),0)</f>
        <v>0</v>
      </c>
      <c r="AC86" s="3">
        <f>IFERROR(INDEX(EVENTOS!$D:$D,MATCH(SCORE!AC$2&amp;" "&amp;SCORE!$D86,EVENTOS!$F:$F,0)),0)</f>
        <v>3</v>
      </c>
      <c r="AD86" s="3">
        <f>IFERROR(INDEX(EVENTOS!$D:$D,MATCH(SCORE!AD$2&amp;" "&amp;SCORE!$D86,EVENTOS!$F:$F,0)),0)</f>
        <v>97</v>
      </c>
      <c r="AE86" s="3">
        <f t="shared" si="3"/>
        <v>630</v>
      </c>
      <c r="AF86" s="10">
        <f t="shared" si="4"/>
        <v>2705.798138869005</v>
      </c>
      <c r="AG86" s="3">
        <f t="shared" si="5"/>
        <v>86</v>
      </c>
    </row>
    <row r="87" spans="1:33" x14ac:dyDescent="0.25">
      <c r="A87" s="7"/>
      <c r="B87" s="8" t="s">
        <v>76</v>
      </c>
      <c r="C87" s="3">
        <v>14221965</v>
      </c>
      <c r="D87" s="3" t="s">
        <v>161</v>
      </c>
      <c r="E87" s="3">
        <f>VLOOKUP(D87,VIAJES!$D:$E,2,FALSE)</f>
        <v>32</v>
      </c>
      <c r="F87" s="9">
        <f>VLOOKUP(D87,VIAJES!$D:$F,3,FALSE)</f>
        <v>0.26527777777777778</v>
      </c>
      <c r="G87" s="9">
        <f>VLOOKUP(D87,VIAJES!$D:$G,4,FALSE)</f>
        <v>0.89930555555555558</v>
      </c>
      <c r="H87" s="3">
        <f>VLOOKUP(D87,VIAJES!$D:$H,5,FALSE)</f>
        <v>712.5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>
        <f>IFERROR(INDEX(EVENTOS!$D:$D,MATCH(SCORE!S$2&amp;" "&amp;SCORE!$D87,EVENTOS!$F:$F,0)),0)</f>
        <v>0</v>
      </c>
      <c r="T87" s="3">
        <f>IFERROR(INDEX(EVENTOS!$D:$D,MATCH(SCORE!T$2&amp;" "&amp;SCORE!$D87,EVENTOS!$F:$F,0)),0)</f>
        <v>0</v>
      </c>
      <c r="U87" s="3">
        <f>IFERROR(INDEX(EVENTOS!$D:$D,MATCH(SCORE!U$2&amp;" "&amp;SCORE!$D87,EVENTOS!$F:$F,0)),0)</f>
        <v>0</v>
      </c>
      <c r="V87" s="3">
        <f>IFERROR(INDEX(EVENTOS!$D:$D,MATCH(SCORE!V$2&amp;" "&amp;SCORE!$D87,EVENTOS!$F:$F,0)),0)</f>
        <v>0</v>
      </c>
      <c r="W87" s="3">
        <f>IFERROR(INDEX(EVENTOS!$D:$D,MATCH(SCORE!W$2&amp;" "&amp;SCORE!$D87,EVENTOS!$F:$F,0)),0)</f>
        <v>0</v>
      </c>
      <c r="X87" s="3">
        <f>IFERROR(INDEX(EVENTOS!$D:$D,MATCH(SCORE!X$2&amp;" "&amp;SCORE!$D87,EVENTOS!$F:$F,0)),0)</f>
        <v>0</v>
      </c>
      <c r="Y87" s="3">
        <f>SUMIFS(EVENTOS!$D:$D, EVENTOS!$B:$B, D87, EVENTOS!$E:$E, "*GirAlto*")</f>
        <v>0</v>
      </c>
      <c r="Z87" s="3">
        <f>SUMIFS(EVENTOS!$D:$D, EVENTOS!$B:$B, D87, EVENTOS!$E:$E, "*GirMed*")</f>
        <v>4</v>
      </c>
      <c r="AA87" s="3">
        <f>SUMIFS(EVENTOS!$D:$D, EVENTOS!$B:$B, D87, EVENTOS!$E:$E, "*GirBajo*")</f>
        <v>0</v>
      </c>
      <c r="AB87" s="3">
        <f>IFERROR(INDEX(EVENTOS!$D:$D,MATCH(SCORE!AB$2&amp;" "&amp;SCORE!$D87,EVENTOS!$F:$F,0)),0)</f>
        <v>0</v>
      </c>
      <c r="AC87" s="3">
        <f>IFERROR(INDEX(EVENTOS!$D:$D,MATCH(SCORE!AC$2&amp;" "&amp;SCORE!$D87,EVENTOS!$F:$F,0)),0)</f>
        <v>0</v>
      </c>
      <c r="AD87" s="3">
        <f>IFERROR(INDEX(EVENTOS!$D:$D,MATCH(SCORE!AD$2&amp;" "&amp;SCORE!$D87,EVENTOS!$F:$F,0)),0)</f>
        <v>0</v>
      </c>
      <c r="AE87" s="3">
        <f t="shared" si="3"/>
        <v>100</v>
      </c>
      <c r="AF87" s="10">
        <f t="shared" si="4"/>
        <v>463.32046332046326</v>
      </c>
      <c r="AG87" s="3">
        <f t="shared" si="5"/>
        <v>93</v>
      </c>
    </row>
    <row r="88" spans="1:33" x14ac:dyDescent="0.25">
      <c r="A88" s="7"/>
      <c r="B88" s="8" t="s">
        <v>76</v>
      </c>
      <c r="C88" s="3">
        <v>14112528</v>
      </c>
      <c r="D88" s="3" t="s">
        <v>162</v>
      </c>
      <c r="E88" s="3">
        <f>VLOOKUP(D88,VIAJES!$D:$E,2,FALSE)</f>
        <v>34</v>
      </c>
      <c r="F88" s="9">
        <f>VLOOKUP(D88,VIAJES!$D:$F,3,FALSE)</f>
        <v>0.24236111111111111</v>
      </c>
      <c r="G88" s="9">
        <f>VLOOKUP(D88,VIAJES!$D:$G,4,FALSE)</f>
        <v>0.54583333333333328</v>
      </c>
      <c r="H88" s="3">
        <f>VLOOKUP(D88,VIAJES!$D:$H,5,FALSE)</f>
        <v>382.78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>
        <f>IFERROR(INDEX(EVENTOS!$D:$D,MATCH(SCORE!S$2&amp;" "&amp;SCORE!$D88,EVENTOS!$F:$F,0)),0)</f>
        <v>0</v>
      </c>
      <c r="T88" s="3">
        <f>IFERROR(INDEX(EVENTOS!$D:$D,MATCH(SCORE!T$2&amp;" "&amp;SCORE!$D88,EVENTOS!$F:$F,0)),0)</f>
        <v>0</v>
      </c>
      <c r="U88" s="3">
        <f>IFERROR(INDEX(EVENTOS!$D:$D,MATCH(SCORE!U$2&amp;" "&amp;SCORE!$D88,EVENTOS!$F:$F,0)),0)</f>
        <v>0</v>
      </c>
      <c r="V88" s="3">
        <f>IFERROR(INDEX(EVENTOS!$D:$D,MATCH(SCORE!V$2&amp;" "&amp;SCORE!$D88,EVENTOS!$F:$F,0)),0)</f>
        <v>0</v>
      </c>
      <c r="W88" s="3">
        <f>IFERROR(INDEX(EVENTOS!$D:$D,MATCH(SCORE!W$2&amp;" "&amp;SCORE!$D88,EVENTOS!$F:$F,0)),0)</f>
        <v>0</v>
      </c>
      <c r="X88" s="3">
        <f>IFERROR(INDEX(EVENTOS!$D:$D,MATCH(SCORE!X$2&amp;" "&amp;SCORE!$D88,EVENTOS!$F:$F,0)),0)</f>
        <v>0</v>
      </c>
      <c r="Y88" s="3">
        <f>SUMIFS(EVENTOS!$D:$D, EVENTOS!$B:$B, D88, EVENTOS!$E:$E, "*GirAlto*")</f>
        <v>0</v>
      </c>
      <c r="Z88" s="3">
        <f>SUMIFS(EVENTOS!$D:$D, EVENTOS!$B:$B, D88, EVENTOS!$E:$E, "*GirMed*")</f>
        <v>0</v>
      </c>
      <c r="AA88" s="3">
        <f>SUMIFS(EVENTOS!$D:$D, EVENTOS!$B:$B, D88, EVENTOS!$E:$E, "*GirBajo*")</f>
        <v>0</v>
      </c>
      <c r="AB88" s="3">
        <f>IFERROR(INDEX(EVENTOS!$D:$D,MATCH(SCORE!AB$2&amp;" "&amp;SCORE!$D88,EVENTOS!$F:$F,0)),0)</f>
        <v>0</v>
      </c>
      <c r="AC88" s="3">
        <f>IFERROR(INDEX(EVENTOS!$D:$D,MATCH(SCORE!AC$2&amp;" "&amp;SCORE!$D88,EVENTOS!$F:$F,0)),0)</f>
        <v>0</v>
      </c>
      <c r="AD88" s="3">
        <f>IFERROR(INDEX(EVENTOS!$D:$D,MATCH(SCORE!AD$2&amp;" "&amp;SCORE!$D88,EVENTOS!$F:$F,0)),0)</f>
        <v>0</v>
      </c>
      <c r="AE88" s="3">
        <f t="shared" si="3"/>
        <v>0</v>
      </c>
      <c r="AF88" s="10">
        <f t="shared" si="4"/>
        <v>0</v>
      </c>
      <c r="AG88" s="3">
        <f t="shared" si="5"/>
        <v>95</v>
      </c>
    </row>
    <row r="89" spans="1:33" x14ac:dyDescent="0.25">
      <c r="A89" s="7"/>
      <c r="B89" s="8" t="s">
        <v>76</v>
      </c>
      <c r="C89" s="3">
        <v>14106257</v>
      </c>
      <c r="D89" s="3" t="s">
        <v>163</v>
      </c>
      <c r="E89" s="3">
        <f>VLOOKUP(D89,VIAJES!$D:$E,2,FALSE)</f>
        <v>29</v>
      </c>
      <c r="F89" s="9">
        <f>VLOOKUP(D89,VIAJES!$D:$F,3,FALSE)</f>
        <v>0.44166666666666665</v>
      </c>
      <c r="G89" s="9">
        <f>VLOOKUP(D89,VIAJES!$D:$G,4,FALSE)</f>
        <v>1.64375</v>
      </c>
      <c r="H89" s="3">
        <f>VLOOKUP(D89,VIAJES!$D:$H,5,FALSE)</f>
        <v>1666.86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>
        <f>IFERROR(INDEX(EVENTOS!$D:$D,MATCH(SCORE!S$2&amp;" "&amp;SCORE!$D89,EVENTOS!$F:$F,0)),0)</f>
        <v>2</v>
      </c>
      <c r="T89" s="3">
        <f>IFERROR(INDEX(EVENTOS!$D:$D,MATCH(SCORE!T$2&amp;" "&amp;SCORE!$D89,EVENTOS!$F:$F,0)),0)</f>
        <v>0</v>
      </c>
      <c r="U89" s="3">
        <f>IFERROR(INDEX(EVENTOS!$D:$D,MATCH(SCORE!U$2&amp;" "&amp;SCORE!$D89,EVENTOS!$F:$F,0)),0)</f>
        <v>0</v>
      </c>
      <c r="V89" s="3">
        <f>IFERROR(INDEX(EVENTOS!$D:$D,MATCH(SCORE!V$2&amp;" "&amp;SCORE!$D89,EVENTOS!$F:$F,0)),0)</f>
        <v>0</v>
      </c>
      <c r="W89" s="3">
        <f>IFERROR(INDEX(EVENTOS!$D:$D,MATCH(SCORE!W$2&amp;" "&amp;SCORE!$D89,EVENTOS!$F:$F,0)),0)</f>
        <v>0</v>
      </c>
      <c r="X89" s="3">
        <f>IFERROR(INDEX(EVENTOS!$D:$D,MATCH(SCORE!X$2&amp;" "&amp;SCORE!$D89,EVENTOS!$F:$F,0)),0)</f>
        <v>0</v>
      </c>
      <c r="Y89" s="3">
        <f>SUMIFS(EVENTOS!$D:$D, EVENTOS!$B:$B, D89, EVENTOS!$E:$E, "*GirAlto*")</f>
        <v>0</v>
      </c>
      <c r="Z89" s="3">
        <f>SUMIFS(EVENTOS!$D:$D, EVENTOS!$B:$B, D89, EVENTOS!$E:$E, "*GirMed*")</f>
        <v>0</v>
      </c>
      <c r="AA89" s="3">
        <f>SUMIFS(EVENTOS!$D:$D, EVENTOS!$B:$B, D89, EVENTOS!$E:$E, "*GirBajo*")</f>
        <v>0</v>
      </c>
      <c r="AB89" s="3">
        <f>IFERROR(INDEX(EVENTOS!$D:$D,MATCH(SCORE!AB$2&amp;" "&amp;SCORE!$D89,EVENTOS!$F:$F,0)),0)</f>
        <v>0</v>
      </c>
      <c r="AC89" s="3">
        <f>IFERROR(INDEX(EVENTOS!$D:$D,MATCH(SCORE!AC$2&amp;" "&amp;SCORE!$D89,EVENTOS!$F:$F,0)),0)</f>
        <v>0</v>
      </c>
      <c r="AD89" s="3">
        <f>IFERROR(INDEX(EVENTOS!$D:$D,MATCH(SCORE!AD$2&amp;" "&amp;SCORE!$D89,EVENTOS!$F:$F,0)),0)</f>
        <v>159</v>
      </c>
      <c r="AE89" s="3">
        <f t="shared" si="3"/>
        <v>895</v>
      </c>
      <c r="AF89" s="10">
        <f t="shared" si="4"/>
        <v>2268.694550063371</v>
      </c>
      <c r="AG89" s="3">
        <f t="shared" si="5"/>
        <v>88</v>
      </c>
    </row>
    <row r="90" spans="1:33" x14ac:dyDescent="0.25">
      <c r="A90" s="7"/>
      <c r="B90" s="8"/>
      <c r="C90" s="3"/>
      <c r="D90" s="3"/>
      <c r="E90" s="3" t="e">
        <f>VLOOKUP(D90,VIAJES!$D:$E,2,FALSE)</f>
        <v>#N/A</v>
      </c>
      <c r="F90" s="9" t="e">
        <f>VLOOKUP(D90,VIAJES!$D:$F,3,FALSE)</f>
        <v>#N/A</v>
      </c>
      <c r="G90" s="9" t="e">
        <f>VLOOKUP(D90,VIAJES!$D:$G,4,FALSE)</f>
        <v>#N/A</v>
      </c>
      <c r="H90" s="3" t="e">
        <f>VLOOKUP(D90,VIAJES!$D:$H,5,FALSE)</f>
        <v>#N/A</v>
      </c>
      <c r="S90" s="3">
        <f>IFERROR(INDEX(EVENTOS!$D:$D,MATCH(SCORE!S$2&amp;" "&amp;SCORE!$D90,EVENTOS!$F:$F,0)),0)</f>
        <v>0</v>
      </c>
      <c r="T90" s="3">
        <f>IFERROR(INDEX(EVENTOS!$D:$D,MATCH(SCORE!T$2&amp;" "&amp;SCORE!$D90,EVENTOS!$F:$F,0)),0)</f>
        <v>0</v>
      </c>
      <c r="U90" s="3">
        <f>IFERROR(INDEX(EVENTOS!$D:$D,MATCH(SCORE!U$2&amp;" "&amp;SCORE!$D90,EVENTOS!$F:$F,0)),0)</f>
        <v>0</v>
      </c>
      <c r="V90" s="3">
        <f>IFERROR(INDEX(EVENTOS!$D:$D,MATCH(SCORE!V$2&amp;" "&amp;SCORE!$D90,EVENTOS!$F:$F,0)),0)</f>
        <v>0</v>
      </c>
      <c r="W90" s="3">
        <f>IFERROR(INDEX(EVENTOS!$D:$D,MATCH(SCORE!W$2&amp;" "&amp;SCORE!$D90,EVENTOS!$F:$F,0)),0)</f>
        <v>0</v>
      </c>
      <c r="X90" s="3">
        <f>IFERROR(INDEX(EVENTOS!$D:$D,MATCH(SCORE!X$2&amp;" "&amp;SCORE!$D90,EVENTOS!$F:$F,0)),0)</f>
        <v>0</v>
      </c>
      <c r="Y90" s="3">
        <f>SUMIFS(EVENTOS!$D:$D, EVENTOS!$B:$B, D90, EVENTOS!$E:$E, "*GirAlto*")</f>
        <v>0</v>
      </c>
      <c r="Z90" s="3">
        <f>SUMIFS(EVENTOS!$D:$D, EVENTOS!$B:$B, D90, EVENTOS!$E:$E, "*GirMed*")</f>
        <v>0</v>
      </c>
      <c r="AA90" s="3">
        <f>SUMIFS(EVENTOS!$D:$D, EVENTOS!$B:$B, D90, EVENTOS!$E:$E, "*GirBajo*")</f>
        <v>0</v>
      </c>
      <c r="AB90" s="3">
        <f>IFERROR(INDEX(EVENTOS!$D:$D,MATCH(SCORE!AB$2&amp;" "&amp;SCORE!$D90,EVENTOS!$F:$F,0)),0)</f>
        <v>0</v>
      </c>
      <c r="AC90" s="3">
        <f>IFERROR(INDEX(EVENTOS!$D:$D,MATCH(SCORE!AC$2&amp;" "&amp;SCORE!$D90,EVENTOS!$F:$F,0)),0)</f>
        <v>0</v>
      </c>
      <c r="AD90" s="3">
        <f>IFERROR(INDEX(EVENTOS!$D:$D,MATCH(SCORE!AD$2&amp;" "&amp;SCORE!$D90,EVENTOS!$F:$F,0)),0)</f>
        <v>0</v>
      </c>
      <c r="AE90" s="3">
        <f t="shared" si="3"/>
        <v>0</v>
      </c>
      <c r="AF90" s="10" t="e">
        <f t="shared" si="4"/>
        <v>#N/A</v>
      </c>
      <c r="AG90" s="3" t="str">
        <f t="shared" si="5"/>
        <v/>
      </c>
    </row>
    <row r="91" spans="1:33" x14ac:dyDescent="0.25">
      <c r="A91" s="7"/>
      <c r="B91" s="8"/>
      <c r="C91" s="3"/>
      <c r="D91" s="3"/>
      <c r="E91" s="3" t="e">
        <f>VLOOKUP(D91,VIAJES!$D:$E,2,FALSE)</f>
        <v>#N/A</v>
      </c>
      <c r="F91" s="9" t="e">
        <f>VLOOKUP(D91,VIAJES!$D:$F,3,FALSE)</f>
        <v>#N/A</v>
      </c>
      <c r="G91" s="9" t="e">
        <f>VLOOKUP(D91,VIAJES!$D:$G,4,FALSE)</f>
        <v>#N/A</v>
      </c>
      <c r="H91" s="3" t="e">
        <f>VLOOKUP(D91,VIAJES!$D:$H,5,FALSE)</f>
        <v>#N/A</v>
      </c>
      <c r="S91" s="3">
        <f>IFERROR(INDEX(EVENTOS!$D:$D,MATCH(SCORE!S$2&amp;" "&amp;SCORE!$D91,EVENTOS!$F:$F,0)),0)</f>
        <v>0</v>
      </c>
      <c r="T91" s="3">
        <f>IFERROR(INDEX(EVENTOS!$D:$D,MATCH(SCORE!T$2&amp;" "&amp;SCORE!$D91,EVENTOS!$F:$F,0)),0)</f>
        <v>0</v>
      </c>
      <c r="U91" s="3">
        <f>IFERROR(INDEX(EVENTOS!$D:$D,MATCH(SCORE!U$2&amp;" "&amp;SCORE!$D91,EVENTOS!$F:$F,0)),0)</f>
        <v>0</v>
      </c>
      <c r="V91" s="3">
        <f>IFERROR(INDEX(EVENTOS!$D:$D,MATCH(SCORE!V$2&amp;" "&amp;SCORE!$D91,EVENTOS!$F:$F,0)),0)</f>
        <v>0</v>
      </c>
      <c r="W91" s="3">
        <f>IFERROR(INDEX(EVENTOS!$D:$D,MATCH(SCORE!W$2&amp;" "&amp;SCORE!$D91,EVENTOS!$F:$F,0)),0)</f>
        <v>0</v>
      </c>
      <c r="X91" s="3">
        <f>IFERROR(INDEX(EVENTOS!$D:$D,MATCH(SCORE!X$2&amp;" "&amp;SCORE!$D91,EVENTOS!$F:$F,0)),0)</f>
        <v>0</v>
      </c>
      <c r="Y91" s="3">
        <f>SUMIFS(EVENTOS!$D:$D, EVENTOS!$B:$B, D91, EVENTOS!$E:$E, "*GirAlto*")</f>
        <v>0</v>
      </c>
      <c r="Z91" s="3">
        <f>SUMIFS(EVENTOS!$D:$D, EVENTOS!$B:$B, D91, EVENTOS!$E:$E, "*GirMed*")</f>
        <v>0</v>
      </c>
      <c r="AA91" s="3">
        <f>SUMIFS(EVENTOS!$D:$D, EVENTOS!$B:$B, D91, EVENTOS!$E:$E, "*GirBajo*")</f>
        <v>0</v>
      </c>
      <c r="AB91" s="3">
        <f>IFERROR(INDEX(EVENTOS!$D:$D,MATCH(SCORE!AB$2&amp;" "&amp;SCORE!$D91,EVENTOS!$F:$F,0)),0)</f>
        <v>0</v>
      </c>
      <c r="AC91" s="3">
        <f>IFERROR(INDEX(EVENTOS!$D:$D,MATCH(SCORE!AC$2&amp;" "&amp;SCORE!$D91,EVENTOS!$F:$F,0)),0)</f>
        <v>0</v>
      </c>
      <c r="AD91" s="3">
        <f>IFERROR(INDEX(EVENTOS!$D:$D,MATCH(SCORE!AD$2&amp;" "&amp;SCORE!$D91,EVENTOS!$F:$F,0)),0)</f>
        <v>0</v>
      </c>
      <c r="AE91" s="3">
        <f t="shared" si="3"/>
        <v>0</v>
      </c>
      <c r="AF91" s="10" t="e">
        <f t="shared" si="4"/>
        <v>#N/A</v>
      </c>
      <c r="AG91" s="3" t="str">
        <f t="shared" si="5"/>
        <v/>
      </c>
    </row>
    <row r="92" spans="1:33" x14ac:dyDescent="0.25">
      <c r="A92" s="7"/>
      <c r="B92" s="8"/>
      <c r="C92" s="3"/>
      <c r="D92" s="3"/>
      <c r="E92" s="3" t="e">
        <f>VLOOKUP(D92,VIAJES!$D:$E,2,FALSE)</f>
        <v>#N/A</v>
      </c>
      <c r="F92" s="9" t="e">
        <f>VLOOKUP(D92,VIAJES!$D:$F,3,FALSE)</f>
        <v>#N/A</v>
      </c>
      <c r="G92" s="9" t="e">
        <f>VLOOKUP(D92,VIAJES!$D:$G,4,FALSE)</f>
        <v>#N/A</v>
      </c>
      <c r="H92" s="3" t="e">
        <f>VLOOKUP(D92,VIAJES!$D:$H,5,FALSE)</f>
        <v>#N/A</v>
      </c>
      <c r="S92" s="3">
        <f>IFERROR(INDEX(EVENTOS!$D:$D,MATCH(SCORE!S$2&amp;" "&amp;SCORE!$D92,EVENTOS!$F:$F,0)),0)</f>
        <v>0</v>
      </c>
      <c r="T92" s="3">
        <f>IFERROR(INDEX(EVENTOS!$D:$D,MATCH(SCORE!T$2&amp;" "&amp;SCORE!$D92,EVENTOS!$F:$F,0)),0)</f>
        <v>0</v>
      </c>
      <c r="U92" s="3">
        <f>IFERROR(INDEX(EVENTOS!$D:$D,MATCH(SCORE!U$2&amp;" "&amp;SCORE!$D92,EVENTOS!$F:$F,0)),0)</f>
        <v>0</v>
      </c>
      <c r="V92" s="3">
        <f>IFERROR(INDEX(EVENTOS!$D:$D,MATCH(SCORE!V$2&amp;" "&amp;SCORE!$D92,EVENTOS!$F:$F,0)),0)</f>
        <v>0</v>
      </c>
      <c r="W92" s="3">
        <f>IFERROR(INDEX(EVENTOS!$D:$D,MATCH(SCORE!W$2&amp;" "&amp;SCORE!$D92,EVENTOS!$F:$F,0)),0)</f>
        <v>0</v>
      </c>
      <c r="X92" s="3">
        <f>IFERROR(INDEX(EVENTOS!$D:$D,MATCH(SCORE!X$2&amp;" "&amp;SCORE!$D92,EVENTOS!$F:$F,0)),0)</f>
        <v>0</v>
      </c>
      <c r="Y92" s="3">
        <f>SUMIFS(EVENTOS!$D:$D, EVENTOS!$B:$B, D92, EVENTOS!$E:$E, "*GirAlto*")</f>
        <v>0</v>
      </c>
      <c r="Z92" s="3">
        <f>SUMIFS(EVENTOS!$D:$D, EVENTOS!$B:$B, D92, EVENTOS!$E:$E, "*GirMed*")</f>
        <v>0</v>
      </c>
      <c r="AA92" s="3">
        <f>SUMIFS(EVENTOS!$D:$D, EVENTOS!$B:$B, D92, EVENTOS!$E:$E, "*GirBajo*")</f>
        <v>0</v>
      </c>
      <c r="AB92" s="3">
        <f>IFERROR(INDEX(EVENTOS!$D:$D,MATCH(SCORE!AB$2&amp;" "&amp;SCORE!$D92,EVENTOS!$F:$F,0)),0)</f>
        <v>0</v>
      </c>
      <c r="AC92" s="3">
        <f>IFERROR(INDEX(EVENTOS!$D:$D,MATCH(SCORE!AC$2&amp;" "&amp;SCORE!$D92,EVENTOS!$F:$F,0)),0)</f>
        <v>0</v>
      </c>
      <c r="AD92" s="3">
        <f>IFERROR(INDEX(EVENTOS!$D:$D,MATCH(SCORE!AD$2&amp;" "&amp;SCORE!$D92,EVENTOS!$F:$F,0)),0)</f>
        <v>0</v>
      </c>
      <c r="AE92" s="3">
        <f t="shared" si="3"/>
        <v>0</v>
      </c>
      <c r="AF92" s="10" t="e">
        <f t="shared" si="4"/>
        <v>#N/A</v>
      </c>
      <c r="AG92" s="3" t="str">
        <f t="shared" si="5"/>
        <v/>
      </c>
    </row>
    <row r="93" spans="1:33" x14ac:dyDescent="0.25">
      <c r="A93" s="7"/>
      <c r="B93" s="8"/>
      <c r="C93" s="3"/>
      <c r="D93" s="3"/>
      <c r="E93" s="3" t="e">
        <f>VLOOKUP(D93,VIAJES!$D:$E,2,FALSE)</f>
        <v>#N/A</v>
      </c>
      <c r="F93" s="9" t="e">
        <f>VLOOKUP(D93,VIAJES!$D:$F,3,FALSE)</f>
        <v>#N/A</v>
      </c>
      <c r="G93" s="9" t="e">
        <f>VLOOKUP(D93,VIAJES!$D:$G,4,FALSE)</f>
        <v>#N/A</v>
      </c>
      <c r="H93" s="3" t="e">
        <f>VLOOKUP(D93,VIAJES!$D:$H,5,FALSE)</f>
        <v>#N/A</v>
      </c>
      <c r="S93" s="3">
        <f>IFERROR(INDEX(EVENTOS!$D:$D,MATCH(SCORE!S$2&amp;" "&amp;SCORE!$D93,EVENTOS!$F:$F,0)),0)</f>
        <v>0</v>
      </c>
      <c r="T93" s="3">
        <f>IFERROR(INDEX(EVENTOS!$D:$D,MATCH(SCORE!T$2&amp;" "&amp;SCORE!$D93,EVENTOS!$F:$F,0)),0)</f>
        <v>0</v>
      </c>
      <c r="U93" s="3">
        <f>IFERROR(INDEX(EVENTOS!$D:$D,MATCH(SCORE!U$2&amp;" "&amp;SCORE!$D93,EVENTOS!$F:$F,0)),0)</f>
        <v>0</v>
      </c>
      <c r="V93" s="3">
        <f>IFERROR(INDEX(EVENTOS!$D:$D,MATCH(SCORE!V$2&amp;" "&amp;SCORE!$D93,EVENTOS!$F:$F,0)),0)</f>
        <v>0</v>
      </c>
      <c r="W93" s="3">
        <f>IFERROR(INDEX(EVENTOS!$D:$D,MATCH(SCORE!W$2&amp;" "&amp;SCORE!$D93,EVENTOS!$F:$F,0)),0)</f>
        <v>0</v>
      </c>
      <c r="X93" s="3">
        <f>IFERROR(INDEX(EVENTOS!$D:$D,MATCH(SCORE!X$2&amp;" "&amp;SCORE!$D93,EVENTOS!$F:$F,0)),0)</f>
        <v>0</v>
      </c>
      <c r="Y93" s="3">
        <f>SUMIFS(EVENTOS!$D:$D, EVENTOS!$B:$B, D93, EVENTOS!$E:$E, "*GirAlto*")</f>
        <v>0</v>
      </c>
      <c r="Z93" s="3">
        <f>SUMIFS(EVENTOS!$D:$D, EVENTOS!$B:$B, D93, EVENTOS!$E:$E, "*GirMed*")</f>
        <v>0</v>
      </c>
      <c r="AA93" s="3">
        <f>SUMIFS(EVENTOS!$D:$D, EVENTOS!$B:$B, D93, EVENTOS!$E:$E, "*GirBajo*")</f>
        <v>0</v>
      </c>
      <c r="AB93" s="3">
        <f>IFERROR(INDEX(EVENTOS!$D:$D,MATCH(SCORE!AB$2&amp;" "&amp;SCORE!$D93,EVENTOS!$F:$F,0)),0)</f>
        <v>0</v>
      </c>
      <c r="AC93" s="3">
        <f>IFERROR(INDEX(EVENTOS!$D:$D,MATCH(SCORE!AC$2&amp;" "&amp;SCORE!$D93,EVENTOS!$F:$F,0)),0)</f>
        <v>0</v>
      </c>
      <c r="AD93" s="3">
        <f>IFERROR(INDEX(EVENTOS!$D:$D,MATCH(SCORE!AD$2&amp;" "&amp;SCORE!$D93,EVENTOS!$F:$F,0)),0)</f>
        <v>0</v>
      </c>
      <c r="AE93" s="3">
        <f t="shared" si="3"/>
        <v>0</v>
      </c>
      <c r="AF93" s="10" t="e">
        <f t="shared" si="4"/>
        <v>#N/A</v>
      </c>
      <c r="AG93" s="3" t="str">
        <f t="shared" si="5"/>
        <v/>
      </c>
    </row>
    <row r="94" spans="1:33" x14ac:dyDescent="0.25">
      <c r="A94" s="7"/>
      <c r="B94" s="8"/>
      <c r="C94" s="3"/>
      <c r="D94" s="3"/>
      <c r="E94" s="3" t="e">
        <f>VLOOKUP(D94,VIAJES!$D:$E,2,FALSE)</f>
        <v>#N/A</v>
      </c>
      <c r="F94" s="9" t="e">
        <f>VLOOKUP(D94,VIAJES!$D:$F,3,FALSE)</f>
        <v>#N/A</v>
      </c>
      <c r="G94" s="9" t="e">
        <f>VLOOKUP(D94,VIAJES!$D:$G,4,FALSE)</f>
        <v>#N/A</v>
      </c>
      <c r="H94" s="3" t="e">
        <f>VLOOKUP(D94,VIAJES!$D:$H,5,FALSE)</f>
        <v>#N/A</v>
      </c>
      <c r="S94" s="3">
        <f>IFERROR(INDEX(EVENTOS!$D:$D,MATCH(SCORE!S$2&amp;" "&amp;SCORE!$D94,EVENTOS!$F:$F,0)),0)</f>
        <v>0</v>
      </c>
      <c r="T94" s="3">
        <f>IFERROR(INDEX(EVENTOS!$D:$D,MATCH(SCORE!T$2&amp;" "&amp;SCORE!$D94,EVENTOS!$F:$F,0)),0)</f>
        <v>0</v>
      </c>
      <c r="U94" s="3">
        <f>IFERROR(INDEX(EVENTOS!$D:$D,MATCH(SCORE!U$2&amp;" "&amp;SCORE!$D94,EVENTOS!$F:$F,0)),0)</f>
        <v>0</v>
      </c>
      <c r="V94" s="3">
        <f>IFERROR(INDEX(EVENTOS!$D:$D,MATCH(SCORE!V$2&amp;" "&amp;SCORE!$D94,EVENTOS!$F:$F,0)),0)</f>
        <v>0</v>
      </c>
      <c r="W94" s="3">
        <f>IFERROR(INDEX(EVENTOS!$D:$D,MATCH(SCORE!W$2&amp;" "&amp;SCORE!$D94,EVENTOS!$F:$F,0)),0)</f>
        <v>0</v>
      </c>
      <c r="X94" s="3">
        <f>IFERROR(INDEX(EVENTOS!$D:$D,MATCH(SCORE!X$2&amp;" "&amp;SCORE!$D94,EVENTOS!$F:$F,0)),0)</f>
        <v>0</v>
      </c>
      <c r="Y94" s="3">
        <f>SUMIFS(EVENTOS!$D:$D, EVENTOS!$B:$B, D94, EVENTOS!$E:$E, "*GirAlto*")</f>
        <v>0</v>
      </c>
      <c r="Z94" s="3">
        <f>SUMIFS(EVENTOS!$D:$D, EVENTOS!$B:$B, D94, EVENTOS!$E:$E, "*GirMed*")</f>
        <v>0</v>
      </c>
      <c r="AA94" s="3">
        <f>SUMIFS(EVENTOS!$D:$D, EVENTOS!$B:$B, D94, EVENTOS!$E:$E, "*GirBajo*")</f>
        <v>0</v>
      </c>
      <c r="AB94" s="3">
        <f>IFERROR(INDEX(EVENTOS!$D:$D,MATCH(SCORE!AB$2&amp;" "&amp;SCORE!$D94,EVENTOS!$F:$F,0)),0)</f>
        <v>0</v>
      </c>
      <c r="AC94" s="3">
        <f>IFERROR(INDEX(EVENTOS!$D:$D,MATCH(SCORE!AC$2&amp;" "&amp;SCORE!$D94,EVENTOS!$F:$F,0)),0)</f>
        <v>0</v>
      </c>
      <c r="AD94" s="3">
        <f>IFERROR(INDEX(EVENTOS!$D:$D,MATCH(SCORE!AD$2&amp;" "&amp;SCORE!$D94,EVENTOS!$F:$F,0)),0)</f>
        <v>0</v>
      </c>
      <c r="AE94" s="3">
        <f t="shared" si="3"/>
        <v>0</v>
      </c>
      <c r="AF94" s="10" t="e">
        <f t="shared" si="4"/>
        <v>#N/A</v>
      </c>
      <c r="AG94" s="3" t="str">
        <f t="shared" si="5"/>
        <v/>
      </c>
    </row>
    <row r="95" spans="1:33" x14ac:dyDescent="0.25">
      <c r="A95" s="7"/>
      <c r="B95" s="8"/>
      <c r="C95" s="3"/>
      <c r="D95" s="3"/>
      <c r="E95" s="3" t="e">
        <f>VLOOKUP(D95,VIAJES!$D:$E,2,FALSE)</f>
        <v>#N/A</v>
      </c>
      <c r="F95" s="9" t="e">
        <f>VLOOKUP(D95,VIAJES!$D:$F,3,FALSE)</f>
        <v>#N/A</v>
      </c>
      <c r="G95" s="9" t="e">
        <f>VLOOKUP(D95,VIAJES!$D:$G,4,FALSE)</f>
        <v>#N/A</v>
      </c>
      <c r="H95" s="3" t="e">
        <f>VLOOKUP(D95,VIAJES!$D:$H,5,FALSE)</f>
        <v>#N/A</v>
      </c>
      <c r="S95" s="3">
        <f>IFERROR(INDEX(EVENTOS!$D:$D,MATCH(SCORE!S$2&amp;" "&amp;SCORE!$D95,EVENTOS!$F:$F,0)),0)</f>
        <v>0</v>
      </c>
      <c r="T95" s="3">
        <f>IFERROR(INDEX(EVENTOS!$D:$D,MATCH(SCORE!T$2&amp;" "&amp;SCORE!$D95,EVENTOS!$F:$F,0)),0)</f>
        <v>0</v>
      </c>
      <c r="U95" s="3">
        <f>IFERROR(INDEX(EVENTOS!$D:$D,MATCH(SCORE!U$2&amp;" "&amp;SCORE!$D95,EVENTOS!$F:$F,0)),0)</f>
        <v>0</v>
      </c>
      <c r="V95" s="3">
        <f>IFERROR(INDEX(EVENTOS!$D:$D,MATCH(SCORE!V$2&amp;" "&amp;SCORE!$D95,EVENTOS!$F:$F,0)),0)</f>
        <v>0</v>
      </c>
      <c r="W95" s="3">
        <f>IFERROR(INDEX(EVENTOS!$D:$D,MATCH(SCORE!W$2&amp;" "&amp;SCORE!$D95,EVENTOS!$F:$F,0)),0)</f>
        <v>0</v>
      </c>
      <c r="X95" s="3">
        <f>IFERROR(INDEX(EVENTOS!$D:$D,MATCH(SCORE!X$2&amp;" "&amp;SCORE!$D95,EVENTOS!$F:$F,0)),0)</f>
        <v>0</v>
      </c>
      <c r="Y95" s="3">
        <f>SUMIFS(EVENTOS!$D:$D, EVENTOS!$B:$B, D95, EVENTOS!$E:$E, "*GirAlto*")</f>
        <v>0</v>
      </c>
      <c r="Z95" s="3">
        <f>SUMIFS(EVENTOS!$D:$D, EVENTOS!$B:$B, D95, EVENTOS!$E:$E, "*GirMed*")</f>
        <v>0</v>
      </c>
      <c r="AA95" s="3">
        <f>SUMIFS(EVENTOS!$D:$D, EVENTOS!$B:$B, D95, EVENTOS!$E:$E, "*GirBajo*")</f>
        <v>0</v>
      </c>
      <c r="AB95" s="3">
        <f>IFERROR(INDEX(EVENTOS!$D:$D,MATCH(SCORE!AB$2&amp;" "&amp;SCORE!$D95,EVENTOS!$F:$F,0)),0)</f>
        <v>0</v>
      </c>
      <c r="AC95" s="3">
        <f>IFERROR(INDEX(EVENTOS!$D:$D,MATCH(SCORE!AC$2&amp;" "&amp;SCORE!$D95,EVENTOS!$F:$F,0)),0)</f>
        <v>0</v>
      </c>
      <c r="AD95" s="3">
        <f>IFERROR(INDEX(EVENTOS!$D:$D,MATCH(SCORE!AD$2&amp;" "&amp;SCORE!$D95,EVENTOS!$F:$F,0)),0)</f>
        <v>0</v>
      </c>
      <c r="AE95" s="3">
        <f t="shared" si="3"/>
        <v>0</v>
      </c>
      <c r="AF95" s="10" t="e">
        <f t="shared" si="4"/>
        <v>#N/A</v>
      </c>
      <c r="AG95" s="3" t="str">
        <f t="shared" si="5"/>
        <v/>
      </c>
    </row>
    <row r="96" spans="1:33" x14ac:dyDescent="0.25">
      <c r="A96" s="7"/>
      <c r="B96" s="8"/>
      <c r="C96" s="3"/>
      <c r="D96" s="3"/>
      <c r="E96" s="3" t="e">
        <f>VLOOKUP(D96,VIAJES!$D:$E,2,FALSE)</f>
        <v>#N/A</v>
      </c>
      <c r="F96" s="9" t="e">
        <f>VLOOKUP(D96,VIAJES!$D:$F,3,FALSE)</f>
        <v>#N/A</v>
      </c>
      <c r="G96" s="9" t="e">
        <f>VLOOKUP(D96,VIAJES!$D:$G,4,FALSE)</f>
        <v>#N/A</v>
      </c>
      <c r="H96" s="3" t="e">
        <f>VLOOKUP(D96,VIAJES!$D:$H,5,FALSE)</f>
        <v>#N/A</v>
      </c>
      <c r="S96" s="3">
        <f>IFERROR(INDEX(EVENTOS!$D:$D,MATCH(SCORE!S$2&amp;" "&amp;SCORE!$D96,EVENTOS!$F:$F,0)),0)</f>
        <v>0</v>
      </c>
      <c r="T96" s="3">
        <f>IFERROR(INDEX(EVENTOS!$D:$D,MATCH(SCORE!T$2&amp;" "&amp;SCORE!$D96,EVENTOS!$F:$F,0)),0)</f>
        <v>0</v>
      </c>
      <c r="U96" s="3">
        <f>IFERROR(INDEX(EVENTOS!$D:$D,MATCH(SCORE!U$2&amp;" "&amp;SCORE!$D96,EVENTOS!$F:$F,0)),0)</f>
        <v>0</v>
      </c>
      <c r="V96" s="3">
        <f>IFERROR(INDEX(EVENTOS!$D:$D,MATCH(SCORE!V$2&amp;" "&amp;SCORE!$D96,EVENTOS!$F:$F,0)),0)</f>
        <v>0</v>
      </c>
      <c r="W96" s="3">
        <f>IFERROR(INDEX(EVENTOS!$D:$D,MATCH(SCORE!W$2&amp;" "&amp;SCORE!$D96,EVENTOS!$F:$F,0)),0)</f>
        <v>0</v>
      </c>
      <c r="X96" s="3">
        <f>IFERROR(INDEX(EVENTOS!$D:$D,MATCH(SCORE!X$2&amp;" "&amp;SCORE!$D96,EVENTOS!$F:$F,0)),0)</f>
        <v>0</v>
      </c>
      <c r="Y96" s="3">
        <f>SUMIFS(EVENTOS!$D:$D, EVENTOS!$B:$B, D96, EVENTOS!$E:$E, "*GirAlto*")</f>
        <v>0</v>
      </c>
      <c r="Z96" s="3">
        <f>SUMIFS(EVENTOS!$D:$D, EVENTOS!$B:$B, D96, EVENTOS!$E:$E, "*GirMed*")</f>
        <v>0</v>
      </c>
      <c r="AA96" s="3">
        <f>SUMIFS(EVENTOS!$D:$D, EVENTOS!$B:$B, D96, EVENTOS!$E:$E, "*GirBajo*")</f>
        <v>0</v>
      </c>
      <c r="AB96" s="3">
        <f>IFERROR(INDEX(EVENTOS!$D:$D,MATCH(SCORE!AB$2&amp;" "&amp;SCORE!$D96,EVENTOS!$F:$F,0)),0)</f>
        <v>0</v>
      </c>
      <c r="AC96" s="3">
        <f>IFERROR(INDEX(EVENTOS!$D:$D,MATCH(SCORE!AC$2&amp;" "&amp;SCORE!$D96,EVENTOS!$F:$F,0)),0)</f>
        <v>0</v>
      </c>
      <c r="AD96" s="3">
        <f>IFERROR(INDEX(EVENTOS!$D:$D,MATCH(SCORE!AD$2&amp;" "&amp;SCORE!$D96,EVENTOS!$F:$F,0)),0)</f>
        <v>0</v>
      </c>
      <c r="AE96" s="3">
        <f t="shared" si="3"/>
        <v>0</v>
      </c>
      <c r="AF96" s="10" t="e">
        <f t="shared" si="4"/>
        <v>#N/A</v>
      </c>
      <c r="AG96" s="3" t="str">
        <f t="shared" si="5"/>
        <v/>
      </c>
    </row>
    <row r="97" spans="1:33" x14ac:dyDescent="0.25">
      <c r="A97" s="7"/>
      <c r="B97" s="8"/>
      <c r="C97" s="3"/>
      <c r="D97" s="3"/>
      <c r="E97" s="3" t="e">
        <f>VLOOKUP(D97,VIAJES!$D:$E,2,FALSE)</f>
        <v>#N/A</v>
      </c>
      <c r="F97" s="9" t="e">
        <f>VLOOKUP(D97,VIAJES!$D:$F,3,FALSE)</f>
        <v>#N/A</v>
      </c>
      <c r="G97" s="9" t="e">
        <f>VLOOKUP(D97,VIAJES!$D:$G,4,FALSE)</f>
        <v>#N/A</v>
      </c>
      <c r="H97" s="3" t="e">
        <f>VLOOKUP(D97,VIAJES!$D:$H,5,FALSE)</f>
        <v>#N/A</v>
      </c>
      <c r="S97" s="3">
        <f>IFERROR(INDEX(EVENTOS!$D:$D,MATCH(SCORE!S$2&amp;" "&amp;SCORE!$D97,EVENTOS!$F:$F,0)),0)</f>
        <v>0</v>
      </c>
      <c r="T97" s="3">
        <f>IFERROR(INDEX(EVENTOS!$D:$D,MATCH(SCORE!T$2&amp;" "&amp;SCORE!$D97,EVENTOS!$F:$F,0)),0)</f>
        <v>0</v>
      </c>
      <c r="U97" s="3">
        <f>IFERROR(INDEX(EVENTOS!$D:$D,MATCH(SCORE!U$2&amp;" "&amp;SCORE!$D97,EVENTOS!$F:$F,0)),0)</f>
        <v>0</v>
      </c>
      <c r="V97" s="3">
        <f>IFERROR(INDEX(EVENTOS!$D:$D,MATCH(SCORE!V$2&amp;" "&amp;SCORE!$D97,EVENTOS!$F:$F,0)),0)</f>
        <v>0</v>
      </c>
      <c r="W97" s="3">
        <f>IFERROR(INDEX(EVENTOS!$D:$D,MATCH(SCORE!W$2&amp;" "&amp;SCORE!$D97,EVENTOS!$F:$F,0)),0)</f>
        <v>0</v>
      </c>
      <c r="X97" s="3">
        <f>IFERROR(INDEX(EVENTOS!$D:$D,MATCH(SCORE!X$2&amp;" "&amp;SCORE!$D97,EVENTOS!$F:$F,0)),0)</f>
        <v>0</v>
      </c>
      <c r="Y97" s="3">
        <f>SUMIFS(EVENTOS!$D:$D, EVENTOS!$B:$B, D97, EVENTOS!$E:$E, "*GirAlto*")</f>
        <v>0</v>
      </c>
      <c r="Z97" s="3">
        <f>SUMIFS(EVENTOS!$D:$D, EVENTOS!$B:$B, D97, EVENTOS!$E:$E, "*GirMed*")</f>
        <v>0</v>
      </c>
      <c r="AA97" s="3">
        <f>SUMIFS(EVENTOS!$D:$D, EVENTOS!$B:$B, D97, EVENTOS!$E:$E, "*GirBajo*")</f>
        <v>0</v>
      </c>
      <c r="AB97" s="3">
        <f>IFERROR(INDEX(EVENTOS!$D:$D,MATCH(SCORE!AB$2&amp;" "&amp;SCORE!$D97,EVENTOS!$F:$F,0)),0)</f>
        <v>0</v>
      </c>
      <c r="AC97" s="3">
        <f>IFERROR(INDEX(EVENTOS!$D:$D,MATCH(SCORE!AC$2&amp;" "&amp;SCORE!$D97,EVENTOS!$F:$F,0)),0)</f>
        <v>0</v>
      </c>
      <c r="AD97" s="3">
        <f>IFERROR(INDEX(EVENTOS!$D:$D,MATCH(SCORE!AD$2&amp;" "&amp;SCORE!$D97,EVENTOS!$F:$F,0)),0)</f>
        <v>0</v>
      </c>
      <c r="AE97" s="3">
        <f t="shared" si="3"/>
        <v>0</v>
      </c>
      <c r="AF97" s="10" t="e">
        <f t="shared" si="4"/>
        <v>#N/A</v>
      </c>
      <c r="AG97" s="3" t="str">
        <f t="shared" si="5"/>
        <v/>
      </c>
    </row>
    <row r="98" spans="1:33" x14ac:dyDescent="0.25">
      <c r="A98" s="7"/>
      <c r="B98" s="8"/>
      <c r="C98" s="3"/>
      <c r="D98" s="3"/>
      <c r="E98" s="3" t="e">
        <f>VLOOKUP(D98,VIAJES!$D:$E,2,FALSE)</f>
        <v>#N/A</v>
      </c>
      <c r="F98" s="9" t="e">
        <f>VLOOKUP(D98,VIAJES!$D:$F,3,FALSE)</f>
        <v>#N/A</v>
      </c>
      <c r="G98" s="9" t="e">
        <f>VLOOKUP(D98,VIAJES!$D:$G,4,FALSE)</f>
        <v>#N/A</v>
      </c>
      <c r="H98" s="3" t="e">
        <f>VLOOKUP(D98,VIAJES!$D:$H,5,FALSE)</f>
        <v>#N/A</v>
      </c>
      <c r="S98" s="3">
        <f>IFERROR(INDEX(EVENTOS!$D:$D,MATCH(SCORE!S$2&amp;" "&amp;SCORE!$D98,EVENTOS!$F:$F,0)),0)</f>
        <v>0</v>
      </c>
      <c r="T98" s="3">
        <f>IFERROR(INDEX(EVENTOS!$D:$D,MATCH(SCORE!T$2&amp;" "&amp;SCORE!$D98,EVENTOS!$F:$F,0)),0)</f>
        <v>0</v>
      </c>
      <c r="U98" s="3">
        <f>IFERROR(INDEX(EVENTOS!$D:$D,MATCH(SCORE!U$2&amp;" "&amp;SCORE!$D98,EVENTOS!$F:$F,0)),0)</f>
        <v>0</v>
      </c>
      <c r="V98" s="3">
        <f>IFERROR(INDEX(EVENTOS!$D:$D,MATCH(SCORE!V$2&amp;" "&amp;SCORE!$D98,EVENTOS!$F:$F,0)),0)</f>
        <v>0</v>
      </c>
      <c r="W98" s="3">
        <f>IFERROR(INDEX(EVENTOS!$D:$D,MATCH(SCORE!W$2&amp;" "&amp;SCORE!$D98,EVENTOS!$F:$F,0)),0)</f>
        <v>0</v>
      </c>
      <c r="X98" s="3">
        <f>IFERROR(INDEX(EVENTOS!$D:$D,MATCH(SCORE!X$2&amp;" "&amp;SCORE!$D98,EVENTOS!$F:$F,0)),0)</f>
        <v>0</v>
      </c>
      <c r="Y98" s="3">
        <f>SUMIFS(EVENTOS!$D:$D, EVENTOS!$B:$B, D98, EVENTOS!$E:$E, "*GirAlto*")</f>
        <v>0</v>
      </c>
      <c r="Z98" s="3">
        <f>SUMIFS(EVENTOS!$D:$D, EVENTOS!$B:$B, D98, EVENTOS!$E:$E, "*GirMed*")</f>
        <v>0</v>
      </c>
      <c r="AA98" s="3">
        <f>SUMIFS(EVENTOS!$D:$D, EVENTOS!$B:$B, D98, EVENTOS!$E:$E, "*GirBajo*")</f>
        <v>0</v>
      </c>
      <c r="AB98" s="3">
        <f>IFERROR(INDEX(EVENTOS!$D:$D,MATCH(SCORE!AB$2&amp;" "&amp;SCORE!$D98,EVENTOS!$F:$F,0)),0)</f>
        <v>0</v>
      </c>
      <c r="AC98" s="3">
        <f>IFERROR(INDEX(EVENTOS!$D:$D,MATCH(SCORE!AC$2&amp;" "&amp;SCORE!$D98,EVENTOS!$F:$F,0)),0)</f>
        <v>0</v>
      </c>
      <c r="AD98" s="3">
        <f>IFERROR(INDEX(EVENTOS!$D:$D,MATCH(SCORE!AD$2&amp;" "&amp;SCORE!$D98,EVENTOS!$F:$F,0)),0)</f>
        <v>0</v>
      </c>
      <c r="AE98" s="3">
        <f t="shared" si="3"/>
        <v>0</v>
      </c>
      <c r="AF98" s="10" t="e">
        <f t="shared" si="4"/>
        <v>#N/A</v>
      </c>
      <c r="AG98" s="3" t="str">
        <f t="shared" si="5"/>
        <v/>
      </c>
    </row>
    <row r="99" spans="1:33" x14ac:dyDescent="0.25">
      <c r="A99" s="7"/>
      <c r="B99" s="8"/>
      <c r="C99" s="3"/>
      <c r="D99" s="3"/>
      <c r="E99" s="3" t="e">
        <f>VLOOKUP(D99,VIAJES!$D:$E,2,FALSE)</f>
        <v>#N/A</v>
      </c>
      <c r="F99" s="9" t="e">
        <f>VLOOKUP(D99,VIAJES!$D:$F,3,FALSE)</f>
        <v>#N/A</v>
      </c>
      <c r="G99" s="9" t="e">
        <f>VLOOKUP(D99,VIAJES!$D:$G,4,FALSE)</f>
        <v>#N/A</v>
      </c>
      <c r="H99" s="3" t="e">
        <f>VLOOKUP(D99,VIAJES!$D:$H,5,FALSE)</f>
        <v>#N/A</v>
      </c>
      <c r="S99" s="3">
        <f>IFERROR(INDEX(EVENTOS!$D:$D,MATCH(SCORE!S$2&amp;" "&amp;SCORE!$D99,EVENTOS!$F:$F,0)),0)</f>
        <v>0</v>
      </c>
      <c r="T99" s="3">
        <f>IFERROR(INDEX(EVENTOS!$D:$D,MATCH(SCORE!T$2&amp;" "&amp;SCORE!$D99,EVENTOS!$F:$F,0)),0)</f>
        <v>0</v>
      </c>
      <c r="U99" s="3">
        <f>IFERROR(INDEX(EVENTOS!$D:$D,MATCH(SCORE!U$2&amp;" "&amp;SCORE!$D99,EVENTOS!$F:$F,0)),0)</f>
        <v>0</v>
      </c>
      <c r="V99" s="3">
        <f>IFERROR(INDEX(EVENTOS!$D:$D,MATCH(SCORE!V$2&amp;" "&amp;SCORE!$D99,EVENTOS!$F:$F,0)),0)</f>
        <v>0</v>
      </c>
      <c r="W99" s="3">
        <f>IFERROR(INDEX(EVENTOS!$D:$D,MATCH(SCORE!W$2&amp;" "&amp;SCORE!$D99,EVENTOS!$F:$F,0)),0)</f>
        <v>0</v>
      </c>
      <c r="X99" s="3">
        <f>IFERROR(INDEX(EVENTOS!$D:$D,MATCH(SCORE!X$2&amp;" "&amp;SCORE!$D99,EVENTOS!$F:$F,0)),0)</f>
        <v>0</v>
      </c>
      <c r="Y99" s="3">
        <f>SUMIFS(EVENTOS!$D:$D, EVENTOS!$B:$B, D99, EVENTOS!$E:$E, "*GirAlto*")</f>
        <v>0</v>
      </c>
      <c r="Z99" s="3">
        <f>SUMIFS(EVENTOS!$D:$D, EVENTOS!$B:$B, D99, EVENTOS!$E:$E, "*GirMed*")</f>
        <v>0</v>
      </c>
      <c r="AA99" s="3">
        <f>SUMIFS(EVENTOS!$D:$D, EVENTOS!$B:$B, D99, EVENTOS!$E:$E, "*GirBajo*")</f>
        <v>0</v>
      </c>
      <c r="AB99" s="3">
        <f>IFERROR(INDEX(EVENTOS!$D:$D,MATCH(SCORE!AB$2&amp;" "&amp;SCORE!$D99,EVENTOS!$F:$F,0)),0)</f>
        <v>0</v>
      </c>
      <c r="AC99" s="3">
        <f>IFERROR(INDEX(EVENTOS!$D:$D,MATCH(SCORE!AC$2&amp;" "&amp;SCORE!$D99,EVENTOS!$F:$F,0)),0)</f>
        <v>0</v>
      </c>
      <c r="AD99" s="3">
        <f>IFERROR(INDEX(EVENTOS!$D:$D,MATCH(SCORE!AD$2&amp;" "&amp;SCORE!$D99,EVENTOS!$F:$F,0)),0)</f>
        <v>0</v>
      </c>
      <c r="AE99" s="3">
        <f t="shared" si="3"/>
        <v>0</v>
      </c>
      <c r="AF99" s="10" t="e">
        <f t="shared" si="4"/>
        <v>#N/A</v>
      </c>
      <c r="AG99" s="3" t="str">
        <f t="shared" si="5"/>
        <v/>
      </c>
    </row>
    <row r="100" spans="1:33" x14ac:dyDescent="0.25">
      <c r="A100" s="7"/>
      <c r="B100" s="8"/>
      <c r="C100" s="3"/>
      <c r="D100" s="3"/>
      <c r="E100" s="3" t="e">
        <f>VLOOKUP(D100,VIAJES!$D:$E,2,FALSE)</f>
        <v>#N/A</v>
      </c>
      <c r="F100" s="9" t="e">
        <f>VLOOKUP(D100,VIAJES!$D:$F,3,FALSE)</f>
        <v>#N/A</v>
      </c>
      <c r="G100" s="9" t="e">
        <f>VLOOKUP(D100,VIAJES!$D:$G,4,FALSE)</f>
        <v>#N/A</v>
      </c>
      <c r="H100" s="3" t="e">
        <f>VLOOKUP(D100,VIAJES!$D:$H,5,FALSE)</f>
        <v>#N/A</v>
      </c>
      <c r="S100" s="3">
        <f>IFERROR(INDEX(EVENTOS!$D:$D,MATCH(SCORE!S$2&amp;" "&amp;SCORE!$D100,EVENTOS!$F:$F,0)),0)</f>
        <v>0</v>
      </c>
      <c r="T100" s="3">
        <f>IFERROR(INDEX(EVENTOS!$D:$D,MATCH(SCORE!T$2&amp;" "&amp;SCORE!$D100,EVENTOS!$F:$F,0)),0)</f>
        <v>0</v>
      </c>
      <c r="U100" s="3">
        <f>IFERROR(INDEX(EVENTOS!$D:$D,MATCH(SCORE!U$2&amp;" "&amp;SCORE!$D100,EVENTOS!$F:$F,0)),0)</f>
        <v>0</v>
      </c>
      <c r="V100" s="3">
        <f>IFERROR(INDEX(EVENTOS!$D:$D,MATCH(SCORE!V$2&amp;" "&amp;SCORE!$D100,EVENTOS!$F:$F,0)),0)</f>
        <v>0</v>
      </c>
      <c r="W100" s="3">
        <f>IFERROR(INDEX(EVENTOS!$D:$D,MATCH(SCORE!W$2&amp;" "&amp;SCORE!$D100,EVENTOS!$F:$F,0)),0)</f>
        <v>0</v>
      </c>
      <c r="X100" s="3">
        <f>IFERROR(INDEX(EVENTOS!$D:$D,MATCH(SCORE!X$2&amp;" "&amp;SCORE!$D100,EVENTOS!$F:$F,0)),0)</f>
        <v>0</v>
      </c>
      <c r="Y100" s="3">
        <f>SUMIFS(EVENTOS!$D:$D, EVENTOS!$B:$B, D100, EVENTOS!$E:$E, "*GirAlto*")</f>
        <v>0</v>
      </c>
      <c r="Z100" s="3">
        <f>SUMIFS(EVENTOS!$D:$D, EVENTOS!$B:$B, D100, EVENTOS!$E:$E, "*GirMed*")</f>
        <v>0</v>
      </c>
      <c r="AA100" s="3">
        <f>SUMIFS(EVENTOS!$D:$D, EVENTOS!$B:$B, D100, EVENTOS!$E:$E, "*GirBajo*")</f>
        <v>0</v>
      </c>
      <c r="AB100" s="3">
        <f>IFERROR(INDEX(EVENTOS!$D:$D,MATCH(SCORE!AB$2&amp;" "&amp;SCORE!$D100,EVENTOS!$F:$F,0)),0)</f>
        <v>0</v>
      </c>
      <c r="AC100" s="3">
        <f>IFERROR(INDEX(EVENTOS!$D:$D,MATCH(SCORE!AC$2&amp;" "&amp;SCORE!$D100,EVENTOS!$F:$F,0)),0)</f>
        <v>0</v>
      </c>
      <c r="AD100" s="3">
        <f>IFERROR(INDEX(EVENTOS!$D:$D,MATCH(SCORE!AD$2&amp;" "&amp;SCORE!$D100,EVENTOS!$F:$F,0)),0)</f>
        <v>0</v>
      </c>
      <c r="AE100" s="3">
        <f t="shared" si="3"/>
        <v>0</v>
      </c>
      <c r="AF100" s="10" t="e">
        <f t="shared" si="4"/>
        <v>#N/A</v>
      </c>
      <c r="AG100" s="3" t="str">
        <f t="shared" si="5"/>
        <v/>
      </c>
    </row>
    <row r="101" spans="1:33" x14ac:dyDescent="0.25">
      <c r="A101" s="7"/>
      <c r="B101" s="8"/>
      <c r="C101" s="3"/>
      <c r="D101" s="3"/>
      <c r="E101" s="3" t="e">
        <f>VLOOKUP(D101,VIAJES!$D:$E,2,FALSE)</f>
        <v>#N/A</v>
      </c>
      <c r="F101" s="9" t="e">
        <f>VLOOKUP(D101,VIAJES!$D:$F,3,FALSE)</f>
        <v>#N/A</v>
      </c>
      <c r="G101" s="9" t="e">
        <f>VLOOKUP(D101,VIAJES!$D:$G,4,FALSE)</f>
        <v>#N/A</v>
      </c>
      <c r="H101" s="3" t="e">
        <f>VLOOKUP(D101,VIAJES!$D:$H,5,FALSE)</f>
        <v>#N/A</v>
      </c>
      <c r="S101" s="3">
        <f>IFERROR(INDEX(EVENTOS!$D:$D,MATCH(SCORE!S$2&amp;" "&amp;SCORE!$D101,EVENTOS!$F:$F,0)),0)</f>
        <v>0</v>
      </c>
      <c r="T101" s="3">
        <f>IFERROR(INDEX(EVENTOS!$D:$D,MATCH(SCORE!T$2&amp;" "&amp;SCORE!$D101,EVENTOS!$F:$F,0)),0)</f>
        <v>0</v>
      </c>
      <c r="U101" s="3">
        <f>IFERROR(INDEX(EVENTOS!$D:$D,MATCH(SCORE!U$2&amp;" "&amp;SCORE!$D101,EVENTOS!$F:$F,0)),0)</f>
        <v>0</v>
      </c>
      <c r="V101" s="3">
        <f>IFERROR(INDEX(EVENTOS!$D:$D,MATCH(SCORE!V$2&amp;" "&amp;SCORE!$D101,EVENTOS!$F:$F,0)),0)</f>
        <v>0</v>
      </c>
      <c r="W101" s="3">
        <f>IFERROR(INDEX(EVENTOS!$D:$D,MATCH(SCORE!W$2&amp;" "&amp;SCORE!$D101,EVENTOS!$F:$F,0)),0)</f>
        <v>0</v>
      </c>
      <c r="X101" s="3">
        <f>IFERROR(INDEX(EVENTOS!$D:$D,MATCH(SCORE!X$2&amp;" "&amp;SCORE!$D101,EVENTOS!$F:$F,0)),0)</f>
        <v>0</v>
      </c>
      <c r="Y101" s="3">
        <f>SUMIFS(EVENTOS!$D:$D, EVENTOS!$B:$B, D101, EVENTOS!$E:$E, "*GirAlto*")</f>
        <v>0</v>
      </c>
      <c r="Z101" s="3">
        <f>SUMIFS(EVENTOS!$D:$D, EVENTOS!$B:$B, D101, EVENTOS!$E:$E, "*GirMed*")</f>
        <v>0</v>
      </c>
      <c r="AA101" s="3">
        <f>SUMIFS(EVENTOS!$D:$D, EVENTOS!$B:$B, D101, EVENTOS!$E:$E, "*GirBajo*")</f>
        <v>0</v>
      </c>
      <c r="AB101" s="3">
        <f>IFERROR(INDEX(EVENTOS!$D:$D,MATCH(SCORE!AB$2&amp;" "&amp;SCORE!$D101,EVENTOS!$F:$F,0)),0)</f>
        <v>0</v>
      </c>
      <c r="AC101" s="3">
        <f>IFERROR(INDEX(EVENTOS!$D:$D,MATCH(SCORE!AC$2&amp;" "&amp;SCORE!$D101,EVENTOS!$F:$F,0)),0)</f>
        <v>0</v>
      </c>
      <c r="AD101" s="3">
        <f>IFERROR(INDEX(EVENTOS!$D:$D,MATCH(SCORE!AD$2&amp;" "&amp;SCORE!$D101,EVENTOS!$F:$F,0)),0)</f>
        <v>0</v>
      </c>
      <c r="AE101" s="3">
        <f t="shared" si="3"/>
        <v>0</v>
      </c>
      <c r="AF101" s="10" t="e">
        <f t="shared" si="4"/>
        <v>#N/A</v>
      </c>
      <c r="AG101" s="3" t="str">
        <f t="shared" si="5"/>
        <v/>
      </c>
    </row>
    <row r="102" spans="1:33" x14ac:dyDescent="0.25">
      <c r="A102" s="7"/>
      <c r="B102" s="8"/>
      <c r="C102" s="3"/>
      <c r="D102" s="3"/>
      <c r="E102" s="3" t="e">
        <f>VLOOKUP(D102,VIAJES!$D:$E,2,FALSE)</f>
        <v>#N/A</v>
      </c>
      <c r="F102" s="9" t="e">
        <f>VLOOKUP(D102,VIAJES!$D:$F,3,FALSE)</f>
        <v>#N/A</v>
      </c>
      <c r="G102" s="9" t="e">
        <f>VLOOKUP(D102,VIAJES!$D:$G,4,FALSE)</f>
        <v>#N/A</v>
      </c>
      <c r="H102" s="3" t="e">
        <f>VLOOKUP(D102,VIAJES!$D:$H,5,FALSE)</f>
        <v>#N/A</v>
      </c>
      <c r="S102" s="3">
        <f>IFERROR(INDEX(EVENTOS!$D:$D,MATCH(SCORE!S$2&amp;" "&amp;SCORE!$D102,EVENTOS!$F:$F,0)),0)</f>
        <v>0</v>
      </c>
      <c r="T102" s="3">
        <f>IFERROR(INDEX(EVENTOS!$D:$D,MATCH(SCORE!T$2&amp;" "&amp;SCORE!$D102,EVENTOS!$F:$F,0)),0)</f>
        <v>0</v>
      </c>
      <c r="U102" s="3">
        <f>IFERROR(INDEX(EVENTOS!$D:$D,MATCH(SCORE!U$2&amp;" "&amp;SCORE!$D102,EVENTOS!$F:$F,0)),0)</f>
        <v>0</v>
      </c>
      <c r="V102" s="3">
        <f>IFERROR(INDEX(EVENTOS!$D:$D,MATCH(SCORE!V$2&amp;" "&amp;SCORE!$D102,EVENTOS!$F:$F,0)),0)</f>
        <v>0</v>
      </c>
      <c r="W102" s="3">
        <f>IFERROR(INDEX(EVENTOS!$D:$D,MATCH(SCORE!W$2&amp;" "&amp;SCORE!$D102,EVENTOS!$F:$F,0)),0)</f>
        <v>0</v>
      </c>
      <c r="X102" s="3">
        <f>IFERROR(INDEX(EVENTOS!$D:$D,MATCH(SCORE!X$2&amp;" "&amp;SCORE!$D102,EVENTOS!$F:$F,0)),0)</f>
        <v>0</v>
      </c>
      <c r="Y102" s="3">
        <f>SUMIFS(EVENTOS!$D:$D, EVENTOS!$B:$B, D102, EVENTOS!$E:$E, "*GirAlto*")</f>
        <v>0</v>
      </c>
      <c r="Z102" s="3">
        <f>SUMIFS(EVENTOS!$D:$D, EVENTOS!$B:$B, D102, EVENTOS!$E:$E, "*GirMed*")</f>
        <v>0</v>
      </c>
      <c r="AA102" s="3">
        <f>SUMIFS(EVENTOS!$D:$D, EVENTOS!$B:$B, D102, EVENTOS!$E:$E, "*GirBajo*")</f>
        <v>0</v>
      </c>
      <c r="AB102" s="3">
        <f>IFERROR(INDEX(EVENTOS!$D:$D,MATCH(SCORE!AB$2&amp;" "&amp;SCORE!$D102,EVENTOS!$F:$F,0)),0)</f>
        <v>0</v>
      </c>
      <c r="AC102" s="3">
        <f>IFERROR(INDEX(EVENTOS!$D:$D,MATCH(SCORE!AC$2&amp;" "&amp;SCORE!$D102,EVENTOS!$F:$F,0)),0)</f>
        <v>0</v>
      </c>
      <c r="AD102" s="3">
        <f>IFERROR(INDEX(EVENTOS!$D:$D,MATCH(SCORE!AD$2&amp;" "&amp;SCORE!$D102,EVENTOS!$F:$F,0)),0)</f>
        <v>0</v>
      </c>
      <c r="AE102" s="3">
        <f t="shared" si="3"/>
        <v>0</v>
      </c>
      <c r="AF102" s="10" t="e">
        <f t="shared" si="4"/>
        <v>#N/A</v>
      </c>
      <c r="AG102" s="3" t="str">
        <f t="shared" si="5"/>
        <v/>
      </c>
    </row>
    <row r="103" spans="1:33" x14ac:dyDescent="0.25">
      <c r="A103" s="7"/>
      <c r="B103" s="8"/>
      <c r="C103" s="3"/>
      <c r="D103" s="3"/>
      <c r="E103" s="3" t="e">
        <f>VLOOKUP(D103,VIAJES!$D:$E,2,FALSE)</f>
        <v>#N/A</v>
      </c>
      <c r="F103" s="9" t="e">
        <f>VLOOKUP(D103,VIAJES!$D:$F,3,FALSE)</f>
        <v>#N/A</v>
      </c>
      <c r="G103" s="9" t="e">
        <f>VLOOKUP(D103,VIAJES!$D:$G,4,FALSE)</f>
        <v>#N/A</v>
      </c>
      <c r="H103" s="3" t="e">
        <f>VLOOKUP(D103,VIAJES!$D:$H,5,FALSE)</f>
        <v>#N/A</v>
      </c>
      <c r="S103" s="3">
        <f>IFERROR(INDEX(EVENTOS!$D:$D,MATCH(SCORE!S$2&amp;" "&amp;SCORE!$D103,EVENTOS!$F:$F,0)),0)</f>
        <v>0</v>
      </c>
      <c r="T103" s="3">
        <f>IFERROR(INDEX(EVENTOS!$D:$D,MATCH(SCORE!T$2&amp;" "&amp;SCORE!$D103,EVENTOS!$F:$F,0)),0)</f>
        <v>0</v>
      </c>
      <c r="U103" s="3">
        <f>IFERROR(INDEX(EVENTOS!$D:$D,MATCH(SCORE!U$2&amp;" "&amp;SCORE!$D103,EVENTOS!$F:$F,0)),0)</f>
        <v>0</v>
      </c>
      <c r="V103" s="3">
        <f>IFERROR(INDEX(EVENTOS!$D:$D,MATCH(SCORE!V$2&amp;" "&amp;SCORE!$D103,EVENTOS!$F:$F,0)),0)</f>
        <v>0</v>
      </c>
      <c r="W103" s="3">
        <f>IFERROR(INDEX(EVENTOS!$D:$D,MATCH(SCORE!W$2&amp;" "&amp;SCORE!$D103,EVENTOS!$F:$F,0)),0)</f>
        <v>0</v>
      </c>
      <c r="X103" s="3">
        <f>IFERROR(INDEX(EVENTOS!$D:$D,MATCH(SCORE!X$2&amp;" "&amp;SCORE!$D103,EVENTOS!$F:$F,0)),0)</f>
        <v>0</v>
      </c>
      <c r="Y103" s="3">
        <f>SUMIFS(EVENTOS!$D:$D, EVENTOS!$B:$B, D103, EVENTOS!$E:$E, "*GirAlto*")</f>
        <v>0</v>
      </c>
      <c r="Z103" s="3">
        <f>SUMIFS(EVENTOS!$D:$D, EVENTOS!$B:$B, D103, EVENTOS!$E:$E, "*GirMed*")</f>
        <v>0</v>
      </c>
      <c r="AA103" s="3">
        <f>SUMIFS(EVENTOS!$D:$D, EVENTOS!$B:$B, D103, EVENTOS!$E:$E, "*GirBajo*")</f>
        <v>0</v>
      </c>
      <c r="AB103" s="3">
        <f>IFERROR(INDEX(EVENTOS!$D:$D,MATCH(SCORE!AB$2&amp;" "&amp;SCORE!$D103,EVENTOS!$F:$F,0)),0)</f>
        <v>0</v>
      </c>
      <c r="AC103" s="3">
        <f>IFERROR(INDEX(EVENTOS!$D:$D,MATCH(SCORE!AC$2&amp;" "&amp;SCORE!$D103,EVENTOS!$F:$F,0)),0)</f>
        <v>0</v>
      </c>
      <c r="AD103" s="3">
        <f>IFERROR(INDEX(EVENTOS!$D:$D,MATCH(SCORE!AD$2&amp;" "&amp;SCORE!$D103,EVENTOS!$F:$F,0)),0)</f>
        <v>0</v>
      </c>
      <c r="AE103" s="3">
        <f t="shared" si="3"/>
        <v>0</v>
      </c>
      <c r="AF103" s="10" t="e">
        <f t="shared" si="4"/>
        <v>#N/A</v>
      </c>
      <c r="AG103" s="3" t="str">
        <f t="shared" si="5"/>
        <v/>
      </c>
    </row>
    <row r="104" spans="1:33" x14ac:dyDescent="0.25">
      <c r="A104" s="7"/>
      <c r="B104" s="8"/>
      <c r="C104" s="3"/>
      <c r="D104" s="3"/>
      <c r="E104" s="3" t="e">
        <f>VLOOKUP(D104,VIAJES!$D:$E,2,FALSE)</f>
        <v>#N/A</v>
      </c>
      <c r="F104" s="9" t="e">
        <f>VLOOKUP(D104,VIAJES!$D:$F,3,FALSE)</f>
        <v>#N/A</v>
      </c>
      <c r="G104" s="9" t="e">
        <f>VLOOKUP(D104,VIAJES!$D:$G,4,FALSE)</f>
        <v>#N/A</v>
      </c>
      <c r="H104" s="3" t="e">
        <f>VLOOKUP(D104,VIAJES!$D:$H,5,FALSE)</f>
        <v>#N/A</v>
      </c>
      <c r="S104" s="3">
        <f>IFERROR(INDEX(EVENTOS!$D:$D,MATCH(SCORE!S$2&amp;" "&amp;SCORE!$D104,EVENTOS!$F:$F,0)),0)</f>
        <v>0</v>
      </c>
      <c r="T104" s="3">
        <f>IFERROR(INDEX(EVENTOS!$D:$D,MATCH(SCORE!T$2&amp;" "&amp;SCORE!$D104,EVENTOS!$F:$F,0)),0)</f>
        <v>0</v>
      </c>
      <c r="U104" s="3">
        <f>IFERROR(INDEX(EVENTOS!$D:$D,MATCH(SCORE!U$2&amp;" "&amp;SCORE!$D104,EVENTOS!$F:$F,0)),0)</f>
        <v>0</v>
      </c>
      <c r="V104" s="3">
        <f>IFERROR(INDEX(EVENTOS!$D:$D,MATCH(SCORE!V$2&amp;" "&amp;SCORE!$D104,EVENTOS!$F:$F,0)),0)</f>
        <v>0</v>
      </c>
      <c r="W104" s="3">
        <f>IFERROR(INDEX(EVENTOS!$D:$D,MATCH(SCORE!W$2&amp;" "&amp;SCORE!$D104,EVENTOS!$F:$F,0)),0)</f>
        <v>0</v>
      </c>
      <c r="X104" s="3">
        <f>IFERROR(INDEX(EVENTOS!$D:$D,MATCH(SCORE!X$2&amp;" "&amp;SCORE!$D104,EVENTOS!$F:$F,0)),0)</f>
        <v>0</v>
      </c>
      <c r="Y104" s="3">
        <f>SUMIFS(EVENTOS!$D:$D, EVENTOS!$B:$B, D104, EVENTOS!$E:$E, "*GirAlto*")</f>
        <v>0</v>
      </c>
      <c r="Z104" s="3">
        <f>SUMIFS(EVENTOS!$D:$D, EVENTOS!$B:$B, D104, EVENTOS!$E:$E, "*GirMed*")</f>
        <v>0</v>
      </c>
      <c r="AA104" s="3">
        <f>SUMIFS(EVENTOS!$D:$D, EVENTOS!$B:$B, D104, EVENTOS!$E:$E, "*GirBajo*")</f>
        <v>0</v>
      </c>
      <c r="AB104" s="3">
        <f>IFERROR(INDEX(EVENTOS!$D:$D,MATCH(SCORE!AB$2&amp;" "&amp;SCORE!$D104,EVENTOS!$F:$F,0)),0)</f>
        <v>0</v>
      </c>
      <c r="AC104" s="3">
        <f>IFERROR(INDEX(EVENTOS!$D:$D,MATCH(SCORE!AC$2&amp;" "&amp;SCORE!$D104,EVENTOS!$F:$F,0)),0)</f>
        <v>0</v>
      </c>
      <c r="AD104" s="3">
        <f>IFERROR(INDEX(EVENTOS!$D:$D,MATCH(SCORE!AD$2&amp;" "&amp;SCORE!$D104,EVENTOS!$F:$F,0)),0)</f>
        <v>0</v>
      </c>
      <c r="AE104" s="3">
        <f t="shared" si="3"/>
        <v>0</v>
      </c>
      <c r="AF104" s="10" t="e">
        <f t="shared" si="4"/>
        <v>#N/A</v>
      </c>
      <c r="AG104" s="3" t="str">
        <f t="shared" si="5"/>
        <v/>
      </c>
    </row>
    <row r="105" spans="1:33" x14ac:dyDescent="0.25">
      <c r="A105" s="7"/>
      <c r="B105" s="8"/>
      <c r="C105" s="3"/>
      <c r="D105" s="3"/>
      <c r="E105" s="3" t="e">
        <f>VLOOKUP(D105,VIAJES!$D:$E,2,FALSE)</f>
        <v>#N/A</v>
      </c>
      <c r="F105" s="9" t="e">
        <f>VLOOKUP(D105,VIAJES!$D:$F,3,FALSE)</f>
        <v>#N/A</v>
      </c>
      <c r="G105" s="9" t="e">
        <f>VLOOKUP(D105,VIAJES!$D:$G,4,FALSE)</f>
        <v>#N/A</v>
      </c>
      <c r="H105" s="3" t="e">
        <f>VLOOKUP(D105,VIAJES!$D:$H,5,FALSE)</f>
        <v>#N/A</v>
      </c>
      <c r="S105" s="3">
        <f>IFERROR(INDEX(EVENTOS!$D:$D,MATCH(SCORE!S$2&amp;" "&amp;SCORE!$D105,EVENTOS!$F:$F,0)),0)</f>
        <v>0</v>
      </c>
      <c r="T105" s="3">
        <f>IFERROR(INDEX(EVENTOS!$D:$D,MATCH(SCORE!T$2&amp;" "&amp;SCORE!$D105,EVENTOS!$F:$F,0)),0)</f>
        <v>0</v>
      </c>
      <c r="U105" s="3">
        <f>IFERROR(INDEX(EVENTOS!$D:$D,MATCH(SCORE!U$2&amp;" "&amp;SCORE!$D105,EVENTOS!$F:$F,0)),0)</f>
        <v>0</v>
      </c>
      <c r="V105" s="3">
        <f>IFERROR(INDEX(EVENTOS!$D:$D,MATCH(SCORE!V$2&amp;" "&amp;SCORE!$D105,EVENTOS!$F:$F,0)),0)</f>
        <v>0</v>
      </c>
      <c r="W105" s="3">
        <f>IFERROR(INDEX(EVENTOS!$D:$D,MATCH(SCORE!W$2&amp;" "&amp;SCORE!$D105,EVENTOS!$F:$F,0)),0)</f>
        <v>0</v>
      </c>
      <c r="X105" s="3">
        <f>IFERROR(INDEX(EVENTOS!$D:$D,MATCH(SCORE!X$2&amp;" "&amp;SCORE!$D105,EVENTOS!$F:$F,0)),0)</f>
        <v>0</v>
      </c>
      <c r="Y105" s="3">
        <f>SUMIFS(EVENTOS!$D:$D, EVENTOS!$B:$B, D105, EVENTOS!$E:$E, "*GirAlto*")</f>
        <v>0</v>
      </c>
      <c r="Z105" s="3">
        <f>SUMIFS(EVENTOS!$D:$D, EVENTOS!$B:$B, D105, EVENTOS!$E:$E, "*GirMed*")</f>
        <v>0</v>
      </c>
      <c r="AA105" s="3">
        <f>SUMIFS(EVENTOS!$D:$D, EVENTOS!$B:$B, D105, EVENTOS!$E:$E, "*GirBajo*")</f>
        <v>0</v>
      </c>
      <c r="AB105" s="3">
        <f>IFERROR(INDEX(EVENTOS!$D:$D,MATCH(SCORE!AB$2&amp;" "&amp;SCORE!$D105,EVENTOS!$F:$F,0)),0)</f>
        <v>0</v>
      </c>
      <c r="AC105" s="3">
        <f>IFERROR(INDEX(EVENTOS!$D:$D,MATCH(SCORE!AC$2&amp;" "&amp;SCORE!$D105,EVENTOS!$F:$F,0)),0)</f>
        <v>0</v>
      </c>
      <c r="AD105" s="3">
        <f>IFERROR(INDEX(EVENTOS!$D:$D,MATCH(SCORE!AD$2&amp;" "&amp;SCORE!$D105,EVENTOS!$F:$F,0)),0)</f>
        <v>0</v>
      </c>
      <c r="AE105" s="3">
        <f t="shared" si="3"/>
        <v>0</v>
      </c>
      <c r="AF105" s="10" t="e">
        <f t="shared" si="4"/>
        <v>#N/A</v>
      </c>
      <c r="AG105" s="3" t="str">
        <f t="shared" si="5"/>
        <v/>
      </c>
    </row>
    <row r="106" spans="1:33" x14ac:dyDescent="0.25">
      <c r="A106" s="7"/>
      <c r="B106" s="8"/>
      <c r="C106" s="3"/>
      <c r="D106" s="3"/>
      <c r="E106" s="3" t="e">
        <f>VLOOKUP(D106,VIAJES!$D:$E,2,FALSE)</f>
        <v>#N/A</v>
      </c>
      <c r="F106" s="9" t="e">
        <f>VLOOKUP(D106,VIAJES!$D:$F,3,FALSE)</f>
        <v>#N/A</v>
      </c>
      <c r="G106" s="9" t="e">
        <f>VLOOKUP(D106,VIAJES!$D:$G,4,FALSE)</f>
        <v>#N/A</v>
      </c>
      <c r="H106" s="3" t="e">
        <f>VLOOKUP(D106,VIAJES!$D:$H,5,FALSE)</f>
        <v>#N/A</v>
      </c>
      <c r="S106" s="3">
        <f>IFERROR(INDEX(EVENTOS!$D:$D,MATCH(SCORE!S$2&amp;" "&amp;SCORE!$D106,EVENTOS!$F:$F,0)),0)</f>
        <v>0</v>
      </c>
      <c r="T106" s="3">
        <f>IFERROR(INDEX(EVENTOS!$D:$D,MATCH(SCORE!T$2&amp;" "&amp;SCORE!$D106,EVENTOS!$F:$F,0)),0)</f>
        <v>0</v>
      </c>
      <c r="U106" s="3">
        <f>IFERROR(INDEX(EVENTOS!$D:$D,MATCH(SCORE!U$2&amp;" "&amp;SCORE!$D106,EVENTOS!$F:$F,0)),0)</f>
        <v>0</v>
      </c>
      <c r="V106" s="3">
        <f>IFERROR(INDEX(EVENTOS!$D:$D,MATCH(SCORE!V$2&amp;" "&amp;SCORE!$D106,EVENTOS!$F:$F,0)),0)</f>
        <v>0</v>
      </c>
      <c r="W106" s="3">
        <f>IFERROR(INDEX(EVENTOS!$D:$D,MATCH(SCORE!W$2&amp;" "&amp;SCORE!$D106,EVENTOS!$F:$F,0)),0)</f>
        <v>0</v>
      </c>
      <c r="X106" s="3">
        <f>IFERROR(INDEX(EVENTOS!$D:$D,MATCH(SCORE!X$2&amp;" "&amp;SCORE!$D106,EVENTOS!$F:$F,0)),0)</f>
        <v>0</v>
      </c>
      <c r="Y106" s="3">
        <f>SUMIFS(EVENTOS!$D:$D, EVENTOS!$B:$B, D106, EVENTOS!$E:$E, "*GirAlto*")</f>
        <v>0</v>
      </c>
      <c r="Z106" s="3">
        <f>SUMIFS(EVENTOS!$D:$D, EVENTOS!$B:$B, D106, EVENTOS!$E:$E, "*GirMed*")</f>
        <v>0</v>
      </c>
      <c r="AA106" s="3">
        <f>SUMIFS(EVENTOS!$D:$D, EVENTOS!$B:$B, D106, EVENTOS!$E:$E, "*GirBajo*")</f>
        <v>0</v>
      </c>
      <c r="AB106" s="3">
        <f>IFERROR(INDEX(EVENTOS!$D:$D,MATCH(SCORE!AB$2&amp;" "&amp;SCORE!$D106,EVENTOS!$F:$F,0)),0)</f>
        <v>0</v>
      </c>
      <c r="AC106" s="3">
        <f>IFERROR(INDEX(EVENTOS!$D:$D,MATCH(SCORE!AC$2&amp;" "&amp;SCORE!$D106,EVENTOS!$F:$F,0)),0)</f>
        <v>0</v>
      </c>
      <c r="AD106" s="3">
        <f>IFERROR(INDEX(EVENTOS!$D:$D,MATCH(SCORE!AD$2&amp;" "&amp;SCORE!$D106,EVENTOS!$F:$F,0)),0)</f>
        <v>0</v>
      </c>
      <c r="AE106" s="3">
        <f t="shared" si="3"/>
        <v>0</v>
      </c>
      <c r="AF106" s="10" t="e">
        <f t="shared" si="4"/>
        <v>#N/A</v>
      </c>
      <c r="AG106" s="3" t="str">
        <f t="shared" si="5"/>
        <v/>
      </c>
    </row>
    <row r="107" spans="1:33" x14ac:dyDescent="0.25">
      <c r="A107" s="7"/>
      <c r="B107" s="8"/>
      <c r="C107" s="3"/>
      <c r="D107" s="3"/>
      <c r="E107" s="3" t="e">
        <f>VLOOKUP(D107,VIAJES!$D:$E,2,FALSE)</f>
        <v>#N/A</v>
      </c>
      <c r="F107" s="9" t="e">
        <f>VLOOKUP(D107,VIAJES!$D:$F,3,FALSE)</f>
        <v>#N/A</v>
      </c>
      <c r="G107" s="9" t="e">
        <f>VLOOKUP(D107,VIAJES!$D:$G,4,FALSE)</f>
        <v>#N/A</v>
      </c>
      <c r="H107" s="3" t="e">
        <f>VLOOKUP(D107,VIAJES!$D:$H,5,FALSE)</f>
        <v>#N/A</v>
      </c>
      <c r="S107" s="3">
        <f>IFERROR(INDEX(EVENTOS!$D:$D,MATCH(SCORE!S$2&amp;" "&amp;SCORE!$D107,EVENTOS!$F:$F,0)),0)</f>
        <v>0</v>
      </c>
      <c r="T107" s="3">
        <f>IFERROR(INDEX(EVENTOS!$D:$D,MATCH(SCORE!T$2&amp;" "&amp;SCORE!$D107,EVENTOS!$F:$F,0)),0)</f>
        <v>0</v>
      </c>
      <c r="U107" s="3">
        <f>IFERROR(INDEX(EVENTOS!$D:$D,MATCH(SCORE!U$2&amp;" "&amp;SCORE!$D107,EVENTOS!$F:$F,0)),0)</f>
        <v>0</v>
      </c>
      <c r="V107" s="3">
        <f>IFERROR(INDEX(EVENTOS!$D:$D,MATCH(SCORE!V$2&amp;" "&amp;SCORE!$D107,EVENTOS!$F:$F,0)),0)</f>
        <v>0</v>
      </c>
      <c r="W107" s="3">
        <f>IFERROR(INDEX(EVENTOS!$D:$D,MATCH(SCORE!W$2&amp;" "&amp;SCORE!$D107,EVENTOS!$F:$F,0)),0)</f>
        <v>0</v>
      </c>
      <c r="X107" s="3">
        <f>IFERROR(INDEX(EVENTOS!$D:$D,MATCH(SCORE!X$2&amp;" "&amp;SCORE!$D107,EVENTOS!$F:$F,0)),0)</f>
        <v>0</v>
      </c>
      <c r="Y107" s="3">
        <f>SUMIFS(EVENTOS!$D:$D, EVENTOS!$B:$B, D107, EVENTOS!$E:$E, "*GirAlto*")</f>
        <v>0</v>
      </c>
      <c r="Z107" s="3">
        <f>SUMIFS(EVENTOS!$D:$D, EVENTOS!$B:$B, D107, EVENTOS!$E:$E, "*GirMed*")</f>
        <v>0</v>
      </c>
      <c r="AA107" s="3">
        <f>SUMIFS(EVENTOS!$D:$D, EVENTOS!$B:$B, D107, EVENTOS!$E:$E, "*GirBajo*")</f>
        <v>0</v>
      </c>
      <c r="AB107" s="3">
        <f>IFERROR(INDEX(EVENTOS!$D:$D,MATCH(SCORE!AB$2&amp;" "&amp;SCORE!$D107,EVENTOS!$F:$F,0)),0)</f>
        <v>0</v>
      </c>
      <c r="AC107" s="3">
        <f>IFERROR(INDEX(EVENTOS!$D:$D,MATCH(SCORE!AC$2&amp;" "&amp;SCORE!$D107,EVENTOS!$F:$F,0)),0)</f>
        <v>0</v>
      </c>
      <c r="AD107" s="3">
        <f>IFERROR(INDEX(EVENTOS!$D:$D,MATCH(SCORE!AD$2&amp;" "&amp;SCORE!$D107,EVENTOS!$F:$F,0)),0)</f>
        <v>0</v>
      </c>
      <c r="AE107" s="3">
        <f t="shared" si="3"/>
        <v>0</v>
      </c>
      <c r="AF107" s="10" t="e">
        <f t="shared" si="4"/>
        <v>#N/A</v>
      </c>
      <c r="AG107" s="3" t="str">
        <f t="shared" si="5"/>
        <v/>
      </c>
    </row>
    <row r="108" spans="1:33" x14ac:dyDescent="0.25">
      <c r="A108" s="7"/>
      <c r="B108" s="8"/>
      <c r="C108" s="3"/>
      <c r="D108" s="3"/>
      <c r="E108" s="3" t="e">
        <f>VLOOKUP(D108,VIAJES!$D:$E,2,FALSE)</f>
        <v>#N/A</v>
      </c>
      <c r="F108" s="9" t="e">
        <f>VLOOKUP(D108,VIAJES!$D:$F,3,FALSE)</f>
        <v>#N/A</v>
      </c>
      <c r="G108" s="9" t="e">
        <f>VLOOKUP(D108,VIAJES!$D:$G,4,FALSE)</f>
        <v>#N/A</v>
      </c>
      <c r="H108" s="3" t="e">
        <f>VLOOKUP(D108,VIAJES!$D:$H,5,FALSE)</f>
        <v>#N/A</v>
      </c>
      <c r="S108" s="3">
        <f>IFERROR(INDEX(EVENTOS!$D:$D,MATCH(SCORE!S$2&amp;" "&amp;SCORE!$D108,EVENTOS!$F:$F,0)),0)</f>
        <v>0</v>
      </c>
      <c r="T108" s="3">
        <f>IFERROR(INDEX(EVENTOS!$D:$D,MATCH(SCORE!T$2&amp;" "&amp;SCORE!$D108,EVENTOS!$F:$F,0)),0)</f>
        <v>0</v>
      </c>
      <c r="U108" s="3">
        <f>IFERROR(INDEX(EVENTOS!$D:$D,MATCH(SCORE!U$2&amp;" "&amp;SCORE!$D108,EVENTOS!$F:$F,0)),0)</f>
        <v>0</v>
      </c>
      <c r="V108" s="3">
        <f>IFERROR(INDEX(EVENTOS!$D:$D,MATCH(SCORE!V$2&amp;" "&amp;SCORE!$D108,EVENTOS!$F:$F,0)),0)</f>
        <v>0</v>
      </c>
      <c r="W108" s="3">
        <f>IFERROR(INDEX(EVENTOS!$D:$D,MATCH(SCORE!W$2&amp;" "&amp;SCORE!$D108,EVENTOS!$F:$F,0)),0)</f>
        <v>0</v>
      </c>
      <c r="X108" s="3">
        <f>IFERROR(INDEX(EVENTOS!$D:$D,MATCH(SCORE!X$2&amp;" "&amp;SCORE!$D108,EVENTOS!$F:$F,0)),0)</f>
        <v>0</v>
      </c>
      <c r="Y108" s="3">
        <f>SUMIFS(EVENTOS!$D:$D, EVENTOS!$B:$B, D108, EVENTOS!$E:$E, "*GirAlto*")</f>
        <v>0</v>
      </c>
      <c r="Z108" s="3">
        <f>SUMIFS(EVENTOS!$D:$D, EVENTOS!$B:$B, D108, EVENTOS!$E:$E, "*GirMed*")</f>
        <v>0</v>
      </c>
      <c r="AA108" s="3">
        <f>SUMIFS(EVENTOS!$D:$D, EVENTOS!$B:$B, D108, EVENTOS!$E:$E, "*GirBajo*")</f>
        <v>0</v>
      </c>
      <c r="AB108" s="3">
        <f>IFERROR(INDEX(EVENTOS!$D:$D,MATCH(SCORE!AB$2&amp;" "&amp;SCORE!$D108,EVENTOS!$F:$F,0)),0)</f>
        <v>0</v>
      </c>
      <c r="AC108" s="3">
        <f>IFERROR(INDEX(EVENTOS!$D:$D,MATCH(SCORE!AC$2&amp;" "&amp;SCORE!$D108,EVENTOS!$F:$F,0)),0)</f>
        <v>0</v>
      </c>
      <c r="AD108" s="3">
        <f>IFERROR(INDEX(EVENTOS!$D:$D,MATCH(SCORE!AD$2&amp;" "&amp;SCORE!$D108,EVENTOS!$F:$F,0)),0)</f>
        <v>0</v>
      </c>
      <c r="AE108" s="3">
        <f t="shared" si="3"/>
        <v>0</v>
      </c>
      <c r="AF108" s="10" t="e">
        <f t="shared" si="4"/>
        <v>#N/A</v>
      </c>
      <c r="AG108" s="3" t="str">
        <f t="shared" si="5"/>
        <v/>
      </c>
    </row>
    <row r="109" spans="1:33" x14ac:dyDescent="0.25">
      <c r="A109" s="7"/>
      <c r="B109" s="8"/>
      <c r="C109" s="3"/>
      <c r="D109" s="3"/>
      <c r="E109" s="3" t="e">
        <f>VLOOKUP(D109,VIAJES!$D:$E,2,FALSE)</f>
        <v>#N/A</v>
      </c>
      <c r="F109" s="9" t="e">
        <f>VLOOKUP(D109,VIAJES!$D:$F,3,FALSE)</f>
        <v>#N/A</v>
      </c>
      <c r="G109" s="9" t="e">
        <f>VLOOKUP(D109,VIAJES!$D:$G,4,FALSE)</f>
        <v>#N/A</v>
      </c>
      <c r="H109" s="3" t="e">
        <f>VLOOKUP(D109,VIAJES!$D:$H,5,FALSE)</f>
        <v>#N/A</v>
      </c>
      <c r="S109" s="3">
        <f>IFERROR(INDEX(EVENTOS!$D:$D,MATCH(SCORE!S$2&amp;" "&amp;SCORE!$D109,EVENTOS!$F:$F,0)),0)</f>
        <v>0</v>
      </c>
      <c r="T109" s="3">
        <f>IFERROR(INDEX(EVENTOS!$D:$D,MATCH(SCORE!T$2&amp;" "&amp;SCORE!$D109,EVENTOS!$F:$F,0)),0)</f>
        <v>0</v>
      </c>
      <c r="U109" s="3">
        <f>IFERROR(INDEX(EVENTOS!$D:$D,MATCH(SCORE!U$2&amp;" "&amp;SCORE!$D109,EVENTOS!$F:$F,0)),0)</f>
        <v>0</v>
      </c>
      <c r="V109" s="3">
        <f>IFERROR(INDEX(EVENTOS!$D:$D,MATCH(SCORE!V$2&amp;" "&amp;SCORE!$D109,EVENTOS!$F:$F,0)),0)</f>
        <v>0</v>
      </c>
      <c r="W109" s="3">
        <f>IFERROR(INDEX(EVENTOS!$D:$D,MATCH(SCORE!W$2&amp;" "&amp;SCORE!$D109,EVENTOS!$F:$F,0)),0)</f>
        <v>0</v>
      </c>
      <c r="X109" s="3">
        <f>IFERROR(INDEX(EVENTOS!$D:$D,MATCH(SCORE!X$2&amp;" "&amp;SCORE!$D109,EVENTOS!$F:$F,0)),0)</f>
        <v>0</v>
      </c>
      <c r="Y109" s="3">
        <f>SUMIFS(EVENTOS!$D:$D, EVENTOS!$B:$B, D109, EVENTOS!$E:$E, "*GirAlto*")</f>
        <v>0</v>
      </c>
      <c r="Z109" s="3">
        <f>SUMIFS(EVENTOS!$D:$D, EVENTOS!$B:$B, D109, EVENTOS!$E:$E, "*GirMed*")</f>
        <v>0</v>
      </c>
      <c r="AA109" s="3">
        <f>SUMIFS(EVENTOS!$D:$D, EVENTOS!$B:$B, D109, EVENTOS!$E:$E, "*GirBajo*")</f>
        <v>0</v>
      </c>
      <c r="AB109" s="3">
        <f>IFERROR(INDEX(EVENTOS!$D:$D,MATCH(SCORE!AB$2&amp;" "&amp;SCORE!$D109,EVENTOS!$F:$F,0)),0)</f>
        <v>0</v>
      </c>
      <c r="AC109" s="3">
        <f>IFERROR(INDEX(EVENTOS!$D:$D,MATCH(SCORE!AC$2&amp;" "&amp;SCORE!$D109,EVENTOS!$F:$F,0)),0)</f>
        <v>0</v>
      </c>
      <c r="AD109" s="3">
        <f>IFERROR(INDEX(EVENTOS!$D:$D,MATCH(SCORE!AD$2&amp;" "&amp;SCORE!$D109,EVENTOS!$F:$F,0)),0)</f>
        <v>0</v>
      </c>
      <c r="AE109" s="3">
        <f t="shared" si="3"/>
        <v>0</v>
      </c>
      <c r="AF109" s="10" t="e">
        <f t="shared" si="4"/>
        <v>#N/A</v>
      </c>
      <c r="AG109" s="3" t="str">
        <f t="shared" si="5"/>
        <v/>
      </c>
    </row>
    <row r="110" spans="1:33" x14ac:dyDescent="0.25">
      <c r="A110" s="7"/>
      <c r="B110" s="8"/>
      <c r="C110" s="3"/>
      <c r="D110" s="3"/>
      <c r="E110" s="3" t="e">
        <f>VLOOKUP(D110,VIAJES!$D:$E,2,FALSE)</f>
        <v>#N/A</v>
      </c>
      <c r="F110" s="9" t="e">
        <f>VLOOKUP(D110,VIAJES!$D:$F,3,FALSE)</f>
        <v>#N/A</v>
      </c>
      <c r="G110" s="9" t="e">
        <f>VLOOKUP(D110,VIAJES!$D:$G,4,FALSE)</f>
        <v>#N/A</v>
      </c>
      <c r="H110" s="3" t="e">
        <f>VLOOKUP(D110,VIAJES!$D:$H,5,FALSE)</f>
        <v>#N/A</v>
      </c>
      <c r="S110" s="3">
        <f>IFERROR(INDEX(EVENTOS!$D:$D,MATCH(SCORE!S$2&amp;" "&amp;SCORE!$D110,EVENTOS!$F:$F,0)),0)</f>
        <v>0</v>
      </c>
      <c r="T110" s="3">
        <f>IFERROR(INDEX(EVENTOS!$D:$D,MATCH(SCORE!T$2&amp;" "&amp;SCORE!$D110,EVENTOS!$F:$F,0)),0)</f>
        <v>0</v>
      </c>
      <c r="U110" s="3">
        <f>IFERROR(INDEX(EVENTOS!$D:$D,MATCH(SCORE!U$2&amp;" "&amp;SCORE!$D110,EVENTOS!$F:$F,0)),0)</f>
        <v>0</v>
      </c>
      <c r="V110" s="3">
        <f>IFERROR(INDEX(EVENTOS!$D:$D,MATCH(SCORE!V$2&amp;" "&amp;SCORE!$D110,EVENTOS!$F:$F,0)),0)</f>
        <v>0</v>
      </c>
      <c r="W110" s="3">
        <f>IFERROR(INDEX(EVENTOS!$D:$D,MATCH(SCORE!W$2&amp;" "&amp;SCORE!$D110,EVENTOS!$F:$F,0)),0)</f>
        <v>0</v>
      </c>
      <c r="X110" s="3">
        <f>IFERROR(INDEX(EVENTOS!$D:$D,MATCH(SCORE!X$2&amp;" "&amp;SCORE!$D110,EVENTOS!$F:$F,0)),0)</f>
        <v>0</v>
      </c>
      <c r="Y110" s="3">
        <f>SUMIFS(EVENTOS!$D:$D, EVENTOS!$B:$B, D110, EVENTOS!$E:$E, "*GirAlto*")</f>
        <v>0</v>
      </c>
      <c r="Z110" s="3">
        <f>SUMIFS(EVENTOS!$D:$D, EVENTOS!$B:$B, D110, EVENTOS!$E:$E, "*GirMed*")</f>
        <v>0</v>
      </c>
      <c r="AA110" s="3">
        <f>SUMIFS(EVENTOS!$D:$D, EVENTOS!$B:$B, D110, EVENTOS!$E:$E, "*GirBajo*")</f>
        <v>0</v>
      </c>
      <c r="AB110" s="3">
        <f>IFERROR(INDEX(EVENTOS!$D:$D,MATCH(SCORE!AB$2&amp;" "&amp;SCORE!$D110,EVENTOS!$F:$F,0)),0)</f>
        <v>0</v>
      </c>
      <c r="AC110" s="3">
        <f>IFERROR(INDEX(EVENTOS!$D:$D,MATCH(SCORE!AC$2&amp;" "&amp;SCORE!$D110,EVENTOS!$F:$F,0)),0)</f>
        <v>0</v>
      </c>
      <c r="AD110" s="3">
        <f>IFERROR(INDEX(EVENTOS!$D:$D,MATCH(SCORE!AD$2&amp;" "&amp;SCORE!$D110,EVENTOS!$F:$F,0)),0)</f>
        <v>0</v>
      </c>
      <c r="AE110" s="3">
        <f t="shared" si="3"/>
        <v>0</v>
      </c>
      <c r="AF110" s="10" t="e">
        <f t="shared" si="4"/>
        <v>#N/A</v>
      </c>
      <c r="AG110" s="3" t="str">
        <f t="shared" si="5"/>
        <v/>
      </c>
    </row>
    <row r="111" spans="1:33" x14ac:dyDescent="0.25">
      <c r="A111" s="7"/>
      <c r="B111" s="8"/>
      <c r="C111" s="3"/>
      <c r="D111" s="3"/>
      <c r="E111" s="3" t="e">
        <f>VLOOKUP(D111,VIAJES!$D:$E,2,FALSE)</f>
        <v>#N/A</v>
      </c>
      <c r="F111" s="9" t="e">
        <f>VLOOKUP(D111,VIAJES!$D:$F,3,FALSE)</f>
        <v>#N/A</v>
      </c>
      <c r="G111" s="9" t="e">
        <f>VLOOKUP(D111,VIAJES!$D:$G,4,FALSE)</f>
        <v>#N/A</v>
      </c>
      <c r="H111" s="3" t="e">
        <f>VLOOKUP(D111,VIAJES!$D:$H,5,FALSE)</f>
        <v>#N/A</v>
      </c>
      <c r="S111" s="3">
        <f>IFERROR(INDEX(EVENTOS!$D:$D,MATCH(SCORE!S$2&amp;" "&amp;SCORE!$D111,EVENTOS!$F:$F,0)),0)</f>
        <v>0</v>
      </c>
      <c r="T111" s="3">
        <f>IFERROR(INDEX(EVENTOS!$D:$D,MATCH(SCORE!T$2&amp;" "&amp;SCORE!$D111,EVENTOS!$F:$F,0)),0)</f>
        <v>0</v>
      </c>
      <c r="U111" s="3">
        <f>IFERROR(INDEX(EVENTOS!$D:$D,MATCH(SCORE!U$2&amp;" "&amp;SCORE!$D111,EVENTOS!$F:$F,0)),0)</f>
        <v>0</v>
      </c>
      <c r="V111" s="3">
        <f>IFERROR(INDEX(EVENTOS!$D:$D,MATCH(SCORE!V$2&amp;" "&amp;SCORE!$D111,EVENTOS!$F:$F,0)),0)</f>
        <v>0</v>
      </c>
      <c r="W111" s="3">
        <f>IFERROR(INDEX(EVENTOS!$D:$D,MATCH(SCORE!W$2&amp;" "&amp;SCORE!$D111,EVENTOS!$F:$F,0)),0)</f>
        <v>0</v>
      </c>
      <c r="X111" s="3">
        <f>IFERROR(INDEX(EVENTOS!$D:$D,MATCH(SCORE!X$2&amp;" "&amp;SCORE!$D111,EVENTOS!$F:$F,0)),0)</f>
        <v>0</v>
      </c>
      <c r="Y111" s="3">
        <f>SUMIFS(EVENTOS!$D:$D, EVENTOS!$B:$B, D111, EVENTOS!$E:$E, "*GirAlto*")</f>
        <v>0</v>
      </c>
      <c r="Z111" s="3">
        <f>SUMIFS(EVENTOS!$D:$D, EVENTOS!$B:$B, D111, EVENTOS!$E:$E, "*GirMed*")</f>
        <v>0</v>
      </c>
      <c r="AA111" s="3">
        <f>SUMIFS(EVENTOS!$D:$D, EVENTOS!$B:$B, D111, EVENTOS!$E:$E, "*GirBajo*")</f>
        <v>0</v>
      </c>
      <c r="AB111" s="3">
        <f>IFERROR(INDEX(EVENTOS!$D:$D,MATCH(SCORE!AB$2&amp;" "&amp;SCORE!$D111,EVENTOS!$F:$F,0)),0)</f>
        <v>0</v>
      </c>
      <c r="AC111" s="3">
        <f>IFERROR(INDEX(EVENTOS!$D:$D,MATCH(SCORE!AC$2&amp;" "&amp;SCORE!$D111,EVENTOS!$F:$F,0)),0)</f>
        <v>0</v>
      </c>
      <c r="AD111" s="3">
        <f>IFERROR(INDEX(EVENTOS!$D:$D,MATCH(SCORE!AD$2&amp;" "&amp;SCORE!$D111,EVENTOS!$F:$F,0)),0)</f>
        <v>0</v>
      </c>
      <c r="AE111" s="3">
        <f t="shared" si="3"/>
        <v>0</v>
      </c>
      <c r="AF111" s="10" t="e">
        <f t="shared" si="4"/>
        <v>#N/A</v>
      </c>
      <c r="AG111" s="3" t="str">
        <f t="shared" si="5"/>
        <v/>
      </c>
    </row>
    <row r="112" spans="1:33" x14ac:dyDescent="0.25">
      <c r="A112" s="7"/>
      <c r="B112" s="8"/>
      <c r="C112" s="3"/>
      <c r="D112" s="3"/>
      <c r="E112" s="3" t="e">
        <f>VLOOKUP(D112,VIAJES!$D:$E,2,FALSE)</f>
        <v>#N/A</v>
      </c>
      <c r="F112" s="9" t="e">
        <f>VLOOKUP(D112,VIAJES!$D:$F,3,FALSE)</f>
        <v>#N/A</v>
      </c>
      <c r="G112" s="9" t="e">
        <f>VLOOKUP(D112,VIAJES!$D:$G,4,FALSE)</f>
        <v>#N/A</v>
      </c>
      <c r="H112" s="3" t="e">
        <f>VLOOKUP(D112,VIAJES!$D:$H,5,FALSE)</f>
        <v>#N/A</v>
      </c>
      <c r="S112" s="3">
        <f>IFERROR(INDEX(EVENTOS!$D:$D,MATCH(SCORE!S$2&amp;" "&amp;SCORE!$D112,EVENTOS!$F:$F,0)),0)</f>
        <v>0</v>
      </c>
      <c r="T112" s="3">
        <f>IFERROR(INDEX(EVENTOS!$D:$D,MATCH(SCORE!T$2&amp;" "&amp;SCORE!$D112,EVENTOS!$F:$F,0)),0)</f>
        <v>0</v>
      </c>
      <c r="U112" s="3">
        <f>IFERROR(INDEX(EVENTOS!$D:$D,MATCH(SCORE!U$2&amp;" "&amp;SCORE!$D112,EVENTOS!$F:$F,0)),0)</f>
        <v>0</v>
      </c>
      <c r="V112" s="3">
        <f>IFERROR(INDEX(EVENTOS!$D:$D,MATCH(SCORE!V$2&amp;" "&amp;SCORE!$D112,EVENTOS!$F:$F,0)),0)</f>
        <v>0</v>
      </c>
      <c r="W112" s="3">
        <f>IFERROR(INDEX(EVENTOS!$D:$D,MATCH(SCORE!W$2&amp;" "&amp;SCORE!$D112,EVENTOS!$F:$F,0)),0)</f>
        <v>0</v>
      </c>
      <c r="X112" s="3">
        <f>IFERROR(INDEX(EVENTOS!$D:$D,MATCH(SCORE!X$2&amp;" "&amp;SCORE!$D112,EVENTOS!$F:$F,0)),0)</f>
        <v>0</v>
      </c>
      <c r="Y112" s="3">
        <f>SUMIFS(EVENTOS!$D:$D, EVENTOS!$B:$B, D112, EVENTOS!$E:$E, "*GirAlto*")</f>
        <v>0</v>
      </c>
      <c r="Z112" s="3">
        <f>SUMIFS(EVENTOS!$D:$D, EVENTOS!$B:$B, D112, EVENTOS!$E:$E, "*GirMed*")</f>
        <v>0</v>
      </c>
      <c r="AA112" s="3">
        <f>SUMIFS(EVENTOS!$D:$D, EVENTOS!$B:$B, D112, EVENTOS!$E:$E, "*GirBajo*")</f>
        <v>0</v>
      </c>
      <c r="AB112" s="3">
        <f>IFERROR(INDEX(EVENTOS!$D:$D,MATCH(SCORE!AB$2&amp;" "&amp;SCORE!$D112,EVENTOS!$F:$F,0)),0)</f>
        <v>0</v>
      </c>
      <c r="AC112" s="3">
        <f>IFERROR(INDEX(EVENTOS!$D:$D,MATCH(SCORE!AC$2&amp;" "&amp;SCORE!$D112,EVENTOS!$F:$F,0)),0)</f>
        <v>0</v>
      </c>
      <c r="AD112" s="3">
        <f>IFERROR(INDEX(EVENTOS!$D:$D,MATCH(SCORE!AD$2&amp;" "&amp;SCORE!$D112,EVENTOS!$F:$F,0)),0)</f>
        <v>0</v>
      </c>
      <c r="AE112" s="3">
        <f t="shared" si="3"/>
        <v>0</v>
      </c>
      <c r="AF112" s="10" t="e">
        <f t="shared" si="4"/>
        <v>#N/A</v>
      </c>
      <c r="AG112" s="3" t="str">
        <f t="shared" si="5"/>
        <v/>
      </c>
    </row>
    <row r="113" spans="1:33" x14ac:dyDescent="0.25">
      <c r="A113" s="7"/>
      <c r="B113" s="8"/>
      <c r="C113" s="3"/>
      <c r="D113" s="3"/>
      <c r="E113" s="3" t="e">
        <f>VLOOKUP(D113,VIAJES!$D:$E,2,FALSE)</f>
        <v>#N/A</v>
      </c>
      <c r="F113" s="9" t="e">
        <f>VLOOKUP(D113,VIAJES!$D:$F,3,FALSE)</f>
        <v>#N/A</v>
      </c>
      <c r="G113" s="9" t="e">
        <f>VLOOKUP(D113,VIAJES!$D:$G,4,FALSE)</f>
        <v>#N/A</v>
      </c>
      <c r="H113" s="3" t="e">
        <f>VLOOKUP(D113,VIAJES!$D:$H,5,FALSE)</f>
        <v>#N/A</v>
      </c>
      <c r="S113" s="3">
        <f>IFERROR(INDEX(EVENTOS!$D:$D,MATCH(SCORE!S$2&amp;" "&amp;SCORE!$D113,EVENTOS!$F:$F,0)),0)</f>
        <v>0</v>
      </c>
      <c r="T113" s="3">
        <f>IFERROR(INDEX(EVENTOS!$D:$D,MATCH(SCORE!T$2&amp;" "&amp;SCORE!$D113,EVENTOS!$F:$F,0)),0)</f>
        <v>0</v>
      </c>
      <c r="U113" s="3">
        <f>IFERROR(INDEX(EVENTOS!$D:$D,MATCH(SCORE!U$2&amp;" "&amp;SCORE!$D113,EVENTOS!$F:$F,0)),0)</f>
        <v>0</v>
      </c>
      <c r="V113" s="3">
        <f>IFERROR(INDEX(EVENTOS!$D:$D,MATCH(SCORE!V$2&amp;" "&amp;SCORE!$D113,EVENTOS!$F:$F,0)),0)</f>
        <v>0</v>
      </c>
      <c r="W113" s="3">
        <f>IFERROR(INDEX(EVENTOS!$D:$D,MATCH(SCORE!W$2&amp;" "&amp;SCORE!$D113,EVENTOS!$F:$F,0)),0)</f>
        <v>0</v>
      </c>
      <c r="X113" s="3">
        <f>IFERROR(INDEX(EVENTOS!$D:$D,MATCH(SCORE!X$2&amp;" "&amp;SCORE!$D113,EVENTOS!$F:$F,0)),0)</f>
        <v>0</v>
      </c>
      <c r="Y113" s="3">
        <f>SUMIFS(EVENTOS!$D:$D, EVENTOS!$B:$B, D113, EVENTOS!$E:$E, "*GirAlto*")</f>
        <v>0</v>
      </c>
      <c r="Z113" s="3">
        <f>SUMIFS(EVENTOS!$D:$D, EVENTOS!$B:$B, D113, EVENTOS!$E:$E, "*GirMed*")</f>
        <v>0</v>
      </c>
      <c r="AA113" s="3">
        <f>SUMIFS(EVENTOS!$D:$D, EVENTOS!$B:$B, D113, EVENTOS!$E:$E, "*GirBajo*")</f>
        <v>0</v>
      </c>
      <c r="AB113" s="3">
        <f>IFERROR(INDEX(EVENTOS!$D:$D,MATCH(SCORE!AB$2&amp;" "&amp;SCORE!$D113,EVENTOS!$F:$F,0)),0)</f>
        <v>0</v>
      </c>
      <c r="AC113" s="3">
        <f>IFERROR(INDEX(EVENTOS!$D:$D,MATCH(SCORE!AC$2&amp;" "&amp;SCORE!$D113,EVENTOS!$F:$F,0)),0)</f>
        <v>0</v>
      </c>
      <c r="AD113" s="3">
        <f>IFERROR(INDEX(EVENTOS!$D:$D,MATCH(SCORE!AD$2&amp;" "&amp;SCORE!$D113,EVENTOS!$F:$F,0)),0)</f>
        <v>0</v>
      </c>
      <c r="AE113" s="3">
        <f t="shared" si="3"/>
        <v>0</v>
      </c>
      <c r="AF113" s="10" t="e">
        <f t="shared" si="4"/>
        <v>#N/A</v>
      </c>
      <c r="AG113" s="3" t="str">
        <f t="shared" si="5"/>
        <v/>
      </c>
    </row>
    <row r="114" spans="1:33" x14ac:dyDescent="0.25">
      <c r="A114" s="7"/>
      <c r="B114" s="8"/>
      <c r="C114" s="3"/>
      <c r="D114" s="3"/>
      <c r="E114" s="3" t="e">
        <f>VLOOKUP(D114,VIAJES!$D:$E,2,FALSE)</f>
        <v>#N/A</v>
      </c>
      <c r="F114" s="9" t="e">
        <f>VLOOKUP(D114,VIAJES!$D:$F,3,FALSE)</f>
        <v>#N/A</v>
      </c>
      <c r="G114" s="9" t="e">
        <f>VLOOKUP(D114,VIAJES!$D:$G,4,FALSE)</f>
        <v>#N/A</v>
      </c>
      <c r="H114" s="3" t="e">
        <f>VLOOKUP(D114,VIAJES!$D:$H,5,FALSE)</f>
        <v>#N/A</v>
      </c>
      <c r="S114" s="3">
        <f>IFERROR(INDEX(EVENTOS!$D:$D,MATCH(SCORE!S$2&amp;" "&amp;SCORE!$D114,EVENTOS!$F:$F,0)),0)</f>
        <v>0</v>
      </c>
      <c r="T114" s="3">
        <f>IFERROR(INDEX(EVENTOS!$D:$D,MATCH(SCORE!T$2&amp;" "&amp;SCORE!$D114,EVENTOS!$F:$F,0)),0)</f>
        <v>0</v>
      </c>
      <c r="U114" s="3">
        <f>IFERROR(INDEX(EVENTOS!$D:$D,MATCH(SCORE!U$2&amp;" "&amp;SCORE!$D114,EVENTOS!$F:$F,0)),0)</f>
        <v>0</v>
      </c>
      <c r="V114" s="3">
        <f>IFERROR(INDEX(EVENTOS!$D:$D,MATCH(SCORE!V$2&amp;" "&amp;SCORE!$D114,EVENTOS!$F:$F,0)),0)</f>
        <v>0</v>
      </c>
      <c r="W114" s="3">
        <f>IFERROR(INDEX(EVENTOS!$D:$D,MATCH(SCORE!W$2&amp;" "&amp;SCORE!$D114,EVENTOS!$F:$F,0)),0)</f>
        <v>0</v>
      </c>
      <c r="X114" s="3">
        <f>IFERROR(INDEX(EVENTOS!$D:$D,MATCH(SCORE!X$2&amp;" "&amp;SCORE!$D114,EVENTOS!$F:$F,0)),0)</f>
        <v>0</v>
      </c>
      <c r="Y114" s="3">
        <f>SUMIFS(EVENTOS!$D:$D, EVENTOS!$B:$B, D114, EVENTOS!$E:$E, "*GirAlto*")</f>
        <v>0</v>
      </c>
      <c r="Z114" s="3">
        <f>SUMIFS(EVENTOS!$D:$D, EVENTOS!$B:$B, D114, EVENTOS!$E:$E, "*GirMed*")</f>
        <v>0</v>
      </c>
      <c r="AA114" s="3">
        <f>SUMIFS(EVENTOS!$D:$D, EVENTOS!$B:$B, D114, EVENTOS!$E:$E, "*GirBajo*")</f>
        <v>0</v>
      </c>
      <c r="AB114" s="3">
        <f>IFERROR(INDEX(EVENTOS!$D:$D,MATCH(SCORE!AB$2&amp;" "&amp;SCORE!$D114,EVENTOS!$F:$F,0)),0)</f>
        <v>0</v>
      </c>
      <c r="AC114" s="3">
        <f>IFERROR(INDEX(EVENTOS!$D:$D,MATCH(SCORE!AC$2&amp;" "&amp;SCORE!$D114,EVENTOS!$F:$F,0)),0)</f>
        <v>0</v>
      </c>
      <c r="AD114" s="3">
        <f>IFERROR(INDEX(EVENTOS!$D:$D,MATCH(SCORE!AD$2&amp;" "&amp;SCORE!$D114,EVENTOS!$F:$F,0)),0)</f>
        <v>0</v>
      </c>
      <c r="AE114" s="3">
        <f t="shared" si="3"/>
        <v>0</v>
      </c>
      <c r="AF114" s="10" t="e">
        <f t="shared" si="4"/>
        <v>#N/A</v>
      </c>
      <c r="AG114" s="3" t="str">
        <f t="shared" si="5"/>
        <v/>
      </c>
    </row>
    <row r="115" spans="1:33" x14ac:dyDescent="0.25">
      <c r="A115" s="7"/>
      <c r="B115" s="8"/>
      <c r="C115" s="3"/>
      <c r="D115" s="3"/>
      <c r="E115" s="3" t="e">
        <f>VLOOKUP(D115,VIAJES!$D:$E,2,FALSE)</f>
        <v>#N/A</v>
      </c>
      <c r="F115" s="9" t="e">
        <f>VLOOKUP(D115,VIAJES!$D:$F,3,FALSE)</f>
        <v>#N/A</v>
      </c>
      <c r="G115" s="9" t="e">
        <f>VLOOKUP(D115,VIAJES!$D:$G,4,FALSE)</f>
        <v>#N/A</v>
      </c>
      <c r="H115" s="3" t="e">
        <f>VLOOKUP(D115,VIAJES!$D:$H,5,FALSE)</f>
        <v>#N/A</v>
      </c>
      <c r="S115" s="3">
        <f>IFERROR(INDEX(EVENTOS!$D:$D,MATCH(SCORE!S$2&amp;" "&amp;SCORE!$D115,EVENTOS!$F:$F,0)),0)</f>
        <v>0</v>
      </c>
      <c r="T115" s="3">
        <f>IFERROR(INDEX(EVENTOS!$D:$D,MATCH(SCORE!T$2&amp;" "&amp;SCORE!$D115,EVENTOS!$F:$F,0)),0)</f>
        <v>0</v>
      </c>
      <c r="U115" s="3">
        <f>IFERROR(INDEX(EVENTOS!$D:$D,MATCH(SCORE!U$2&amp;" "&amp;SCORE!$D115,EVENTOS!$F:$F,0)),0)</f>
        <v>0</v>
      </c>
      <c r="V115" s="3">
        <f>IFERROR(INDEX(EVENTOS!$D:$D,MATCH(SCORE!V$2&amp;" "&amp;SCORE!$D115,EVENTOS!$F:$F,0)),0)</f>
        <v>0</v>
      </c>
      <c r="W115" s="3">
        <f>IFERROR(INDEX(EVENTOS!$D:$D,MATCH(SCORE!W$2&amp;" "&amp;SCORE!$D115,EVENTOS!$F:$F,0)),0)</f>
        <v>0</v>
      </c>
      <c r="X115" s="3">
        <f>IFERROR(INDEX(EVENTOS!$D:$D,MATCH(SCORE!X$2&amp;" "&amp;SCORE!$D115,EVENTOS!$F:$F,0)),0)</f>
        <v>0</v>
      </c>
      <c r="Y115" s="3">
        <f>SUMIFS(EVENTOS!$D:$D, EVENTOS!$B:$B, D115, EVENTOS!$E:$E, "*GirAlto*")</f>
        <v>0</v>
      </c>
      <c r="Z115" s="3">
        <f>SUMIFS(EVENTOS!$D:$D, EVENTOS!$B:$B, D115, EVENTOS!$E:$E, "*GirMed*")</f>
        <v>0</v>
      </c>
      <c r="AA115" s="3">
        <f>SUMIFS(EVENTOS!$D:$D, EVENTOS!$B:$B, D115, EVENTOS!$E:$E, "*GirBajo*")</f>
        <v>0</v>
      </c>
      <c r="AB115" s="3">
        <f>IFERROR(INDEX(EVENTOS!$D:$D,MATCH(SCORE!AB$2&amp;" "&amp;SCORE!$D115,EVENTOS!$F:$F,0)),0)</f>
        <v>0</v>
      </c>
      <c r="AC115" s="3">
        <f>IFERROR(INDEX(EVENTOS!$D:$D,MATCH(SCORE!AC$2&amp;" "&amp;SCORE!$D115,EVENTOS!$F:$F,0)),0)</f>
        <v>0</v>
      </c>
      <c r="AD115" s="3">
        <f>IFERROR(INDEX(EVENTOS!$D:$D,MATCH(SCORE!AD$2&amp;" "&amp;SCORE!$D115,EVENTOS!$F:$F,0)),0)</f>
        <v>0</v>
      </c>
      <c r="AE115" s="3">
        <f t="shared" si="3"/>
        <v>0</v>
      </c>
      <c r="AF115" s="10" t="e">
        <f t="shared" si="4"/>
        <v>#N/A</v>
      </c>
      <c r="AG115" s="3" t="str">
        <f t="shared" si="5"/>
        <v/>
      </c>
    </row>
    <row r="116" spans="1:33" x14ac:dyDescent="0.25">
      <c r="A116" s="7"/>
      <c r="B116" s="8"/>
      <c r="C116" s="3"/>
      <c r="D116" s="3"/>
      <c r="E116" s="3" t="e">
        <f>VLOOKUP(D116,VIAJES!$D:$E,2,FALSE)</f>
        <v>#N/A</v>
      </c>
      <c r="F116" s="9" t="e">
        <f>VLOOKUP(D116,VIAJES!$D:$F,3,FALSE)</f>
        <v>#N/A</v>
      </c>
      <c r="G116" s="9" t="e">
        <f>VLOOKUP(D116,VIAJES!$D:$G,4,FALSE)</f>
        <v>#N/A</v>
      </c>
      <c r="H116" s="3" t="e">
        <f>VLOOKUP(D116,VIAJES!$D:$H,5,FALSE)</f>
        <v>#N/A</v>
      </c>
      <c r="S116" s="3">
        <f>IFERROR(INDEX(EVENTOS!$D:$D,MATCH(SCORE!S$2&amp;" "&amp;SCORE!$D116,EVENTOS!$F:$F,0)),0)</f>
        <v>0</v>
      </c>
      <c r="T116" s="3">
        <f>IFERROR(INDEX(EVENTOS!$D:$D,MATCH(SCORE!T$2&amp;" "&amp;SCORE!$D116,EVENTOS!$F:$F,0)),0)</f>
        <v>0</v>
      </c>
      <c r="U116" s="3">
        <f>IFERROR(INDEX(EVENTOS!$D:$D,MATCH(SCORE!U$2&amp;" "&amp;SCORE!$D116,EVENTOS!$F:$F,0)),0)</f>
        <v>0</v>
      </c>
      <c r="V116" s="3">
        <f>IFERROR(INDEX(EVENTOS!$D:$D,MATCH(SCORE!V$2&amp;" "&amp;SCORE!$D116,EVENTOS!$F:$F,0)),0)</f>
        <v>0</v>
      </c>
      <c r="W116" s="3">
        <f>IFERROR(INDEX(EVENTOS!$D:$D,MATCH(SCORE!W$2&amp;" "&amp;SCORE!$D116,EVENTOS!$F:$F,0)),0)</f>
        <v>0</v>
      </c>
      <c r="X116" s="3">
        <f>IFERROR(INDEX(EVENTOS!$D:$D,MATCH(SCORE!X$2&amp;" "&amp;SCORE!$D116,EVENTOS!$F:$F,0)),0)</f>
        <v>0</v>
      </c>
      <c r="Y116" s="3">
        <f>SUMIFS(EVENTOS!$D:$D, EVENTOS!$B:$B, D116, EVENTOS!$E:$E, "*GirAlto*")</f>
        <v>0</v>
      </c>
      <c r="Z116" s="3">
        <f>SUMIFS(EVENTOS!$D:$D, EVENTOS!$B:$B, D116, EVENTOS!$E:$E, "*GirMed*")</f>
        <v>0</v>
      </c>
      <c r="AA116" s="3">
        <f>SUMIFS(EVENTOS!$D:$D, EVENTOS!$B:$B, D116, EVENTOS!$E:$E, "*GirBajo*")</f>
        <v>0</v>
      </c>
      <c r="AB116" s="3">
        <f>IFERROR(INDEX(EVENTOS!$D:$D,MATCH(SCORE!AB$2&amp;" "&amp;SCORE!$D116,EVENTOS!$F:$F,0)),0)</f>
        <v>0</v>
      </c>
      <c r="AC116" s="3">
        <f>IFERROR(INDEX(EVENTOS!$D:$D,MATCH(SCORE!AC$2&amp;" "&amp;SCORE!$D116,EVENTOS!$F:$F,0)),0)</f>
        <v>0</v>
      </c>
      <c r="AD116" s="3">
        <f>IFERROR(INDEX(EVENTOS!$D:$D,MATCH(SCORE!AD$2&amp;" "&amp;SCORE!$D116,EVENTOS!$F:$F,0)),0)</f>
        <v>0</v>
      </c>
      <c r="AE116" s="3">
        <f t="shared" si="3"/>
        <v>0</v>
      </c>
      <c r="AF116" s="10" t="e">
        <f t="shared" si="4"/>
        <v>#N/A</v>
      </c>
      <c r="AG116" s="3" t="str">
        <f t="shared" si="5"/>
        <v/>
      </c>
    </row>
    <row r="117" spans="1:33" x14ac:dyDescent="0.25">
      <c r="A117" s="7"/>
      <c r="B117" s="8"/>
      <c r="C117" s="3"/>
      <c r="D117" s="3"/>
      <c r="E117" s="3" t="e">
        <f>VLOOKUP(D117,VIAJES!$D:$E,2,FALSE)</f>
        <v>#N/A</v>
      </c>
      <c r="F117" s="9" t="e">
        <f>VLOOKUP(D117,VIAJES!$D:$F,3,FALSE)</f>
        <v>#N/A</v>
      </c>
      <c r="G117" s="9" t="e">
        <f>VLOOKUP(D117,VIAJES!$D:$G,4,FALSE)</f>
        <v>#N/A</v>
      </c>
      <c r="H117" s="3" t="e">
        <f>VLOOKUP(D117,VIAJES!$D:$H,5,FALSE)</f>
        <v>#N/A</v>
      </c>
      <c r="S117" s="3">
        <f>IFERROR(INDEX(EVENTOS!$D:$D,MATCH(SCORE!S$2&amp;" "&amp;SCORE!$D117,EVENTOS!$F:$F,0)),0)</f>
        <v>0</v>
      </c>
      <c r="T117" s="3">
        <f>IFERROR(INDEX(EVENTOS!$D:$D,MATCH(SCORE!T$2&amp;" "&amp;SCORE!$D117,EVENTOS!$F:$F,0)),0)</f>
        <v>0</v>
      </c>
      <c r="U117" s="3">
        <f>IFERROR(INDEX(EVENTOS!$D:$D,MATCH(SCORE!U$2&amp;" "&amp;SCORE!$D117,EVENTOS!$F:$F,0)),0)</f>
        <v>0</v>
      </c>
      <c r="V117" s="3">
        <f>IFERROR(INDEX(EVENTOS!$D:$D,MATCH(SCORE!V$2&amp;" "&amp;SCORE!$D117,EVENTOS!$F:$F,0)),0)</f>
        <v>0</v>
      </c>
      <c r="W117" s="3">
        <f>IFERROR(INDEX(EVENTOS!$D:$D,MATCH(SCORE!W$2&amp;" "&amp;SCORE!$D117,EVENTOS!$F:$F,0)),0)</f>
        <v>0</v>
      </c>
      <c r="X117" s="3">
        <f>IFERROR(INDEX(EVENTOS!$D:$D,MATCH(SCORE!X$2&amp;" "&amp;SCORE!$D117,EVENTOS!$F:$F,0)),0)</f>
        <v>0</v>
      </c>
      <c r="Y117" s="3">
        <f>SUMIFS(EVENTOS!$D:$D, EVENTOS!$B:$B, D117, EVENTOS!$E:$E, "*GirAlto*")</f>
        <v>0</v>
      </c>
      <c r="Z117" s="3">
        <f>SUMIFS(EVENTOS!$D:$D, EVENTOS!$B:$B, D117, EVENTOS!$E:$E, "*GirMed*")</f>
        <v>0</v>
      </c>
      <c r="AA117" s="3">
        <f>SUMIFS(EVENTOS!$D:$D, EVENTOS!$B:$B, D117, EVENTOS!$E:$E, "*GirBajo*")</f>
        <v>0</v>
      </c>
      <c r="AB117" s="3">
        <f>IFERROR(INDEX(EVENTOS!$D:$D,MATCH(SCORE!AB$2&amp;" "&amp;SCORE!$D117,EVENTOS!$F:$F,0)),0)</f>
        <v>0</v>
      </c>
      <c r="AC117" s="3">
        <f>IFERROR(INDEX(EVENTOS!$D:$D,MATCH(SCORE!AC$2&amp;" "&amp;SCORE!$D117,EVENTOS!$F:$F,0)),0)</f>
        <v>0</v>
      </c>
      <c r="AD117" s="3">
        <f>IFERROR(INDEX(EVENTOS!$D:$D,MATCH(SCORE!AD$2&amp;" "&amp;SCORE!$D117,EVENTOS!$F:$F,0)),0)</f>
        <v>0</v>
      </c>
      <c r="AE117" s="3">
        <f t="shared" si="3"/>
        <v>0</v>
      </c>
      <c r="AF117" s="10" t="e">
        <f t="shared" si="4"/>
        <v>#N/A</v>
      </c>
      <c r="AG117" s="3" t="str">
        <f t="shared" si="5"/>
        <v/>
      </c>
    </row>
    <row r="118" spans="1:33" x14ac:dyDescent="0.25">
      <c r="A118" s="7"/>
      <c r="B118" s="8"/>
      <c r="C118" s="3"/>
      <c r="D118" s="3"/>
      <c r="E118" s="3" t="e">
        <f>VLOOKUP(D118,VIAJES!$D:$E,2,FALSE)</f>
        <v>#N/A</v>
      </c>
      <c r="F118" s="9" t="e">
        <f>VLOOKUP(D118,VIAJES!$D:$F,3,FALSE)</f>
        <v>#N/A</v>
      </c>
      <c r="G118" s="9" t="e">
        <f>VLOOKUP(D118,VIAJES!$D:$G,4,FALSE)</f>
        <v>#N/A</v>
      </c>
      <c r="H118" s="3" t="e">
        <f>VLOOKUP(D118,VIAJES!$D:$H,5,FALSE)</f>
        <v>#N/A</v>
      </c>
      <c r="S118" s="3">
        <f>IFERROR(INDEX(EVENTOS!$D:$D,MATCH(SCORE!S$2&amp;" "&amp;SCORE!$D118,EVENTOS!$F:$F,0)),0)</f>
        <v>0</v>
      </c>
      <c r="T118" s="3">
        <f>IFERROR(INDEX(EVENTOS!$D:$D,MATCH(SCORE!T$2&amp;" "&amp;SCORE!$D118,EVENTOS!$F:$F,0)),0)</f>
        <v>0</v>
      </c>
      <c r="U118" s="3">
        <f>IFERROR(INDEX(EVENTOS!$D:$D,MATCH(SCORE!U$2&amp;" "&amp;SCORE!$D118,EVENTOS!$F:$F,0)),0)</f>
        <v>0</v>
      </c>
      <c r="V118" s="3">
        <f>IFERROR(INDEX(EVENTOS!$D:$D,MATCH(SCORE!V$2&amp;" "&amp;SCORE!$D118,EVENTOS!$F:$F,0)),0)</f>
        <v>0</v>
      </c>
      <c r="W118" s="3">
        <f>IFERROR(INDEX(EVENTOS!$D:$D,MATCH(SCORE!W$2&amp;" "&amp;SCORE!$D118,EVENTOS!$F:$F,0)),0)</f>
        <v>0</v>
      </c>
      <c r="X118" s="3">
        <f>IFERROR(INDEX(EVENTOS!$D:$D,MATCH(SCORE!X$2&amp;" "&amp;SCORE!$D118,EVENTOS!$F:$F,0)),0)</f>
        <v>0</v>
      </c>
      <c r="Y118" s="3">
        <f>SUMIFS(EVENTOS!$D:$D, EVENTOS!$B:$B, D118, EVENTOS!$E:$E, "*GirAlto*")</f>
        <v>0</v>
      </c>
      <c r="Z118" s="3">
        <f>SUMIFS(EVENTOS!$D:$D, EVENTOS!$B:$B, D118, EVENTOS!$E:$E, "*GirMed*")</f>
        <v>0</v>
      </c>
      <c r="AA118" s="3">
        <f>SUMIFS(EVENTOS!$D:$D, EVENTOS!$B:$B, D118, EVENTOS!$E:$E, "*GirBajo*")</f>
        <v>0</v>
      </c>
      <c r="AB118" s="3">
        <f>IFERROR(INDEX(EVENTOS!$D:$D,MATCH(SCORE!AB$2&amp;" "&amp;SCORE!$D118,EVENTOS!$F:$F,0)),0)</f>
        <v>0</v>
      </c>
      <c r="AC118" s="3">
        <f>IFERROR(INDEX(EVENTOS!$D:$D,MATCH(SCORE!AC$2&amp;" "&amp;SCORE!$D118,EVENTOS!$F:$F,0)),0)</f>
        <v>0</v>
      </c>
      <c r="AD118" s="3">
        <f>IFERROR(INDEX(EVENTOS!$D:$D,MATCH(SCORE!AD$2&amp;" "&amp;SCORE!$D118,EVENTOS!$F:$F,0)),0)</f>
        <v>0</v>
      </c>
      <c r="AE118" s="3">
        <f t="shared" si="3"/>
        <v>0</v>
      </c>
      <c r="AF118" s="10" t="e">
        <f t="shared" si="4"/>
        <v>#N/A</v>
      </c>
      <c r="AG118" s="3" t="str">
        <f t="shared" si="5"/>
        <v/>
      </c>
    </row>
    <row r="119" spans="1:33" x14ac:dyDescent="0.25">
      <c r="A119" s="7"/>
      <c r="B119" s="8"/>
      <c r="C119" s="3"/>
      <c r="D119" s="3"/>
      <c r="E119" s="3" t="e">
        <f>VLOOKUP(D119,VIAJES!$D:$E,2,FALSE)</f>
        <v>#N/A</v>
      </c>
      <c r="F119" s="9" t="e">
        <f>VLOOKUP(D119,VIAJES!$D:$F,3,FALSE)</f>
        <v>#N/A</v>
      </c>
      <c r="G119" s="9" t="e">
        <f>VLOOKUP(D119,VIAJES!$D:$G,4,FALSE)</f>
        <v>#N/A</v>
      </c>
      <c r="H119" s="3" t="e">
        <f>VLOOKUP(D119,VIAJES!$D:$H,5,FALSE)</f>
        <v>#N/A</v>
      </c>
      <c r="S119" s="3">
        <f>IFERROR(INDEX(EVENTOS!$D:$D,MATCH(SCORE!S$2&amp;" "&amp;SCORE!$D119,EVENTOS!$F:$F,0)),0)</f>
        <v>0</v>
      </c>
      <c r="T119" s="3">
        <f>IFERROR(INDEX(EVENTOS!$D:$D,MATCH(SCORE!T$2&amp;" "&amp;SCORE!$D119,EVENTOS!$F:$F,0)),0)</f>
        <v>0</v>
      </c>
      <c r="U119" s="3">
        <f>IFERROR(INDEX(EVENTOS!$D:$D,MATCH(SCORE!U$2&amp;" "&amp;SCORE!$D119,EVENTOS!$F:$F,0)),0)</f>
        <v>0</v>
      </c>
      <c r="V119" s="3">
        <f>IFERROR(INDEX(EVENTOS!$D:$D,MATCH(SCORE!V$2&amp;" "&amp;SCORE!$D119,EVENTOS!$F:$F,0)),0)</f>
        <v>0</v>
      </c>
      <c r="W119" s="3">
        <f>IFERROR(INDEX(EVENTOS!$D:$D,MATCH(SCORE!W$2&amp;" "&amp;SCORE!$D119,EVENTOS!$F:$F,0)),0)</f>
        <v>0</v>
      </c>
      <c r="X119" s="3">
        <f>IFERROR(INDEX(EVENTOS!$D:$D,MATCH(SCORE!X$2&amp;" "&amp;SCORE!$D119,EVENTOS!$F:$F,0)),0)</f>
        <v>0</v>
      </c>
      <c r="Y119" s="3">
        <f>SUMIFS(EVENTOS!$D:$D, EVENTOS!$B:$B, D119, EVENTOS!$E:$E, "*GirAlto*")</f>
        <v>0</v>
      </c>
      <c r="Z119" s="3">
        <f>SUMIFS(EVENTOS!$D:$D, EVENTOS!$B:$B, D119, EVENTOS!$E:$E, "*GirMed*")</f>
        <v>0</v>
      </c>
      <c r="AA119" s="3">
        <f>SUMIFS(EVENTOS!$D:$D, EVENTOS!$B:$B, D119, EVENTOS!$E:$E, "*GirBajo*")</f>
        <v>0</v>
      </c>
      <c r="AB119" s="3">
        <f>IFERROR(INDEX(EVENTOS!$D:$D,MATCH(SCORE!AB$2&amp;" "&amp;SCORE!$D119,EVENTOS!$F:$F,0)),0)</f>
        <v>0</v>
      </c>
      <c r="AC119" s="3">
        <f>IFERROR(INDEX(EVENTOS!$D:$D,MATCH(SCORE!AC$2&amp;" "&amp;SCORE!$D119,EVENTOS!$F:$F,0)),0)</f>
        <v>0</v>
      </c>
      <c r="AD119" s="3">
        <f>IFERROR(INDEX(EVENTOS!$D:$D,MATCH(SCORE!AD$2&amp;" "&amp;SCORE!$D119,EVENTOS!$F:$F,0)),0)</f>
        <v>0</v>
      </c>
      <c r="AE119" s="3">
        <f t="shared" si="3"/>
        <v>0</v>
      </c>
      <c r="AF119" s="10" t="e">
        <f t="shared" si="4"/>
        <v>#N/A</v>
      </c>
      <c r="AG119" s="3" t="str">
        <f t="shared" si="5"/>
        <v/>
      </c>
    </row>
    <row r="120" spans="1:33" x14ac:dyDescent="0.25">
      <c r="A120" s="7"/>
      <c r="B120" s="8"/>
      <c r="C120" s="3"/>
      <c r="D120" s="3"/>
      <c r="E120" s="3" t="e">
        <f>VLOOKUP(D120,VIAJES!$D:$E,2,FALSE)</f>
        <v>#N/A</v>
      </c>
      <c r="F120" s="9" t="e">
        <f>VLOOKUP(D120,VIAJES!$D:$F,3,FALSE)</f>
        <v>#N/A</v>
      </c>
      <c r="G120" s="9" t="e">
        <f>VLOOKUP(D120,VIAJES!$D:$G,4,FALSE)</f>
        <v>#N/A</v>
      </c>
      <c r="H120" s="3" t="e">
        <f>VLOOKUP(D120,VIAJES!$D:$H,5,FALSE)</f>
        <v>#N/A</v>
      </c>
      <c r="S120" s="3">
        <f>IFERROR(INDEX(EVENTOS!$D:$D,MATCH(SCORE!S$2&amp;" "&amp;SCORE!$D120,EVENTOS!$F:$F,0)),0)</f>
        <v>0</v>
      </c>
      <c r="T120" s="3">
        <f>IFERROR(INDEX(EVENTOS!$D:$D,MATCH(SCORE!T$2&amp;" "&amp;SCORE!$D120,EVENTOS!$F:$F,0)),0)</f>
        <v>0</v>
      </c>
      <c r="U120" s="3">
        <f>IFERROR(INDEX(EVENTOS!$D:$D,MATCH(SCORE!U$2&amp;" "&amp;SCORE!$D120,EVENTOS!$F:$F,0)),0)</f>
        <v>0</v>
      </c>
      <c r="V120" s="3">
        <f>IFERROR(INDEX(EVENTOS!$D:$D,MATCH(SCORE!V$2&amp;" "&amp;SCORE!$D120,EVENTOS!$F:$F,0)),0)</f>
        <v>0</v>
      </c>
      <c r="W120" s="3">
        <f>IFERROR(INDEX(EVENTOS!$D:$D,MATCH(SCORE!W$2&amp;" "&amp;SCORE!$D120,EVENTOS!$F:$F,0)),0)</f>
        <v>0</v>
      </c>
      <c r="X120" s="3">
        <f>IFERROR(INDEX(EVENTOS!$D:$D,MATCH(SCORE!X$2&amp;" "&amp;SCORE!$D120,EVENTOS!$F:$F,0)),0)</f>
        <v>0</v>
      </c>
      <c r="Y120" s="3">
        <f>SUMIFS(EVENTOS!$D:$D, EVENTOS!$B:$B, D120, EVENTOS!$E:$E, "*GirAlto*")</f>
        <v>0</v>
      </c>
      <c r="Z120" s="3">
        <f>SUMIFS(EVENTOS!$D:$D, EVENTOS!$B:$B, D120, EVENTOS!$E:$E, "*GirMed*")</f>
        <v>0</v>
      </c>
      <c r="AA120" s="3">
        <f>SUMIFS(EVENTOS!$D:$D, EVENTOS!$B:$B, D120, EVENTOS!$E:$E, "*GirBajo*")</f>
        <v>0</v>
      </c>
      <c r="AB120" s="3">
        <f>IFERROR(INDEX(EVENTOS!$D:$D,MATCH(SCORE!AB$2&amp;" "&amp;SCORE!$D120,EVENTOS!$F:$F,0)),0)</f>
        <v>0</v>
      </c>
      <c r="AC120" s="3">
        <f>IFERROR(INDEX(EVENTOS!$D:$D,MATCH(SCORE!AC$2&amp;" "&amp;SCORE!$D120,EVENTOS!$F:$F,0)),0)</f>
        <v>0</v>
      </c>
      <c r="AD120" s="3">
        <f>IFERROR(INDEX(EVENTOS!$D:$D,MATCH(SCORE!AD$2&amp;" "&amp;SCORE!$D120,EVENTOS!$F:$F,0)),0)</f>
        <v>0</v>
      </c>
      <c r="AE120" s="3">
        <f t="shared" si="3"/>
        <v>0</v>
      </c>
      <c r="AF120" s="10" t="e">
        <f t="shared" si="4"/>
        <v>#N/A</v>
      </c>
      <c r="AG120" s="3" t="str">
        <f t="shared" si="5"/>
        <v/>
      </c>
    </row>
    <row r="121" spans="1:33" x14ac:dyDescent="0.25">
      <c r="A121" s="7"/>
      <c r="B121" s="8"/>
      <c r="C121" s="3"/>
      <c r="D121" s="3"/>
      <c r="E121" s="3" t="e">
        <f>VLOOKUP(D121,VIAJES!$D:$E,2,FALSE)</f>
        <v>#N/A</v>
      </c>
      <c r="F121" s="9" t="e">
        <f>VLOOKUP(D121,VIAJES!$D:$F,3,FALSE)</f>
        <v>#N/A</v>
      </c>
      <c r="G121" s="9" t="e">
        <f>VLOOKUP(D121,VIAJES!$D:$G,4,FALSE)</f>
        <v>#N/A</v>
      </c>
      <c r="H121" s="3" t="e">
        <f>VLOOKUP(D121,VIAJES!$D:$H,5,FALSE)</f>
        <v>#N/A</v>
      </c>
      <c r="S121" s="3">
        <f>IFERROR(INDEX(EVENTOS!$D:$D,MATCH(SCORE!S$2&amp;" "&amp;SCORE!$D121,EVENTOS!$F:$F,0)),0)</f>
        <v>0</v>
      </c>
      <c r="T121" s="3">
        <f>IFERROR(INDEX(EVENTOS!$D:$D,MATCH(SCORE!T$2&amp;" "&amp;SCORE!$D121,EVENTOS!$F:$F,0)),0)</f>
        <v>0</v>
      </c>
      <c r="U121" s="3">
        <f>IFERROR(INDEX(EVENTOS!$D:$D,MATCH(SCORE!U$2&amp;" "&amp;SCORE!$D121,EVENTOS!$F:$F,0)),0)</f>
        <v>0</v>
      </c>
      <c r="V121" s="3">
        <f>IFERROR(INDEX(EVENTOS!$D:$D,MATCH(SCORE!V$2&amp;" "&amp;SCORE!$D121,EVENTOS!$F:$F,0)),0)</f>
        <v>0</v>
      </c>
      <c r="W121" s="3">
        <f>IFERROR(INDEX(EVENTOS!$D:$D,MATCH(SCORE!W$2&amp;" "&amp;SCORE!$D121,EVENTOS!$F:$F,0)),0)</f>
        <v>0</v>
      </c>
      <c r="X121" s="3">
        <f>IFERROR(INDEX(EVENTOS!$D:$D,MATCH(SCORE!X$2&amp;" "&amp;SCORE!$D121,EVENTOS!$F:$F,0)),0)</f>
        <v>0</v>
      </c>
      <c r="Y121" s="3">
        <f>SUMIFS(EVENTOS!$D:$D, EVENTOS!$B:$B, D121, EVENTOS!$E:$E, "*GirAlto*")</f>
        <v>0</v>
      </c>
      <c r="Z121" s="3">
        <f>SUMIFS(EVENTOS!$D:$D, EVENTOS!$B:$B, D121, EVENTOS!$E:$E, "*GirMed*")</f>
        <v>0</v>
      </c>
      <c r="AA121" s="3">
        <f>SUMIFS(EVENTOS!$D:$D, EVENTOS!$B:$B, D121, EVENTOS!$E:$E, "*GirBajo*")</f>
        <v>0</v>
      </c>
      <c r="AB121" s="3">
        <f>IFERROR(INDEX(EVENTOS!$D:$D,MATCH(SCORE!AB$2&amp;" "&amp;SCORE!$D121,EVENTOS!$F:$F,0)),0)</f>
        <v>0</v>
      </c>
      <c r="AC121" s="3">
        <f>IFERROR(INDEX(EVENTOS!$D:$D,MATCH(SCORE!AC$2&amp;" "&amp;SCORE!$D121,EVENTOS!$F:$F,0)),0)</f>
        <v>0</v>
      </c>
      <c r="AD121" s="3">
        <f>IFERROR(INDEX(EVENTOS!$D:$D,MATCH(SCORE!AD$2&amp;" "&amp;SCORE!$D121,EVENTOS!$F:$F,0)),0)</f>
        <v>0</v>
      </c>
      <c r="AE121" s="3">
        <f t="shared" si="3"/>
        <v>0</v>
      </c>
      <c r="AF121" s="10" t="e">
        <f t="shared" si="4"/>
        <v>#N/A</v>
      </c>
      <c r="AG121" s="3" t="str">
        <f t="shared" si="5"/>
        <v/>
      </c>
    </row>
    <row r="122" spans="1:33" x14ac:dyDescent="0.25">
      <c r="A122" s="7"/>
      <c r="B122" s="8"/>
      <c r="C122" s="3"/>
      <c r="D122" s="3"/>
      <c r="E122" s="3" t="e">
        <f>VLOOKUP(D122,VIAJES!$D:$E,2,FALSE)</f>
        <v>#N/A</v>
      </c>
      <c r="F122" s="9" t="e">
        <f>VLOOKUP(D122,VIAJES!$D:$F,3,FALSE)</f>
        <v>#N/A</v>
      </c>
      <c r="G122" s="9" t="e">
        <f>VLOOKUP(D122,VIAJES!$D:$G,4,FALSE)</f>
        <v>#N/A</v>
      </c>
      <c r="H122" s="3" t="e">
        <f>VLOOKUP(D122,VIAJES!$D:$H,5,FALSE)</f>
        <v>#N/A</v>
      </c>
      <c r="S122" s="3">
        <f>IFERROR(INDEX(EVENTOS!$D:$D,MATCH(SCORE!S$2&amp;" "&amp;SCORE!$D122,EVENTOS!$F:$F,0)),0)</f>
        <v>0</v>
      </c>
      <c r="T122" s="3">
        <f>IFERROR(INDEX(EVENTOS!$D:$D,MATCH(SCORE!T$2&amp;" "&amp;SCORE!$D122,EVENTOS!$F:$F,0)),0)</f>
        <v>0</v>
      </c>
      <c r="U122" s="3">
        <f>IFERROR(INDEX(EVENTOS!$D:$D,MATCH(SCORE!U$2&amp;" "&amp;SCORE!$D122,EVENTOS!$F:$F,0)),0)</f>
        <v>0</v>
      </c>
      <c r="V122" s="3">
        <f>IFERROR(INDEX(EVENTOS!$D:$D,MATCH(SCORE!V$2&amp;" "&amp;SCORE!$D122,EVENTOS!$F:$F,0)),0)</f>
        <v>0</v>
      </c>
      <c r="W122" s="3">
        <f>IFERROR(INDEX(EVENTOS!$D:$D,MATCH(SCORE!W$2&amp;" "&amp;SCORE!$D122,EVENTOS!$F:$F,0)),0)</f>
        <v>0</v>
      </c>
      <c r="X122" s="3">
        <f>IFERROR(INDEX(EVENTOS!$D:$D,MATCH(SCORE!X$2&amp;" "&amp;SCORE!$D122,EVENTOS!$F:$F,0)),0)</f>
        <v>0</v>
      </c>
      <c r="Y122" s="3">
        <f>SUMIFS(EVENTOS!$D:$D, EVENTOS!$B:$B, D122, EVENTOS!$E:$E, "*GirAlto*")</f>
        <v>0</v>
      </c>
      <c r="Z122" s="3">
        <f>SUMIFS(EVENTOS!$D:$D, EVENTOS!$B:$B, D122, EVENTOS!$E:$E, "*GirMed*")</f>
        <v>0</v>
      </c>
      <c r="AA122" s="3">
        <f>SUMIFS(EVENTOS!$D:$D, EVENTOS!$B:$B, D122, EVENTOS!$E:$E, "*GirBajo*")</f>
        <v>0</v>
      </c>
      <c r="AB122" s="3">
        <f>IFERROR(INDEX(EVENTOS!$D:$D,MATCH(SCORE!AB$2&amp;" "&amp;SCORE!$D122,EVENTOS!$F:$F,0)),0)</f>
        <v>0</v>
      </c>
      <c r="AC122" s="3">
        <f>IFERROR(INDEX(EVENTOS!$D:$D,MATCH(SCORE!AC$2&amp;" "&amp;SCORE!$D122,EVENTOS!$F:$F,0)),0)</f>
        <v>0</v>
      </c>
      <c r="AD122" s="3">
        <f>IFERROR(INDEX(EVENTOS!$D:$D,MATCH(SCORE!AD$2&amp;" "&amp;SCORE!$D122,EVENTOS!$F:$F,0)),0)</f>
        <v>0</v>
      </c>
      <c r="AE122" s="3">
        <f t="shared" si="3"/>
        <v>0</v>
      </c>
      <c r="AF122" s="10" t="e">
        <f t="shared" si="4"/>
        <v>#N/A</v>
      </c>
      <c r="AG122" s="3" t="str">
        <f t="shared" si="5"/>
        <v/>
      </c>
    </row>
    <row r="123" spans="1:33" x14ac:dyDescent="0.25">
      <c r="A123" s="7"/>
      <c r="B123" s="8"/>
      <c r="C123" s="3"/>
      <c r="D123" s="3"/>
      <c r="E123" s="3" t="e">
        <f>VLOOKUP(D123,VIAJES!$D:$E,2,FALSE)</f>
        <v>#N/A</v>
      </c>
      <c r="F123" s="9" t="e">
        <f>VLOOKUP(D123,VIAJES!$D:$F,3,FALSE)</f>
        <v>#N/A</v>
      </c>
      <c r="G123" s="9" t="e">
        <f>VLOOKUP(D123,VIAJES!$D:$G,4,FALSE)</f>
        <v>#N/A</v>
      </c>
      <c r="H123" s="3" t="e">
        <f>VLOOKUP(D123,VIAJES!$D:$H,5,FALSE)</f>
        <v>#N/A</v>
      </c>
      <c r="S123" s="3">
        <f>IFERROR(INDEX(EVENTOS!$D:$D,MATCH(SCORE!S$2&amp;" "&amp;SCORE!$D123,EVENTOS!$F:$F,0)),0)</f>
        <v>0</v>
      </c>
      <c r="T123" s="3">
        <f>IFERROR(INDEX(EVENTOS!$D:$D,MATCH(SCORE!T$2&amp;" "&amp;SCORE!$D123,EVENTOS!$F:$F,0)),0)</f>
        <v>0</v>
      </c>
      <c r="U123" s="3">
        <f>IFERROR(INDEX(EVENTOS!$D:$D,MATCH(SCORE!U$2&amp;" "&amp;SCORE!$D123,EVENTOS!$F:$F,0)),0)</f>
        <v>0</v>
      </c>
      <c r="V123" s="3">
        <f>IFERROR(INDEX(EVENTOS!$D:$D,MATCH(SCORE!V$2&amp;" "&amp;SCORE!$D123,EVENTOS!$F:$F,0)),0)</f>
        <v>0</v>
      </c>
      <c r="W123" s="3">
        <f>IFERROR(INDEX(EVENTOS!$D:$D,MATCH(SCORE!W$2&amp;" "&amp;SCORE!$D123,EVENTOS!$F:$F,0)),0)</f>
        <v>0</v>
      </c>
      <c r="X123" s="3">
        <f>IFERROR(INDEX(EVENTOS!$D:$D,MATCH(SCORE!X$2&amp;" "&amp;SCORE!$D123,EVENTOS!$F:$F,0)),0)</f>
        <v>0</v>
      </c>
      <c r="Y123" s="3">
        <f>SUMIFS(EVENTOS!$D:$D, EVENTOS!$B:$B, D123, EVENTOS!$E:$E, "*GirAlto*")</f>
        <v>0</v>
      </c>
      <c r="Z123" s="3">
        <f>SUMIFS(EVENTOS!$D:$D, EVENTOS!$B:$B, D123, EVENTOS!$E:$E, "*GirMed*")</f>
        <v>0</v>
      </c>
      <c r="AA123" s="3">
        <f>SUMIFS(EVENTOS!$D:$D, EVENTOS!$B:$B, D123, EVENTOS!$E:$E, "*GirBajo*")</f>
        <v>0</v>
      </c>
      <c r="AB123" s="3">
        <f>IFERROR(INDEX(EVENTOS!$D:$D,MATCH(SCORE!AB$2&amp;" "&amp;SCORE!$D123,EVENTOS!$F:$F,0)),0)</f>
        <v>0</v>
      </c>
      <c r="AC123" s="3">
        <f>IFERROR(INDEX(EVENTOS!$D:$D,MATCH(SCORE!AC$2&amp;" "&amp;SCORE!$D123,EVENTOS!$F:$F,0)),0)</f>
        <v>0</v>
      </c>
      <c r="AD123" s="3">
        <f>IFERROR(INDEX(EVENTOS!$D:$D,MATCH(SCORE!AD$2&amp;" "&amp;SCORE!$D123,EVENTOS!$F:$F,0)),0)</f>
        <v>0</v>
      </c>
      <c r="AE123" s="3">
        <f t="shared" si="3"/>
        <v>0</v>
      </c>
      <c r="AF123" s="10" t="e">
        <f t="shared" si="4"/>
        <v>#N/A</v>
      </c>
      <c r="AG123" s="3" t="str">
        <f t="shared" si="5"/>
        <v/>
      </c>
    </row>
    <row r="124" spans="1:33" x14ac:dyDescent="0.25">
      <c r="A124" s="7"/>
      <c r="B124" s="8"/>
      <c r="C124" s="3"/>
      <c r="D124" s="3"/>
      <c r="E124" s="3" t="e">
        <f>VLOOKUP(D124,VIAJES!$D:$E,2,FALSE)</f>
        <v>#N/A</v>
      </c>
      <c r="F124" s="9" t="e">
        <f>VLOOKUP(D124,VIAJES!$D:$F,3,FALSE)</f>
        <v>#N/A</v>
      </c>
      <c r="G124" s="9" t="e">
        <f>VLOOKUP(D124,VIAJES!$D:$G,4,FALSE)</f>
        <v>#N/A</v>
      </c>
      <c r="H124" s="3" t="e">
        <f>VLOOKUP(D124,VIAJES!$D:$H,5,FALSE)</f>
        <v>#N/A</v>
      </c>
      <c r="S124" s="3">
        <f>IFERROR(INDEX(EVENTOS!$D:$D,MATCH(SCORE!S$2&amp;" "&amp;SCORE!$D124,EVENTOS!$F:$F,0)),0)</f>
        <v>0</v>
      </c>
      <c r="T124" s="3">
        <f>IFERROR(INDEX(EVENTOS!$D:$D,MATCH(SCORE!T$2&amp;" "&amp;SCORE!$D124,EVENTOS!$F:$F,0)),0)</f>
        <v>0</v>
      </c>
      <c r="U124" s="3">
        <f>IFERROR(INDEX(EVENTOS!$D:$D,MATCH(SCORE!U$2&amp;" "&amp;SCORE!$D124,EVENTOS!$F:$F,0)),0)</f>
        <v>0</v>
      </c>
      <c r="V124" s="3">
        <f>IFERROR(INDEX(EVENTOS!$D:$D,MATCH(SCORE!V$2&amp;" "&amp;SCORE!$D124,EVENTOS!$F:$F,0)),0)</f>
        <v>0</v>
      </c>
      <c r="W124" s="3">
        <f>IFERROR(INDEX(EVENTOS!$D:$D,MATCH(SCORE!W$2&amp;" "&amp;SCORE!$D124,EVENTOS!$F:$F,0)),0)</f>
        <v>0</v>
      </c>
      <c r="X124" s="3">
        <f>IFERROR(INDEX(EVENTOS!$D:$D,MATCH(SCORE!X$2&amp;" "&amp;SCORE!$D124,EVENTOS!$F:$F,0)),0)</f>
        <v>0</v>
      </c>
      <c r="Y124" s="3">
        <f>SUMIFS(EVENTOS!$D:$D, EVENTOS!$B:$B, D124, EVENTOS!$E:$E, "*GirAlto*")</f>
        <v>0</v>
      </c>
      <c r="Z124" s="3">
        <f>SUMIFS(EVENTOS!$D:$D, EVENTOS!$B:$B, D124, EVENTOS!$E:$E, "*GirMed*")</f>
        <v>0</v>
      </c>
      <c r="AA124" s="3">
        <f>SUMIFS(EVENTOS!$D:$D, EVENTOS!$B:$B, D124, EVENTOS!$E:$E, "*GirBajo*")</f>
        <v>0</v>
      </c>
      <c r="AB124" s="3">
        <f>IFERROR(INDEX(EVENTOS!$D:$D,MATCH(SCORE!AB$2&amp;" "&amp;SCORE!$D124,EVENTOS!$F:$F,0)),0)</f>
        <v>0</v>
      </c>
      <c r="AC124" s="3">
        <f>IFERROR(INDEX(EVENTOS!$D:$D,MATCH(SCORE!AC$2&amp;" "&amp;SCORE!$D124,EVENTOS!$F:$F,0)),0)</f>
        <v>0</v>
      </c>
      <c r="AD124" s="3">
        <f>IFERROR(INDEX(EVENTOS!$D:$D,MATCH(SCORE!AD$2&amp;" "&amp;SCORE!$D124,EVENTOS!$F:$F,0)),0)</f>
        <v>0</v>
      </c>
      <c r="AE124" s="3">
        <f t="shared" si="3"/>
        <v>0</v>
      </c>
      <c r="AF124" s="10" t="e">
        <f t="shared" si="4"/>
        <v>#N/A</v>
      </c>
      <c r="AG124" s="3" t="str">
        <f t="shared" si="5"/>
        <v/>
      </c>
    </row>
    <row r="125" spans="1:33" x14ac:dyDescent="0.25">
      <c r="A125" s="7"/>
      <c r="B125" s="8"/>
      <c r="C125" s="3"/>
      <c r="D125" s="3"/>
      <c r="E125" s="3" t="e">
        <f>VLOOKUP(D125,VIAJES!$D:$E,2,FALSE)</f>
        <v>#N/A</v>
      </c>
      <c r="F125" s="9" t="e">
        <f>VLOOKUP(D125,VIAJES!$D:$F,3,FALSE)</f>
        <v>#N/A</v>
      </c>
      <c r="G125" s="9" t="e">
        <f>VLOOKUP(D125,VIAJES!$D:$G,4,FALSE)</f>
        <v>#N/A</v>
      </c>
      <c r="H125" s="3" t="e">
        <f>VLOOKUP(D125,VIAJES!$D:$H,5,FALSE)</f>
        <v>#N/A</v>
      </c>
      <c r="S125" s="3">
        <f>IFERROR(INDEX(EVENTOS!$D:$D,MATCH(SCORE!S$2&amp;" "&amp;SCORE!$D125,EVENTOS!$F:$F,0)),0)</f>
        <v>0</v>
      </c>
      <c r="T125" s="3">
        <f>IFERROR(INDEX(EVENTOS!$D:$D,MATCH(SCORE!T$2&amp;" "&amp;SCORE!$D125,EVENTOS!$F:$F,0)),0)</f>
        <v>0</v>
      </c>
      <c r="U125" s="3">
        <f>IFERROR(INDEX(EVENTOS!$D:$D,MATCH(SCORE!U$2&amp;" "&amp;SCORE!$D125,EVENTOS!$F:$F,0)),0)</f>
        <v>0</v>
      </c>
      <c r="V125" s="3">
        <f>IFERROR(INDEX(EVENTOS!$D:$D,MATCH(SCORE!V$2&amp;" "&amp;SCORE!$D125,EVENTOS!$F:$F,0)),0)</f>
        <v>0</v>
      </c>
      <c r="W125" s="3">
        <f>IFERROR(INDEX(EVENTOS!$D:$D,MATCH(SCORE!W$2&amp;" "&amp;SCORE!$D125,EVENTOS!$F:$F,0)),0)</f>
        <v>0</v>
      </c>
      <c r="X125" s="3">
        <f>IFERROR(INDEX(EVENTOS!$D:$D,MATCH(SCORE!X$2&amp;" "&amp;SCORE!$D125,EVENTOS!$F:$F,0)),0)</f>
        <v>0</v>
      </c>
      <c r="Y125" s="3">
        <f>SUMIFS(EVENTOS!$D:$D, EVENTOS!$B:$B, D125, EVENTOS!$E:$E, "*GirAlto*")</f>
        <v>0</v>
      </c>
      <c r="Z125" s="3">
        <f>SUMIFS(EVENTOS!$D:$D, EVENTOS!$B:$B, D125, EVENTOS!$E:$E, "*GirMed*")</f>
        <v>0</v>
      </c>
      <c r="AA125" s="3">
        <f>SUMIFS(EVENTOS!$D:$D, EVENTOS!$B:$B, D125, EVENTOS!$E:$E, "*GirBajo*")</f>
        <v>0</v>
      </c>
      <c r="AB125" s="3">
        <f>IFERROR(INDEX(EVENTOS!$D:$D,MATCH(SCORE!AB$2&amp;" "&amp;SCORE!$D125,EVENTOS!$F:$F,0)),0)</f>
        <v>0</v>
      </c>
      <c r="AC125" s="3">
        <f>IFERROR(INDEX(EVENTOS!$D:$D,MATCH(SCORE!AC$2&amp;" "&amp;SCORE!$D125,EVENTOS!$F:$F,0)),0)</f>
        <v>0</v>
      </c>
      <c r="AD125" s="3">
        <f>IFERROR(INDEX(EVENTOS!$D:$D,MATCH(SCORE!AD$2&amp;" "&amp;SCORE!$D125,EVENTOS!$F:$F,0)),0)</f>
        <v>0</v>
      </c>
      <c r="AE125" s="3">
        <f t="shared" si="3"/>
        <v>0</v>
      </c>
      <c r="AF125" s="10" t="e">
        <f t="shared" si="4"/>
        <v>#N/A</v>
      </c>
      <c r="AG125" s="3" t="str">
        <f t="shared" si="5"/>
        <v/>
      </c>
    </row>
    <row r="126" spans="1:33" x14ac:dyDescent="0.25">
      <c r="A126" s="7"/>
      <c r="B126" s="8"/>
      <c r="C126" s="3"/>
      <c r="D126" s="3"/>
      <c r="E126" s="3" t="e">
        <f>VLOOKUP(D126,VIAJES!$D:$E,2,FALSE)</f>
        <v>#N/A</v>
      </c>
      <c r="F126" s="9" t="e">
        <f>VLOOKUP(D126,VIAJES!$D:$F,3,FALSE)</f>
        <v>#N/A</v>
      </c>
      <c r="G126" s="9" t="e">
        <f>VLOOKUP(D126,VIAJES!$D:$G,4,FALSE)</f>
        <v>#N/A</v>
      </c>
      <c r="H126" s="3" t="e">
        <f>VLOOKUP(D126,VIAJES!$D:$H,5,FALSE)</f>
        <v>#N/A</v>
      </c>
      <c r="S126" s="3">
        <f>IFERROR(INDEX(EVENTOS!$D:$D,MATCH(SCORE!S$2&amp;" "&amp;SCORE!$D126,EVENTOS!$F:$F,0)),0)</f>
        <v>0</v>
      </c>
      <c r="T126" s="3">
        <f>IFERROR(INDEX(EVENTOS!$D:$D,MATCH(SCORE!T$2&amp;" "&amp;SCORE!$D126,EVENTOS!$F:$F,0)),0)</f>
        <v>0</v>
      </c>
      <c r="U126" s="3">
        <f>IFERROR(INDEX(EVENTOS!$D:$D,MATCH(SCORE!U$2&amp;" "&amp;SCORE!$D126,EVENTOS!$F:$F,0)),0)</f>
        <v>0</v>
      </c>
      <c r="V126" s="3">
        <f>IFERROR(INDEX(EVENTOS!$D:$D,MATCH(SCORE!V$2&amp;" "&amp;SCORE!$D126,EVENTOS!$F:$F,0)),0)</f>
        <v>0</v>
      </c>
      <c r="W126" s="3">
        <f>IFERROR(INDEX(EVENTOS!$D:$D,MATCH(SCORE!W$2&amp;" "&amp;SCORE!$D126,EVENTOS!$F:$F,0)),0)</f>
        <v>0</v>
      </c>
      <c r="X126" s="3">
        <f>IFERROR(INDEX(EVENTOS!$D:$D,MATCH(SCORE!X$2&amp;" "&amp;SCORE!$D126,EVENTOS!$F:$F,0)),0)</f>
        <v>0</v>
      </c>
      <c r="Y126" s="3">
        <f>SUMIFS(EVENTOS!$D:$D, EVENTOS!$B:$B, D126, EVENTOS!$E:$E, "*GirAlto*")</f>
        <v>0</v>
      </c>
      <c r="Z126" s="3">
        <f>SUMIFS(EVENTOS!$D:$D, EVENTOS!$B:$B, D126, EVENTOS!$E:$E, "*GirMed*")</f>
        <v>0</v>
      </c>
      <c r="AA126" s="3">
        <f>SUMIFS(EVENTOS!$D:$D, EVENTOS!$B:$B, D126, EVENTOS!$E:$E, "*GirBajo*")</f>
        <v>0</v>
      </c>
      <c r="AB126" s="3">
        <f>IFERROR(INDEX(EVENTOS!$D:$D,MATCH(SCORE!AB$2&amp;" "&amp;SCORE!$D126,EVENTOS!$F:$F,0)),0)</f>
        <v>0</v>
      </c>
      <c r="AC126" s="3">
        <f>IFERROR(INDEX(EVENTOS!$D:$D,MATCH(SCORE!AC$2&amp;" "&amp;SCORE!$D126,EVENTOS!$F:$F,0)),0)</f>
        <v>0</v>
      </c>
      <c r="AD126" s="3">
        <f>IFERROR(INDEX(EVENTOS!$D:$D,MATCH(SCORE!AD$2&amp;" "&amp;SCORE!$D126,EVENTOS!$F:$F,0)),0)</f>
        <v>0</v>
      </c>
      <c r="AE126" s="3">
        <f t="shared" si="3"/>
        <v>0</v>
      </c>
      <c r="AF126" s="10" t="e">
        <f t="shared" si="4"/>
        <v>#N/A</v>
      </c>
      <c r="AG126" s="3" t="str">
        <f t="shared" si="5"/>
        <v/>
      </c>
    </row>
    <row r="127" spans="1:33" x14ac:dyDescent="0.25">
      <c r="A127" s="7"/>
      <c r="B127" s="8"/>
      <c r="C127" s="3"/>
      <c r="D127" s="3"/>
      <c r="E127" s="3" t="e">
        <f>VLOOKUP(D127,VIAJES!$D:$E,2,FALSE)</f>
        <v>#N/A</v>
      </c>
      <c r="F127" s="9" t="e">
        <f>VLOOKUP(D127,VIAJES!$D:$F,3,FALSE)</f>
        <v>#N/A</v>
      </c>
      <c r="G127" s="9" t="e">
        <f>VLOOKUP(D127,VIAJES!$D:$G,4,FALSE)</f>
        <v>#N/A</v>
      </c>
      <c r="H127" s="3" t="e">
        <f>VLOOKUP(D127,VIAJES!$D:$H,5,FALSE)</f>
        <v>#N/A</v>
      </c>
      <c r="S127" s="3">
        <f>IFERROR(INDEX(EVENTOS!$D:$D,MATCH(SCORE!S$2&amp;" "&amp;SCORE!$D127,EVENTOS!$F:$F,0)),0)</f>
        <v>0</v>
      </c>
      <c r="T127" s="3">
        <f>IFERROR(INDEX(EVENTOS!$D:$D,MATCH(SCORE!T$2&amp;" "&amp;SCORE!$D127,EVENTOS!$F:$F,0)),0)</f>
        <v>0</v>
      </c>
      <c r="U127" s="3">
        <f>IFERROR(INDEX(EVENTOS!$D:$D,MATCH(SCORE!U$2&amp;" "&amp;SCORE!$D127,EVENTOS!$F:$F,0)),0)</f>
        <v>0</v>
      </c>
      <c r="V127" s="3">
        <f>IFERROR(INDEX(EVENTOS!$D:$D,MATCH(SCORE!V$2&amp;" "&amp;SCORE!$D127,EVENTOS!$F:$F,0)),0)</f>
        <v>0</v>
      </c>
      <c r="W127" s="3">
        <f>IFERROR(INDEX(EVENTOS!$D:$D,MATCH(SCORE!W$2&amp;" "&amp;SCORE!$D127,EVENTOS!$F:$F,0)),0)</f>
        <v>0</v>
      </c>
      <c r="X127" s="3">
        <f>IFERROR(INDEX(EVENTOS!$D:$D,MATCH(SCORE!X$2&amp;" "&amp;SCORE!$D127,EVENTOS!$F:$F,0)),0)</f>
        <v>0</v>
      </c>
      <c r="Y127" s="3">
        <f>SUMIFS(EVENTOS!$D:$D, EVENTOS!$B:$B, D127, EVENTOS!$E:$E, "*GirAlto*")</f>
        <v>0</v>
      </c>
      <c r="Z127" s="3">
        <f>SUMIFS(EVENTOS!$D:$D, EVENTOS!$B:$B, D127, EVENTOS!$E:$E, "*GirMed*")</f>
        <v>0</v>
      </c>
      <c r="AA127" s="3">
        <f>SUMIFS(EVENTOS!$D:$D, EVENTOS!$B:$B, D127, EVENTOS!$E:$E, "*GirBajo*")</f>
        <v>0</v>
      </c>
      <c r="AB127" s="3">
        <f>IFERROR(INDEX(EVENTOS!$D:$D,MATCH(SCORE!AB$2&amp;" "&amp;SCORE!$D127,EVENTOS!$F:$F,0)),0)</f>
        <v>0</v>
      </c>
      <c r="AC127" s="3">
        <f>IFERROR(INDEX(EVENTOS!$D:$D,MATCH(SCORE!AC$2&amp;" "&amp;SCORE!$D127,EVENTOS!$F:$F,0)),0)</f>
        <v>0</v>
      </c>
      <c r="AD127" s="3">
        <f>IFERROR(INDEX(EVENTOS!$D:$D,MATCH(SCORE!AD$2&amp;" "&amp;SCORE!$D127,EVENTOS!$F:$F,0)),0)</f>
        <v>0</v>
      </c>
      <c r="AE127" s="3">
        <f t="shared" si="3"/>
        <v>0</v>
      </c>
      <c r="AF127" s="10" t="e">
        <f t="shared" si="4"/>
        <v>#N/A</v>
      </c>
      <c r="AG127" s="3" t="str">
        <f t="shared" si="5"/>
        <v/>
      </c>
    </row>
    <row r="128" spans="1:33" x14ac:dyDescent="0.25">
      <c r="A128" s="7"/>
      <c r="B128" s="8"/>
      <c r="C128" s="3"/>
      <c r="D128" s="3"/>
      <c r="E128" s="3" t="e">
        <f>VLOOKUP(D128,VIAJES!$D:$E,2,FALSE)</f>
        <v>#N/A</v>
      </c>
      <c r="F128" s="9" t="e">
        <f>VLOOKUP(D128,VIAJES!$D:$F,3,FALSE)</f>
        <v>#N/A</v>
      </c>
      <c r="G128" s="9" t="e">
        <f>VLOOKUP(D128,VIAJES!$D:$G,4,FALSE)</f>
        <v>#N/A</v>
      </c>
      <c r="H128" s="3" t="e">
        <f>VLOOKUP(D128,VIAJES!$D:$H,5,FALSE)</f>
        <v>#N/A</v>
      </c>
      <c r="S128" s="3">
        <f>IFERROR(INDEX(EVENTOS!$D:$D,MATCH(SCORE!S$2&amp;" "&amp;SCORE!$D128,EVENTOS!$F:$F,0)),0)</f>
        <v>0</v>
      </c>
      <c r="T128" s="3">
        <f>IFERROR(INDEX(EVENTOS!$D:$D,MATCH(SCORE!T$2&amp;" "&amp;SCORE!$D128,EVENTOS!$F:$F,0)),0)</f>
        <v>0</v>
      </c>
      <c r="U128" s="3">
        <f>IFERROR(INDEX(EVENTOS!$D:$D,MATCH(SCORE!U$2&amp;" "&amp;SCORE!$D128,EVENTOS!$F:$F,0)),0)</f>
        <v>0</v>
      </c>
      <c r="V128" s="3">
        <f>IFERROR(INDEX(EVENTOS!$D:$D,MATCH(SCORE!V$2&amp;" "&amp;SCORE!$D128,EVENTOS!$F:$F,0)),0)</f>
        <v>0</v>
      </c>
      <c r="W128" s="3">
        <f>IFERROR(INDEX(EVENTOS!$D:$D,MATCH(SCORE!W$2&amp;" "&amp;SCORE!$D128,EVENTOS!$F:$F,0)),0)</f>
        <v>0</v>
      </c>
      <c r="X128" s="3">
        <f>IFERROR(INDEX(EVENTOS!$D:$D,MATCH(SCORE!X$2&amp;" "&amp;SCORE!$D128,EVENTOS!$F:$F,0)),0)</f>
        <v>0</v>
      </c>
      <c r="Y128" s="3">
        <f>SUMIFS(EVENTOS!$D:$D, EVENTOS!$B:$B, D128, EVENTOS!$E:$E, "*GirAlto*")</f>
        <v>0</v>
      </c>
      <c r="Z128" s="3">
        <f>SUMIFS(EVENTOS!$D:$D, EVENTOS!$B:$B, D128, EVENTOS!$E:$E, "*GirMed*")</f>
        <v>0</v>
      </c>
      <c r="AA128" s="3">
        <f>SUMIFS(EVENTOS!$D:$D, EVENTOS!$B:$B, D128, EVENTOS!$E:$E, "*GirBajo*")</f>
        <v>0</v>
      </c>
      <c r="AB128" s="3">
        <f>IFERROR(INDEX(EVENTOS!$D:$D,MATCH(SCORE!AB$2&amp;" "&amp;SCORE!$D128,EVENTOS!$F:$F,0)),0)</f>
        <v>0</v>
      </c>
      <c r="AC128" s="3">
        <f>IFERROR(INDEX(EVENTOS!$D:$D,MATCH(SCORE!AC$2&amp;" "&amp;SCORE!$D128,EVENTOS!$F:$F,0)),0)</f>
        <v>0</v>
      </c>
      <c r="AD128" s="3">
        <f>IFERROR(INDEX(EVENTOS!$D:$D,MATCH(SCORE!AD$2&amp;" "&amp;SCORE!$D128,EVENTOS!$F:$F,0)),0)</f>
        <v>0</v>
      </c>
      <c r="AE128" s="3">
        <f t="shared" si="3"/>
        <v>0</v>
      </c>
      <c r="AF128" s="10" t="e">
        <f t="shared" si="4"/>
        <v>#N/A</v>
      </c>
      <c r="AG128" s="3" t="str">
        <f t="shared" si="5"/>
        <v/>
      </c>
    </row>
    <row r="129" spans="1:33" x14ac:dyDescent="0.25">
      <c r="A129" s="7"/>
      <c r="B129" s="8"/>
      <c r="C129" s="3"/>
      <c r="D129" s="3"/>
      <c r="E129" s="3" t="e">
        <f>VLOOKUP(D129,VIAJES!$D:$E,2,FALSE)</f>
        <v>#N/A</v>
      </c>
      <c r="F129" s="9" t="e">
        <f>VLOOKUP(D129,VIAJES!$D:$F,3,FALSE)</f>
        <v>#N/A</v>
      </c>
      <c r="G129" s="9" t="e">
        <f>VLOOKUP(D129,VIAJES!$D:$G,4,FALSE)</f>
        <v>#N/A</v>
      </c>
      <c r="H129" s="3" t="e">
        <f>VLOOKUP(D129,VIAJES!$D:$H,5,FALSE)</f>
        <v>#N/A</v>
      </c>
      <c r="S129" s="3">
        <f>IFERROR(INDEX(EVENTOS!$D:$D,MATCH(SCORE!S$2&amp;" "&amp;SCORE!$D129,EVENTOS!$F:$F,0)),0)</f>
        <v>0</v>
      </c>
      <c r="T129" s="3">
        <f>IFERROR(INDEX(EVENTOS!$D:$D,MATCH(SCORE!T$2&amp;" "&amp;SCORE!$D129,EVENTOS!$F:$F,0)),0)</f>
        <v>0</v>
      </c>
      <c r="U129" s="3">
        <f>IFERROR(INDEX(EVENTOS!$D:$D,MATCH(SCORE!U$2&amp;" "&amp;SCORE!$D129,EVENTOS!$F:$F,0)),0)</f>
        <v>0</v>
      </c>
      <c r="V129" s="3">
        <f>IFERROR(INDEX(EVENTOS!$D:$D,MATCH(SCORE!V$2&amp;" "&amp;SCORE!$D129,EVENTOS!$F:$F,0)),0)</f>
        <v>0</v>
      </c>
      <c r="W129" s="3">
        <f>IFERROR(INDEX(EVENTOS!$D:$D,MATCH(SCORE!W$2&amp;" "&amp;SCORE!$D129,EVENTOS!$F:$F,0)),0)</f>
        <v>0</v>
      </c>
      <c r="X129" s="3">
        <f>IFERROR(INDEX(EVENTOS!$D:$D,MATCH(SCORE!X$2&amp;" "&amp;SCORE!$D129,EVENTOS!$F:$F,0)),0)</f>
        <v>0</v>
      </c>
      <c r="Y129" s="3">
        <f>SUMIFS(EVENTOS!$D:$D, EVENTOS!$B:$B, D129, EVENTOS!$E:$E, "*GirAlto*")</f>
        <v>0</v>
      </c>
      <c r="Z129" s="3">
        <f>SUMIFS(EVENTOS!$D:$D, EVENTOS!$B:$B, D129, EVENTOS!$E:$E, "*GirMed*")</f>
        <v>0</v>
      </c>
      <c r="AA129" s="3">
        <f>SUMIFS(EVENTOS!$D:$D, EVENTOS!$B:$B, D129, EVENTOS!$E:$E, "*GirBajo*")</f>
        <v>0</v>
      </c>
      <c r="AB129" s="3">
        <f>IFERROR(INDEX(EVENTOS!$D:$D,MATCH(SCORE!AB$2&amp;" "&amp;SCORE!$D129,EVENTOS!$F:$F,0)),0)</f>
        <v>0</v>
      </c>
      <c r="AC129" s="3">
        <f>IFERROR(INDEX(EVENTOS!$D:$D,MATCH(SCORE!AC$2&amp;" "&amp;SCORE!$D129,EVENTOS!$F:$F,0)),0)</f>
        <v>0</v>
      </c>
      <c r="AD129" s="3">
        <f>IFERROR(INDEX(EVENTOS!$D:$D,MATCH(SCORE!AD$2&amp;" "&amp;SCORE!$D129,EVENTOS!$F:$F,0)),0)</f>
        <v>0</v>
      </c>
      <c r="AE129" s="3">
        <f t="shared" si="3"/>
        <v>0</v>
      </c>
      <c r="AF129" s="10" t="e">
        <f t="shared" si="4"/>
        <v>#N/A</v>
      </c>
      <c r="AG129" s="3" t="str">
        <f t="shared" si="5"/>
        <v/>
      </c>
    </row>
    <row r="130" spans="1:33" x14ac:dyDescent="0.25">
      <c r="A130" s="7"/>
      <c r="B130" s="8"/>
      <c r="C130" s="3"/>
      <c r="D130" s="3"/>
      <c r="E130" s="3" t="e">
        <f>VLOOKUP(D130,VIAJES!$D:$E,2,FALSE)</f>
        <v>#N/A</v>
      </c>
      <c r="F130" s="9" t="e">
        <f>VLOOKUP(D130,VIAJES!$D:$F,3,FALSE)</f>
        <v>#N/A</v>
      </c>
      <c r="G130" s="9" t="e">
        <f>VLOOKUP(D130,VIAJES!$D:$G,4,FALSE)</f>
        <v>#N/A</v>
      </c>
      <c r="H130" s="3" t="e">
        <f>VLOOKUP(D130,VIAJES!$D:$H,5,FALSE)</f>
        <v>#N/A</v>
      </c>
      <c r="S130" s="3">
        <f>IFERROR(INDEX(EVENTOS!$D:$D,MATCH(SCORE!S$2&amp;" "&amp;SCORE!$D130,EVENTOS!$F:$F,0)),0)</f>
        <v>0</v>
      </c>
      <c r="T130" s="3">
        <f>IFERROR(INDEX(EVENTOS!$D:$D,MATCH(SCORE!T$2&amp;" "&amp;SCORE!$D130,EVENTOS!$F:$F,0)),0)</f>
        <v>0</v>
      </c>
      <c r="U130" s="3">
        <f>IFERROR(INDEX(EVENTOS!$D:$D,MATCH(SCORE!U$2&amp;" "&amp;SCORE!$D130,EVENTOS!$F:$F,0)),0)</f>
        <v>0</v>
      </c>
      <c r="V130" s="3">
        <f>IFERROR(INDEX(EVENTOS!$D:$D,MATCH(SCORE!V$2&amp;" "&amp;SCORE!$D130,EVENTOS!$F:$F,0)),0)</f>
        <v>0</v>
      </c>
      <c r="W130" s="3">
        <f>IFERROR(INDEX(EVENTOS!$D:$D,MATCH(SCORE!W$2&amp;" "&amp;SCORE!$D130,EVENTOS!$F:$F,0)),0)</f>
        <v>0</v>
      </c>
      <c r="X130" s="3">
        <f>IFERROR(INDEX(EVENTOS!$D:$D,MATCH(SCORE!X$2&amp;" "&amp;SCORE!$D130,EVENTOS!$F:$F,0)),0)</f>
        <v>0</v>
      </c>
      <c r="Y130" s="3">
        <f>SUMIFS(EVENTOS!$D:$D, EVENTOS!$B:$B, D130, EVENTOS!$E:$E, "*GirAlto*")</f>
        <v>0</v>
      </c>
      <c r="Z130" s="3">
        <f>SUMIFS(EVENTOS!$D:$D, EVENTOS!$B:$B, D130, EVENTOS!$E:$E, "*GirMed*")</f>
        <v>0</v>
      </c>
      <c r="AA130" s="3">
        <f>SUMIFS(EVENTOS!$D:$D, EVENTOS!$B:$B, D130, EVENTOS!$E:$E, "*GirBajo*")</f>
        <v>0</v>
      </c>
      <c r="AB130" s="3">
        <f>IFERROR(INDEX(EVENTOS!$D:$D,MATCH(SCORE!AB$2&amp;" "&amp;SCORE!$D130,EVENTOS!$F:$F,0)),0)</f>
        <v>0</v>
      </c>
      <c r="AC130" s="3">
        <f>IFERROR(INDEX(EVENTOS!$D:$D,MATCH(SCORE!AC$2&amp;" "&amp;SCORE!$D130,EVENTOS!$F:$F,0)),0)</f>
        <v>0</v>
      </c>
      <c r="AD130" s="3">
        <f>IFERROR(INDEX(EVENTOS!$D:$D,MATCH(SCORE!AD$2&amp;" "&amp;SCORE!$D130,EVENTOS!$F:$F,0)),0)</f>
        <v>0</v>
      </c>
      <c r="AE130" s="3">
        <f t="shared" si="3"/>
        <v>0</v>
      </c>
      <c r="AF130" s="10" t="e">
        <f t="shared" si="4"/>
        <v>#N/A</v>
      </c>
      <c r="AG130" s="3" t="str">
        <f t="shared" si="5"/>
        <v/>
      </c>
    </row>
    <row r="131" spans="1:33" x14ac:dyDescent="0.25">
      <c r="A131" s="7"/>
      <c r="B131" s="8"/>
      <c r="C131" s="3"/>
      <c r="D131" s="3"/>
      <c r="E131" s="3" t="e">
        <f>VLOOKUP(D131,VIAJES!$D:$E,2,FALSE)</f>
        <v>#N/A</v>
      </c>
      <c r="F131" s="9" t="e">
        <f>VLOOKUP(D131,VIAJES!$D:$F,3,FALSE)</f>
        <v>#N/A</v>
      </c>
      <c r="G131" s="9" t="e">
        <f>VLOOKUP(D131,VIAJES!$D:$G,4,FALSE)</f>
        <v>#N/A</v>
      </c>
      <c r="H131" s="3" t="e">
        <f>VLOOKUP(D131,VIAJES!$D:$H,5,FALSE)</f>
        <v>#N/A</v>
      </c>
      <c r="S131" s="3">
        <f>IFERROR(INDEX(EVENTOS!$D:$D,MATCH(SCORE!S$2&amp;" "&amp;SCORE!$D131,EVENTOS!$F:$F,0)),0)</f>
        <v>0</v>
      </c>
      <c r="T131" s="3">
        <f>IFERROR(INDEX(EVENTOS!$D:$D,MATCH(SCORE!T$2&amp;" "&amp;SCORE!$D131,EVENTOS!$F:$F,0)),0)</f>
        <v>0</v>
      </c>
      <c r="U131" s="3">
        <f>IFERROR(INDEX(EVENTOS!$D:$D,MATCH(SCORE!U$2&amp;" "&amp;SCORE!$D131,EVENTOS!$F:$F,0)),0)</f>
        <v>0</v>
      </c>
      <c r="V131" s="3">
        <f>IFERROR(INDEX(EVENTOS!$D:$D,MATCH(SCORE!V$2&amp;" "&amp;SCORE!$D131,EVENTOS!$F:$F,0)),0)</f>
        <v>0</v>
      </c>
      <c r="W131" s="3">
        <f>IFERROR(INDEX(EVENTOS!$D:$D,MATCH(SCORE!W$2&amp;" "&amp;SCORE!$D131,EVENTOS!$F:$F,0)),0)</f>
        <v>0</v>
      </c>
      <c r="X131" s="3">
        <f>IFERROR(INDEX(EVENTOS!$D:$D,MATCH(SCORE!X$2&amp;" "&amp;SCORE!$D131,EVENTOS!$F:$F,0)),0)</f>
        <v>0</v>
      </c>
      <c r="Y131" s="3">
        <f>SUMIFS(EVENTOS!$D:$D, EVENTOS!$B:$B, D131, EVENTOS!$E:$E, "*GirAlto*")</f>
        <v>0</v>
      </c>
      <c r="Z131" s="3">
        <f>SUMIFS(EVENTOS!$D:$D, EVENTOS!$B:$B, D131, EVENTOS!$E:$E, "*GirMed*")</f>
        <v>0</v>
      </c>
      <c r="AA131" s="3">
        <f>SUMIFS(EVENTOS!$D:$D, EVENTOS!$B:$B, D131, EVENTOS!$E:$E, "*GirBajo*")</f>
        <v>0</v>
      </c>
      <c r="AB131" s="3">
        <f>IFERROR(INDEX(EVENTOS!$D:$D,MATCH(SCORE!AB$2&amp;" "&amp;SCORE!$D131,EVENTOS!$F:$F,0)),0)</f>
        <v>0</v>
      </c>
      <c r="AC131" s="3">
        <f>IFERROR(INDEX(EVENTOS!$D:$D,MATCH(SCORE!AC$2&amp;" "&amp;SCORE!$D131,EVENTOS!$F:$F,0)),0)</f>
        <v>0</v>
      </c>
      <c r="AD131" s="3">
        <f>IFERROR(INDEX(EVENTOS!$D:$D,MATCH(SCORE!AD$2&amp;" "&amp;SCORE!$D131,EVENTOS!$F:$F,0)),0)</f>
        <v>0</v>
      </c>
      <c r="AE131" s="3">
        <f t="shared" ref="AE131:AE194" si="6">((S131+V131+Y131+AB131)*50)+((T131+W131+Z131+AC131)*25)+((U131+X131+AA131+AD131)*5)</f>
        <v>0</v>
      </c>
      <c r="AF131" s="10" t="e">
        <f t="shared" ref="AF131:AF194" si="7">AE131/(G131*24)*100</f>
        <v>#N/A</v>
      </c>
      <c r="AG131" s="3" t="str">
        <f t="shared" ref="AG131:AG194" si="8">IF(D131&lt;&gt;"",IF(AF131&gt;=30000,5,ROUNDDOWN((((5-95)*(AF131-0))/(30000-0))+95,0)),"")</f>
        <v/>
      </c>
    </row>
    <row r="132" spans="1:33" x14ac:dyDescent="0.25">
      <c r="A132" s="7"/>
      <c r="B132" s="8"/>
      <c r="C132" s="3"/>
      <c r="D132" s="3"/>
      <c r="E132" s="3" t="e">
        <f>VLOOKUP(D132,VIAJES!$D:$E,2,FALSE)</f>
        <v>#N/A</v>
      </c>
      <c r="F132" s="9" t="e">
        <f>VLOOKUP(D132,VIAJES!$D:$F,3,FALSE)</f>
        <v>#N/A</v>
      </c>
      <c r="G132" s="9" t="e">
        <f>VLOOKUP(D132,VIAJES!$D:$G,4,FALSE)</f>
        <v>#N/A</v>
      </c>
      <c r="H132" s="3" t="e">
        <f>VLOOKUP(D132,VIAJES!$D:$H,5,FALSE)</f>
        <v>#N/A</v>
      </c>
      <c r="S132" s="3">
        <f>IFERROR(INDEX(EVENTOS!$D:$D,MATCH(SCORE!S$2&amp;" "&amp;SCORE!$D132,EVENTOS!$F:$F,0)),0)</f>
        <v>0</v>
      </c>
      <c r="T132" s="3">
        <f>IFERROR(INDEX(EVENTOS!$D:$D,MATCH(SCORE!T$2&amp;" "&amp;SCORE!$D132,EVENTOS!$F:$F,0)),0)</f>
        <v>0</v>
      </c>
      <c r="U132" s="3">
        <f>IFERROR(INDEX(EVENTOS!$D:$D,MATCH(SCORE!U$2&amp;" "&amp;SCORE!$D132,EVENTOS!$F:$F,0)),0)</f>
        <v>0</v>
      </c>
      <c r="V132" s="3">
        <f>IFERROR(INDEX(EVENTOS!$D:$D,MATCH(SCORE!V$2&amp;" "&amp;SCORE!$D132,EVENTOS!$F:$F,0)),0)</f>
        <v>0</v>
      </c>
      <c r="W132" s="3">
        <f>IFERROR(INDEX(EVENTOS!$D:$D,MATCH(SCORE!W$2&amp;" "&amp;SCORE!$D132,EVENTOS!$F:$F,0)),0)</f>
        <v>0</v>
      </c>
      <c r="X132" s="3">
        <f>IFERROR(INDEX(EVENTOS!$D:$D,MATCH(SCORE!X$2&amp;" "&amp;SCORE!$D132,EVENTOS!$F:$F,0)),0)</f>
        <v>0</v>
      </c>
      <c r="Y132" s="3">
        <f>SUMIFS(EVENTOS!$D:$D, EVENTOS!$B:$B, D132, EVENTOS!$E:$E, "*GirAlto*")</f>
        <v>0</v>
      </c>
      <c r="Z132" s="3">
        <f>SUMIFS(EVENTOS!$D:$D, EVENTOS!$B:$B, D132, EVENTOS!$E:$E, "*GirMed*")</f>
        <v>0</v>
      </c>
      <c r="AA132" s="3">
        <f>SUMIFS(EVENTOS!$D:$D, EVENTOS!$B:$B, D132, EVENTOS!$E:$E, "*GirBajo*")</f>
        <v>0</v>
      </c>
      <c r="AB132" s="3">
        <f>IFERROR(INDEX(EVENTOS!$D:$D,MATCH(SCORE!AB$2&amp;" "&amp;SCORE!$D132,EVENTOS!$F:$F,0)),0)</f>
        <v>0</v>
      </c>
      <c r="AC132" s="3">
        <f>IFERROR(INDEX(EVENTOS!$D:$D,MATCH(SCORE!AC$2&amp;" "&amp;SCORE!$D132,EVENTOS!$F:$F,0)),0)</f>
        <v>0</v>
      </c>
      <c r="AD132" s="3">
        <f>IFERROR(INDEX(EVENTOS!$D:$D,MATCH(SCORE!AD$2&amp;" "&amp;SCORE!$D132,EVENTOS!$F:$F,0)),0)</f>
        <v>0</v>
      </c>
      <c r="AE132" s="3">
        <f t="shared" si="6"/>
        <v>0</v>
      </c>
      <c r="AF132" s="10" t="e">
        <f t="shared" si="7"/>
        <v>#N/A</v>
      </c>
      <c r="AG132" s="3" t="str">
        <f t="shared" si="8"/>
        <v/>
      </c>
    </row>
    <row r="133" spans="1:33" x14ac:dyDescent="0.25">
      <c r="A133" s="7"/>
      <c r="B133" s="8"/>
      <c r="C133" s="3"/>
      <c r="D133" s="3"/>
      <c r="E133" s="3" t="e">
        <f>VLOOKUP(D133,VIAJES!$D:$E,2,FALSE)</f>
        <v>#N/A</v>
      </c>
      <c r="F133" s="9" t="e">
        <f>VLOOKUP(D133,VIAJES!$D:$F,3,FALSE)</f>
        <v>#N/A</v>
      </c>
      <c r="G133" s="9" t="e">
        <f>VLOOKUP(D133,VIAJES!$D:$G,4,FALSE)</f>
        <v>#N/A</v>
      </c>
      <c r="H133" s="3" t="e">
        <f>VLOOKUP(D133,VIAJES!$D:$H,5,FALSE)</f>
        <v>#N/A</v>
      </c>
      <c r="S133" s="3">
        <f>IFERROR(INDEX(EVENTOS!$D:$D,MATCH(SCORE!S$2&amp;" "&amp;SCORE!$D133,EVENTOS!$F:$F,0)),0)</f>
        <v>0</v>
      </c>
      <c r="T133" s="3">
        <f>IFERROR(INDEX(EVENTOS!$D:$D,MATCH(SCORE!T$2&amp;" "&amp;SCORE!$D133,EVENTOS!$F:$F,0)),0)</f>
        <v>0</v>
      </c>
      <c r="U133" s="3">
        <f>IFERROR(INDEX(EVENTOS!$D:$D,MATCH(SCORE!U$2&amp;" "&amp;SCORE!$D133,EVENTOS!$F:$F,0)),0)</f>
        <v>0</v>
      </c>
      <c r="V133" s="3">
        <f>IFERROR(INDEX(EVENTOS!$D:$D,MATCH(SCORE!V$2&amp;" "&amp;SCORE!$D133,EVENTOS!$F:$F,0)),0)</f>
        <v>0</v>
      </c>
      <c r="W133" s="3">
        <f>IFERROR(INDEX(EVENTOS!$D:$D,MATCH(SCORE!W$2&amp;" "&amp;SCORE!$D133,EVENTOS!$F:$F,0)),0)</f>
        <v>0</v>
      </c>
      <c r="X133" s="3">
        <f>IFERROR(INDEX(EVENTOS!$D:$D,MATCH(SCORE!X$2&amp;" "&amp;SCORE!$D133,EVENTOS!$F:$F,0)),0)</f>
        <v>0</v>
      </c>
      <c r="Y133" s="3">
        <f>SUMIFS(EVENTOS!$D:$D, EVENTOS!$B:$B, D133, EVENTOS!$E:$E, "*GirAlto*")</f>
        <v>0</v>
      </c>
      <c r="Z133" s="3">
        <f>SUMIFS(EVENTOS!$D:$D, EVENTOS!$B:$B, D133, EVENTOS!$E:$E, "*GirMed*")</f>
        <v>0</v>
      </c>
      <c r="AA133" s="3">
        <f>SUMIFS(EVENTOS!$D:$D, EVENTOS!$B:$B, D133, EVENTOS!$E:$E, "*GirBajo*")</f>
        <v>0</v>
      </c>
      <c r="AB133" s="3">
        <f>IFERROR(INDEX(EVENTOS!$D:$D,MATCH(SCORE!AB$2&amp;" "&amp;SCORE!$D133,EVENTOS!$F:$F,0)),0)</f>
        <v>0</v>
      </c>
      <c r="AC133" s="3">
        <f>IFERROR(INDEX(EVENTOS!$D:$D,MATCH(SCORE!AC$2&amp;" "&amp;SCORE!$D133,EVENTOS!$F:$F,0)),0)</f>
        <v>0</v>
      </c>
      <c r="AD133" s="3">
        <f>IFERROR(INDEX(EVENTOS!$D:$D,MATCH(SCORE!AD$2&amp;" "&amp;SCORE!$D133,EVENTOS!$F:$F,0)),0)</f>
        <v>0</v>
      </c>
      <c r="AE133" s="3">
        <f t="shared" si="6"/>
        <v>0</v>
      </c>
      <c r="AF133" s="10" t="e">
        <f t="shared" si="7"/>
        <v>#N/A</v>
      </c>
      <c r="AG133" s="3" t="str">
        <f t="shared" si="8"/>
        <v/>
      </c>
    </row>
    <row r="134" spans="1:33" x14ac:dyDescent="0.25">
      <c r="A134" s="7"/>
      <c r="B134" s="8"/>
      <c r="C134" s="3"/>
      <c r="D134" s="3"/>
      <c r="E134" s="3" t="e">
        <f>VLOOKUP(D134,VIAJES!$D:$E,2,FALSE)</f>
        <v>#N/A</v>
      </c>
      <c r="F134" s="9" t="e">
        <f>VLOOKUP(D134,VIAJES!$D:$F,3,FALSE)</f>
        <v>#N/A</v>
      </c>
      <c r="G134" s="9" t="e">
        <f>VLOOKUP(D134,VIAJES!$D:$G,4,FALSE)</f>
        <v>#N/A</v>
      </c>
      <c r="H134" s="3" t="e">
        <f>VLOOKUP(D134,VIAJES!$D:$H,5,FALSE)</f>
        <v>#N/A</v>
      </c>
      <c r="S134" s="3">
        <f>IFERROR(INDEX(EVENTOS!$D:$D,MATCH(SCORE!S$2&amp;" "&amp;SCORE!$D134,EVENTOS!$F:$F,0)),0)</f>
        <v>0</v>
      </c>
      <c r="T134" s="3">
        <f>IFERROR(INDEX(EVENTOS!$D:$D,MATCH(SCORE!T$2&amp;" "&amp;SCORE!$D134,EVENTOS!$F:$F,0)),0)</f>
        <v>0</v>
      </c>
      <c r="U134" s="3">
        <f>IFERROR(INDEX(EVENTOS!$D:$D,MATCH(SCORE!U$2&amp;" "&amp;SCORE!$D134,EVENTOS!$F:$F,0)),0)</f>
        <v>0</v>
      </c>
      <c r="V134" s="3">
        <f>IFERROR(INDEX(EVENTOS!$D:$D,MATCH(SCORE!V$2&amp;" "&amp;SCORE!$D134,EVENTOS!$F:$F,0)),0)</f>
        <v>0</v>
      </c>
      <c r="W134" s="3">
        <f>IFERROR(INDEX(EVENTOS!$D:$D,MATCH(SCORE!W$2&amp;" "&amp;SCORE!$D134,EVENTOS!$F:$F,0)),0)</f>
        <v>0</v>
      </c>
      <c r="X134" s="3">
        <f>IFERROR(INDEX(EVENTOS!$D:$D,MATCH(SCORE!X$2&amp;" "&amp;SCORE!$D134,EVENTOS!$F:$F,0)),0)</f>
        <v>0</v>
      </c>
      <c r="Y134" s="3">
        <f>SUMIFS(EVENTOS!$D:$D, EVENTOS!$B:$B, D134, EVENTOS!$E:$E, "*GirAlto*")</f>
        <v>0</v>
      </c>
      <c r="Z134" s="3">
        <f>SUMIFS(EVENTOS!$D:$D, EVENTOS!$B:$B, D134, EVENTOS!$E:$E, "*GirMed*")</f>
        <v>0</v>
      </c>
      <c r="AA134" s="3">
        <f>SUMIFS(EVENTOS!$D:$D, EVENTOS!$B:$B, D134, EVENTOS!$E:$E, "*GirBajo*")</f>
        <v>0</v>
      </c>
      <c r="AB134" s="3">
        <f>IFERROR(INDEX(EVENTOS!$D:$D,MATCH(SCORE!AB$2&amp;" "&amp;SCORE!$D134,EVENTOS!$F:$F,0)),0)</f>
        <v>0</v>
      </c>
      <c r="AC134" s="3">
        <f>IFERROR(INDEX(EVENTOS!$D:$D,MATCH(SCORE!AC$2&amp;" "&amp;SCORE!$D134,EVENTOS!$F:$F,0)),0)</f>
        <v>0</v>
      </c>
      <c r="AD134" s="3">
        <f>IFERROR(INDEX(EVENTOS!$D:$D,MATCH(SCORE!AD$2&amp;" "&amp;SCORE!$D134,EVENTOS!$F:$F,0)),0)</f>
        <v>0</v>
      </c>
      <c r="AE134" s="3">
        <f t="shared" si="6"/>
        <v>0</v>
      </c>
      <c r="AF134" s="10" t="e">
        <f t="shared" si="7"/>
        <v>#N/A</v>
      </c>
      <c r="AG134" s="3" t="str">
        <f t="shared" si="8"/>
        <v/>
      </c>
    </row>
    <row r="135" spans="1:33" x14ac:dyDescent="0.25">
      <c r="A135" s="7"/>
      <c r="B135" s="8"/>
      <c r="C135" s="3"/>
      <c r="D135" s="3"/>
      <c r="E135" s="3" t="e">
        <f>VLOOKUP(D135,VIAJES!$D:$E,2,FALSE)</f>
        <v>#N/A</v>
      </c>
      <c r="F135" s="9" t="e">
        <f>VLOOKUP(D135,VIAJES!$D:$F,3,FALSE)</f>
        <v>#N/A</v>
      </c>
      <c r="G135" s="9" t="e">
        <f>VLOOKUP(D135,VIAJES!$D:$G,4,FALSE)</f>
        <v>#N/A</v>
      </c>
      <c r="H135" s="3" t="e">
        <f>VLOOKUP(D135,VIAJES!$D:$H,5,FALSE)</f>
        <v>#N/A</v>
      </c>
      <c r="S135" s="3">
        <f>IFERROR(INDEX(EVENTOS!$D:$D,MATCH(SCORE!S$2&amp;" "&amp;SCORE!$D135,EVENTOS!$F:$F,0)),0)</f>
        <v>0</v>
      </c>
      <c r="T135" s="3">
        <f>IFERROR(INDEX(EVENTOS!$D:$D,MATCH(SCORE!T$2&amp;" "&amp;SCORE!$D135,EVENTOS!$F:$F,0)),0)</f>
        <v>0</v>
      </c>
      <c r="U135" s="3">
        <f>IFERROR(INDEX(EVENTOS!$D:$D,MATCH(SCORE!U$2&amp;" "&amp;SCORE!$D135,EVENTOS!$F:$F,0)),0)</f>
        <v>0</v>
      </c>
      <c r="V135" s="3">
        <f>IFERROR(INDEX(EVENTOS!$D:$D,MATCH(SCORE!V$2&amp;" "&amp;SCORE!$D135,EVENTOS!$F:$F,0)),0)</f>
        <v>0</v>
      </c>
      <c r="W135" s="3">
        <f>IFERROR(INDEX(EVENTOS!$D:$D,MATCH(SCORE!W$2&amp;" "&amp;SCORE!$D135,EVENTOS!$F:$F,0)),0)</f>
        <v>0</v>
      </c>
      <c r="X135" s="3">
        <f>IFERROR(INDEX(EVENTOS!$D:$D,MATCH(SCORE!X$2&amp;" "&amp;SCORE!$D135,EVENTOS!$F:$F,0)),0)</f>
        <v>0</v>
      </c>
      <c r="Y135" s="3">
        <f>SUMIFS(EVENTOS!$D:$D, EVENTOS!$B:$B, D135, EVENTOS!$E:$E, "*GirAlto*")</f>
        <v>0</v>
      </c>
      <c r="Z135" s="3">
        <f>SUMIFS(EVENTOS!$D:$D, EVENTOS!$B:$B, D135, EVENTOS!$E:$E, "*GirMed*")</f>
        <v>0</v>
      </c>
      <c r="AA135" s="3">
        <f>SUMIFS(EVENTOS!$D:$D, EVENTOS!$B:$B, D135, EVENTOS!$E:$E, "*GirBajo*")</f>
        <v>0</v>
      </c>
      <c r="AB135" s="3">
        <f>IFERROR(INDEX(EVENTOS!$D:$D,MATCH(SCORE!AB$2&amp;" "&amp;SCORE!$D135,EVENTOS!$F:$F,0)),0)</f>
        <v>0</v>
      </c>
      <c r="AC135" s="3">
        <f>IFERROR(INDEX(EVENTOS!$D:$D,MATCH(SCORE!AC$2&amp;" "&amp;SCORE!$D135,EVENTOS!$F:$F,0)),0)</f>
        <v>0</v>
      </c>
      <c r="AD135" s="3">
        <f>IFERROR(INDEX(EVENTOS!$D:$D,MATCH(SCORE!AD$2&amp;" "&amp;SCORE!$D135,EVENTOS!$F:$F,0)),0)</f>
        <v>0</v>
      </c>
      <c r="AE135" s="3">
        <f t="shared" si="6"/>
        <v>0</v>
      </c>
      <c r="AF135" s="10" t="e">
        <f t="shared" si="7"/>
        <v>#N/A</v>
      </c>
      <c r="AG135" s="3" t="str">
        <f t="shared" si="8"/>
        <v/>
      </c>
    </row>
    <row r="136" spans="1:33" x14ac:dyDescent="0.25">
      <c r="A136" s="7"/>
      <c r="B136" s="8"/>
      <c r="C136" s="3"/>
      <c r="D136" s="3"/>
      <c r="E136" s="3" t="e">
        <f>VLOOKUP(D136,VIAJES!$D:$E,2,FALSE)</f>
        <v>#N/A</v>
      </c>
      <c r="F136" s="9" t="e">
        <f>VLOOKUP(D136,VIAJES!$D:$F,3,FALSE)</f>
        <v>#N/A</v>
      </c>
      <c r="G136" s="9" t="e">
        <f>VLOOKUP(D136,VIAJES!$D:$G,4,FALSE)</f>
        <v>#N/A</v>
      </c>
      <c r="H136" s="3" t="e">
        <f>VLOOKUP(D136,VIAJES!$D:$H,5,FALSE)</f>
        <v>#N/A</v>
      </c>
      <c r="S136" s="3">
        <f>IFERROR(INDEX(EVENTOS!$D:$D,MATCH(SCORE!S$2&amp;" "&amp;SCORE!$D136,EVENTOS!$F:$F,0)),0)</f>
        <v>0</v>
      </c>
      <c r="T136" s="3">
        <f>IFERROR(INDEX(EVENTOS!$D:$D,MATCH(SCORE!T$2&amp;" "&amp;SCORE!$D136,EVENTOS!$F:$F,0)),0)</f>
        <v>0</v>
      </c>
      <c r="U136" s="3">
        <f>IFERROR(INDEX(EVENTOS!$D:$D,MATCH(SCORE!U$2&amp;" "&amp;SCORE!$D136,EVENTOS!$F:$F,0)),0)</f>
        <v>0</v>
      </c>
      <c r="V136" s="3">
        <f>IFERROR(INDEX(EVENTOS!$D:$D,MATCH(SCORE!V$2&amp;" "&amp;SCORE!$D136,EVENTOS!$F:$F,0)),0)</f>
        <v>0</v>
      </c>
      <c r="W136" s="3">
        <f>IFERROR(INDEX(EVENTOS!$D:$D,MATCH(SCORE!W$2&amp;" "&amp;SCORE!$D136,EVENTOS!$F:$F,0)),0)</f>
        <v>0</v>
      </c>
      <c r="X136" s="3">
        <f>IFERROR(INDEX(EVENTOS!$D:$D,MATCH(SCORE!X$2&amp;" "&amp;SCORE!$D136,EVENTOS!$F:$F,0)),0)</f>
        <v>0</v>
      </c>
      <c r="Y136" s="3">
        <f>SUMIFS(EVENTOS!$D:$D, EVENTOS!$B:$B, D136, EVENTOS!$E:$E, "*GirAlto*")</f>
        <v>0</v>
      </c>
      <c r="Z136" s="3">
        <f>SUMIFS(EVENTOS!$D:$D, EVENTOS!$B:$B, D136, EVENTOS!$E:$E, "*GirMed*")</f>
        <v>0</v>
      </c>
      <c r="AA136" s="3">
        <f>SUMIFS(EVENTOS!$D:$D, EVENTOS!$B:$B, D136, EVENTOS!$E:$E, "*GirBajo*")</f>
        <v>0</v>
      </c>
      <c r="AB136" s="3">
        <f>IFERROR(INDEX(EVENTOS!$D:$D,MATCH(SCORE!AB$2&amp;" "&amp;SCORE!$D136,EVENTOS!$F:$F,0)),0)</f>
        <v>0</v>
      </c>
      <c r="AC136" s="3">
        <f>IFERROR(INDEX(EVENTOS!$D:$D,MATCH(SCORE!AC$2&amp;" "&amp;SCORE!$D136,EVENTOS!$F:$F,0)),0)</f>
        <v>0</v>
      </c>
      <c r="AD136" s="3">
        <f>IFERROR(INDEX(EVENTOS!$D:$D,MATCH(SCORE!AD$2&amp;" "&amp;SCORE!$D136,EVENTOS!$F:$F,0)),0)</f>
        <v>0</v>
      </c>
      <c r="AE136" s="3">
        <f t="shared" si="6"/>
        <v>0</v>
      </c>
      <c r="AF136" s="10" t="e">
        <f t="shared" si="7"/>
        <v>#N/A</v>
      </c>
      <c r="AG136" s="3" t="str">
        <f t="shared" si="8"/>
        <v/>
      </c>
    </row>
    <row r="137" spans="1:33" x14ac:dyDescent="0.25">
      <c r="A137" s="7"/>
      <c r="B137" s="8"/>
      <c r="C137" s="3"/>
      <c r="D137" s="3"/>
      <c r="E137" s="3" t="e">
        <f>VLOOKUP(D137,VIAJES!$D:$E,2,FALSE)</f>
        <v>#N/A</v>
      </c>
      <c r="F137" s="9" t="e">
        <f>VLOOKUP(D137,VIAJES!$D:$F,3,FALSE)</f>
        <v>#N/A</v>
      </c>
      <c r="G137" s="9" t="e">
        <f>VLOOKUP(D137,VIAJES!$D:$G,4,FALSE)</f>
        <v>#N/A</v>
      </c>
      <c r="H137" s="3" t="e">
        <f>VLOOKUP(D137,VIAJES!$D:$H,5,FALSE)</f>
        <v>#N/A</v>
      </c>
      <c r="S137" s="3">
        <f>IFERROR(INDEX(EVENTOS!$D:$D,MATCH(SCORE!S$2&amp;" "&amp;SCORE!$D137,EVENTOS!$F:$F,0)),0)</f>
        <v>0</v>
      </c>
      <c r="T137" s="3">
        <f>IFERROR(INDEX(EVENTOS!$D:$D,MATCH(SCORE!T$2&amp;" "&amp;SCORE!$D137,EVENTOS!$F:$F,0)),0)</f>
        <v>0</v>
      </c>
      <c r="U137" s="3">
        <f>IFERROR(INDEX(EVENTOS!$D:$D,MATCH(SCORE!U$2&amp;" "&amp;SCORE!$D137,EVENTOS!$F:$F,0)),0)</f>
        <v>0</v>
      </c>
      <c r="V137" s="3">
        <f>IFERROR(INDEX(EVENTOS!$D:$D,MATCH(SCORE!V$2&amp;" "&amp;SCORE!$D137,EVENTOS!$F:$F,0)),0)</f>
        <v>0</v>
      </c>
      <c r="W137" s="3">
        <f>IFERROR(INDEX(EVENTOS!$D:$D,MATCH(SCORE!W$2&amp;" "&amp;SCORE!$D137,EVENTOS!$F:$F,0)),0)</f>
        <v>0</v>
      </c>
      <c r="X137" s="3">
        <f>IFERROR(INDEX(EVENTOS!$D:$D,MATCH(SCORE!X$2&amp;" "&amp;SCORE!$D137,EVENTOS!$F:$F,0)),0)</f>
        <v>0</v>
      </c>
      <c r="Y137" s="3">
        <f>SUMIFS(EVENTOS!$D:$D, EVENTOS!$B:$B, D137, EVENTOS!$E:$E, "*GirAlto*")</f>
        <v>0</v>
      </c>
      <c r="Z137" s="3">
        <f>SUMIFS(EVENTOS!$D:$D, EVENTOS!$B:$B, D137, EVENTOS!$E:$E, "*GirMed*")</f>
        <v>0</v>
      </c>
      <c r="AA137" s="3">
        <f>SUMIFS(EVENTOS!$D:$D, EVENTOS!$B:$B, D137, EVENTOS!$E:$E, "*GirBajo*")</f>
        <v>0</v>
      </c>
      <c r="AB137" s="3">
        <f>IFERROR(INDEX(EVENTOS!$D:$D,MATCH(SCORE!AB$2&amp;" "&amp;SCORE!$D137,EVENTOS!$F:$F,0)),0)</f>
        <v>0</v>
      </c>
      <c r="AC137" s="3">
        <f>IFERROR(INDEX(EVENTOS!$D:$D,MATCH(SCORE!AC$2&amp;" "&amp;SCORE!$D137,EVENTOS!$F:$F,0)),0)</f>
        <v>0</v>
      </c>
      <c r="AD137" s="3">
        <f>IFERROR(INDEX(EVENTOS!$D:$D,MATCH(SCORE!AD$2&amp;" "&amp;SCORE!$D137,EVENTOS!$F:$F,0)),0)</f>
        <v>0</v>
      </c>
      <c r="AE137" s="3">
        <f t="shared" si="6"/>
        <v>0</v>
      </c>
      <c r="AF137" s="10" t="e">
        <f t="shared" si="7"/>
        <v>#N/A</v>
      </c>
      <c r="AG137" s="3" t="str">
        <f t="shared" si="8"/>
        <v/>
      </c>
    </row>
    <row r="138" spans="1:33" x14ac:dyDescent="0.25">
      <c r="A138" s="7"/>
      <c r="B138" s="8"/>
      <c r="C138" s="3"/>
      <c r="D138" s="3"/>
      <c r="E138" s="3" t="e">
        <f>VLOOKUP(D138,VIAJES!$D:$E,2,FALSE)</f>
        <v>#N/A</v>
      </c>
      <c r="F138" s="9" t="e">
        <f>VLOOKUP(D138,VIAJES!$D:$F,3,FALSE)</f>
        <v>#N/A</v>
      </c>
      <c r="G138" s="9" t="e">
        <f>VLOOKUP(D138,VIAJES!$D:$G,4,FALSE)</f>
        <v>#N/A</v>
      </c>
      <c r="H138" s="3" t="e">
        <f>VLOOKUP(D138,VIAJES!$D:$H,5,FALSE)</f>
        <v>#N/A</v>
      </c>
      <c r="S138" s="3">
        <f>IFERROR(INDEX(EVENTOS!$D:$D,MATCH(SCORE!S$2&amp;" "&amp;SCORE!$D138,EVENTOS!$F:$F,0)),0)</f>
        <v>0</v>
      </c>
      <c r="T138" s="3">
        <f>IFERROR(INDEX(EVENTOS!$D:$D,MATCH(SCORE!T$2&amp;" "&amp;SCORE!$D138,EVENTOS!$F:$F,0)),0)</f>
        <v>0</v>
      </c>
      <c r="U138" s="3">
        <f>IFERROR(INDEX(EVENTOS!$D:$D,MATCH(SCORE!U$2&amp;" "&amp;SCORE!$D138,EVENTOS!$F:$F,0)),0)</f>
        <v>0</v>
      </c>
      <c r="V138" s="3">
        <f>IFERROR(INDEX(EVENTOS!$D:$D,MATCH(SCORE!V$2&amp;" "&amp;SCORE!$D138,EVENTOS!$F:$F,0)),0)</f>
        <v>0</v>
      </c>
      <c r="W138" s="3">
        <f>IFERROR(INDEX(EVENTOS!$D:$D,MATCH(SCORE!W$2&amp;" "&amp;SCORE!$D138,EVENTOS!$F:$F,0)),0)</f>
        <v>0</v>
      </c>
      <c r="X138" s="3">
        <f>IFERROR(INDEX(EVENTOS!$D:$D,MATCH(SCORE!X$2&amp;" "&amp;SCORE!$D138,EVENTOS!$F:$F,0)),0)</f>
        <v>0</v>
      </c>
      <c r="Y138" s="3">
        <f>SUMIFS(EVENTOS!$D:$D, EVENTOS!$B:$B, D138, EVENTOS!$E:$E, "*GirAlto*")</f>
        <v>0</v>
      </c>
      <c r="Z138" s="3">
        <f>SUMIFS(EVENTOS!$D:$D, EVENTOS!$B:$B, D138, EVENTOS!$E:$E, "*GirMed*")</f>
        <v>0</v>
      </c>
      <c r="AA138" s="3">
        <f>SUMIFS(EVENTOS!$D:$D, EVENTOS!$B:$B, D138, EVENTOS!$E:$E, "*GirBajo*")</f>
        <v>0</v>
      </c>
      <c r="AB138" s="3">
        <f>IFERROR(INDEX(EVENTOS!$D:$D,MATCH(SCORE!AB$2&amp;" "&amp;SCORE!$D138,EVENTOS!$F:$F,0)),0)</f>
        <v>0</v>
      </c>
      <c r="AC138" s="3">
        <f>IFERROR(INDEX(EVENTOS!$D:$D,MATCH(SCORE!AC$2&amp;" "&amp;SCORE!$D138,EVENTOS!$F:$F,0)),0)</f>
        <v>0</v>
      </c>
      <c r="AD138" s="3">
        <f>IFERROR(INDEX(EVENTOS!$D:$D,MATCH(SCORE!AD$2&amp;" "&amp;SCORE!$D138,EVENTOS!$F:$F,0)),0)</f>
        <v>0</v>
      </c>
      <c r="AE138" s="3">
        <f t="shared" si="6"/>
        <v>0</v>
      </c>
      <c r="AF138" s="10" t="e">
        <f t="shared" si="7"/>
        <v>#N/A</v>
      </c>
      <c r="AG138" s="3" t="str">
        <f t="shared" si="8"/>
        <v/>
      </c>
    </row>
    <row r="139" spans="1:33" x14ac:dyDescent="0.25">
      <c r="A139" s="7"/>
      <c r="B139" s="8"/>
      <c r="C139" s="3"/>
      <c r="D139" s="3"/>
      <c r="E139" s="3" t="e">
        <f>VLOOKUP(D139,VIAJES!$D:$E,2,FALSE)</f>
        <v>#N/A</v>
      </c>
      <c r="F139" s="9" t="e">
        <f>VLOOKUP(D139,VIAJES!$D:$F,3,FALSE)</f>
        <v>#N/A</v>
      </c>
      <c r="G139" s="9" t="e">
        <f>VLOOKUP(D139,VIAJES!$D:$G,4,FALSE)</f>
        <v>#N/A</v>
      </c>
      <c r="H139" s="3" t="e">
        <f>VLOOKUP(D139,VIAJES!$D:$H,5,FALSE)</f>
        <v>#N/A</v>
      </c>
      <c r="S139" s="3">
        <f>IFERROR(INDEX(EVENTOS!$D:$D,MATCH(SCORE!S$2&amp;" "&amp;SCORE!$D139,EVENTOS!$F:$F,0)),0)</f>
        <v>0</v>
      </c>
      <c r="T139" s="3">
        <f>IFERROR(INDEX(EVENTOS!$D:$D,MATCH(SCORE!T$2&amp;" "&amp;SCORE!$D139,EVENTOS!$F:$F,0)),0)</f>
        <v>0</v>
      </c>
      <c r="U139" s="3">
        <f>IFERROR(INDEX(EVENTOS!$D:$D,MATCH(SCORE!U$2&amp;" "&amp;SCORE!$D139,EVENTOS!$F:$F,0)),0)</f>
        <v>0</v>
      </c>
      <c r="V139" s="3">
        <f>IFERROR(INDEX(EVENTOS!$D:$D,MATCH(SCORE!V$2&amp;" "&amp;SCORE!$D139,EVENTOS!$F:$F,0)),0)</f>
        <v>0</v>
      </c>
      <c r="W139" s="3">
        <f>IFERROR(INDEX(EVENTOS!$D:$D,MATCH(SCORE!W$2&amp;" "&amp;SCORE!$D139,EVENTOS!$F:$F,0)),0)</f>
        <v>0</v>
      </c>
      <c r="X139" s="3">
        <f>IFERROR(INDEX(EVENTOS!$D:$D,MATCH(SCORE!X$2&amp;" "&amp;SCORE!$D139,EVENTOS!$F:$F,0)),0)</f>
        <v>0</v>
      </c>
      <c r="Y139" s="3">
        <f>SUMIFS(EVENTOS!$D:$D, EVENTOS!$B:$B, D139, EVENTOS!$E:$E, "*GirAlto*")</f>
        <v>0</v>
      </c>
      <c r="Z139" s="3">
        <f>SUMIFS(EVENTOS!$D:$D, EVENTOS!$B:$B, D139, EVENTOS!$E:$E, "*GirMed*")</f>
        <v>0</v>
      </c>
      <c r="AA139" s="3">
        <f>SUMIFS(EVENTOS!$D:$D, EVENTOS!$B:$B, D139, EVENTOS!$E:$E, "*GirBajo*")</f>
        <v>0</v>
      </c>
      <c r="AB139" s="3">
        <f>IFERROR(INDEX(EVENTOS!$D:$D,MATCH(SCORE!AB$2&amp;" "&amp;SCORE!$D139,EVENTOS!$F:$F,0)),0)</f>
        <v>0</v>
      </c>
      <c r="AC139" s="3">
        <f>IFERROR(INDEX(EVENTOS!$D:$D,MATCH(SCORE!AC$2&amp;" "&amp;SCORE!$D139,EVENTOS!$F:$F,0)),0)</f>
        <v>0</v>
      </c>
      <c r="AD139" s="3">
        <f>IFERROR(INDEX(EVENTOS!$D:$D,MATCH(SCORE!AD$2&amp;" "&amp;SCORE!$D139,EVENTOS!$F:$F,0)),0)</f>
        <v>0</v>
      </c>
      <c r="AE139" s="3">
        <f t="shared" si="6"/>
        <v>0</v>
      </c>
      <c r="AF139" s="10" t="e">
        <f t="shared" si="7"/>
        <v>#N/A</v>
      </c>
      <c r="AG139" s="3" t="str">
        <f t="shared" si="8"/>
        <v/>
      </c>
    </row>
    <row r="140" spans="1:33" x14ac:dyDescent="0.25">
      <c r="A140" s="7"/>
      <c r="B140" s="8"/>
      <c r="C140" s="3"/>
      <c r="D140" s="3"/>
      <c r="E140" s="3" t="e">
        <f>VLOOKUP(D140,VIAJES!$D:$E,2,FALSE)</f>
        <v>#N/A</v>
      </c>
      <c r="F140" s="9" t="e">
        <f>VLOOKUP(D140,VIAJES!$D:$F,3,FALSE)</f>
        <v>#N/A</v>
      </c>
      <c r="G140" s="9" t="e">
        <f>VLOOKUP(D140,VIAJES!$D:$G,4,FALSE)</f>
        <v>#N/A</v>
      </c>
      <c r="H140" s="3" t="e">
        <f>VLOOKUP(D140,VIAJES!$D:$H,5,FALSE)</f>
        <v>#N/A</v>
      </c>
      <c r="S140" s="3">
        <f>IFERROR(INDEX(EVENTOS!$D:$D,MATCH(SCORE!S$2&amp;" "&amp;SCORE!$D140,EVENTOS!$F:$F,0)),0)</f>
        <v>0</v>
      </c>
      <c r="T140" s="3">
        <f>IFERROR(INDEX(EVENTOS!$D:$D,MATCH(SCORE!T$2&amp;" "&amp;SCORE!$D140,EVENTOS!$F:$F,0)),0)</f>
        <v>0</v>
      </c>
      <c r="U140" s="3">
        <f>IFERROR(INDEX(EVENTOS!$D:$D,MATCH(SCORE!U$2&amp;" "&amp;SCORE!$D140,EVENTOS!$F:$F,0)),0)</f>
        <v>0</v>
      </c>
      <c r="V140" s="3">
        <f>IFERROR(INDEX(EVENTOS!$D:$D,MATCH(SCORE!V$2&amp;" "&amp;SCORE!$D140,EVENTOS!$F:$F,0)),0)</f>
        <v>0</v>
      </c>
      <c r="W140" s="3">
        <f>IFERROR(INDEX(EVENTOS!$D:$D,MATCH(SCORE!W$2&amp;" "&amp;SCORE!$D140,EVENTOS!$F:$F,0)),0)</f>
        <v>0</v>
      </c>
      <c r="X140" s="3">
        <f>IFERROR(INDEX(EVENTOS!$D:$D,MATCH(SCORE!X$2&amp;" "&amp;SCORE!$D140,EVENTOS!$F:$F,0)),0)</f>
        <v>0</v>
      </c>
      <c r="Y140" s="3">
        <f>SUMIFS(EVENTOS!$D:$D, EVENTOS!$B:$B, D140, EVENTOS!$E:$E, "*GirAlto*")</f>
        <v>0</v>
      </c>
      <c r="Z140" s="3">
        <f>SUMIFS(EVENTOS!$D:$D, EVENTOS!$B:$B, D140, EVENTOS!$E:$E, "*GirMed*")</f>
        <v>0</v>
      </c>
      <c r="AA140" s="3">
        <f>SUMIFS(EVENTOS!$D:$D, EVENTOS!$B:$B, D140, EVENTOS!$E:$E, "*GirBajo*")</f>
        <v>0</v>
      </c>
      <c r="AB140" s="3">
        <f>IFERROR(INDEX(EVENTOS!$D:$D,MATCH(SCORE!AB$2&amp;" "&amp;SCORE!$D140,EVENTOS!$F:$F,0)),0)</f>
        <v>0</v>
      </c>
      <c r="AC140" s="3">
        <f>IFERROR(INDEX(EVENTOS!$D:$D,MATCH(SCORE!AC$2&amp;" "&amp;SCORE!$D140,EVENTOS!$F:$F,0)),0)</f>
        <v>0</v>
      </c>
      <c r="AD140" s="3">
        <f>IFERROR(INDEX(EVENTOS!$D:$D,MATCH(SCORE!AD$2&amp;" "&amp;SCORE!$D140,EVENTOS!$F:$F,0)),0)</f>
        <v>0</v>
      </c>
      <c r="AE140" s="3">
        <f t="shared" si="6"/>
        <v>0</v>
      </c>
      <c r="AF140" s="10" t="e">
        <f t="shared" si="7"/>
        <v>#N/A</v>
      </c>
      <c r="AG140" s="3" t="str">
        <f t="shared" si="8"/>
        <v/>
      </c>
    </row>
    <row r="141" spans="1:33" x14ac:dyDescent="0.25">
      <c r="A141" s="7"/>
      <c r="B141" s="8"/>
      <c r="C141" s="3"/>
      <c r="D141" s="3"/>
      <c r="E141" s="3" t="e">
        <f>VLOOKUP(D141,VIAJES!$D:$E,2,FALSE)</f>
        <v>#N/A</v>
      </c>
      <c r="F141" s="9" t="e">
        <f>VLOOKUP(D141,VIAJES!$D:$F,3,FALSE)</f>
        <v>#N/A</v>
      </c>
      <c r="G141" s="9" t="e">
        <f>VLOOKUP(D141,VIAJES!$D:$G,4,FALSE)</f>
        <v>#N/A</v>
      </c>
      <c r="H141" s="3" t="e">
        <f>VLOOKUP(D141,VIAJES!$D:$H,5,FALSE)</f>
        <v>#N/A</v>
      </c>
      <c r="S141" s="3">
        <f>IFERROR(INDEX(EVENTOS!$D:$D,MATCH(SCORE!S$2&amp;" "&amp;SCORE!$D141,EVENTOS!$F:$F,0)),0)</f>
        <v>0</v>
      </c>
      <c r="T141" s="3">
        <f>IFERROR(INDEX(EVENTOS!$D:$D,MATCH(SCORE!T$2&amp;" "&amp;SCORE!$D141,EVENTOS!$F:$F,0)),0)</f>
        <v>0</v>
      </c>
      <c r="U141" s="3">
        <f>IFERROR(INDEX(EVENTOS!$D:$D,MATCH(SCORE!U$2&amp;" "&amp;SCORE!$D141,EVENTOS!$F:$F,0)),0)</f>
        <v>0</v>
      </c>
      <c r="V141" s="3">
        <f>IFERROR(INDEX(EVENTOS!$D:$D,MATCH(SCORE!V$2&amp;" "&amp;SCORE!$D141,EVENTOS!$F:$F,0)),0)</f>
        <v>0</v>
      </c>
      <c r="W141" s="3">
        <f>IFERROR(INDEX(EVENTOS!$D:$D,MATCH(SCORE!W$2&amp;" "&amp;SCORE!$D141,EVENTOS!$F:$F,0)),0)</f>
        <v>0</v>
      </c>
      <c r="X141" s="3">
        <f>IFERROR(INDEX(EVENTOS!$D:$D,MATCH(SCORE!X$2&amp;" "&amp;SCORE!$D141,EVENTOS!$F:$F,0)),0)</f>
        <v>0</v>
      </c>
      <c r="Y141" s="3">
        <f>SUMIFS(EVENTOS!$D:$D, EVENTOS!$B:$B, D141, EVENTOS!$E:$E, "*GirAlto*")</f>
        <v>0</v>
      </c>
      <c r="Z141" s="3">
        <f>SUMIFS(EVENTOS!$D:$D, EVENTOS!$B:$B, D141, EVENTOS!$E:$E, "*GirMed*")</f>
        <v>0</v>
      </c>
      <c r="AA141" s="3">
        <f>SUMIFS(EVENTOS!$D:$D, EVENTOS!$B:$B, D141, EVENTOS!$E:$E, "*GirBajo*")</f>
        <v>0</v>
      </c>
      <c r="AB141" s="3">
        <f>IFERROR(INDEX(EVENTOS!$D:$D,MATCH(SCORE!AB$2&amp;" "&amp;SCORE!$D141,EVENTOS!$F:$F,0)),0)</f>
        <v>0</v>
      </c>
      <c r="AC141" s="3">
        <f>IFERROR(INDEX(EVENTOS!$D:$D,MATCH(SCORE!AC$2&amp;" "&amp;SCORE!$D141,EVENTOS!$F:$F,0)),0)</f>
        <v>0</v>
      </c>
      <c r="AD141" s="3">
        <f>IFERROR(INDEX(EVENTOS!$D:$D,MATCH(SCORE!AD$2&amp;" "&amp;SCORE!$D141,EVENTOS!$F:$F,0)),0)</f>
        <v>0</v>
      </c>
      <c r="AE141" s="3">
        <f t="shared" si="6"/>
        <v>0</v>
      </c>
      <c r="AF141" s="10" t="e">
        <f t="shared" si="7"/>
        <v>#N/A</v>
      </c>
      <c r="AG141" s="3" t="str">
        <f t="shared" si="8"/>
        <v/>
      </c>
    </row>
    <row r="142" spans="1:33" x14ac:dyDescent="0.25">
      <c r="A142" s="7"/>
      <c r="B142" s="8"/>
      <c r="C142" s="3"/>
      <c r="D142" s="3"/>
      <c r="E142" s="3" t="e">
        <f>VLOOKUP(D142,VIAJES!$D:$E,2,FALSE)</f>
        <v>#N/A</v>
      </c>
      <c r="F142" s="9" t="e">
        <f>VLOOKUP(D142,VIAJES!$D:$F,3,FALSE)</f>
        <v>#N/A</v>
      </c>
      <c r="G142" s="9" t="e">
        <f>VLOOKUP(D142,VIAJES!$D:$G,4,FALSE)</f>
        <v>#N/A</v>
      </c>
      <c r="H142" s="3" t="e">
        <f>VLOOKUP(D142,VIAJES!$D:$H,5,FALSE)</f>
        <v>#N/A</v>
      </c>
      <c r="S142" s="3">
        <f>IFERROR(INDEX(EVENTOS!$D:$D,MATCH(SCORE!S$2&amp;" "&amp;SCORE!$D142,EVENTOS!$F:$F,0)),0)</f>
        <v>0</v>
      </c>
      <c r="T142" s="3">
        <f>IFERROR(INDEX(EVENTOS!$D:$D,MATCH(SCORE!T$2&amp;" "&amp;SCORE!$D142,EVENTOS!$F:$F,0)),0)</f>
        <v>0</v>
      </c>
      <c r="U142" s="3">
        <f>IFERROR(INDEX(EVENTOS!$D:$D,MATCH(SCORE!U$2&amp;" "&amp;SCORE!$D142,EVENTOS!$F:$F,0)),0)</f>
        <v>0</v>
      </c>
      <c r="V142" s="3">
        <f>IFERROR(INDEX(EVENTOS!$D:$D,MATCH(SCORE!V$2&amp;" "&amp;SCORE!$D142,EVENTOS!$F:$F,0)),0)</f>
        <v>0</v>
      </c>
      <c r="W142" s="3">
        <f>IFERROR(INDEX(EVENTOS!$D:$D,MATCH(SCORE!W$2&amp;" "&amp;SCORE!$D142,EVENTOS!$F:$F,0)),0)</f>
        <v>0</v>
      </c>
      <c r="X142" s="3">
        <f>IFERROR(INDEX(EVENTOS!$D:$D,MATCH(SCORE!X$2&amp;" "&amp;SCORE!$D142,EVENTOS!$F:$F,0)),0)</f>
        <v>0</v>
      </c>
      <c r="Y142" s="3">
        <f>SUMIFS(EVENTOS!$D:$D, EVENTOS!$B:$B, D142, EVENTOS!$E:$E, "*GirAlto*")</f>
        <v>0</v>
      </c>
      <c r="Z142" s="3">
        <f>SUMIFS(EVENTOS!$D:$D, EVENTOS!$B:$B, D142, EVENTOS!$E:$E, "*GirMed*")</f>
        <v>0</v>
      </c>
      <c r="AA142" s="3">
        <f>SUMIFS(EVENTOS!$D:$D, EVENTOS!$B:$B, D142, EVENTOS!$E:$E, "*GirBajo*")</f>
        <v>0</v>
      </c>
      <c r="AB142" s="3">
        <f>IFERROR(INDEX(EVENTOS!$D:$D,MATCH(SCORE!AB$2&amp;" "&amp;SCORE!$D142,EVENTOS!$F:$F,0)),0)</f>
        <v>0</v>
      </c>
      <c r="AC142" s="3">
        <f>IFERROR(INDEX(EVENTOS!$D:$D,MATCH(SCORE!AC$2&amp;" "&amp;SCORE!$D142,EVENTOS!$F:$F,0)),0)</f>
        <v>0</v>
      </c>
      <c r="AD142" s="3">
        <f>IFERROR(INDEX(EVENTOS!$D:$D,MATCH(SCORE!AD$2&amp;" "&amp;SCORE!$D142,EVENTOS!$F:$F,0)),0)</f>
        <v>0</v>
      </c>
      <c r="AE142" s="3">
        <f t="shared" si="6"/>
        <v>0</v>
      </c>
      <c r="AF142" s="10" t="e">
        <f t="shared" si="7"/>
        <v>#N/A</v>
      </c>
      <c r="AG142" s="3" t="str">
        <f t="shared" si="8"/>
        <v/>
      </c>
    </row>
    <row r="143" spans="1:33" x14ac:dyDescent="0.25">
      <c r="A143" s="7"/>
      <c r="B143" s="8"/>
      <c r="C143" s="3"/>
      <c r="D143" s="3"/>
      <c r="E143" s="3" t="e">
        <f>VLOOKUP(D143,VIAJES!$D:$E,2,FALSE)</f>
        <v>#N/A</v>
      </c>
      <c r="F143" s="9" t="e">
        <f>VLOOKUP(D143,VIAJES!$D:$F,3,FALSE)</f>
        <v>#N/A</v>
      </c>
      <c r="G143" s="9" t="e">
        <f>VLOOKUP(D143,VIAJES!$D:$G,4,FALSE)</f>
        <v>#N/A</v>
      </c>
      <c r="H143" s="3" t="e">
        <f>VLOOKUP(D143,VIAJES!$D:$H,5,FALSE)</f>
        <v>#N/A</v>
      </c>
      <c r="S143" s="3">
        <f>IFERROR(INDEX(EVENTOS!$D:$D,MATCH(SCORE!S$2&amp;" "&amp;SCORE!$D143,EVENTOS!$F:$F,0)),0)</f>
        <v>0</v>
      </c>
      <c r="T143" s="3">
        <f>IFERROR(INDEX(EVENTOS!$D:$D,MATCH(SCORE!T$2&amp;" "&amp;SCORE!$D143,EVENTOS!$F:$F,0)),0)</f>
        <v>0</v>
      </c>
      <c r="U143" s="3">
        <f>IFERROR(INDEX(EVENTOS!$D:$D,MATCH(SCORE!U$2&amp;" "&amp;SCORE!$D143,EVENTOS!$F:$F,0)),0)</f>
        <v>0</v>
      </c>
      <c r="V143" s="3">
        <f>IFERROR(INDEX(EVENTOS!$D:$D,MATCH(SCORE!V$2&amp;" "&amp;SCORE!$D143,EVENTOS!$F:$F,0)),0)</f>
        <v>0</v>
      </c>
      <c r="W143" s="3">
        <f>IFERROR(INDEX(EVENTOS!$D:$D,MATCH(SCORE!W$2&amp;" "&amp;SCORE!$D143,EVENTOS!$F:$F,0)),0)</f>
        <v>0</v>
      </c>
      <c r="X143" s="3">
        <f>IFERROR(INDEX(EVENTOS!$D:$D,MATCH(SCORE!X$2&amp;" "&amp;SCORE!$D143,EVENTOS!$F:$F,0)),0)</f>
        <v>0</v>
      </c>
      <c r="Y143" s="3">
        <f>SUMIFS(EVENTOS!$D:$D, EVENTOS!$B:$B, D143, EVENTOS!$E:$E, "*GirAlto*")</f>
        <v>0</v>
      </c>
      <c r="Z143" s="3">
        <f>SUMIFS(EVENTOS!$D:$D, EVENTOS!$B:$B, D143, EVENTOS!$E:$E, "*GirMed*")</f>
        <v>0</v>
      </c>
      <c r="AA143" s="3">
        <f>SUMIFS(EVENTOS!$D:$D, EVENTOS!$B:$B, D143, EVENTOS!$E:$E, "*GirBajo*")</f>
        <v>0</v>
      </c>
      <c r="AB143" s="3">
        <f>IFERROR(INDEX(EVENTOS!$D:$D,MATCH(SCORE!AB$2&amp;" "&amp;SCORE!$D143,EVENTOS!$F:$F,0)),0)</f>
        <v>0</v>
      </c>
      <c r="AC143" s="3">
        <f>IFERROR(INDEX(EVENTOS!$D:$D,MATCH(SCORE!AC$2&amp;" "&amp;SCORE!$D143,EVENTOS!$F:$F,0)),0)</f>
        <v>0</v>
      </c>
      <c r="AD143" s="3">
        <f>IFERROR(INDEX(EVENTOS!$D:$D,MATCH(SCORE!AD$2&amp;" "&amp;SCORE!$D143,EVENTOS!$F:$F,0)),0)</f>
        <v>0</v>
      </c>
      <c r="AE143" s="3">
        <f t="shared" si="6"/>
        <v>0</v>
      </c>
      <c r="AF143" s="10" t="e">
        <f t="shared" si="7"/>
        <v>#N/A</v>
      </c>
      <c r="AG143" s="3" t="str">
        <f t="shared" si="8"/>
        <v/>
      </c>
    </row>
    <row r="144" spans="1:33" x14ac:dyDescent="0.25">
      <c r="A144" s="7"/>
      <c r="B144" s="8"/>
      <c r="C144" s="3"/>
      <c r="D144" s="3"/>
      <c r="E144" s="3" t="e">
        <f>VLOOKUP(D144,VIAJES!$D:$E,2,FALSE)</f>
        <v>#N/A</v>
      </c>
      <c r="F144" s="9" t="e">
        <f>VLOOKUP(D144,VIAJES!$D:$F,3,FALSE)</f>
        <v>#N/A</v>
      </c>
      <c r="G144" s="9" t="e">
        <f>VLOOKUP(D144,VIAJES!$D:$G,4,FALSE)</f>
        <v>#N/A</v>
      </c>
      <c r="H144" s="3" t="e">
        <f>VLOOKUP(D144,VIAJES!$D:$H,5,FALSE)</f>
        <v>#N/A</v>
      </c>
      <c r="S144" s="3">
        <f>IFERROR(INDEX(EVENTOS!$D:$D,MATCH(SCORE!S$2&amp;" "&amp;SCORE!$D144,EVENTOS!$F:$F,0)),0)</f>
        <v>0</v>
      </c>
      <c r="T144" s="3">
        <f>IFERROR(INDEX(EVENTOS!$D:$D,MATCH(SCORE!T$2&amp;" "&amp;SCORE!$D144,EVENTOS!$F:$F,0)),0)</f>
        <v>0</v>
      </c>
      <c r="U144" s="3">
        <f>IFERROR(INDEX(EVENTOS!$D:$D,MATCH(SCORE!U$2&amp;" "&amp;SCORE!$D144,EVENTOS!$F:$F,0)),0)</f>
        <v>0</v>
      </c>
      <c r="V144" s="3">
        <f>IFERROR(INDEX(EVENTOS!$D:$D,MATCH(SCORE!V$2&amp;" "&amp;SCORE!$D144,EVENTOS!$F:$F,0)),0)</f>
        <v>0</v>
      </c>
      <c r="W144" s="3">
        <f>IFERROR(INDEX(EVENTOS!$D:$D,MATCH(SCORE!W$2&amp;" "&amp;SCORE!$D144,EVENTOS!$F:$F,0)),0)</f>
        <v>0</v>
      </c>
      <c r="X144" s="3">
        <f>IFERROR(INDEX(EVENTOS!$D:$D,MATCH(SCORE!X$2&amp;" "&amp;SCORE!$D144,EVENTOS!$F:$F,0)),0)</f>
        <v>0</v>
      </c>
      <c r="Y144" s="3">
        <f>SUMIFS(EVENTOS!$D:$D, EVENTOS!$B:$B, D144, EVENTOS!$E:$E, "*GirAlto*")</f>
        <v>0</v>
      </c>
      <c r="Z144" s="3">
        <f>SUMIFS(EVENTOS!$D:$D, EVENTOS!$B:$B, D144, EVENTOS!$E:$E, "*GirMed*")</f>
        <v>0</v>
      </c>
      <c r="AA144" s="3">
        <f>SUMIFS(EVENTOS!$D:$D, EVENTOS!$B:$B, D144, EVENTOS!$E:$E, "*GirBajo*")</f>
        <v>0</v>
      </c>
      <c r="AB144" s="3">
        <f>IFERROR(INDEX(EVENTOS!$D:$D,MATCH(SCORE!AB$2&amp;" "&amp;SCORE!$D144,EVENTOS!$F:$F,0)),0)</f>
        <v>0</v>
      </c>
      <c r="AC144" s="3">
        <f>IFERROR(INDEX(EVENTOS!$D:$D,MATCH(SCORE!AC$2&amp;" "&amp;SCORE!$D144,EVENTOS!$F:$F,0)),0)</f>
        <v>0</v>
      </c>
      <c r="AD144" s="3">
        <f>IFERROR(INDEX(EVENTOS!$D:$D,MATCH(SCORE!AD$2&amp;" "&amp;SCORE!$D144,EVENTOS!$F:$F,0)),0)</f>
        <v>0</v>
      </c>
      <c r="AE144" s="3">
        <f t="shared" si="6"/>
        <v>0</v>
      </c>
      <c r="AF144" s="10" t="e">
        <f t="shared" si="7"/>
        <v>#N/A</v>
      </c>
      <c r="AG144" s="3" t="str">
        <f t="shared" si="8"/>
        <v/>
      </c>
    </row>
    <row r="145" spans="1:33" x14ac:dyDescent="0.25">
      <c r="A145" s="7"/>
      <c r="B145" s="8"/>
      <c r="C145" s="3"/>
      <c r="D145" s="3"/>
      <c r="E145" s="3" t="e">
        <f>VLOOKUP(D145,VIAJES!$D:$E,2,FALSE)</f>
        <v>#N/A</v>
      </c>
      <c r="F145" s="9" t="e">
        <f>VLOOKUP(D145,VIAJES!$D:$F,3,FALSE)</f>
        <v>#N/A</v>
      </c>
      <c r="G145" s="9" t="e">
        <f>VLOOKUP(D145,VIAJES!$D:$G,4,FALSE)</f>
        <v>#N/A</v>
      </c>
      <c r="H145" s="3" t="e">
        <f>VLOOKUP(D145,VIAJES!$D:$H,5,FALSE)</f>
        <v>#N/A</v>
      </c>
      <c r="S145" s="3">
        <f>IFERROR(INDEX(EVENTOS!$D:$D,MATCH(SCORE!S$2&amp;" "&amp;SCORE!$D145,EVENTOS!$F:$F,0)),0)</f>
        <v>0</v>
      </c>
      <c r="T145" s="3">
        <f>IFERROR(INDEX(EVENTOS!$D:$D,MATCH(SCORE!T$2&amp;" "&amp;SCORE!$D145,EVENTOS!$F:$F,0)),0)</f>
        <v>0</v>
      </c>
      <c r="U145" s="3">
        <f>IFERROR(INDEX(EVENTOS!$D:$D,MATCH(SCORE!U$2&amp;" "&amp;SCORE!$D145,EVENTOS!$F:$F,0)),0)</f>
        <v>0</v>
      </c>
      <c r="V145" s="3">
        <f>IFERROR(INDEX(EVENTOS!$D:$D,MATCH(SCORE!V$2&amp;" "&amp;SCORE!$D145,EVENTOS!$F:$F,0)),0)</f>
        <v>0</v>
      </c>
      <c r="W145" s="3">
        <f>IFERROR(INDEX(EVENTOS!$D:$D,MATCH(SCORE!W$2&amp;" "&amp;SCORE!$D145,EVENTOS!$F:$F,0)),0)</f>
        <v>0</v>
      </c>
      <c r="X145" s="3">
        <f>IFERROR(INDEX(EVENTOS!$D:$D,MATCH(SCORE!X$2&amp;" "&amp;SCORE!$D145,EVENTOS!$F:$F,0)),0)</f>
        <v>0</v>
      </c>
      <c r="Y145" s="3">
        <f>SUMIFS(EVENTOS!$D:$D, EVENTOS!$B:$B, D145, EVENTOS!$E:$E, "*GirAlto*")</f>
        <v>0</v>
      </c>
      <c r="Z145" s="3">
        <f>SUMIFS(EVENTOS!$D:$D, EVENTOS!$B:$B, D145, EVENTOS!$E:$E, "*GirMed*")</f>
        <v>0</v>
      </c>
      <c r="AA145" s="3">
        <f>SUMIFS(EVENTOS!$D:$D, EVENTOS!$B:$B, D145, EVENTOS!$E:$E, "*GirBajo*")</f>
        <v>0</v>
      </c>
      <c r="AB145" s="3">
        <f>IFERROR(INDEX(EVENTOS!$D:$D,MATCH(SCORE!AB$2&amp;" "&amp;SCORE!$D145,EVENTOS!$F:$F,0)),0)</f>
        <v>0</v>
      </c>
      <c r="AC145" s="3">
        <f>IFERROR(INDEX(EVENTOS!$D:$D,MATCH(SCORE!AC$2&amp;" "&amp;SCORE!$D145,EVENTOS!$F:$F,0)),0)</f>
        <v>0</v>
      </c>
      <c r="AD145" s="3">
        <f>IFERROR(INDEX(EVENTOS!$D:$D,MATCH(SCORE!AD$2&amp;" "&amp;SCORE!$D145,EVENTOS!$F:$F,0)),0)</f>
        <v>0</v>
      </c>
      <c r="AE145" s="3">
        <f t="shared" si="6"/>
        <v>0</v>
      </c>
      <c r="AF145" s="10" t="e">
        <f t="shared" si="7"/>
        <v>#N/A</v>
      </c>
      <c r="AG145" s="3" t="str">
        <f t="shared" si="8"/>
        <v/>
      </c>
    </row>
    <row r="146" spans="1:33" x14ac:dyDescent="0.25">
      <c r="A146" s="7"/>
      <c r="B146" s="8"/>
      <c r="C146" s="3"/>
      <c r="D146" s="3"/>
      <c r="E146" s="3" t="e">
        <f>VLOOKUP(D146,VIAJES!$D:$E,2,FALSE)</f>
        <v>#N/A</v>
      </c>
      <c r="F146" s="9" t="e">
        <f>VLOOKUP(D146,VIAJES!$D:$F,3,FALSE)</f>
        <v>#N/A</v>
      </c>
      <c r="G146" s="9" t="e">
        <f>VLOOKUP(D146,VIAJES!$D:$G,4,FALSE)</f>
        <v>#N/A</v>
      </c>
      <c r="H146" s="3" t="e">
        <f>VLOOKUP(D146,VIAJES!$D:$H,5,FALSE)</f>
        <v>#N/A</v>
      </c>
      <c r="S146" s="3">
        <f>IFERROR(INDEX(EVENTOS!$D:$D,MATCH(SCORE!S$2&amp;" "&amp;SCORE!$D146,EVENTOS!$F:$F,0)),0)</f>
        <v>0</v>
      </c>
      <c r="T146" s="3">
        <f>IFERROR(INDEX(EVENTOS!$D:$D,MATCH(SCORE!T$2&amp;" "&amp;SCORE!$D146,EVENTOS!$F:$F,0)),0)</f>
        <v>0</v>
      </c>
      <c r="U146" s="3">
        <f>IFERROR(INDEX(EVENTOS!$D:$D,MATCH(SCORE!U$2&amp;" "&amp;SCORE!$D146,EVENTOS!$F:$F,0)),0)</f>
        <v>0</v>
      </c>
      <c r="V146" s="3">
        <f>IFERROR(INDEX(EVENTOS!$D:$D,MATCH(SCORE!V$2&amp;" "&amp;SCORE!$D146,EVENTOS!$F:$F,0)),0)</f>
        <v>0</v>
      </c>
      <c r="W146" s="3">
        <f>IFERROR(INDEX(EVENTOS!$D:$D,MATCH(SCORE!W$2&amp;" "&amp;SCORE!$D146,EVENTOS!$F:$F,0)),0)</f>
        <v>0</v>
      </c>
      <c r="X146" s="3">
        <f>IFERROR(INDEX(EVENTOS!$D:$D,MATCH(SCORE!X$2&amp;" "&amp;SCORE!$D146,EVENTOS!$F:$F,0)),0)</f>
        <v>0</v>
      </c>
      <c r="Y146" s="3">
        <f>SUMIFS(EVENTOS!$D:$D, EVENTOS!$B:$B, D146, EVENTOS!$E:$E, "*GirAlto*")</f>
        <v>0</v>
      </c>
      <c r="Z146" s="3">
        <f>SUMIFS(EVENTOS!$D:$D, EVENTOS!$B:$B, D146, EVENTOS!$E:$E, "*GirMed*")</f>
        <v>0</v>
      </c>
      <c r="AA146" s="3">
        <f>SUMIFS(EVENTOS!$D:$D, EVENTOS!$B:$B, D146, EVENTOS!$E:$E, "*GirBajo*")</f>
        <v>0</v>
      </c>
      <c r="AB146" s="3">
        <f>IFERROR(INDEX(EVENTOS!$D:$D,MATCH(SCORE!AB$2&amp;" "&amp;SCORE!$D146,EVENTOS!$F:$F,0)),0)</f>
        <v>0</v>
      </c>
      <c r="AC146" s="3">
        <f>IFERROR(INDEX(EVENTOS!$D:$D,MATCH(SCORE!AC$2&amp;" "&amp;SCORE!$D146,EVENTOS!$F:$F,0)),0)</f>
        <v>0</v>
      </c>
      <c r="AD146" s="3">
        <f>IFERROR(INDEX(EVENTOS!$D:$D,MATCH(SCORE!AD$2&amp;" "&amp;SCORE!$D146,EVENTOS!$F:$F,0)),0)</f>
        <v>0</v>
      </c>
      <c r="AE146" s="3">
        <f t="shared" si="6"/>
        <v>0</v>
      </c>
      <c r="AF146" s="10" t="e">
        <f t="shared" si="7"/>
        <v>#N/A</v>
      </c>
      <c r="AG146" s="3" t="str">
        <f t="shared" si="8"/>
        <v/>
      </c>
    </row>
    <row r="147" spans="1:33" x14ac:dyDescent="0.25">
      <c r="A147" s="7"/>
      <c r="B147" s="8"/>
      <c r="C147" s="3"/>
      <c r="D147" s="3"/>
      <c r="E147" s="3" t="e">
        <f>VLOOKUP(D147,VIAJES!$D:$E,2,FALSE)</f>
        <v>#N/A</v>
      </c>
      <c r="F147" s="9" t="e">
        <f>VLOOKUP(D147,VIAJES!$D:$F,3,FALSE)</f>
        <v>#N/A</v>
      </c>
      <c r="G147" s="9" t="e">
        <f>VLOOKUP(D147,VIAJES!$D:$G,4,FALSE)</f>
        <v>#N/A</v>
      </c>
      <c r="H147" s="3" t="e">
        <f>VLOOKUP(D147,VIAJES!$D:$H,5,FALSE)</f>
        <v>#N/A</v>
      </c>
      <c r="S147" s="3">
        <f>IFERROR(INDEX(EVENTOS!$D:$D,MATCH(SCORE!S$2&amp;" "&amp;SCORE!$D147,EVENTOS!$F:$F,0)),0)</f>
        <v>0</v>
      </c>
      <c r="T147" s="3">
        <f>IFERROR(INDEX(EVENTOS!$D:$D,MATCH(SCORE!T$2&amp;" "&amp;SCORE!$D147,EVENTOS!$F:$F,0)),0)</f>
        <v>0</v>
      </c>
      <c r="U147" s="3">
        <f>IFERROR(INDEX(EVENTOS!$D:$D,MATCH(SCORE!U$2&amp;" "&amp;SCORE!$D147,EVENTOS!$F:$F,0)),0)</f>
        <v>0</v>
      </c>
      <c r="V147" s="3">
        <f>IFERROR(INDEX(EVENTOS!$D:$D,MATCH(SCORE!V$2&amp;" "&amp;SCORE!$D147,EVENTOS!$F:$F,0)),0)</f>
        <v>0</v>
      </c>
      <c r="W147" s="3">
        <f>IFERROR(INDEX(EVENTOS!$D:$D,MATCH(SCORE!W$2&amp;" "&amp;SCORE!$D147,EVENTOS!$F:$F,0)),0)</f>
        <v>0</v>
      </c>
      <c r="X147" s="3">
        <f>IFERROR(INDEX(EVENTOS!$D:$D,MATCH(SCORE!X$2&amp;" "&amp;SCORE!$D147,EVENTOS!$F:$F,0)),0)</f>
        <v>0</v>
      </c>
      <c r="Y147" s="3">
        <f>SUMIFS(EVENTOS!$D:$D, EVENTOS!$B:$B, D147, EVENTOS!$E:$E, "*GirAlto*")</f>
        <v>0</v>
      </c>
      <c r="Z147" s="3">
        <f>SUMIFS(EVENTOS!$D:$D, EVENTOS!$B:$B, D147, EVENTOS!$E:$E, "*GirMed*")</f>
        <v>0</v>
      </c>
      <c r="AA147" s="3">
        <f>SUMIFS(EVENTOS!$D:$D, EVENTOS!$B:$B, D147, EVENTOS!$E:$E, "*GirBajo*")</f>
        <v>0</v>
      </c>
      <c r="AB147" s="3">
        <f>IFERROR(INDEX(EVENTOS!$D:$D,MATCH(SCORE!AB$2&amp;" "&amp;SCORE!$D147,EVENTOS!$F:$F,0)),0)</f>
        <v>0</v>
      </c>
      <c r="AC147" s="3">
        <f>IFERROR(INDEX(EVENTOS!$D:$D,MATCH(SCORE!AC$2&amp;" "&amp;SCORE!$D147,EVENTOS!$F:$F,0)),0)</f>
        <v>0</v>
      </c>
      <c r="AD147" s="3">
        <f>IFERROR(INDEX(EVENTOS!$D:$D,MATCH(SCORE!AD$2&amp;" "&amp;SCORE!$D147,EVENTOS!$F:$F,0)),0)</f>
        <v>0</v>
      </c>
      <c r="AE147" s="3">
        <f t="shared" si="6"/>
        <v>0</v>
      </c>
      <c r="AF147" s="10" t="e">
        <f t="shared" si="7"/>
        <v>#N/A</v>
      </c>
      <c r="AG147" s="3" t="str">
        <f t="shared" si="8"/>
        <v/>
      </c>
    </row>
    <row r="148" spans="1:33" x14ac:dyDescent="0.25">
      <c r="A148" s="7"/>
      <c r="B148" s="8"/>
      <c r="C148" s="3"/>
      <c r="D148" s="3"/>
      <c r="E148" s="3" t="e">
        <f>VLOOKUP(D148,VIAJES!$D:$E,2,FALSE)</f>
        <v>#N/A</v>
      </c>
      <c r="F148" s="9" t="e">
        <f>VLOOKUP(D148,VIAJES!$D:$F,3,FALSE)</f>
        <v>#N/A</v>
      </c>
      <c r="G148" s="9" t="e">
        <f>VLOOKUP(D148,VIAJES!$D:$G,4,FALSE)</f>
        <v>#N/A</v>
      </c>
      <c r="H148" s="3" t="e">
        <f>VLOOKUP(D148,VIAJES!$D:$H,5,FALSE)</f>
        <v>#N/A</v>
      </c>
      <c r="S148" s="3">
        <f>IFERROR(INDEX(EVENTOS!$D:$D,MATCH(SCORE!S$2&amp;" "&amp;SCORE!$D148,EVENTOS!$F:$F,0)),0)</f>
        <v>0</v>
      </c>
      <c r="T148" s="3">
        <f>IFERROR(INDEX(EVENTOS!$D:$D,MATCH(SCORE!T$2&amp;" "&amp;SCORE!$D148,EVENTOS!$F:$F,0)),0)</f>
        <v>0</v>
      </c>
      <c r="U148" s="3">
        <f>IFERROR(INDEX(EVENTOS!$D:$D,MATCH(SCORE!U$2&amp;" "&amp;SCORE!$D148,EVENTOS!$F:$F,0)),0)</f>
        <v>0</v>
      </c>
      <c r="V148" s="3">
        <f>IFERROR(INDEX(EVENTOS!$D:$D,MATCH(SCORE!V$2&amp;" "&amp;SCORE!$D148,EVENTOS!$F:$F,0)),0)</f>
        <v>0</v>
      </c>
      <c r="W148" s="3">
        <f>IFERROR(INDEX(EVENTOS!$D:$D,MATCH(SCORE!W$2&amp;" "&amp;SCORE!$D148,EVENTOS!$F:$F,0)),0)</f>
        <v>0</v>
      </c>
      <c r="X148" s="3">
        <f>IFERROR(INDEX(EVENTOS!$D:$D,MATCH(SCORE!X$2&amp;" "&amp;SCORE!$D148,EVENTOS!$F:$F,0)),0)</f>
        <v>0</v>
      </c>
      <c r="Y148" s="3">
        <f>SUMIFS(EVENTOS!$D:$D, EVENTOS!$B:$B, D148, EVENTOS!$E:$E, "*GirAlto*")</f>
        <v>0</v>
      </c>
      <c r="Z148" s="3">
        <f>SUMIFS(EVENTOS!$D:$D, EVENTOS!$B:$B, D148, EVENTOS!$E:$E, "*GirMed*")</f>
        <v>0</v>
      </c>
      <c r="AA148" s="3">
        <f>SUMIFS(EVENTOS!$D:$D, EVENTOS!$B:$B, D148, EVENTOS!$E:$E, "*GirBajo*")</f>
        <v>0</v>
      </c>
      <c r="AB148" s="3">
        <f>IFERROR(INDEX(EVENTOS!$D:$D,MATCH(SCORE!AB$2&amp;" "&amp;SCORE!$D148,EVENTOS!$F:$F,0)),0)</f>
        <v>0</v>
      </c>
      <c r="AC148" s="3">
        <f>IFERROR(INDEX(EVENTOS!$D:$D,MATCH(SCORE!AC$2&amp;" "&amp;SCORE!$D148,EVENTOS!$F:$F,0)),0)</f>
        <v>0</v>
      </c>
      <c r="AD148" s="3">
        <f>IFERROR(INDEX(EVENTOS!$D:$D,MATCH(SCORE!AD$2&amp;" "&amp;SCORE!$D148,EVENTOS!$F:$F,0)),0)</f>
        <v>0</v>
      </c>
      <c r="AE148" s="3">
        <f t="shared" si="6"/>
        <v>0</v>
      </c>
      <c r="AF148" s="10" t="e">
        <f t="shared" si="7"/>
        <v>#N/A</v>
      </c>
      <c r="AG148" s="3" t="str">
        <f t="shared" si="8"/>
        <v/>
      </c>
    </row>
    <row r="149" spans="1:33" x14ac:dyDescent="0.25">
      <c r="A149" s="7"/>
      <c r="B149" s="8"/>
      <c r="C149" s="3"/>
      <c r="D149" s="3"/>
      <c r="E149" s="3" t="e">
        <f>VLOOKUP(D149,VIAJES!$D:$E,2,FALSE)</f>
        <v>#N/A</v>
      </c>
      <c r="F149" s="9" t="e">
        <f>VLOOKUP(D149,VIAJES!$D:$F,3,FALSE)</f>
        <v>#N/A</v>
      </c>
      <c r="G149" s="9" t="e">
        <f>VLOOKUP(D149,VIAJES!$D:$G,4,FALSE)</f>
        <v>#N/A</v>
      </c>
      <c r="H149" s="3" t="e">
        <f>VLOOKUP(D149,VIAJES!$D:$H,5,FALSE)</f>
        <v>#N/A</v>
      </c>
      <c r="S149" s="3">
        <f>IFERROR(INDEX(EVENTOS!$D:$D,MATCH(SCORE!S$2&amp;" "&amp;SCORE!$D149,EVENTOS!$F:$F,0)),0)</f>
        <v>0</v>
      </c>
      <c r="T149" s="3">
        <f>IFERROR(INDEX(EVENTOS!$D:$D,MATCH(SCORE!T$2&amp;" "&amp;SCORE!$D149,EVENTOS!$F:$F,0)),0)</f>
        <v>0</v>
      </c>
      <c r="U149" s="3">
        <f>IFERROR(INDEX(EVENTOS!$D:$D,MATCH(SCORE!U$2&amp;" "&amp;SCORE!$D149,EVENTOS!$F:$F,0)),0)</f>
        <v>0</v>
      </c>
      <c r="V149" s="3">
        <f>IFERROR(INDEX(EVENTOS!$D:$D,MATCH(SCORE!V$2&amp;" "&amp;SCORE!$D149,EVENTOS!$F:$F,0)),0)</f>
        <v>0</v>
      </c>
      <c r="W149" s="3">
        <f>IFERROR(INDEX(EVENTOS!$D:$D,MATCH(SCORE!W$2&amp;" "&amp;SCORE!$D149,EVENTOS!$F:$F,0)),0)</f>
        <v>0</v>
      </c>
      <c r="X149" s="3">
        <f>IFERROR(INDEX(EVENTOS!$D:$D,MATCH(SCORE!X$2&amp;" "&amp;SCORE!$D149,EVENTOS!$F:$F,0)),0)</f>
        <v>0</v>
      </c>
      <c r="Y149" s="3">
        <f>SUMIFS(EVENTOS!$D:$D, EVENTOS!$B:$B, D149, EVENTOS!$E:$E, "*GirAlto*")</f>
        <v>0</v>
      </c>
      <c r="Z149" s="3">
        <f>SUMIFS(EVENTOS!$D:$D, EVENTOS!$B:$B, D149, EVENTOS!$E:$E, "*GirMed*")</f>
        <v>0</v>
      </c>
      <c r="AA149" s="3">
        <f>SUMIFS(EVENTOS!$D:$D, EVENTOS!$B:$B, D149, EVENTOS!$E:$E, "*GirBajo*")</f>
        <v>0</v>
      </c>
      <c r="AB149" s="3">
        <f>IFERROR(INDEX(EVENTOS!$D:$D,MATCH(SCORE!AB$2&amp;" "&amp;SCORE!$D149,EVENTOS!$F:$F,0)),0)</f>
        <v>0</v>
      </c>
      <c r="AC149" s="3">
        <f>IFERROR(INDEX(EVENTOS!$D:$D,MATCH(SCORE!AC$2&amp;" "&amp;SCORE!$D149,EVENTOS!$F:$F,0)),0)</f>
        <v>0</v>
      </c>
      <c r="AD149" s="3">
        <f>IFERROR(INDEX(EVENTOS!$D:$D,MATCH(SCORE!AD$2&amp;" "&amp;SCORE!$D149,EVENTOS!$F:$F,0)),0)</f>
        <v>0</v>
      </c>
      <c r="AE149" s="3">
        <f t="shared" si="6"/>
        <v>0</v>
      </c>
      <c r="AF149" s="10" t="e">
        <f t="shared" si="7"/>
        <v>#N/A</v>
      </c>
      <c r="AG149" s="3" t="str">
        <f t="shared" si="8"/>
        <v/>
      </c>
    </row>
    <row r="150" spans="1:33" x14ac:dyDescent="0.25">
      <c r="A150" s="7"/>
      <c r="B150" s="8"/>
      <c r="C150" s="3"/>
      <c r="D150" s="3"/>
      <c r="E150" s="3" t="e">
        <f>VLOOKUP(D150,VIAJES!$D:$E,2,FALSE)</f>
        <v>#N/A</v>
      </c>
      <c r="F150" s="9" t="e">
        <f>VLOOKUP(D150,VIAJES!$D:$F,3,FALSE)</f>
        <v>#N/A</v>
      </c>
      <c r="G150" s="9" t="e">
        <f>VLOOKUP(D150,VIAJES!$D:$G,4,FALSE)</f>
        <v>#N/A</v>
      </c>
      <c r="H150" s="3" t="e">
        <f>VLOOKUP(D150,VIAJES!$D:$H,5,FALSE)</f>
        <v>#N/A</v>
      </c>
      <c r="S150" s="3">
        <f>IFERROR(INDEX(EVENTOS!$D:$D,MATCH(SCORE!S$2&amp;" "&amp;SCORE!$D150,EVENTOS!$F:$F,0)),0)</f>
        <v>0</v>
      </c>
      <c r="T150" s="3">
        <f>IFERROR(INDEX(EVENTOS!$D:$D,MATCH(SCORE!T$2&amp;" "&amp;SCORE!$D150,EVENTOS!$F:$F,0)),0)</f>
        <v>0</v>
      </c>
      <c r="U150" s="3">
        <f>IFERROR(INDEX(EVENTOS!$D:$D,MATCH(SCORE!U$2&amp;" "&amp;SCORE!$D150,EVENTOS!$F:$F,0)),0)</f>
        <v>0</v>
      </c>
      <c r="V150" s="3">
        <f>IFERROR(INDEX(EVENTOS!$D:$D,MATCH(SCORE!V$2&amp;" "&amp;SCORE!$D150,EVENTOS!$F:$F,0)),0)</f>
        <v>0</v>
      </c>
      <c r="W150" s="3">
        <f>IFERROR(INDEX(EVENTOS!$D:$D,MATCH(SCORE!W$2&amp;" "&amp;SCORE!$D150,EVENTOS!$F:$F,0)),0)</f>
        <v>0</v>
      </c>
      <c r="X150" s="3">
        <f>IFERROR(INDEX(EVENTOS!$D:$D,MATCH(SCORE!X$2&amp;" "&amp;SCORE!$D150,EVENTOS!$F:$F,0)),0)</f>
        <v>0</v>
      </c>
      <c r="Y150" s="3">
        <f>SUMIFS(EVENTOS!$D:$D, EVENTOS!$B:$B, D150, EVENTOS!$E:$E, "*GirAlto*")</f>
        <v>0</v>
      </c>
      <c r="Z150" s="3">
        <f>SUMIFS(EVENTOS!$D:$D, EVENTOS!$B:$B, D150, EVENTOS!$E:$E, "*GirMed*")</f>
        <v>0</v>
      </c>
      <c r="AA150" s="3">
        <f>SUMIFS(EVENTOS!$D:$D, EVENTOS!$B:$B, D150, EVENTOS!$E:$E, "*GirBajo*")</f>
        <v>0</v>
      </c>
      <c r="AB150" s="3">
        <f>IFERROR(INDEX(EVENTOS!$D:$D,MATCH(SCORE!AB$2&amp;" "&amp;SCORE!$D150,EVENTOS!$F:$F,0)),0)</f>
        <v>0</v>
      </c>
      <c r="AC150" s="3">
        <f>IFERROR(INDEX(EVENTOS!$D:$D,MATCH(SCORE!AC$2&amp;" "&amp;SCORE!$D150,EVENTOS!$F:$F,0)),0)</f>
        <v>0</v>
      </c>
      <c r="AD150" s="3">
        <f>IFERROR(INDEX(EVENTOS!$D:$D,MATCH(SCORE!AD$2&amp;" "&amp;SCORE!$D150,EVENTOS!$F:$F,0)),0)</f>
        <v>0</v>
      </c>
      <c r="AE150" s="3">
        <f t="shared" si="6"/>
        <v>0</v>
      </c>
      <c r="AF150" s="10" t="e">
        <f t="shared" si="7"/>
        <v>#N/A</v>
      </c>
      <c r="AG150" s="3" t="str">
        <f t="shared" si="8"/>
        <v/>
      </c>
    </row>
    <row r="151" spans="1:33" x14ac:dyDescent="0.25">
      <c r="A151" s="7"/>
      <c r="B151" s="8"/>
      <c r="C151" s="3"/>
      <c r="D151" s="3"/>
      <c r="E151" s="3" t="e">
        <f>VLOOKUP(D151,VIAJES!$D:$E,2,FALSE)</f>
        <v>#N/A</v>
      </c>
      <c r="F151" s="9" t="e">
        <f>VLOOKUP(D151,VIAJES!$D:$F,3,FALSE)</f>
        <v>#N/A</v>
      </c>
      <c r="G151" s="9" t="e">
        <f>VLOOKUP(D151,VIAJES!$D:$G,4,FALSE)</f>
        <v>#N/A</v>
      </c>
      <c r="H151" s="3" t="e">
        <f>VLOOKUP(D151,VIAJES!$D:$H,5,FALSE)</f>
        <v>#N/A</v>
      </c>
      <c r="S151" s="3">
        <f>IFERROR(INDEX(EVENTOS!$D:$D,MATCH(SCORE!S$2&amp;" "&amp;SCORE!$D151,EVENTOS!$F:$F,0)),0)</f>
        <v>0</v>
      </c>
      <c r="T151" s="3">
        <f>IFERROR(INDEX(EVENTOS!$D:$D,MATCH(SCORE!T$2&amp;" "&amp;SCORE!$D151,EVENTOS!$F:$F,0)),0)</f>
        <v>0</v>
      </c>
      <c r="U151" s="3">
        <f>IFERROR(INDEX(EVENTOS!$D:$D,MATCH(SCORE!U$2&amp;" "&amp;SCORE!$D151,EVENTOS!$F:$F,0)),0)</f>
        <v>0</v>
      </c>
      <c r="V151" s="3">
        <f>IFERROR(INDEX(EVENTOS!$D:$D,MATCH(SCORE!V$2&amp;" "&amp;SCORE!$D151,EVENTOS!$F:$F,0)),0)</f>
        <v>0</v>
      </c>
      <c r="W151" s="3">
        <f>IFERROR(INDEX(EVENTOS!$D:$D,MATCH(SCORE!W$2&amp;" "&amp;SCORE!$D151,EVENTOS!$F:$F,0)),0)</f>
        <v>0</v>
      </c>
      <c r="X151" s="3">
        <f>IFERROR(INDEX(EVENTOS!$D:$D,MATCH(SCORE!X$2&amp;" "&amp;SCORE!$D151,EVENTOS!$F:$F,0)),0)</f>
        <v>0</v>
      </c>
      <c r="Y151" s="3">
        <f>SUMIFS(EVENTOS!$D:$D, EVENTOS!$B:$B, D151, EVENTOS!$E:$E, "*GirAlto*")</f>
        <v>0</v>
      </c>
      <c r="Z151" s="3">
        <f>SUMIFS(EVENTOS!$D:$D, EVENTOS!$B:$B, D151, EVENTOS!$E:$E, "*GirMed*")</f>
        <v>0</v>
      </c>
      <c r="AA151" s="3">
        <f>SUMIFS(EVENTOS!$D:$D, EVENTOS!$B:$B, D151, EVENTOS!$E:$E, "*GirBajo*")</f>
        <v>0</v>
      </c>
      <c r="AB151" s="3">
        <f>IFERROR(INDEX(EVENTOS!$D:$D,MATCH(SCORE!AB$2&amp;" "&amp;SCORE!$D151,EVENTOS!$F:$F,0)),0)</f>
        <v>0</v>
      </c>
      <c r="AC151" s="3">
        <f>IFERROR(INDEX(EVENTOS!$D:$D,MATCH(SCORE!AC$2&amp;" "&amp;SCORE!$D151,EVENTOS!$F:$F,0)),0)</f>
        <v>0</v>
      </c>
      <c r="AD151" s="3">
        <f>IFERROR(INDEX(EVENTOS!$D:$D,MATCH(SCORE!AD$2&amp;" "&amp;SCORE!$D151,EVENTOS!$F:$F,0)),0)</f>
        <v>0</v>
      </c>
      <c r="AE151" s="3">
        <f t="shared" si="6"/>
        <v>0</v>
      </c>
      <c r="AF151" s="10" t="e">
        <f t="shared" si="7"/>
        <v>#N/A</v>
      </c>
      <c r="AG151" s="3" t="str">
        <f t="shared" si="8"/>
        <v/>
      </c>
    </row>
    <row r="152" spans="1:33" x14ac:dyDescent="0.25">
      <c r="A152" s="7"/>
      <c r="B152" s="8"/>
      <c r="C152" s="3"/>
      <c r="D152" s="3"/>
      <c r="E152" s="3" t="e">
        <f>VLOOKUP(D152,VIAJES!$D:$E,2,FALSE)</f>
        <v>#N/A</v>
      </c>
      <c r="F152" s="9" t="e">
        <f>VLOOKUP(D152,VIAJES!$D:$F,3,FALSE)</f>
        <v>#N/A</v>
      </c>
      <c r="G152" s="9" t="e">
        <f>VLOOKUP(D152,VIAJES!$D:$G,4,FALSE)</f>
        <v>#N/A</v>
      </c>
      <c r="H152" s="3" t="e">
        <f>VLOOKUP(D152,VIAJES!$D:$H,5,FALSE)</f>
        <v>#N/A</v>
      </c>
      <c r="S152" s="3">
        <f>IFERROR(INDEX(EVENTOS!$D:$D,MATCH(SCORE!S$2&amp;" "&amp;SCORE!$D152,EVENTOS!$F:$F,0)),0)</f>
        <v>0</v>
      </c>
      <c r="T152" s="3">
        <f>IFERROR(INDEX(EVENTOS!$D:$D,MATCH(SCORE!T$2&amp;" "&amp;SCORE!$D152,EVENTOS!$F:$F,0)),0)</f>
        <v>0</v>
      </c>
      <c r="U152" s="3">
        <f>IFERROR(INDEX(EVENTOS!$D:$D,MATCH(SCORE!U$2&amp;" "&amp;SCORE!$D152,EVENTOS!$F:$F,0)),0)</f>
        <v>0</v>
      </c>
      <c r="V152" s="3">
        <f>IFERROR(INDEX(EVENTOS!$D:$D,MATCH(SCORE!V$2&amp;" "&amp;SCORE!$D152,EVENTOS!$F:$F,0)),0)</f>
        <v>0</v>
      </c>
      <c r="W152" s="3">
        <f>IFERROR(INDEX(EVENTOS!$D:$D,MATCH(SCORE!W$2&amp;" "&amp;SCORE!$D152,EVENTOS!$F:$F,0)),0)</f>
        <v>0</v>
      </c>
      <c r="X152" s="3">
        <f>IFERROR(INDEX(EVENTOS!$D:$D,MATCH(SCORE!X$2&amp;" "&amp;SCORE!$D152,EVENTOS!$F:$F,0)),0)</f>
        <v>0</v>
      </c>
      <c r="Y152" s="3">
        <f>SUMIFS(EVENTOS!$D:$D, EVENTOS!$B:$B, D152, EVENTOS!$E:$E, "*GirAlto*")</f>
        <v>0</v>
      </c>
      <c r="Z152" s="3">
        <f>SUMIFS(EVENTOS!$D:$D, EVENTOS!$B:$B, D152, EVENTOS!$E:$E, "*GirMed*")</f>
        <v>0</v>
      </c>
      <c r="AA152" s="3">
        <f>SUMIFS(EVENTOS!$D:$D, EVENTOS!$B:$B, D152, EVENTOS!$E:$E, "*GirBajo*")</f>
        <v>0</v>
      </c>
      <c r="AB152" s="3">
        <f>IFERROR(INDEX(EVENTOS!$D:$D,MATCH(SCORE!AB$2&amp;" "&amp;SCORE!$D152,EVENTOS!$F:$F,0)),0)</f>
        <v>0</v>
      </c>
      <c r="AC152" s="3">
        <f>IFERROR(INDEX(EVENTOS!$D:$D,MATCH(SCORE!AC$2&amp;" "&amp;SCORE!$D152,EVENTOS!$F:$F,0)),0)</f>
        <v>0</v>
      </c>
      <c r="AD152" s="3">
        <f>IFERROR(INDEX(EVENTOS!$D:$D,MATCH(SCORE!AD$2&amp;" "&amp;SCORE!$D152,EVENTOS!$F:$F,0)),0)</f>
        <v>0</v>
      </c>
      <c r="AE152" s="3">
        <f t="shared" si="6"/>
        <v>0</v>
      </c>
      <c r="AF152" s="10" t="e">
        <f t="shared" si="7"/>
        <v>#N/A</v>
      </c>
      <c r="AG152" s="3" t="str">
        <f t="shared" si="8"/>
        <v/>
      </c>
    </row>
    <row r="153" spans="1:33" x14ac:dyDescent="0.25">
      <c r="A153" s="7"/>
      <c r="B153" s="8"/>
      <c r="C153" s="3"/>
      <c r="D153" s="3"/>
      <c r="E153" s="3" t="e">
        <f>VLOOKUP(D153,VIAJES!$D:$E,2,FALSE)</f>
        <v>#N/A</v>
      </c>
      <c r="F153" s="9" t="e">
        <f>VLOOKUP(D153,VIAJES!$D:$F,3,FALSE)</f>
        <v>#N/A</v>
      </c>
      <c r="G153" s="9" t="e">
        <f>VLOOKUP(D153,VIAJES!$D:$G,4,FALSE)</f>
        <v>#N/A</v>
      </c>
      <c r="H153" s="3" t="e">
        <f>VLOOKUP(D153,VIAJES!$D:$H,5,FALSE)</f>
        <v>#N/A</v>
      </c>
      <c r="S153" s="3">
        <f>IFERROR(INDEX(EVENTOS!$D:$D,MATCH(SCORE!S$2&amp;" "&amp;SCORE!$D153,EVENTOS!$F:$F,0)),0)</f>
        <v>0</v>
      </c>
      <c r="T153" s="3">
        <f>IFERROR(INDEX(EVENTOS!$D:$D,MATCH(SCORE!T$2&amp;" "&amp;SCORE!$D153,EVENTOS!$F:$F,0)),0)</f>
        <v>0</v>
      </c>
      <c r="U153" s="3">
        <f>IFERROR(INDEX(EVENTOS!$D:$D,MATCH(SCORE!U$2&amp;" "&amp;SCORE!$D153,EVENTOS!$F:$F,0)),0)</f>
        <v>0</v>
      </c>
      <c r="V153" s="3">
        <f>IFERROR(INDEX(EVENTOS!$D:$D,MATCH(SCORE!V$2&amp;" "&amp;SCORE!$D153,EVENTOS!$F:$F,0)),0)</f>
        <v>0</v>
      </c>
      <c r="W153" s="3">
        <f>IFERROR(INDEX(EVENTOS!$D:$D,MATCH(SCORE!W$2&amp;" "&amp;SCORE!$D153,EVENTOS!$F:$F,0)),0)</f>
        <v>0</v>
      </c>
      <c r="X153" s="3">
        <f>IFERROR(INDEX(EVENTOS!$D:$D,MATCH(SCORE!X$2&amp;" "&amp;SCORE!$D153,EVENTOS!$F:$F,0)),0)</f>
        <v>0</v>
      </c>
      <c r="Y153" s="3">
        <f>SUMIFS(EVENTOS!$D:$D, EVENTOS!$B:$B, D153, EVENTOS!$E:$E, "*GirAlto*")</f>
        <v>0</v>
      </c>
      <c r="Z153" s="3">
        <f>SUMIFS(EVENTOS!$D:$D, EVENTOS!$B:$B, D153, EVENTOS!$E:$E, "*GirMed*")</f>
        <v>0</v>
      </c>
      <c r="AA153" s="3">
        <f>SUMIFS(EVENTOS!$D:$D, EVENTOS!$B:$B, D153, EVENTOS!$E:$E, "*GirBajo*")</f>
        <v>0</v>
      </c>
      <c r="AB153" s="3">
        <f>IFERROR(INDEX(EVENTOS!$D:$D,MATCH(SCORE!AB$2&amp;" "&amp;SCORE!$D153,EVENTOS!$F:$F,0)),0)</f>
        <v>0</v>
      </c>
      <c r="AC153" s="3">
        <f>IFERROR(INDEX(EVENTOS!$D:$D,MATCH(SCORE!AC$2&amp;" "&amp;SCORE!$D153,EVENTOS!$F:$F,0)),0)</f>
        <v>0</v>
      </c>
      <c r="AD153" s="3">
        <f>IFERROR(INDEX(EVENTOS!$D:$D,MATCH(SCORE!AD$2&amp;" "&amp;SCORE!$D153,EVENTOS!$F:$F,0)),0)</f>
        <v>0</v>
      </c>
      <c r="AE153" s="3">
        <f t="shared" si="6"/>
        <v>0</v>
      </c>
      <c r="AF153" s="10" t="e">
        <f t="shared" si="7"/>
        <v>#N/A</v>
      </c>
      <c r="AG153" s="3" t="str">
        <f t="shared" si="8"/>
        <v/>
      </c>
    </row>
    <row r="154" spans="1:33" x14ac:dyDescent="0.25">
      <c r="A154" s="7"/>
      <c r="B154" s="8"/>
      <c r="C154" s="3"/>
      <c r="D154" s="3"/>
      <c r="E154" s="3" t="e">
        <f>VLOOKUP(D154,VIAJES!$D:$E,2,FALSE)</f>
        <v>#N/A</v>
      </c>
      <c r="F154" s="9" t="e">
        <f>VLOOKUP(D154,VIAJES!$D:$F,3,FALSE)</f>
        <v>#N/A</v>
      </c>
      <c r="G154" s="9" t="e">
        <f>VLOOKUP(D154,VIAJES!$D:$G,4,FALSE)</f>
        <v>#N/A</v>
      </c>
      <c r="H154" s="3" t="e">
        <f>VLOOKUP(D154,VIAJES!$D:$H,5,FALSE)</f>
        <v>#N/A</v>
      </c>
      <c r="S154" s="3">
        <f>IFERROR(INDEX(EVENTOS!$D:$D,MATCH(SCORE!S$2&amp;" "&amp;SCORE!$D154,EVENTOS!$F:$F,0)),0)</f>
        <v>0</v>
      </c>
      <c r="T154" s="3">
        <f>IFERROR(INDEX(EVENTOS!$D:$D,MATCH(SCORE!T$2&amp;" "&amp;SCORE!$D154,EVENTOS!$F:$F,0)),0)</f>
        <v>0</v>
      </c>
      <c r="U154" s="3">
        <f>IFERROR(INDEX(EVENTOS!$D:$D,MATCH(SCORE!U$2&amp;" "&amp;SCORE!$D154,EVENTOS!$F:$F,0)),0)</f>
        <v>0</v>
      </c>
      <c r="V154" s="3">
        <f>IFERROR(INDEX(EVENTOS!$D:$D,MATCH(SCORE!V$2&amp;" "&amp;SCORE!$D154,EVENTOS!$F:$F,0)),0)</f>
        <v>0</v>
      </c>
      <c r="W154" s="3">
        <f>IFERROR(INDEX(EVENTOS!$D:$D,MATCH(SCORE!W$2&amp;" "&amp;SCORE!$D154,EVENTOS!$F:$F,0)),0)</f>
        <v>0</v>
      </c>
      <c r="X154" s="3">
        <f>IFERROR(INDEX(EVENTOS!$D:$D,MATCH(SCORE!X$2&amp;" "&amp;SCORE!$D154,EVENTOS!$F:$F,0)),0)</f>
        <v>0</v>
      </c>
      <c r="Y154" s="3">
        <f>SUMIFS(EVENTOS!$D:$D, EVENTOS!$B:$B, D154, EVENTOS!$E:$E, "*GirAlto*")</f>
        <v>0</v>
      </c>
      <c r="Z154" s="3">
        <f>SUMIFS(EVENTOS!$D:$D, EVENTOS!$B:$B, D154, EVENTOS!$E:$E, "*GirMed*")</f>
        <v>0</v>
      </c>
      <c r="AA154" s="3">
        <f>SUMIFS(EVENTOS!$D:$D, EVENTOS!$B:$B, D154, EVENTOS!$E:$E, "*GirBajo*")</f>
        <v>0</v>
      </c>
      <c r="AB154" s="3">
        <f>IFERROR(INDEX(EVENTOS!$D:$D,MATCH(SCORE!AB$2&amp;" "&amp;SCORE!$D154,EVENTOS!$F:$F,0)),0)</f>
        <v>0</v>
      </c>
      <c r="AC154" s="3">
        <f>IFERROR(INDEX(EVENTOS!$D:$D,MATCH(SCORE!AC$2&amp;" "&amp;SCORE!$D154,EVENTOS!$F:$F,0)),0)</f>
        <v>0</v>
      </c>
      <c r="AD154" s="3">
        <f>IFERROR(INDEX(EVENTOS!$D:$D,MATCH(SCORE!AD$2&amp;" "&amp;SCORE!$D154,EVENTOS!$F:$F,0)),0)</f>
        <v>0</v>
      </c>
      <c r="AE154" s="3">
        <f t="shared" si="6"/>
        <v>0</v>
      </c>
      <c r="AF154" s="10" t="e">
        <f t="shared" si="7"/>
        <v>#N/A</v>
      </c>
      <c r="AG154" s="3" t="str">
        <f t="shared" si="8"/>
        <v/>
      </c>
    </row>
    <row r="155" spans="1:33" x14ac:dyDescent="0.25">
      <c r="A155" s="7"/>
      <c r="B155" s="8"/>
      <c r="C155" s="3"/>
      <c r="D155" s="3"/>
      <c r="E155" s="3" t="e">
        <f>VLOOKUP(D155,VIAJES!$D:$E,2,FALSE)</f>
        <v>#N/A</v>
      </c>
      <c r="F155" s="9" t="e">
        <f>VLOOKUP(D155,VIAJES!$D:$F,3,FALSE)</f>
        <v>#N/A</v>
      </c>
      <c r="G155" s="9" t="e">
        <f>VLOOKUP(D155,VIAJES!$D:$G,4,FALSE)</f>
        <v>#N/A</v>
      </c>
      <c r="H155" s="3" t="e">
        <f>VLOOKUP(D155,VIAJES!$D:$H,5,FALSE)</f>
        <v>#N/A</v>
      </c>
      <c r="S155" s="3">
        <f>IFERROR(INDEX(EVENTOS!$D:$D,MATCH(SCORE!S$2&amp;" "&amp;SCORE!$D155,EVENTOS!$F:$F,0)),0)</f>
        <v>0</v>
      </c>
      <c r="T155" s="3">
        <f>IFERROR(INDEX(EVENTOS!$D:$D,MATCH(SCORE!T$2&amp;" "&amp;SCORE!$D155,EVENTOS!$F:$F,0)),0)</f>
        <v>0</v>
      </c>
      <c r="U155" s="3">
        <f>IFERROR(INDEX(EVENTOS!$D:$D,MATCH(SCORE!U$2&amp;" "&amp;SCORE!$D155,EVENTOS!$F:$F,0)),0)</f>
        <v>0</v>
      </c>
      <c r="V155" s="3">
        <f>IFERROR(INDEX(EVENTOS!$D:$D,MATCH(SCORE!V$2&amp;" "&amp;SCORE!$D155,EVENTOS!$F:$F,0)),0)</f>
        <v>0</v>
      </c>
      <c r="W155" s="3">
        <f>IFERROR(INDEX(EVENTOS!$D:$D,MATCH(SCORE!W$2&amp;" "&amp;SCORE!$D155,EVENTOS!$F:$F,0)),0)</f>
        <v>0</v>
      </c>
      <c r="X155" s="3">
        <f>IFERROR(INDEX(EVENTOS!$D:$D,MATCH(SCORE!X$2&amp;" "&amp;SCORE!$D155,EVENTOS!$F:$F,0)),0)</f>
        <v>0</v>
      </c>
      <c r="Y155" s="3">
        <f>SUMIFS(EVENTOS!$D:$D, EVENTOS!$B:$B, D155, EVENTOS!$E:$E, "*GirAlto*")</f>
        <v>0</v>
      </c>
      <c r="Z155" s="3">
        <f>SUMIFS(EVENTOS!$D:$D, EVENTOS!$B:$B, D155, EVENTOS!$E:$E, "*GirMed*")</f>
        <v>0</v>
      </c>
      <c r="AA155" s="3">
        <f>SUMIFS(EVENTOS!$D:$D, EVENTOS!$B:$B, D155, EVENTOS!$E:$E, "*GirBajo*")</f>
        <v>0</v>
      </c>
      <c r="AB155" s="3">
        <f>IFERROR(INDEX(EVENTOS!$D:$D,MATCH(SCORE!AB$2&amp;" "&amp;SCORE!$D155,EVENTOS!$F:$F,0)),0)</f>
        <v>0</v>
      </c>
      <c r="AC155" s="3">
        <f>IFERROR(INDEX(EVENTOS!$D:$D,MATCH(SCORE!AC$2&amp;" "&amp;SCORE!$D155,EVENTOS!$F:$F,0)),0)</f>
        <v>0</v>
      </c>
      <c r="AD155" s="3">
        <f>IFERROR(INDEX(EVENTOS!$D:$D,MATCH(SCORE!AD$2&amp;" "&amp;SCORE!$D155,EVENTOS!$F:$F,0)),0)</f>
        <v>0</v>
      </c>
      <c r="AE155" s="3">
        <f t="shared" si="6"/>
        <v>0</v>
      </c>
      <c r="AF155" s="10" t="e">
        <f t="shared" si="7"/>
        <v>#N/A</v>
      </c>
      <c r="AG155" s="3" t="str">
        <f t="shared" si="8"/>
        <v/>
      </c>
    </row>
    <row r="156" spans="1:33" x14ac:dyDescent="0.25">
      <c r="A156" s="7"/>
      <c r="B156" s="8"/>
      <c r="C156" s="3"/>
      <c r="D156" s="3"/>
      <c r="E156" s="3" t="e">
        <f>VLOOKUP(D156,VIAJES!$D:$E,2,FALSE)</f>
        <v>#N/A</v>
      </c>
      <c r="F156" s="9" t="e">
        <f>VLOOKUP(D156,VIAJES!$D:$F,3,FALSE)</f>
        <v>#N/A</v>
      </c>
      <c r="G156" s="9" t="e">
        <f>VLOOKUP(D156,VIAJES!$D:$G,4,FALSE)</f>
        <v>#N/A</v>
      </c>
      <c r="H156" s="3" t="e">
        <f>VLOOKUP(D156,VIAJES!$D:$H,5,FALSE)</f>
        <v>#N/A</v>
      </c>
      <c r="S156" s="3">
        <f>IFERROR(INDEX(EVENTOS!$D:$D,MATCH(SCORE!S$2&amp;" "&amp;SCORE!$D156,EVENTOS!$F:$F,0)),0)</f>
        <v>0</v>
      </c>
      <c r="T156" s="3">
        <f>IFERROR(INDEX(EVENTOS!$D:$D,MATCH(SCORE!T$2&amp;" "&amp;SCORE!$D156,EVENTOS!$F:$F,0)),0)</f>
        <v>0</v>
      </c>
      <c r="U156" s="3">
        <f>IFERROR(INDEX(EVENTOS!$D:$D,MATCH(SCORE!U$2&amp;" "&amp;SCORE!$D156,EVENTOS!$F:$F,0)),0)</f>
        <v>0</v>
      </c>
      <c r="V156" s="3">
        <f>IFERROR(INDEX(EVENTOS!$D:$D,MATCH(SCORE!V$2&amp;" "&amp;SCORE!$D156,EVENTOS!$F:$F,0)),0)</f>
        <v>0</v>
      </c>
      <c r="W156" s="3">
        <f>IFERROR(INDEX(EVENTOS!$D:$D,MATCH(SCORE!W$2&amp;" "&amp;SCORE!$D156,EVENTOS!$F:$F,0)),0)</f>
        <v>0</v>
      </c>
      <c r="X156" s="3">
        <f>IFERROR(INDEX(EVENTOS!$D:$D,MATCH(SCORE!X$2&amp;" "&amp;SCORE!$D156,EVENTOS!$F:$F,0)),0)</f>
        <v>0</v>
      </c>
      <c r="Y156" s="3">
        <f>SUMIFS(EVENTOS!$D:$D, EVENTOS!$B:$B, D156, EVENTOS!$E:$E, "*GirAlto*")</f>
        <v>0</v>
      </c>
      <c r="Z156" s="3">
        <f>SUMIFS(EVENTOS!$D:$D, EVENTOS!$B:$B, D156, EVENTOS!$E:$E, "*GirMed*")</f>
        <v>0</v>
      </c>
      <c r="AA156" s="3">
        <f>SUMIFS(EVENTOS!$D:$D, EVENTOS!$B:$B, D156, EVENTOS!$E:$E, "*GirBajo*")</f>
        <v>0</v>
      </c>
      <c r="AB156" s="3">
        <f>IFERROR(INDEX(EVENTOS!$D:$D,MATCH(SCORE!AB$2&amp;" "&amp;SCORE!$D156,EVENTOS!$F:$F,0)),0)</f>
        <v>0</v>
      </c>
      <c r="AC156" s="3">
        <f>IFERROR(INDEX(EVENTOS!$D:$D,MATCH(SCORE!AC$2&amp;" "&amp;SCORE!$D156,EVENTOS!$F:$F,0)),0)</f>
        <v>0</v>
      </c>
      <c r="AD156" s="3">
        <f>IFERROR(INDEX(EVENTOS!$D:$D,MATCH(SCORE!AD$2&amp;" "&amp;SCORE!$D156,EVENTOS!$F:$F,0)),0)</f>
        <v>0</v>
      </c>
      <c r="AE156" s="3">
        <f t="shared" si="6"/>
        <v>0</v>
      </c>
      <c r="AF156" s="10" t="e">
        <f t="shared" si="7"/>
        <v>#N/A</v>
      </c>
      <c r="AG156" s="3" t="str">
        <f t="shared" si="8"/>
        <v/>
      </c>
    </row>
    <row r="157" spans="1:33" x14ac:dyDescent="0.25">
      <c r="A157" s="7"/>
      <c r="B157" s="8"/>
      <c r="C157" s="3"/>
      <c r="D157" s="3"/>
      <c r="E157" s="3" t="e">
        <f>VLOOKUP(D157,VIAJES!$D:$E,2,FALSE)</f>
        <v>#N/A</v>
      </c>
      <c r="F157" s="9" t="e">
        <f>VLOOKUP(D157,VIAJES!$D:$F,3,FALSE)</f>
        <v>#N/A</v>
      </c>
      <c r="G157" s="9" t="e">
        <f>VLOOKUP(D157,VIAJES!$D:$G,4,FALSE)</f>
        <v>#N/A</v>
      </c>
      <c r="H157" s="3" t="e">
        <f>VLOOKUP(D157,VIAJES!$D:$H,5,FALSE)</f>
        <v>#N/A</v>
      </c>
      <c r="S157" s="3">
        <f>IFERROR(INDEX(EVENTOS!$D:$D,MATCH(SCORE!S$2&amp;" "&amp;SCORE!$D157,EVENTOS!$F:$F,0)),0)</f>
        <v>0</v>
      </c>
      <c r="T157" s="3">
        <f>IFERROR(INDEX(EVENTOS!$D:$D,MATCH(SCORE!T$2&amp;" "&amp;SCORE!$D157,EVENTOS!$F:$F,0)),0)</f>
        <v>0</v>
      </c>
      <c r="U157" s="3">
        <f>IFERROR(INDEX(EVENTOS!$D:$D,MATCH(SCORE!U$2&amp;" "&amp;SCORE!$D157,EVENTOS!$F:$F,0)),0)</f>
        <v>0</v>
      </c>
      <c r="V157" s="3">
        <f>IFERROR(INDEX(EVENTOS!$D:$D,MATCH(SCORE!V$2&amp;" "&amp;SCORE!$D157,EVENTOS!$F:$F,0)),0)</f>
        <v>0</v>
      </c>
      <c r="W157" s="3">
        <f>IFERROR(INDEX(EVENTOS!$D:$D,MATCH(SCORE!W$2&amp;" "&amp;SCORE!$D157,EVENTOS!$F:$F,0)),0)</f>
        <v>0</v>
      </c>
      <c r="X157" s="3">
        <f>IFERROR(INDEX(EVENTOS!$D:$D,MATCH(SCORE!X$2&amp;" "&amp;SCORE!$D157,EVENTOS!$F:$F,0)),0)</f>
        <v>0</v>
      </c>
      <c r="Y157" s="3">
        <f>SUMIFS(EVENTOS!$D:$D, EVENTOS!$B:$B, D157, EVENTOS!$E:$E, "*GirAlto*")</f>
        <v>0</v>
      </c>
      <c r="Z157" s="3">
        <f>SUMIFS(EVENTOS!$D:$D, EVENTOS!$B:$B, D157, EVENTOS!$E:$E, "*GirMed*")</f>
        <v>0</v>
      </c>
      <c r="AA157" s="3">
        <f>SUMIFS(EVENTOS!$D:$D, EVENTOS!$B:$B, D157, EVENTOS!$E:$E, "*GirBajo*")</f>
        <v>0</v>
      </c>
      <c r="AB157" s="3">
        <f>IFERROR(INDEX(EVENTOS!$D:$D,MATCH(SCORE!AB$2&amp;" "&amp;SCORE!$D157,EVENTOS!$F:$F,0)),0)</f>
        <v>0</v>
      </c>
      <c r="AC157" s="3">
        <f>IFERROR(INDEX(EVENTOS!$D:$D,MATCH(SCORE!AC$2&amp;" "&amp;SCORE!$D157,EVENTOS!$F:$F,0)),0)</f>
        <v>0</v>
      </c>
      <c r="AD157" s="3">
        <f>IFERROR(INDEX(EVENTOS!$D:$D,MATCH(SCORE!AD$2&amp;" "&amp;SCORE!$D157,EVENTOS!$F:$F,0)),0)</f>
        <v>0</v>
      </c>
      <c r="AE157" s="3">
        <f t="shared" si="6"/>
        <v>0</v>
      </c>
      <c r="AF157" s="10" t="e">
        <f t="shared" si="7"/>
        <v>#N/A</v>
      </c>
      <c r="AG157" s="3" t="str">
        <f t="shared" si="8"/>
        <v/>
      </c>
    </row>
    <row r="158" spans="1:33" x14ac:dyDescent="0.25">
      <c r="A158" s="7"/>
      <c r="B158" s="8"/>
      <c r="C158" s="3"/>
      <c r="D158" s="3"/>
      <c r="E158" s="3" t="e">
        <f>VLOOKUP(D158,VIAJES!$D:$E,2,FALSE)</f>
        <v>#N/A</v>
      </c>
      <c r="F158" s="9" t="e">
        <f>VLOOKUP(D158,VIAJES!$D:$F,3,FALSE)</f>
        <v>#N/A</v>
      </c>
      <c r="G158" s="9" t="e">
        <f>VLOOKUP(D158,VIAJES!$D:$G,4,FALSE)</f>
        <v>#N/A</v>
      </c>
      <c r="H158" s="3" t="e">
        <f>VLOOKUP(D158,VIAJES!$D:$H,5,FALSE)</f>
        <v>#N/A</v>
      </c>
      <c r="S158" s="3">
        <f>IFERROR(INDEX(EVENTOS!$D:$D,MATCH(SCORE!S$2&amp;" "&amp;SCORE!$D158,EVENTOS!$F:$F,0)),0)</f>
        <v>0</v>
      </c>
      <c r="T158" s="3">
        <f>IFERROR(INDEX(EVENTOS!$D:$D,MATCH(SCORE!T$2&amp;" "&amp;SCORE!$D158,EVENTOS!$F:$F,0)),0)</f>
        <v>0</v>
      </c>
      <c r="U158" s="3">
        <f>IFERROR(INDEX(EVENTOS!$D:$D,MATCH(SCORE!U$2&amp;" "&amp;SCORE!$D158,EVENTOS!$F:$F,0)),0)</f>
        <v>0</v>
      </c>
      <c r="V158" s="3">
        <f>IFERROR(INDEX(EVENTOS!$D:$D,MATCH(SCORE!V$2&amp;" "&amp;SCORE!$D158,EVENTOS!$F:$F,0)),0)</f>
        <v>0</v>
      </c>
      <c r="W158" s="3">
        <f>IFERROR(INDEX(EVENTOS!$D:$D,MATCH(SCORE!W$2&amp;" "&amp;SCORE!$D158,EVENTOS!$F:$F,0)),0)</f>
        <v>0</v>
      </c>
      <c r="X158" s="3">
        <f>IFERROR(INDEX(EVENTOS!$D:$D,MATCH(SCORE!X$2&amp;" "&amp;SCORE!$D158,EVENTOS!$F:$F,0)),0)</f>
        <v>0</v>
      </c>
      <c r="Y158" s="3">
        <f>SUMIFS(EVENTOS!$D:$D, EVENTOS!$B:$B, D158, EVENTOS!$E:$E, "*GirAlto*")</f>
        <v>0</v>
      </c>
      <c r="Z158" s="3">
        <f>SUMIFS(EVENTOS!$D:$D, EVENTOS!$B:$B, D158, EVENTOS!$E:$E, "*GirMed*")</f>
        <v>0</v>
      </c>
      <c r="AA158" s="3">
        <f>SUMIFS(EVENTOS!$D:$D, EVENTOS!$B:$B, D158, EVENTOS!$E:$E, "*GirBajo*")</f>
        <v>0</v>
      </c>
      <c r="AB158" s="3">
        <f>IFERROR(INDEX(EVENTOS!$D:$D,MATCH(SCORE!AB$2&amp;" "&amp;SCORE!$D158,EVENTOS!$F:$F,0)),0)</f>
        <v>0</v>
      </c>
      <c r="AC158" s="3">
        <f>IFERROR(INDEX(EVENTOS!$D:$D,MATCH(SCORE!AC$2&amp;" "&amp;SCORE!$D158,EVENTOS!$F:$F,0)),0)</f>
        <v>0</v>
      </c>
      <c r="AD158" s="3">
        <f>IFERROR(INDEX(EVENTOS!$D:$D,MATCH(SCORE!AD$2&amp;" "&amp;SCORE!$D158,EVENTOS!$F:$F,0)),0)</f>
        <v>0</v>
      </c>
      <c r="AE158" s="3">
        <f t="shared" si="6"/>
        <v>0</v>
      </c>
      <c r="AF158" s="10" t="e">
        <f t="shared" si="7"/>
        <v>#N/A</v>
      </c>
      <c r="AG158" s="3" t="str">
        <f t="shared" si="8"/>
        <v/>
      </c>
    </row>
    <row r="159" spans="1:33" x14ac:dyDescent="0.25">
      <c r="A159" s="7"/>
      <c r="B159" s="8"/>
      <c r="C159" s="3"/>
      <c r="D159" s="3"/>
      <c r="E159" s="3" t="e">
        <f>VLOOKUP(D159,VIAJES!$D:$E,2,FALSE)</f>
        <v>#N/A</v>
      </c>
      <c r="F159" s="9" t="e">
        <f>VLOOKUP(D159,VIAJES!$D:$F,3,FALSE)</f>
        <v>#N/A</v>
      </c>
      <c r="G159" s="9" t="e">
        <f>VLOOKUP(D159,VIAJES!$D:$G,4,FALSE)</f>
        <v>#N/A</v>
      </c>
      <c r="H159" s="3" t="e">
        <f>VLOOKUP(D159,VIAJES!$D:$H,5,FALSE)</f>
        <v>#N/A</v>
      </c>
      <c r="S159" s="3">
        <f>IFERROR(INDEX(EVENTOS!$D:$D,MATCH(SCORE!S$2&amp;" "&amp;SCORE!$D159,EVENTOS!$F:$F,0)),0)</f>
        <v>0</v>
      </c>
      <c r="T159" s="3">
        <f>IFERROR(INDEX(EVENTOS!$D:$D,MATCH(SCORE!T$2&amp;" "&amp;SCORE!$D159,EVENTOS!$F:$F,0)),0)</f>
        <v>0</v>
      </c>
      <c r="U159" s="3">
        <f>IFERROR(INDEX(EVENTOS!$D:$D,MATCH(SCORE!U$2&amp;" "&amp;SCORE!$D159,EVENTOS!$F:$F,0)),0)</f>
        <v>0</v>
      </c>
      <c r="V159" s="3">
        <f>IFERROR(INDEX(EVENTOS!$D:$D,MATCH(SCORE!V$2&amp;" "&amp;SCORE!$D159,EVENTOS!$F:$F,0)),0)</f>
        <v>0</v>
      </c>
      <c r="W159" s="3">
        <f>IFERROR(INDEX(EVENTOS!$D:$D,MATCH(SCORE!W$2&amp;" "&amp;SCORE!$D159,EVENTOS!$F:$F,0)),0)</f>
        <v>0</v>
      </c>
      <c r="X159" s="3">
        <f>IFERROR(INDEX(EVENTOS!$D:$D,MATCH(SCORE!X$2&amp;" "&amp;SCORE!$D159,EVENTOS!$F:$F,0)),0)</f>
        <v>0</v>
      </c>
      <c r="Y159" s="3">
        <f>SUMIFS(EVENTOS!$D:$D, EVENTOS!$B:$B, D159, EVENTOS!$E:$E, "*GirAlto*")</f>
        <v>0</v>
      </c>
      <c r="Z159" s="3">
        <f>SUMIFS(EVENTOS!$D:$D, EVENTOS!$B:$B, D159, EVENTOS!$E:$E, "*GirMed*")</f>
        <v>0</v>
      </c>
      <c r="AA159" s="3">
        <f>SUMIFS(EVENTOS!$D:$D, EVENTOS!$B:$B, D159, EVENTOS!$E:$E, "*GirBajo*")</f>
        <v>0</v>
      </c>
      <c r="AB159" s="3">
        <f>IFERROR(INDEX(EVENTOS!$D:$D,MATCH(SCORE!AB$2&amp;" "&amp;SCORE!$D159,EVENTOS!$F:$F,0)),0)</f>
        <v>0</v>
      </c>
      <c r="AC159" s="3">
        <f>IFERROR(INDEX(EVENTOS!$D:$D,MATCH(SCORE!AC$2&amp;" "&amp;SCORE!$D159,EVENTOS!$F:$F,0)),0)</f>
        <v>0</v>
      </c>
      <c r="AD159" s="3">
        <f>IFERROR(INDEX(EVENTOS!$D:$D,MATCH(SCORE!AD$2&amp;" "&amp;SCORE!$D159,EVENTOS!$F:$F,0)),0)</f>
        <v>0</v>
      </c>
      <c r="AE159" s="3">
        <f t="shared" si="6"/>
        <v>0</v>
      </c>
      <c r="AF159" s="10" t="e">
        <f t="shared" si="7"/>
        <v>#N/A</v>
      </c>
      <c r="AG159" s="3" t="str">
        <f t="shared" si="8"/>
        <v/>
      </c>
    </row>
    <row r="160" spans="1:33" x14ac:dyDescent="0.25">
      <c r="A160" s="7"/>
      <c r="B160" s="8"/>
      <c r="C160" s="3"/>
      <c r="D160" s="3"/>
      <c r="E160" s="3" t="e">
        <f>VLOOKUP(D160,VIAJES!$D:$E,2,FALSE)</f>
        <v>#N/A</v>
      </c>
      <c r="F160" s="9" t="e">
        <f>VLOOKUP(D160,VIAJES!$D:$F,3,FALSE)</f>
        <v>#N/A</v>
      </c>
      <c r="G160" s="9" t="e">
        <f>VLOOKUP(D160,VIAJES!$D:$G,4,FALSE)</f>
        <v>#N/A</v>
      </c>
      <c r="H160" s="3" t="e">
        <f>VLOOKUP(D160,VIAJES!$D:$H,5,FALSE)</f>
        <v>#N/A</v>
      </c>
      <c r="S160" s="3">
        <f>IFERROR(INDEX(EVENTOS!$D:$D,MATCH(SCORE!S$2&amp;" "&amp;SCORE!$D160,EVENTOS!$F:$F,0)),0)</f>
        <v>0</v>
      </c>
      <c r="T160" s="3">
        <f>IFERROR(INDEX(EVENTOS!$D:$D,MATCH(SCORE!T$2&amp;" "&amp;SCORE!$D160,EVENTOS!$F:$F,0)),0)</f>
        <v>0</v>
      </c>
      <c r="U160" s="3">
        <f>IFERROR(INDEX(EVENTOS!$D:$D,MATCH(SCORE!U$2&amp;" "&amp;SCORE!$D160,EVENTOS!$F:$F,0)),0)</f>
        <v>0</v>
      </c>
      <c r="V160" s="3">
        <f>IFERROR(INDEX(EVENTOS!$D:$D,MATCH(SCORE!V$2&amp;" "&amp;SCORE!$D160,EVENTOS!$F:$F,0)),0)</f>
        <v>0</v>
      </c>
      <c r="W160" s="3">
        <f>IFERROR(INDEX(EVENTOS!$D:$D,MATCH(SCORE!W$2&amp;" "&amp;SCORE!$D160,EVENTOS!$F:$F,0)),0)</f>
        <v>0</v>
      </c>
      <c r="X160" s="3">
        <f>IFERROR(INDEX(EVENTOS!$D:$D,MATCH(SCORE!X$2&amp;" "&amp;SCORE!$D160,EVENTOS!$F:$F,0)),0)</f>
        <v>0</v>
      </c>
      <c r="Y160" s="3">
        <f>SUMIFS(EVENTOS!$D:$D, EVENTOS!$B:$B, D160, EVENTOS!$E:$E, "*GirAlto*")</f>
        <v>0</v>
      </c>
      <c r="Z160" s="3">
        <f>SUMIFS(EVENTOS!$D:$D, EVENTOS!$B:$B, D160, EVENTOS!$E:$E, "*GirMed*")</f>
        <v>0</v>
      </c>
      <c r="AA160" s="3">
        <f>SUMIFS(EVENTOS!$D:$D, EVENTOS!$B:$B, D160, EVENTOS!$E:$E, "*GirBajo*")</f>
        <v>0</v>
      </c>
      <c r="AB160" s="3">
        <f>IFERROR(INDEX(EVENTOS!$D:$D,MATCH(SCORE!AB$2&amp;" "&amp;SCORE!$D160,EVENTOS!$F:$F,0)),0)</f>
        <v>0</v>
      </c>
      <c r="AC160" s="3">
        <f>IFERROR(INDEX(EVENTOS!$D:$D,MATCH(SCORE!AC$2&amp;" "&amp;SCORE!$D160,EVENTOS!$F:$F,0)),0)</f>
        <v>0</v>
      </c>
      <c r="AD160" s="3">
        <f>IFERROR(INDEX(EVENTOS!$D:$D,MATCH(SCORE!AD$2&amp;" "&amp;SCORE!$D160,EVENTOS!$F:$F,0)),0)</f>
        <v>0</v>
      </c>
      <c r="AE160" s="3">
        <f t="shared" si="6"/>
        <v>0</v>
      </c>
      <c r="AF160" s="10" t="e">
        <f t="shared" si="7"/>
        <v>#N/A</v>
      </c>
      <c r="AG160" s="3" t="str">
        <f t="shared" si="8"/>
        <v/>
      </c>
    </row>
    <row r="161" spans="1:33" x14ac:dyDescent="0.25">
      <c r="A161" s="7"/>
      <c r="B161" s="8"/>
      <c r="C161" s="3"/>
      <c r="D161" s="3"/>
      <c r="E161" s="3" t="e">
        <f>VLOOKUP(D161,VIAJES!$D:$E,2,FALSE)</f>
        <v>#N/A</v>
      </c>
      <c r="F161" s="9" t="e">
        <f>VLOOKUP(D161,VIAJES!$D:$F,3,FALSE)</f>
        <v>#N/A</v>
      </c>
      <c r="G161" s="9" t="e">
        <f>VLOOKUP(D161,VIAJES!$D:$G,4,FALSE)</f>
        <v>#N/A</v>
      </c>
      <c r="H161" s="3" t="e">
        <f>VLOOKUP(D161,VIAJES!$D:$H,5,FALSE)</f>
        <v>#N/A</v>
      </c>
      <c r="S161" s="3">
        <f>IFERROR(INDEX(EVENTOS!$D:$D,MATCH(SCORE!S$2&amp;" "&amp;SCORE!$D161,EVENTOS!$F:$F,0)),0)</f>
        <v>0</v>
      </c>
      <c r="T161" s="3">
        <f>IFERROR(INDEX(EVENTOS!$D:$D,MATCH(SCORE!T$2&amp;" "&amp;SCORE!$D161,EVENTOS!$F:$F,0)),0)</f>
        <v>0</v>
      </c>
      <c r="U161" s="3">
        <f>IFERROR(INDEX(EVENTOS!$D:$D,MATCH(SCORE!U$2&amp;" "&amp;SCORE!$D161,EVENTOS!$F:$F,0)),0)</f>
        <v>0</v>
      </c>
      <c r="V161" s="3">
        <f>IFERROR(INDEX(EVENTOS!$D:$D,MATCH(SCORE!V$2&amp;" "&amp;SCORE!$D161,EVENTOS!$F:$F,0)),0)</f>
        <v>0</v>
      </c>
      <c r="W161" s="3">
        <f>IFERROR(INDEX(EVENTOS!$D:$D,MATCH(SCORE!W$2&amp;" "&amp;SCORE!$D161,EVENTOS!$F:$F,0)),0)</f>
        <v>0</v>
      </c>
      <c r="X161" s="3">
        <f>IFERROR(INDEX(EVENTOS!$D:$D,MATCH(SCORE!X$2&amp;" "&amp;SCORE!$D161,EVENTOS!$F:$F,0)),0)</f>
        <v>0</v>
      </c>
      <c r="Y161" s="3">
        <f>SUMIFS(EVENTOS!$D:$D, EVENTOS!$B:$B, D161, EVENTOS!$E:$E, "*GirAlto*")</f>
        <v>0</v>
      </c>
      <c r="Z161" s="3">
        <f>SUMIFS(EVENTOS!$D:$D, EVENTOS!$B:$B, D161, EVENTOS!$E:$E, "*GirMed*")</f>
        <v>0</v>
      </c>
      <c r="AA161" s="3">
        <f>SUMIFS(EVENTOS!$D:$D, EVENTOS!$B:$B, D161, EVENTOS!$E:$E, "*GirBajo*")</f>
        <v>0</v>
      </c>
      <c r="AB161" s="3">
        <f>IFERROR(INDEX(EVENTOS!$D:$D,MATCH(SCORE!AB$2&amp;" "&amp;SCORE!$D161,EVENTOS!$F:$F,0)),0)</f>
        <v>0</v>
      </c>
      <c r="AC161" s="3">
        <f>IFERROR(INDEX(EVENTOS!$D:$D,MATCH(SCORE!AC$2&amp;" "&amp;SCORE!$D161,EVENTOS!$F:$F,0)),0)</f>
        <v>0</v>
      </c>
      <c r="AD161" s="3">
        <f>IFERROR(INDEX(EVENTOS!$D:$D,MATCH(SCORE!AD$2&amp;" "&amp;SCORE!$D161,EVENTOS!$F:$F,0)),0)</f>
        <v>0</v>
      </c>
      <c r="AE161" s="3">
        <f t="shared" si="6"/>
        <v>0</v>
      </c>
      <c r="AF161" s="10" t="e">
        <f t="shared" si="7"/>
        <v>#N/A</v>
      </c>
      <c r="AG161" s="3" t="str">
        <f t="shared" si="8"/>
        <v/>
      </c>
    </row>
    <row r="162" spans="1:33" x14ac:dyDescent="0.25">
      <c r="A162" s="7"/>
      <c r="B162" s="8"/>
      <c r="C162" s="3"/>
      <c r="D162" s="3"/>
      <c r="E162" s="3" t="e">
        <f>VLOOKUP(D162,VIAJES!$D:$E,2,FALSE)</f>
        <v>#N/A</v>
      </c>
      <c r="F162" s="9" t="e">
        <f>VLOOKUP(D162,VIAJES!$D:$F,3,FALSE)</f>
        <v>#N/A</v>
      </c>
      <c r="G162" s="9" t="e">
        <f>VLOOKUP(D162,VIAJES!$D:$G,4,FALSE)</f>
        <v>#N/A</v>
      </c>
      <c r="H162" s="3" t="e">
        <f>VLOOKUP(D162,VIAJES!$D:$H,5,FALSE)</f>
        <v>#N/A</v>
      </c>
      <c r="S162" s="3">
        <f>IFERROR(INDEX(EVENTOS!$D:$D,MATCH(SCORE!S$2&amp;" "&amp;SCORE!$D162,EVENTOS!$F:$F,0)),0)</f>
        <v>0</v>
      </c>
      <c r="T162" s="3">
        <f>IFERROR(INDEX(EVENTOS!$D:$D,MATCH(SCORE!T$2&amp;" "&amp;SCORE!$D162,EVENTOS!$F:$F,0)),0)</f>
        <v>0</v>
      </c>
      <c r="U162" s="3">
        <f>IFERROR(INDEX(EVENTOS!$D:$D,MATCH(SCORE!U$2&amp;" "&amp;SCORE!$D162,EVENTOS!$F:$F,0)),0)</f>
        <v>0</v>
      </c>
      <c r="V162" s="3">
        <f>IFERROR(INDEX(EVENTOS!$D:$D,MATCH(SCORE!V$2&amp;" "&amp;SCORE!$D162,EVENTOS!$F:$F,0)),0)</f>
        <v>0</v>
      </c>
      <c r="W162" s="3">
        <f>IFERROR(INDEX(EVENTOS!$D:$D,MATCH(SCORE!W$2&amp;" "&amp;SCORE!$D162,EVENTOS!$F:$F,0)),0)</f>
        <v>0</v>
      </c>
      <c r="X162" s="3">
        <f>IFERROR(INDEX(EVENTOS!$D:$D,MATCH(SCORE!X$2&amp;" "&amp;SCORE!$D162,EVENTOS!$F:$F,0)),0)</f>
        <v>0</v>
      </c>
      <c r="Y162" s="3">
        <f>SUMIFS(EVENTOS!$D:$D, EVENTOS!$B:$B, D162, EVENTOS!$E:$E, "*GirAlto*")</f>
        <v>0</v>
      </c>
      <c r="Z162" s="3">
        <f>SUMIFS(EVENTOS!$D:$D, EVENTOS!$B:$B, D162, EVENTOS!$E:$E, "*GirMed*")</f>
        <v>0</v>
      </c>
      <c r="AA162" s="3">
        <f>SUMIFS(EVENTOS!$D:$D, EVENTOS!$B:$B, D162, EVENTOS!$E:$E, "*GirBajo*")</f>
        <v>0</v>
      </c>
      <c r="AB162" s="3">
        <f>IFERROR(INDEX(EVENTOS!$D:$D,MATCH(SCORE!AB$2&amp;" "&amp;SCORE!$D162,EVENTOS!$F:$F,0)),0)</f>
        <v>0</v>
      </c>
      <c r="AC162" s="3">
        <f>IFERROR(INDEX(EVENTOS!$D:$D,MATCH(SCORE!AC$2&amp;" "&amp;SCORE!$D162,EVENTOS!$F:$F,0)),0)</f>
        <v>0</v>
      </c>
      <c r="AD162" s="3">
        <f>IFERROR(INDEX(EVENTOS!$D:$D,MATCH(SCORE!AD$2&amp;" "&amp;SCORE!$D162,EVENTOS!$F:$F,0)),0)</f>
        <v>0</v>
      </c>
      <c r="AE162" s="3">
        <f t="shared" si="6"/>
        <v>0</v>
      </c>
      <c r="AF162" s="10" t="e">
        <f t="shared" si="7"/>
        <v>#N/A</v>
      </c>
      <c r="AG162" s="3" t="str">
        <f t="shared" si="8"/>
        <v/>
      </c>
    </row>
    <row r="163" spans="1:33" x14ac:dyDescent="0.25">
      <c r="A163" s="7"/>
      <c r="B163" s="8"/>
      <c r="C163" s="3"/>
      <c r="D163" s="3"/>
      <c r="E163" s="3" t="e">
        <f>VLOOKUP(D163,VIAJES!$D:$E,2,FALSE)</f>
        <v>#N/A</v>
      </c>
      <c r="F163" s="9" t="e">
        <f>VLOOKUP(D163,VIAJES!$D:$F,3,FALSE)</f>
        <v>#N/A</v>
      </c>
      <c r="G163" s="9" t="e">
        <f>VLOOKUP(D163,VIAJES!$D:$G,4,FALSE)</f>
        <v>#N/A</v>
      </c>
      <c r="H163" s="3" t="e">
        <f>VLOOKUP(D163,VIAJES!$D:$H,5,FALSE)</f>
        <v>#N/A</v>
      </c>
      <c r="S163" s="3">
        <f>IFERROR(INDEX(EVENTOS!$D:$D,MATCH(SCORE!S$2&amp;" "&amp;SCORE!$D163,EVENTOS!$F:$F,0)),0)</f>
        <v>0</v>
      </c>
      <c r="T163" s="3">
        <f>IFERROR(INDEX(EVENTOS!$D:$D,MATCH(SCORE!T$2&amp;" "&amp;SCORE!$D163,EVENTOS!$F:$F,0)),0)</f>
        <v>0</v>
      </c>
      <c r="U163" s="3">
        <f>IFERROR(INDEX(EVENTOS!$D:$D,MATCH(SCORE!U$2&amp;" "&amp;SCORE!$D163,EVENTOS!$F:$F,0)),0)</f>
        <v>0</v>
      </c>
      <c r="V163" s="3">
        <f>IFERROR(INDEX(EVENTOS!$D:$D,MATCH(SCORE!V$2&amp;" "&amp;SCORE!$D163,EVENTOS!$F:$F,0)),0)</f>
        <v>0</v>
      </c>
      <c r="W163" s="3">
        <f>IFERROR(INDEX(EVENTOS!$D:$D,MATCH(SCORE!W$2&amp;" "&amp;SCORE!$D163,EVENTOS!$F:$F,0)),0)</f>
        <v>0</v>
      </c>
      <c r="X163" s="3">
        <f>IFERROR(INDEX(EVENTOS!$D:$D,MATCH(SCORE!X$2&amp;" "&amp;SCORE!$D163,EVENTOS!$F:$F,0)),0)</f>
        <v>0</v>
      </c>
      <c r="Y163" s="3">
        <f>SUMIFS(EVENTOS!$D:$D, EVENTOS!$B:$B, D163, EVENTOS!$E:$E, "*GirAlto*")</f>
        <v>0</v>
      </c>
      <c r="Z163" s="3">
        <f>SUMIFS(EVENTOS!$D:$D, EVENTOS!$B:$B, D163, EVENTOS!$E:$E, "*GirMed*")</f>
        <v>0</v>
      </c>
      <c r="AA163" s="3">
        <f>SUMIFS(EVENTOS!$D:$D, EVENTOS!$B:$B, D163, EVENTOS!$E:$E, "*GirBajo*")</f>
        <v>0</v>
      </c>
      <c r="AB163" s="3">
        <f>IFERROR(INDEX(EVENTOS!$D:$D,MATCH(SCORE!AB$2&amp;" "&amp;SCORE!$D163,EVENTOS!$F:$F,0)),0)</f>
        <v>0</v>
      </c>
      <c r="AC163" s="3">
        <f>IFERROR(INDEX(EVENTOS!$D:$D,MATCH(SCORE!AC$2&amp;" "&amp;SCORE!$D163,EVENTOS!$F:$F,0)),0)</f>
        <v>0</v>
      </c>
      <c r="AD163" s="3">
        <f>IFERROR(INDEX(EVENTOS!$D:$D,MATCH(SCORE!AD$2&amp;" "&amp;SCORE!$D163,EVENTOS!$F:$F,0)),0)</f>
        <v>0</v>
      </c>
      <c r="AE163" s="3">
        <f t="shared" si="6"/>
        <v>0</v>
      </c>
      <c r="AF163" s="10" t="e">
        <f t="shared" si="7"/>
        <v>#N/A</v>
      </c>
      <c r="AG163" s="3" t="str">
        <f t="shared" si="8"/>
        <v/>
      </c>
    </row>
    <row r="164" spans="1:33" x14ac:dyDescent="0.25">
      <c r="A164" s="7"/>
      <c r="B164" s="8"/>
      <c r="C164" s="3"/>
      <c r="D164" s="3"/>
      <c r="E164" s="3" t="e">
        <f>VLOOKUP(D164,VIAJES!$D:$E,2,FALSE)</f>
        <v>#N/A</v>
      </c>
      <c r="F164" s="9" t="e">
        <f>VLOOKUP(D164,VIAJES!$D:$F,3,FALSE)</f>
        <v>#N/A</v>
      </c>
      <c r="G164" s="9" t="e">
        <f>VLOOKUP(D164,VIAJES!$D:$G,4,FALSE)</f>
        <v>#N/A</v>
      </c>
      <c r="H164" s="3" t="e">
        <f>VLOOKUP(D164,VIAJES!$D:$H,5,FALSE)</f>
        <v>#N/A</v>
      </c>
      <c r="S164" s="3">
        <f>IFERROR(INDEX(EVENTOS!$D:$D,MATCH(SCORE!S$2&amp;" "&amp;SCORE!$D164,EVENTOS!$F:$F,0)),0)</f>
        <v>0</v>
      </c>
      <c r="T164" s="3">
        <f>IFERROR(INDEX(EVENTOS!$D:$D,MATCH(SCORE!T$2&amp;" "&amp;SCORE!$D164,EVENTOS!$F:$F,0)),0)</f>
        <v>0</v>
      </c>
      <c r="U164" s="3">
        <f>IFERROR(INDEX(EVENTOS!$D:$D,MATCH(SCORE!U$2&amp;" "&amp;SCORE!$D164,EVENTOS!$F:$F,0)),0)</f>
        <v>0</v>
      </c>
      <c r="V164" s="3">
        <f>IFERROR(INDEX(EVENTOS!$D:$D,MATCH(SCORE!V$2&amp;" "&amp;SCORE!$D164,EVENTOS!$F:$F,0)),0)</f>
        <v>0</v>
      </c>
      <c r="W164" s="3">
        <f>IFERROR(INDEX(EVENTOS!$D:$D,MATCH(SCORE!W$2&amp;" "&amp;SCORE!$D164,EVENTOS!$F:$F,0)),0)</f>
        <v>0</v>
      </c>
      <c r="X164" s="3">
        <f>IFERROR(INDEX(EVENTOS!$D:$D,MATCH(SCORE!X$2&amp;" "&amp;SCORE!$D164,EVENTOS!$F:$F,0)),0)</f>
        <v>0</v>
      </c>
      <c r="Y164" s="3">
        <f>SUMIFS(EVENTOS!$D:$D, EVENTOS!$B:$B, D164, EVENTOS!$E:$E, "*GirAlto*")</f>
        <v>0</v>
      </c>
      <c r="Z164" s="3">
        <f>SUMIFS(EVENTOS!$D:$D, EVENTOS!$B:$B, D164, EVENTOS!$E:$E, "*GirMed*")</f>
        <v>0</v>
      </c>
      <c r="AA164" s="3">
        <f>SUMIFS(EVENTOS!$D:$D, EVENTOS!$B:$B, D164, EVENTOS!$E:$E, "*GirBajo*")</f>
        <v>0</v>
      </c>
      <c r="AB164" s="3">
        <f>IFERROR(INDEX(EVENTOS!$D:$D,MATCH(SCORE!AB$2&amp;" "&amp;SCORE!$D164,EVENTOS!$F:$F,0)),0)</f>
        <v>0</v>
      </c>
      <c r="AC164" s="3">
        <f>IFERROR(INDEX(EVENTOS!$D:$D,MATCH(SCORE!AC$2&amp;" "&amp;SCORE!$D164,EVENTOS!$F:$F,0)),0)</f>
        <v>0</v>
      </c>
      <c r="AD164" s="3">
        <f>IFERROR(INDEX(EVENTOS!$D:$D,MATCH(SCORE!AD$2&amp;" "&amp;SCORE!$D164,EVENTOS!$F:$F,0)),0)</f>
        <v>0</v>
      </c>
      <c r="AE164" s="3">
        <f t="shared" si="6"/>
        <v>0</v>
      </c>
      <c r="AF164" s="10" t="e">
        <f t="shared" si="7"/>
        <v>#N/A</v>
      </c>
      <c r="AG164" s="3" t="str">
        <f t="shared" si="8"/>
        <v/>
      </c>
    </row>
    <row r="165" spans="1:33" x14ac:dyDescent="0.25">
      <c r="A165" s="7"/>
      <c r="B165" s="8"/>
      <c r="C165" s="3"/>
      <c r="D165" s="3"/>
      <c r="E165" s="3" t="e">
        <f>VLOOKUP(D165,VIAJES!$D:$E,2,FALSE)</f>
        <v>#N/A</v>
      </c>
      <c r="F165" s="9" t="e">
        <f>VLOOKUP(D165,VIAJES!$D:$F,3,FALSE)</f>
        <v>#N/A</v>
      </c>
      <c r="G165" s="9" t="e">
        <f>VLOOKUP(D165,VIAJES!$D:$G,4,FALSE)</f>
        <v>#N/A</v>
      </c>
      <c r="H165" s="3" t="e">
        <f>VLOOKUP(D165,VIAJES!$D:$H,5,FALSE)</f>
        <v>#N/A</v>
      </c>
      <c r="S165" s="3">
        <f>IFERROR(INDEX(EVENTOS!$D:$D,MATCH(SCORE!S$2&amp;" "&amp;SCORE!$D165,EVENTOS!$F:$F,0)),0)</f>
        <v>0</v>
      </c>
      <c r="T165" s="3">
        <f>IFERROR(INDEX(EVENTOS!$D:$D,MATCH(SCORE!T$2&amp;" "&amp;SCORE!$D165,EVENTOS!$F:$F,0)),0)</f>
        <v>0</v>
      </c>
      <c r="U165" s="3">
        <f>IFERROR(INDEX(EVENTOS!$D:$D,MATCH(SCORE!U$2&amp;" "&amp;SCORE!$D165,EVENTOS!$F:$F,0)),0)</f>
        <v>0</v>
      </c>
      <c r="V165" s="3">
        <f>IFERROR(INDEX(EVENTOS!$D:$D,MATCH(SCORE!V$2&amp;" "&amp;SCORE!$D165,EVENTOS!$F:$F,0)),0)</f>
        <v>0</v>
      </c>
      <c r="W165" s="3">
        <f>IFERROR(INDEX(EVENTOS!$D:$D,MATCH(SCORE!W$2&amp;" "&amp;SCORE!$D165,EVENTOS!$F:$F,0)),0)</f>
        <v>0</v>
      </c>
      <c r="X165" s="3">
        <f>IFERROR(INDEX(EVENTOS!$D:$D,MATCH(SCORE!X$2&amp;" "&amp;SCORE!$D165,EVENTOS!$F:$F,0)),0)</f>
        <v>0</v>
      </c>
      <c r="Y165" s="3">
        <f>SUMIFS(EVENTOS!$D:$D, EVENTOS!$B:$B, D165, EVENTOS!$E:$E, "*GirAlto*")</f>
        <v>0</v>
      </c>
      <c r="Z165" s="3">
        <f>SUMIFS(EVENTOS!$D:$D, EVENTOS!$B:$B, D165, EVENTOS!$E:$E, "*GirMed*")</f>
        <v>0</v>
      </c>
      <c r="AA165" s="3">
        <f>SUMIFS(EVENTOS!$D:$D, EVENTOS!$B:$B, D165, EVENTOS!$E:$E, "*GirBajo*")</f>
        <v>0</v>
      </c>
      <c r="AB165" s="3">
        <f>IFERROR(INDEX(EVENTOS!$D:$D,MATCH(SCORE!AB$2&amp;" "&amp;SCORE!$D165,EVENTOS!$F:$F,0)),0)</f>
        <v>0</v>
      </c>
      <c r="AC165" s="3">
        <f>IFERROR(INDEX(EVENTOS!$D:$D,MATCH(SCORE!AC$2&amp;" "&amp;SCORE!$D165,EVENTOS!$F:$F,0)),0)</f>
        <v>0</v>
      </c>
      <c r="AD165" s="3">
        <f>IFERROR(INDEX(EVENTOS!$D:$D,MATCH(SCORE!AD$2&amp;" "&amp;SCORE!$D165,EVENTOS!$F:$F,0)),0)</f>
        <v>0</v>
      </c>
      <c r="AE165" s="3">
        <f t="shared" si="6"/>
        <v>0</v>
      </c>
      <c r="AF165" s="10" t="e">
        <f t="shared" si="7"/>
        <v>#N/A</v>
      </c>
      <c r="AG165" s="3" t="str">
        <f t="shared" si="8"/>
        <v/>
      </c>
    </row>
    <row r="166" spans="1:33" x14ac:dyDescent="0.25">
      <c r="A166" s="7"/>
      <c r="B166" s="8"/>
      <c r="C166" s="3"/>
      <c r="D166" s="3"/>
      <c r="E166" s="3" t="e">
        <f>VLOOKUP(D166,VIAJES!$D:$E,2,FALSE)</f>
        <v>#N/A</v>
      </c>
      <c r="F166" s="9" t="e">
        <f>VLOOKUP(D166,VIAJES!$D:$F,3,FALSE)</f>
        <v>#N/A</v>
      </c>
      <c r="G166" s="9" t="e">
        <f>VLOOKUP(D166,VIAJES!$D:$G,4,FALSE)</f>
        <v>#N/A</v>
      </c>
      <c r="H166" s="3" t="e">
        <f>VLOOKUP(D166,VIAJES!$D:$H,5,FALSE)</f>
        <v>#N/A</v>
      </c>
      <c r="S166" s="3">
        <f>IFERROR(INDEX(EVENTOS!$D:$D,MATCH(SCORE!S$2&amp;" "&amp;SCORE!$D166,EVENTOS!$F:$F,0)),0)</f>
        <v>0</v>
      </c>
      <c r="T166" s="3">
        <f>IFERROR(INDEX(EVENTOS!$D:$D,MATCH(SCORE!T$2&amp;" "&amp;SCORE!$D166,EVENTOS!$F:$F,0)),0)</f>
        <v>0</v>
      </c>
      <c r="U166" s="3">
        <f>IFERROR(INDEX(EVENTOS!$D:$D,MATCH(SCORE!U$2&amp;" "&amp;SCORE!$D166,EVENTOS!$F:$F,0)),0)</f>
        <v>0</v>
      </c>
      <c r="V166" s="3">
        <f>IFERROR(INDEX(EVENTOS!$D:$D,MATCH(SCORE!V$2&amp;" "&amp;SCORE!$D166,EVENTOS!$F:$F,0)),0)</f>
        <v>0</v>
      </c>
      <c r="W166" s="3">
        <f>IFERROR(INDEX(EVENTOS!$D:$D,MATCH(SCORE!W$2&amp;" "&amp;SCORE!$D166,EVENTOS!$F:$F,0)),0)</f>
        <v>0</v>
      </c>
      <c r="X166" s="3">
        <f>IFERROR(INDEX(EVENTOS!$D:$D,MATCH(SCORE!X$2&amp;" "&amp;SCORE!$D166,EVENTOS!$F:$F,0)),0)</f>
        <v>0</v>
      </c>
      <c r="Y166" s="3">
        <f>SUMIFS(EVENTOS!$D:$D, EVENTOS!$B:$B, D166, EVENTOS!$E:$E, "*GirAlto*")</f>
        <v>0</v>
      </c>
      <c r="Z166" s="3">
        <f>SUMIFS(EVENTOS!$D:$D, EVENTOS!$B:$B, D166, EVENTOS!$E:$E, "*GirMed*")</f>
        <v>0</v>
      </c>
      <c r="AA166" s="3">
        <f>SUMIFS(EVENTOS!$D:$D, EVENTOS!$B:$B, D166, EVENTOS!$E:$E, "*GirBajo*")</f>
        <v>0</v>
      </c>
      <c r="AB166" s="3">
        <f>IFERROR(INDEX(EVENTOS!$D:$D,MATCH(SCORE!AB$2&amp;" "&amp;SCORE!$D166,EVENTOS!$F:$F,0)),0)</f>
        <v>0</v>
      </c>
      <c r="AC166" s="3">
        <f>IFERROR(INDEX(EVENTOS!$D:$D,MATCH(SCORE!AC$2&amp;" "&amp;SCORE!$D166,EVENTOS!$F:$F,0)),0)</f>
        <v>0</v>
      </c>
      <c r="AD166" s="3">
        <f>IFERROR(INDEX(EVENTOS!$D:$D,MATCH(SCORE!AD$2&amp;" "&amp;SCORE!$D166,EVENTOS!$F:$F,0)),0)</f>
        <v>0</v>
      </c>
      <c r="AE166" s="3">
        <f t="shared" si="6"/>
        <v>0</v>
      </c>
      <c r="AF166" s="10" t="e">
        <f t="shared" si="7"/>
        <v>#N/A</v>
      </c>
      <c r="AG166" s="3" t="str">
        <f t="shared" si="8"/>
        <v/>
      </c>
    </row>
    <row r="167" spans="1:33" x14ac:dyDescent="0.25">
      <c r="A167" s="7"/>
      <c r="B167" s="8"/>
      <c r="C167" s="3"/>
      <c r="D167" s="3"/>
      <c r="E167" s="3" t="e">
        <f>VLOOKUP(D167,VIAJES!$D:$E,2,FALSE)</f>
        <v>#N/A</v>
      </c>
      <c r="F167" s="9" t="e">
        <f>VLOOKUP(D167,VIAJES!$D:$F,3,FALSE)</f>
        <v>#N/A</v>
      </c>
      <c r="G167" s="9" t="e">
        <f>VLOOKUP(D167,VIAJES!$D:$G,4,FALSE)</f>
        <v>#N/A</v>
      </c>
      <c r="H167" s="3" t="e">
        <f>VLOOKUP(D167,VIAJES!$D:$H,5,FALSE)</f>
        <v>#N/A</v>
      </c>
      <c r="S167" s="3">
        <f>IFERROR(INDEX(EVENTOS!$D:$D,MATCH(SCORE!S$2&amp;" "&amp;SCORE!$D167,EVENTOS!$F:$F,0)),0)</f>
        <v>0</v>
      </c>
      <c r="T167" s="3">
        <f>IFERROR(INDEX(EVENTOS!$D:$D,MATCH(SCORE!T$2&amp;" "&amp;SCORE!$D167,EVENTOS!$F:$F,0)),0)</f>
        <v>0</v>
      </c>
      <c r="U167" s="3">
        <f>IFERROR(INDEX(EVENTOS!$D:$D,MATCH(SCORE!U$2&amp;" "&amp;SCORE!$D167,EVENTOS!$F:$F,0)),0)</f>
        <v>0</v>
      </c>
      <c r="V167" s="3">
        <f>IFERROR(INDEX(EVENTOS!$D:$D,MATCH(SCORE!V$2&amp;" "&amp;SCORE!$D167,EVENTOS!$F:$F,0)),0)</f>
        <v>0</v>
      </c>
      <c r="W167" s="3">
        <f>IFERROR(INDEX(EVENTOS!$D:$D,MATCH(SCORE!W$2&amp;" "&amp;SCORE!$D167,EVENTOS!$F:$F,0)),0)</f>
        <v>0</v>
      </c>
      <c r="X167" s="3">
        <f>IFERROR(INDEX(EVENTOS!$D:$D,MATCH(SCORE!X$2&amp;" "&amp;SCORE!$D167,EVENTOS!$F:$F,0)),0)</f>
        <v>0</v>
      </c>
      <c r="Y167" s="3">
        <f>SUMIFS(EVENTOS!$D:$D, EVENTOS!$B:$B, D167, EVENTOS!$E:$E, "*GirAlto*")</f>
        <v>0</v>
      </c>
      <c r="Z167" s="3">
        <f>SUMIFS(EVENTOS!$D:$D, EVENTOS!$B:$B, D167, EVENTOS!$E:$E, "*GirMed*")</f>
        <v>0</v>
      </c>
      <c r="AA167" s="3">
        <f>SUMIFS(EVENTOS!$D:$D, EVENTOS!$B:$B, D167, EVENTOS!$E:$E, "*GirBajo*")</f>
        <v>0</v>
      </c>
      <c r="AB167" s="3">
        <f>IFERROR(INDEX(EVENTOS!$D:$D,MATCH(SCORE!AB$2&amp;" "&amp;SCORE!$D167,EVENTOS!$F:$F,0)),0)</f>
        <v>0</v>
      </c>
      <c r="AC167" s="3">
        <f>IFERROR(INDEX(EVENTOS!$D:$D,MATCH(SCORE!AC$2&amp;" "&amp;SCORE!$D167,EVENTOS!$F:$F,0)),0)</f>
        <v>0</v>
      </c>
      <c r="AD167" s="3">
        <f>IFERROR(INDEX(EVENTOS!$D:$D,MATCH(SCORE!AD$2&amp;" "&amp;SCORE!$D167,EVENTOS!$F:$F,0)),0)</f>
        <v>0</v>
      </c>
      <c r="AE167" s="3">
        <f t="shared" si="6"/>
        <v>0</v>
      </c>
      <c r="AF167" s="10" t="e">
        <f t="shared" si="7"/>
        <v>#N/A</v>
      </c>
      <c r="AG167" s="3" t="str">
        <f t="shared" si="8"/>
        <v/>
      </c>
    </row>
    <row r="168" spans="1:33" x14ac:dyDescent="0.25">
      <c r="A168" s="7"/>
      <c r="B168" s="8"/>
      <c r="C168" s="3"/>
      <c r="D168" s="3"/>
      <c r="E168" s="3" t="e">
        <f>VLOOKUP(D168,VIAJES!$D:$E,2,FALSE)</f>
        <v>#N/A</v>
      </c>
      <c r="F168" s="9" t="e">
        <f>VLOOKUP(D168,VIAJES!$D:$F,3,FALSE)</f>
        <v>#N/A</v>
      </c>
      <c r="G168" s="9" t="e">
        <f>VLOOKUP(D168,VIAJES!$D:$G,4,FALSE)</f>
        <v>#N/A</v>
      </c>
      <c r="H168" s="3" t="e">
        <f>VLOOKUP(D168,VIAJES!$D:$H,5,FALSE)</f>
        <v>#N/A</v>
      </c>
      <c r="S168" s="3">
        <f>IFERROR(INDEX(EVENTOS!$D:$D,MATCH(SCORE!S$2&amp;" "&amp;SCORE!$D168,EVENTOS!$F:$F,0)),0)</f>
        <v>0</v>
      </c>
      <c r="T168" s="3">
        <f>IFERROR(INDEX(EVENTOS!$D:$D,MATCH(SCORE!T$2&amp;" "&amp;SCORE!$D168,EVENTOS!$F:$F,0)),0)</f>
        <v>0</v>
      </c>
      <c r="U168" s="3">
        <f>IFERROR(INDEX(EVENTOS!$D:$D,MATCH(SCORE!U$2&amp;" "&amp;SCORE!$D168,EVENTOS!$F:$F,0)),0)</f>
        <v>0</v>
      </c>
      <c r="V168" s="3">
        <f>IFERROR(INDEX(EVENTOS!$D:$D,MATCH(SCORE!V$2&amp;" "&amp;SCORE!$D168,EVENTOS!$F:$F,0)),0)</f>
        <v>0</v>
      </c>
      <c r="W168" s="3">
        <f>IFERROR(INDEX(EVENTOS!$D:$D,MATCH(SCORE!W$2&amp;" "&amp;SCORE!$D168,EVENTOS!$F:$F,0)),0)</f>
        <v>0</v>
      </c>
      <c r="X168" s="3">
        <f>IFERROR(INDEX(EVENTOS!$D:$D,MATCH(SCORE!X$2&amp;" "&amp;SCORE!$D168,EVENTOS!$F:$F,0)),0)</f>
        <v>0</v>
      </c>
      <c r="Y168" s="3">
        <f>SUMIFS(EVENTOS!$D:$D, EVENTOS!$B:$B, D168, EVENTOS!$E:$E, "*GirAlto*")</f>
        <v>0</v>
      </c>
      <c r="Z168" s="3">
        <f>SUMIFS(EVENTOS!$D:$D, EVENTOS!$B:$B, D168, EVENTOS!$E:$E, "*GirMed*")</f>
        <v>0</v>
      </c>
      <c r="AA168" s="3">
        <f>SUMIFS(EVENTOS!$D:$D, EVENTOS!$B:$B, D168, EVENTOS!$E:$E, "*GirBajo*")</f>
        <v>0</v>
      </c>
      <c r="AB168" s="3">
        <f>IFERROR(INDEX(EVENTOS!$D:$D,MATCH(SCORE!AB$2&amp;" "&amp;SCORE!$D168,EVENTOS!$F:$F,0)),0)</f>
        <v>0</v>
      </c>
      <c r="AC168" s="3">
        <f>IFERROR(INDEX(EVENTOS!$D:$D,MATCH(SCORE!AC$2&amp;" "&amp;SCORE!$D168,EVENTOS!$F:$F,0)),0)</f>
        <v>0</v>
      </c>
      <c r="AD168" s="3">
        <f>IFERROR(INDEX(EVENTOS!$D:$D,MATCH(SCORE!AD$2&amp;" "&amp;SCORE!$D168,EVENTOS!$F:$F,0)),0)</f>
        <v>0</v>
      </c>
      <c r="AE168" s="3">
        <f t="shared" si="6"/>
        <v>0</v>
      </c>
      <c r="AF168" s="10" t="e">
        <f t="shared" si="7"/>
        <v>#N/A</v>
      </c>
      <c r="AG168" s="3" t="str">
        <f t="shared" si="8"/>
        <v/>
      </c>
    </row>
    <row r="169" spans="1:33" x14ac:dyDescent="0.25">
      <c r="A169" s="7"/>
      <c r="B169" s="8"/>
      <c r="C169" s="3"/>
      <c r="D169" s="3"/>
      <c r="E169" s="3" t="e">
        <f>VLOOKUP(D169,VIAJES!$D:$E,2,FALSE)</f>
        <v>#N/A</v>
      </c>
      <c r="F169" s="9" t="e">
        <f>VLOOKUP(D169,VIAJES!$D:$F,3,FALSE)</f>
        <v>#N/A</v>
      </c>
      <c r="G169" s="9" t="e">
        <f>VLOOKUP(D169,VIAJES!$D:$G,4,FALSE)</f>
        <v>#N/A</v>
      </c>
      <c r="H169" s="3" t="e">
        <f>VLOOKUP(D169,VIAJES!$D:$H,5,FALSE)</f>
        <v>#N/A</v>
      </c>
      <c r="S169" s="3">
        <f>IFERROR(INDEX(EVENTOS!$D:$D,MATCH(SCORE!S$2&amp;" "&amp;SCORE!$D169,EVENTOS!$F:$F,0)),0)</f>
        <v>0</v>
      </c>
      <c r="T169" s="3">
        <f>IFERROR(INDEX(EVENTOS!$D:$D,MATCH(SCORE!T$2&amp;" "&amp;SCORE!$D169,EVENTOS!$F:$F,0)),0)</f>
        <v>0</v>
      </c>
      <c r="U169" s="3">
        <f>IFERROR(INDEX(EVENTOS!$D:$D,MATCH(SCORE!U$2&amp;" "&amp;SCORE!$D169,EVENTOS!$F:$F,0)),0)</f>
        <v>0</v>
      </c>
      <c r="V169" s="3">
        <f>IFERROR(INDEX(EVENTOS!$D:$D,MATCH(SCORE!V$2&amp;" "&amp;SCORE!$D169,EVENTOS!$F:$F,0)),0)</f>
        <v>0</v>
      </c>
      <c r="W169" s="3">
        <f>IFERROR(INDEX(EVENTOS!$D:$D,MATCH(SCORE!W$2&amp;" "&amp;SCORE!$D169,EVENTOS!$F:$F,0)),0)</f>
        <v>0</v>
      </c>
      <c r="X169" s="3">
        <f>IFERROR(INDEX(EVENTOS!$D:$D,MATCH(SCORE!X$2&amp;" "&amp;SCORE!$D169,EVENTOS!$F:$F,0)),0)</f>
        <v>0</v>
      </c>
      <c r="Y169" s="3">
        <f>SUMIFS(EVENTOS!$D:$D, EVENTOS!$B:$B, D169, EVENTOS!$E:$E, "*GirAlto*")</f>
        <v>0</v>
      </c>
      <c r="Z169" s="3">
        <f>SUMIFS(EVENTOS!$D:$D, EVENTOS!$B:$B, D169, EVENTOS!$E:$E, "*GirMed*")</f>
        <v>0</v>
      </c>
      <c r="AA169" s="3">
        <f>SUMIFS(EVENTOS!$D:$D, EVENTOS!$B:$B, D169, EVENTOS!$E:$E, "*GirBajo*")</f>
        <v>0</v>
      </c>
      <c r="AB169" s="3">
        <f>IFERROR(INDEX(EVENTOS!$D:$D,MATCH(SCORE!AB$2&amp;" "&amp;SCORE!$D169,EVENTOS!$F:$F,0)),0)</f>
        <v>0</v>
      </c>
      <c r="AC169" s="3">
        <f>IFERROR(INDEX(EVENTOS!$D:$D,MATCH(SCORE!AC$2&amp;" "&amp;SCORE!$D169,EVENTOS!$F:$F,0)),0)</f>
        <v>0</v>
      </c>
      <c r="AD169" s="3">
        <f>IFERROR(INDEX(EVENTOS!$D:$D,MATCH(SCORE!AD$2&amp;" "&amp;SCORE!$D169,EVENTOS!$F:$F,0)),0)</f>
        <v>0</v>
      </c>
      <c r="AE169" s="3">
        <f t="shared" si="6"/>
        <v>0</v>
      </c>
      <c r="AF169" s="10" t="e">
        <f t="shared" si="7"/>
        <v>#N/A</v>
      </c>
      <c r="AG169" s="3" t="str">
        <f t="shared" si="8"/>
        <v/>
      </c>
    </row>
    <row r="170" spans="1:33" x14ac:dyDescent="0.25">
      <c r="A170" s="7"/>
      <c r="B170" s="8"/>
      <c r="C170" s="3"/>
      <c r="D170" s="3"/>
      <c r="E170" s="3" t="e">
        <f>VLOOKUP(D170,VIAJES!$D:$E,2,FALSE)</f>
        <v>#N/A</v>
      </c>
      <c r="F170" s="9" t="e">
        <f>VLOOKUP(D170,VIAJES!$D:$F,3,FALSE)</f>
        <v>#N/A</v>
      </c>
      <c r="G170" s="9" t="e">
        <f>VLOOKUP(D170,VIAJES!$D:$G,4,FALSE)</f>
        <v>#N/A</v>
      </c>
      <c r="H170" s="3" t="e">
        <f>VLOOKUP(D170,VIAJES!$D:$H,5,FALSE)</f>
        <v>#N/A</v>
      </c>
      <c r="S170" s="3">
        <f>IFERROR(INDEX(EVENTOS!$D:$D,MATCH(SCORE!S$2&amp;" "&amp;SCORE!$D170,EVENTOS!$F:$F,0)),0)</f>
        <v>0</v>
      </c>
      <c r="T170" s="3">
        <f>IFERROR(INDEX(EVENTOS!$D:$D,MATCH(SCORE!T$2&amp;" "&amp;SCORE!$D170,EVENTOS!$F:$F,0)),0)</f>
        <v>0</v>
      </c>
      <c r="U170" s="3">
        <f>IFERROR(INDEX(EVENTOS!$D:$D,MATCH(SCORE!U$2&amp;" "&amp;SCORE!$D170,EVENTOS!$F:$F,0)),0)</f>
        <v>0</v>
      </c>
      <c r="V170" s="3">
        <f>IFERROR(INDEX(EVENTOS!$D:$D,MATCH(SCORE!V$2&amp;" "&amp;SCORE!$D170,EVENTOS!$F:$F,0)),0)</f>
        <v>0</v>
      </c>
      <c r="W170" s="3">
        <f>IFERROR(INDEX(EVENTOS!$D:$D,MATCH(SCORE!W$2&amp;" "&amp;SCORE!$D170,EVENTOS!$F:$F,0)),0)</f>
        <v>0</v>
      </c>
      <c r="X170" s="3">
        <f>IFERROR(INDEX(EVENTOS!$D:$D,MATCH(SCORE!X$2&amp;" "&amp;SCORE!$D170,EVENTOS!$F:$F,0)),0)</f>
        <v>0</v>
      </c>
      <c r="Y170" s="3">
        <f>SUMIFS(EVENTOS!$D:$D, EVENTOS!$B:$B, D170, EVENTOS!$E:$E, "*GirAlto*")</f>
        <v>0</v>
      </c>
      <c r="Z170" s="3">
        <f>SUMIFS(EVENTOS!$D:$D, EVENTOS!$B:$B, D170, EVENTOS!$E:$E, "*GirMed*")</f>
        <v>0</v>
      </c>
      <c r="AA170" s="3">
        <f>SUMIFS(EVENTOS!$D:$D, EVENTOS!$B:$B, D170, EVENTOS!$E:$E, "*GirBajo*")</f>
        <v>0</v>
      </c>
      <c r="AB170" s="3">
        <f>IFERROR(INDEX(EVENTOS!$D:$D,MATCH(SCORE!AB$2&amp;" "&amp;SCORE!$D170,EVENTOS!$F:$F,0)),0)</f>
        <v>0</v>
      </c>
      <c r="AC170" s="3">
        <f>IFERROR(INDEX(EVENTOS!$D:$D,MATCH(SCORE!AC$2&amp;" "&amp;SCORE!$D170,EVENTOS!$F:$F,0)),0)</f>
        <v>0</v>
      </c>
      <c r="AD170" s="3">
        <f>IFERROR(INDEX(EVENTOS!$D:$D,MATCH(SCORE!AD$2&amp;" "&amp;SCORE!$D170,EVENTOS!$F:$F,0)),0)</f>
        <v>0</v>
      </c>
      <c r="AE170" s="3">
        <f t="shared" si="6"/>
        <v>0</v>
      </c>
      <c r="AF170" s="10" t="e">
        <f t="shared" si="7"/>
        <v>#N/A</v>
      </c>
      <c r="AG170" s="3" t="str">
        <f t="shared" si="8"/>
        <v/>
      </c>
    </row>
    <row r="171" spans="1:33" x14ac:dyDescent="0.25">
      <c r="A171" s="7"/>
      <c r="B171" s="8"/>
      <c r="C171" s="3"/>
      <c r="D171" s="3"/>
      <c r="E171" s="3" t="e">
        <f>VLOOKUP(D171,VIAJES!$D:$E,2,FALSE)</f>
        <v>#N/A</v>
      </c>
      <c r="F171" s="9" t="e">
        <f>VLOOKUP(D171,VIAJES!$D:$F,3,FALSE)</f>
        <v>#N/A</v>
      </c>
      <c r="G171" s="9" t="e">
        <f>VLOOKUP(D171,VIAJES!$D:$G,4,FALSE)</f>
        <v>#N/A</v>
      </c>
      <c r="H171" s="3" t="e">
        <f>VLOOKUP(D171,VIAJES!$D:$H,5,FALSE)</f>
        <v>#N/A</v>
      </c>
      <c r="S171" s="3">
        <f>IFERROR(INDEX(EVENTOS!$D:$D,MATCH(SCORE!S$2&amp;" "&amp;SCORE!$D171,EVENTOS!$F:$F,0)),0)</f>
        <v>0</v>
      </c>
      <c r="T171" s="3">
        <f>IFERROR(INDEX(EVENTOS!$D:$D,MATCH(SCORE!T$2&amp;" "&amp;SCORE!$D171,EVENTOS!$F:$F,0)),0)</f>
        <v>0</v>
      </c>
      <c r="U171" s="3">
        <f>IFERROR(INDEX(EVENTOS!$D:$D,MATCH(SCORE!U$2&amp;" "&amp;SCORE!$D171,EVENTOS!$F:$F,0)),0)</f>
        <v>0</v>
      </c>
      <c r="V171" s="3">
        <f>IFERROR(INDEX(EVENTOS!$D:$D,MATCH(SCORE!V$2&amp;" "&amp;SCORE!$D171,EVENTOS!$F:$F,0)),0)</f>
        <v>0</v>
      </c>
      <c r="W171" s="3">
        <f>IFERROR(INDEX(EVENTOS!$D:$D,MATCH(SCORE!W$2&amp;" "&amp;SCORE!$D171,EVENTOS!$F:$F,0)),0)</f>
        <v>0</v>
      </c>
      <c r="X171" s="3">
        <f>IFERROR(INDEX(EVENTOS!$D:$D,MATCH(SCORE!X$2&amp;" "&amp;SCORE!$D171,EVENTOS!$F:$F,0)),0)</f>
        <v>0</v>
      </c>
      <c r="Y171" s="3">
        <f>SUMIFS(EVENTOS!$D:$D, EVENTOS!$B:$B, D171, EVENTOS!$E:$E, "*GirAlto*")</f>
        <v>0</v>
      </c>
      <c r="Z171" s="3">
        <f>SUMIFS(EVENTOS!$D:$D, EVENTOS!$B:$B, D171, EVENTOS!$E:$E, "*GirMed*")</f>
        <v>0</v>
      </c>
      <c r="AA171" s="3">
        <f>SUMIFS(EVENTOS!$D:$D, EVENTOS!$B:$B, D171, EVENTOS!$E:$E, "*GirBajo*")</f>
        <v>0</v>
      </c>
      <c r="AB171" s="3">
        <f>IFERROR(INDEX(EVENTOS!$D:$D,MATCH(SCORE!AB$2&amp;" "&amp;SCORE!$D171,EVENTOS!$F:$F,0)),0)</f>
        <v>0</v>
      </c>
      <c r="AC171" s="3">
        <f>IFERROR(INDEX(EVENTOS!$D:$D,MATCH(SCORE!AC$2&amp;" "&amp;SCORE!$D171,EVENTOS!$F:$F,0)),0)</f>
        <v>0</v>
      </c>
      <c r="AD171" s="3">
        <f>IFERROR(INDEX(EVENTOS!$D:$D,MATCH(SCORE!AD$2&amp;" "&amp;SCORE!$D171,EVENTOS!$F:$F,0)),0)</f>
        <v>0</v>
      </c>
      <c r="AE171" s="3">
        <f t="shared" si="6"/>
        <v>0</v>
      </c>
      <c r="AF171" s="10" t="e">
        <f t="shared" si="7"/>
        <v>#N/A</v>
      </c>
      <c r="AG171" s="3" t="str">
        <f t="shared" si="8"/>
        <v/>
      </c>
    </row>
    <row r="172" spans="1:33" x14ac:dyDescent="0.25">
      <c r="A172" s="7"/>
      <c r="B172" s="8"/>
      <c r="C172" s="3"/>
      <c r="D172" s="3"/>
      <c r="E172" s="3" t="e">
        <f>VLOOKUP(D172,VIAJES!$D:$E,2,FALSE)</f>
        <v>#N/A</v>
      </c>
      <c r="F172" s="9" t="e">
        <f>VLOOKUP(D172,VIAJES!$D:$F,3,FALSE)</f>
        <v>#N/A</v>
      </c>
      <c r="G172" s="9" t="e">
        <f>VLOOKUP(D172,VIAJES!$D:$G,4,FALSE)</f>
        <v>#N/A</v>
      </c>
      <c r="H172" s="3" t="e">
        <f>VLOOKUP(D172,VIAJES!$D:$H,5,FALSE)</f>
        <v>#N/A</v>
      </c>
      <c r="S172" s="3">
        <f>IFERROR(INDEX(EVENTOS!$D:$D,MATCH(SCORE!S$2&amp;" "&amp;SCORE!$D172,EVENTOS!$F:$F,0)),0)</f>
        <v>0</v>
      </c>
      <c r="T172" s="3">
        <f>IFERROR(INDEX(EVENTOS!$D:$D,MATCH(SCORE!T$2&amp;" "&amp;SCORE!$D172,EVENTOS!$F:$F,0)),0)</f>
        <v>0</v>
      </c>
      <c r="U172" s="3">
        <f>IFERROR(INDEX(EVENTOS!$D:$D,MATCH(SCORE!U$2&amp;" "&amp;SCORE!$D172,EVENTOS!$F:$F,0)),0)</f>
        <v>0</v>
      </c>
      <c r="V172" s="3">
        <f>IFERROR(INDEX(EVENTOS!$D:$D,MATCH(SCORE!V$2&amp;" "&amp;SCORE!$D172,EVENTOS!$F:$F,0)),0)</f>
        <v>0</v>
      </c>
      <c r="W172" s="3">
        <f>IFERROR(INDEX(EVENTOS!$D:$D,MATCH(SCORE!W$2&amp;" "&amp;SCORE!$D172,EVENTOS!$F:$F,0)),0)</f>
        <v>0</v>
      </c>
      <c r="X172" s="3">
        <f>IFERROR(INDEX(EVENTOS!$D:$D,MATCH(SCORE!X$2&amp;" "&amp;SCORE!$D172,EVENTOS!$F:$F,0)),0)</f>
        <v>0</v>
      </c>
      <c r="Y172" s="3">
        <f>SUMIFS(EVENTOS!$D:$D, EVENTOS!$B:$B, D172, EVENTOS!$E:$E, "*GirAlto*")</f>
        <v>0</v>
      </c>
      <c r="Z172" s="3">
        <f>SUMIFS(EVENTOS!$D:$D, EVENTOS!$B:$B, D172, EVENTOS!$E:$E, "*GirMed*")</f>
        <v>0</v>
      </c>
      <c r="AA172" s="3">
        <f>SUMIFS(EVENTOS!$D:$D, EVENTOS!$B:$B, D172, EVENTOS!$E:$E, "*GirBajo*")</f>
        <v>0</v>
      </c>
      <c r="AB172" s="3">
        <f>IFERROR(INDEX(EVENTOS!$D:$D,MATCH(SCORE!AB$2&amp;" "&amp;SCORE!$D172,EVENTOS!$F:$F,0)),0)</f>
        <v>0</v>
      </c>
      <c r="AC172" s="3">
        <f>IFERROR(INDEX(EVENTOS!$D:$D,MATCH(SCORE!AC$2&amp;" "&amp;SCORE!$D172,EVENTOS!$F:$F,0)),0)</f>
        <v>0</v>
      </c>
      <c r="AD172" s="3">
        <f>IFERROR(INDEX(EVENTOS!$D:$D,MATCH(SCORE!AD$2&amp;" "&amp;SCORE!$D172,EVENTOS!$F:$F,0)),0)</f>
        <v>0</v>
      </c>
      <c r="AE172" s="3">
        <f t="shared" si="6"/>
        <v>0</v>
      </c>
      <c r="AF172" s="10" t="e">
        <f t="shared" si="7"/>
        <v>#N/A</v>
      </c>
      <c r="AG172" s="3" t="str">
        <f t="shared" si="8"/>
        <v/>
      </c>
    </row>
    <row r="173" spans="1:33" x14ac:dyDescent="0.25">
      <c r="A173" s="7"/>
      <c r="B173" s="8"/>
      <c r="C173" s="3"/>
      <c r="D173" s="3"/>
      <c r="E173" s="3" t="e">
        <f>VLOOKUP(D173,VIAJES!$D:$E,2,FALSE)</f>
        <v>#N/A</v>
      </c>
      <c r="F173" s="9" t="e">
        <f>VLOOKUP(D173,VIAJES!$D:$F,3,FALSE)</f>
        <v>#N/A</v>
      </c>
      <c r="G173" s="9" t="e">
        <f>VLOOKUP(D173,VIAJES!$D:$G,4,FALSE)</f>
        <v>#N/A</v>
      </c>
      <c r="H173" s="3" t="e">
        <f>VLOOKUP(D173,VIAJES!$D:$H,5,FALSE)</f>
        <v>#N/A</v>
      </c>
      <c r="S173" s="3">
        <f>IFERROR(INDEX(EVENTOS!$D:$D,MATCH(SCORE!S$2&amp;" "&amp;SCORE!$D173,EVENTOS!$F:$F,0)),0)</f>
        <v>0</v>
      </c>
      <c r="T173" s="3">
        <f>IFERROR(INDEX(EVENTOS!$D:$D,MATCH(SCORE!T$2&amp;" "&amp;SCORE!$D173,EVENTOS!$F:$F,0)),0)</f>
        <v>0</v>
      </c>
      <c r="U173" s="3">
        <f>IFERROR(INDEX(EVENTOS!$D:$D,MATCH(SCORE!U$2&amp;" "&amp;SCORE!$D173,EVENTOS!$F:$F,0)),0)</f>
        <v>0</v>
      </c>
      <c r="V173" s="3">
        <f>IFERROR(INDEX(EVENTOS!$D:$D,MATCH(SCORE!V$2&amp;" "&amp;SCORE!$D173,EVENTOS!$F:$F,0)),0)</f>
        <v>0</v>
      </c>
      <c r="W173" s="3">
        <f>IFERROR(INDEX(EVENTOS!$D:$D,MATCH(SCORE!W$2&amp;" "&amp;SCORE!$D173,EVENTOS!$F:$F,0)),0)</f>
        <v>0</v>
      </c>
      <c r="X173" s="3">
        <f>IFERROR(INDEX(EVENTOS!$D:$D,MATCH(SCORE!X$2&amp;" "&amp;SCORE!$D173,EVENTOS!$F:$F,0)),0)</f>
        <v>0</v>
      </c>
      <c r="Y173" s="3">
        <f>SUMIFS(EVENTOS!$D:$D, EVENTOS!$B:$B, D173, EVENTOS!$E:$E, "*GirAlto*")</f>
        <v>0</v>
      </c>
      <c r="Z173" s="3">
        <f>SUMIFS(EVENTOS!$D:$D, EVENTOS!$B:$B, D173, EVENTOS!$E:$E, "*GirMed*")</f>
        <v>0</v>
      </c>
      <c r="AA173" s="3">
        <f>SUMIFS(EVENTOS!$D:$D, EVENTOS!$B:$B, D173, EVENTOS!$E:$E, "*GirBajo*")</f>
        <v>0</v>
      </c>
      <c r="AB173" s="3">
        <f>IFERROR(INDEX(EVENTOS!$D:$D,MATCH(SCORE!AB$2&amp;" "&amp;SCORE!$D173,EVENTOS!$F:$F,0)),0)</f>
        <v>0</v>
      </c>
      <c r="AC173" s="3">
        <f>IFERROR(INDEX(EVENTOS!$D:$D,MATCH(SCORE!AC$2&amp;" "&amp;SCORE!$D173,EVENTOS!$F:$F,0)),0)</f>
        <v>0</v>
      </c>
      <c r="AD173" s="3">
        <f>IFERROR(INDEX(EVENTOS!$D:$D,MATCH(SCORE!AD$2&amp;" "&amp;SCORE!$D173,EVENTOS!$F:$F,0)),0)</f>
        <v>0</v>
      </c>
      <c r="AE173" s="3">
        <f t="shared" si="6"/>
        <v>0</v>
      </c>
      <c r="AF173" s="10" t="e">
        <f t="shared" si="7"/>
        <v>#N/A</v>
      </c>
      <c r="AG173" s="3" t="str">
        <f t="shared" si="8"/>
        <v/>
      </c>
    </row>
    <row r="174" spans="1:33" x14ac:dyDescent="0.25">
      <c r="A174" s="7"/>
      <c r="B174" s="8"/>
      <c r="C174" s="3"/>
      <c r="D174" s="3"/>
      <c r="E174" s="3" t="e">
        <f>VLOOKUP(D174,VIAJES!$D:$E,2,FALSE)</f>
        <v>#N/A</v>
      </c>
      <c r="F174" s="9" t="e">
        <f>VLOOKUP(D174,VIAJES!$D:$F,3,FALSE)</f>
        <v>#N/A</v>
      </c>
      <c r="G174" s="9" t="e">
        <f>VLOOKUP(D174,VIAJES!$D:$G,4,FALSE)</f>
        <v>#N/A</v>
      </c>
      <c r="H174" s="3" t="e">
        <f>VLOOKUP(D174,VIAJES!$D:$H,5,FALSE)</f>
        <v>#N/A</v>
      </c>
      <c r="S174" s="3">
        <f>IFERROR(INDEX(EVENTOS!$D:$D,MATCH(SCORE!S$2&amp;" "&amp;SCORE!$D174,EVENTOS!$F:$F,0)),0)</f>
        <v>0</v>
      </c>
      <c r="T174" s="3">
        <f>IFERROR(INDEX(EVENTOS!$D:$D,MATCH(SCORE!T$2&amp;" "&amp;SCORE!$D174,EVENTOS!$F:$F,0)),0)</f>
        <v>0</v>
      </c>
      <c r="U174" s="3">
        <f>IFERROR(INDEX(EVENTOS!$D:$D,MATCH(SCORE!U$2&amp;" "&amp;SCORE!$D174,EVENTOS!$F:$F,0)),0)</f>
        <v>0</v>
      </c>
      <c r="V174" s="3">
        <f>IFERROR(INDEX(EVENTOS!$D:$D,MATCH(SCORE!V$2&amp;" "&amp;SCORE!$D174,EVENTOS!$F:$F,0)),0)</f>
        <v>0</v>
      </c>
      <c r="W174" s="3">
        <f>IFERROR(INDEX(EVENTOS!$D:$D,MATCH(SCORE!W$2&amp;" "&amp;SCORE!$D174,EVENTOS!$F:$F,0)),0)</f>
        <v>0</v>
      </c>
      <c r="X174" s="3">
        <f>IFERROR(INDEX(EVENTOS!$D:$D,MATCH(SCORE!X$2&amp;" "&amp;SCORE!$D174,EVENTOS!$F:$F,0)),0)</f>
        <v>0</v>
      </c>
      <c r="Y174" s="3">
        <f>SUMIFS(EVENTOS!$D:$D, EVENTOS!$B:$B, D174, EVENTOS!$E:$E, "*GirAlto*")</f>
        <v>0</v>
      </c>
      <c r="Z174" s="3">
        <f>SUMIFS(EVENTOS!$D:$D, EVENTOS!$B:$B, D174, EVENTOS!$E:$E, "*GirMed*")</f>
        <v>0</v>
      </c>
      <c r="AA174" s="3">
        <f>SUMIFS(EVENTOS!$D:$D, EVENTOS!$B:$B, D174, EVENTOS!$E:$E, "*GirBajo*")</f>
        <v>0</v>
      </c>
      <c r="AB174" s="3">
        <f>IFERROR(INDEX(EVENTOS!$D:$D,MATCH(SCORE!AB$2&amp;" "&amp;SCORE!$D174,EVENTOS!$F:$F,0)),0)</f>
        <v>0</v>
      </c>
      <c r="AC174" s="3">
        <f>IFERROR(INDEX(EVENTOS!$D:$D,MATCH(SCORE!AC$2&amp;" "&amp;SCORE!$D174,EVENTOS!$F:$F,0)),0)</f>
        <v>0</v>
      </c>
      <c r="AD174" s="3">
        <f>IFERROR(INDEX(EVENTOS!$D:$D,MATCH(SCORE!AD$2&amp;" "&amp;SCORE!$D174,EVENTOS!$F:$F,0)),0)</f>
        <v>0</v>
      </c>
      <c r="AE174" s="3">
        <f t="shared" si="6"/>
        <v>0</v>
      </c>
      <c r="AF174" s="10" t="e">
        <f t="shared" si="7"/>
        <v>#N/A</v>
      </c>
      <c r="AG174" s="3" t="str">
        <f t="shared" si="8"/>
        <v/>
      </c>
    </row>
    <row r="175" spans="1:33" x14ac:dyDescent="0.25">
      <c r="A175" s="7"/>
      <c r="B175" s="8"/>
      <c r="C175" s="3"/>
      <c r="D175" s="3"/>
      <c r="E175" s="3" t="e">
        <f>VLOOKUP(D175,VIAJES!$D:$E,2,FALSE)</f>
        <v>#N/A</v>
      </c>
      <c r="F175" s="9" t="e">
        <f>VLOOKUP(D175,VIAJES!$D:$F,3,FALSE)</f>
        <v>#N/A</v>
      </c>
      <c r="G175" s="9" t="e">
        <f>VLOOKUP(D175,VIAJES!$D:$G,4,FALSE)</f>
        <v>#N/A</v>
      </c>
      <c r="H175" s="3" t="e">
        <f>VLOOKUP(D175,VIAJES!$D:$H,5,FALSE)</f>
        <v>#N/A</v>
      </c>
      <c r="S175" s="3">
        <f>IFERROR(INDEX(EVENTOS!$D:$D,MATCH(SCORE!S$2&amp;" "&amp;SCORE!$D175,EVENTOS!$F:$F,0)),0)</f>
        <v>0</v>
      </c>
      <c r="T175" s="3">
        <f>IFERROR(INDEX(EVENTOS!$D:$D,MATCH(SCORE!T$2&amp;" "&amp;SCORE!$D175,EVENTOS!$F:$F,0)),0)</f>
        <v>0</v>
      </c>
      <c r="U175" s="3">
        <f>IFERROR(INDEX(EVENTOS!$D:$D,MATCH(SCORE!U$2&amp;" "&amp;SCORE!$D175,EVENTOS!$F:$F,0)),0)</f>
        <v>0</v>
      </c>
      <c r="V175" s="3">
        <f>IFERROR(INDEX(EVENTOS!$D:$D,MATCH(SCORE!V$2&amp;" "&amp;SCORE!$D175,EVENTOS!$F:$F,0)),0)</f>
        <v>0</v>
      </c>
      <c r="W175" s="3">
        <f>IFERROR(INDEX(EVENTOS!$D:$D,MATCH(SCORE!W$2&amp;" "&amp;SCORE!$D175,EVENTOS!$F:$F,0)),0)</f>
        <v>0</v>
      </c>
      <c r="X175" s="3">
        <f>IFERROR(INDEX(EVENTOS!$D:$D,MATCH(SCORE!X$2&amp;" "&amp;SCORE!$D175,EVENTOS!$F:$F,0)),0)</f>
        <v>0</v>
      </c>
      <c r="Y175" s="3">
        <f>SUMIFS(EVENTOS!$D:$D, EVENTOS!$B:$B, D175, EVENTOS!$E:$E, "*GirAlto*")</f>
        <v>0</v>
      </c>
      <c r="Z175" s="3">
        <f>SUMIFS(EVENTOS!$D:$D, EVENTOS!$B:$B, D175, EVENTOS!$E:$E, "*GirMed*")</f>
        <v>0</v>
      </c>
      <c r="AA175" s="3">
        <f>SUMIFS(EVENTOS!$D:$D, EVENTOS!$B:$B, D175, EVENTOS!$E:$E, "*GirBajo*")</f>
        <v>0</v>
      </c>
      <c r="AB175" s="3">
        <f>IFERROR(INDEX(EVENTOS!$D:$D,MATCH(SCORE!AB$2&amp;" "&amp;SCORE!$D175,EVENTOS!$F:$F,0)),0)</f>
        <v>0</v>
      </c>
      <c r="AC175" s="3">
        <f>IFERROR(INDEX(EVENTOS!$D:$D,MATCH(SCORE!AC$2&amp;" "&amp;SCORE!$D175,EVENTOS!$F:$F,0)),0)</f>
        <v>0</v>
      </c>
      <c r="AD175" s="3">
        <f>IFERROR(INDEX(EVENTOS!$D:$D,MATCH(SCORE!AD$2&amp;" "&amp;SCORE!$D175,EVENTOS!$F:$F,0)),0)</f>
        <v>0</v>
      </c>
      <c r="AE175" s="3">
        <f t="shared" si="6"/>
        <v>0</v>
      </c>
      <c r="AF175" s="10" t="e">
        <f t="shared" si="7"/>
        <v>#N/A</v>
      </c>
      <c r="AG175" s="3" t="str">
        <f t="shared" si="8"/>
        <v/>
      </c>
    </row>
    <row r="176" spans="1:33" x14ac:dyDescent="0.25">
      <c r="A176" s="7"/>
      <c r="B176" s="8"/>
      <c r="C176" s="3"/>
      <c r="D176" s="3"/>
      <c r="E176" s="3" t="e">
        <f>VLOOKUP(D176,VIAJES!$D:$E,2,FALSE)</f>
        <v>#N/A</v>
      </c>
      <c r="F176" s="9" t="e">
        <f>VLOOKUP(D176,VIAJES!$D:$F,3,FALSE)</f>
        <v>#N/A</v>
      </c>
      <c r="G176" s="9" t="e">
        <f>VLOOKUP(D176,VIAJES!$D:$G,4,FALSE)</f>
        <v>#N/A</v>
      </c>
      <c r="H176" s="3" t="e">
        <f>VLOOKUP(D176,VIAJES!$D:$H,5,FALSE)</f>
        <v>#N/A</v>
      </c>
      <c r="S176" s="3">
        <f>IFERROR(INDEX(EVENTOS!$D:$D,MATCH(SCORE!S$2&amp;" "&amp;SCORE!$D176,EVENTOS!$F:$F,0)),0)</f>
        <v>0</v>
      </c>
      <c r="T176" s="3">
        <f>IFERROR(INDEX(EVENTOS!$D:$D,MATCH(SCORE!T$2&amp;" "&amp;SCORE!$D176,EVENTOS!$F:$F,0)),0)</f>
        <v>0</v>
      </c>
      <c r="U176" s="3">
        <f>IFERROR(INDEX(EVENTOS!$D:$D,MATCH(SCORE!U$2&amp;" "&amp;SCORE!$D176,EVENTOS!$F:$F,0)),0)</f>
        <v>0</v>
      </c>
      <c r="V176" s="3">
        <f>IFERROR(INDEX(EVENTOS!$D:$D,MATCH(SCORE!V$2&amp;" "&amp;SCORE!$D176,EVENTOS!$F:$F,0)),0)</f>
        <v>0</v>
      </c>
      <c r="W176" s="3">
        <f>IFERROR(INDEX(EVENTOS!$D:$D,MATCH(SCORE!W$2&amp;" "&amp;SCORE!$D176,EVENTOS!$F:$F,0)),0)</f>
        <v>0</v>
      </c>
      <c r="X176" s="3">
        <f>IFERROR(INDEX(EVENTOS!$D:$D,MATCH(SCORE!X$2&amp;" "&amp;SCORE!$D176,EVENTOS!$F:$F,0)),0)</f>
        <v>0</v>
      </c>
      <c r="Y176" s="3">
        <f>SUMIFS(EVENTOS!$D:$D, EVENTOS!$B:$B, D176, EVENTOS!$E:$E, "*GirAlto*")</f>
        <v>0</v>
      </c>
      <c r="Z176" s="3">
        <f>SUMIFS(EVENTOS!$D:$D, EVENTOS!$B:$B, D176, EVENTOS!$E:$E, "*GirMed*")</f>
        <v>0</v>
      </c>
      <c r="AA176" s="3">
        <f>SUMIFS(EVENTOS!$D:$D, EVENTOS!$B:$B, D176, EVENTOS!$E:$E, "*GirBajo*")</f>
        <v>0</v>
      </c>
      <c r="AB176" s="3">
        <f>IFERROR(INDEX(EVENTOS!$D:$D,MATCH(SCORE!AB$2&amp;" "&amp;SCORE!$D176,EVENTOS!$F:$F,0)),0)</f>
        <v>0</v>
      </c>
      <c r="AC176" s="3">
        <f>IFERROR(INDEX(EVENTOS!$D:$D,MATCH(SCORE!AC$2&amp;" "&amp;SCORE!$D176,EVENTOS!$F:$F,0)),0)</f>
        <v>0</v>
      </c>
      <c r="AD176" s="3">
        <f>IFERROR(INDEX(EVENTOS!$D:$D,MATCH(SCORE!AD$2&amp;" "&amp;SCORE!$D176,EVENTOS!$F:$F,0)),0)</f>
        <v>0</v>
      </c>
      <c r="AE176" s="3">
        <f t="shared" si="6"/>
        <v>0</v>
      </c>
      <c r="AF176" s="10" t="e">
        <f t="shared" si="7"/>
        <v>#N/A</v>
      </c>
      <c r="AG176" s="3" t="str">
        <f t="shared" si="8"/>
        <v/>
      </c>
    </row>
    <row r="177" spans="1:33" x14ac:dyDescent="0.25">
      <c r="A177" s="7"/>
      <c r="B177" s="8"/>
      <c r="C177" s="3"/>
      <c r="D177" s="3"/>
      <c r="E177" s="3" t="e">
        <f>VLOOKUP(D177,VIAJES!$D:$E,2,FALSE)</f>
        <v>#N/A</v>
      </c>
      <c r="F177" s="9" t="e">
        <f>VLOOKUP(D177,VIAJES!$D:$F,3,FALSE)</f>
        <v>#N/A</v>
      </c>
      <c r="G177" s="9" t="e">
        <f>VLOOKUP(D177,VIAJES!$D:$G,4,FALSE)</f>
        <v>#N/A</v>
      </c>
      <c r="H177" s="3" t="e">
        <f>VLOOKUP(D177,VIAJES!$D:$H,5,FALSE)</f>
        <v>#N/A</v>
      </c>
      <c r="S177" s="3">
        <f>IFERROR(INDEX(EVENTOS!$D:$D,MATCH(SCORE!S$2&amp;" "&amp;SCORE!$D177,EVENTOS!$F:$F,0)),0)</f>
        <v>0</v>
      </c>
      <c r="T177" s="3">
        <f>IFERROR(INDEX(EVENTOS!$D:$D,MATCH(SCORE!T$2&amp;" "&amp;SCORE!$D177,EVENTOS!$F:$F,0)),0)</f>
        <v>0</v>
      </c>
      <c r="U177" s="3">
        <f>IFERROR(INDEX(EVENTOS!$D:$D,MATCH(SCORE!U$2&amp;" "&amp;SCORE!$D177,EVENTOS!$F:$F,0)),0)</f>
        <v>0</v>
      </c>
      <c r="V177" s="3">
        <f>IFERROR(INDEX(EVENTOS!$D:$D,MATCH(SCORE!V$2&amp;" "&amp;SCORE!$D177,EVENTOS!$F:$F,0)),0)</f>
        <v>0</v>
      </c>
      <c r="W177" s="3">
        <f>IFERROR(INDEX(EVENTOS!$D:$D,MATCH(SCORE!W$2&amp;" "&amp;SCORE!$D177,EVENTOS!$F:$F,0)),0)</f>
        <v>0</v>
      </c>
      <c r="X177" s="3">
        <f>IFERROR(INDEX(EVENTOS!$D:$D,MATCH(SCORE!X$2&amp;" "&amp;SCORE!$D177,EVENTOS!$F:$F,0)),0)</f>
        <v>0</v>
      </c>
      <c r="Y177" s="3">
        <f>SUMIFS(EVENTOS!$D:$D, EVENTOS!$B:$B, D177, EVENTOS!$E:$E, "*GirAlto*")</f>
        <v>0</v>
      </c>
      <c r="Z177" s="3">
        <f>SUMIFS(EVENTOS!$D:$D, EVENTOS!$B:$B, D177, EVENTOS!$E:$E, "*GirMed*")</f>
        <v>0</v>
      </c>
      <c r="AA177" s="3">
        <f>SUMIFS(EVENTOS!$D:$D, EVENTOS!$B:$B, D177, EVENTOS!$E:$E, "*GirBajo*")</f>
        <v>0</v>
      </c>
      <c r="AB177" s="3">
        <f>IFERROR(INDEX(EVENTOS!$D:$D,MATCH(SCORE!AB$2&amp;" "&amp;SCORE!$D177,EVENTOS!$F:$F,0)),0)</f>
        <v>0</v>
      </c>
      <c r="AC177" s="3">
        <f>IFERROR(INDEX(EVENTOS!$D:$D,MATCH(SCORE!AC$2&amp;" "&amp;SCORE!$D177,EVENTOS!$F:$F,0)),0)</f>
        <v>0</v>
      </c>
      <c r="AD177" s="3">
        <f>IFERROR(INDEX(EVENTOS!$D:$D,MATCH(SCORE!AD$2&amp;" "&amp;SCORE!$D177,EVENTOS!$F:$F,0)),0)</f>
        <v>0</v>
      </c>
      <c r="AE177" s="3">
        <f t="shared" si="6"/>
        <v>0</v>
      </c>
      <c r="AF177" s="10" t="e">
        <f t="shared" si="7"/>
        <v>#N/A</v>
      </c>
      <c r="AG177" s="3" t="str">
        <f t="shared" si="8"/>
        <v/>
      </c>
    </row>
    <row r="178" spans="1:33" x14ac:dyDescent="0.25">
      <c r="A178" s="7"/>
      <c r="B178" s="8"/>
      <c r="C178" s="3"/>
      <c r="D178" s="3"/>
      <c r="E178" s="3" t="e">
        <f>VLOOKUP(D178,VIAJES!$D:$E,2,FALSE)</f>
        <v>#N/A</v>
      </c>
      <c r="F178" s="9" t="e">
        <f>VLOOKUP(D178,VIAJES!$D:$F,3,FALSE)</f>
        <v>#N/A</v>
      </c>
      <c r="G178" s="9" t="e">
        <f>VLOOKUP(D178,VIAJES!$D:$G,4,FALSE)</f>
        <v>#N/A</v>
      </c>
      <c r="H178" s="3" t="e">
        <f>VLOOKUP(D178,VIAJES!$D:$H,5,FALSE)</f>
        <v>#N/A</v>
      </c>
      <c r="S178" s="3">
        <f>IFERROR(INDEX(EVENTOS!$D:$D,MATCH(SCORE!S$2&amp;" "&amp;SCORE!$D178,EVENTOS!$F:$F,0)),0)</f>
        <v>0</v>
      </c>
      <c r="T178" s="3">
        <f>IFERROR(INDEX(EVENTOS!$D:$D,MATCH(SCORE!T$2&amp;" "&amp;SCORE!$D178,EVENTOS!$F:$F,0)),0)</f>
        <v>0</v>
      </c>
      <c r="U178" s="3">
        <f>IFERROR(INDEX(EVENTOS!$D:$D,MATCH(SCORE!U$2&amp;" "&amp;SCORE!$D178,EVENTOS!$F:$F,0)),0)</f>
        <v>0</v>
      </c>
      <c r="V178" s="3">
        <f>IFERROR(INDEX(EVENTOS!$D:$D,MATCH(SCORE!V$2&amp;" "&amp;SCORE!$D178,EVENTOS!$F:$F,0)),0)</f>
        <v>0</v>
      </c>
      <c r="W178" s="3">
        <f>IFERROR(INDEX(EVENTOS!$D:$D,MATCH(SCORE!W$2&amp;" "&amp;SCORE!$D178,EVENTOS!$F:$F,0)),0)</f>
        <v>0</v>
      </c>
      <c r="X178" s="3">
        <f>IFERROR(INDEX(EVENTOS!$D:$D,MATCH(SCORE!X$2&amp;" "&amp;SCORE!$D178,EVENTOS!$F:$F,0)),0)</f>
        <v>0</v>
      </c>
      <c r="Y178" s="3">
        <f>SUMIFS(EVENTOS!$D:$D, EVENTOS!$B:$B, D178, EVENTOS!$E:$E, "*GirAlto*")</f>
        <v>0</v>
      </c>
      <c r="Z178" s="3">
        <f>SUMIFS(EVENTOS!$D:$D, EVENTOS!$B:$B, D178, EVENTOS!$E:$E, "*GirMed*")</f>
        <v>0</v>
      </c>
      <c r="AA178" s="3">
        <f>SUMIFS(EVENTOS!$D:$D, EVENTOS!$B:$B, D178, EVENTOS!$E:$E, "*GirBajo*")</f>
        <v>0</v>
      </c>
      <c r="AB178" s="3">
        <f>IFERROR(INDEX(EVENTOS!$D:$D,MATCH(SCORE!AB$2&amp;" "&amp;SCORE!$D178,EVENTOS!$F:$F,0)),0)</f>
        <v>0</v>
      </c>
      <c r="AC178" s="3">
        <f>IFERROR(INDEX(EVENTOS!$D:$D,MATCH(SCORE!AC$2&amp;" "&amp;SCORE!$D178,EVENTOS!$F:$F,0)),0)</f>
        <v>0</v>
      </c>
      <c r="AD178" s="3">
        <f>IFERROR(INDEX(EVENTOS!$D:$D,MATCH(SCORE!AD$2&amp;" "&amp;SCORE!$D178,EVENTOS!$F:$F,0)),0)</f>
        <v>0</v>
      </c>
      <c r="AE178" s="3">
        <f t="shared" si="6"/>
        <v>0</v>
      </c>
      <c r="AF178" s="10" t="e">
        <f t="shared" si="7"/>
        <v>#N/A</v>
      </c>
      <c r="AG178" s="3" t="str">
        <f t="shared" si="8"/>
        <v/>
      </c>
    </row>
    <row r="179" spans="1:33" x14ac:dyDescent="0.25">
      <c r="A179" s="7"/>
      <c r="B179" s="8"/>
      <c r="C179" s="3"/>
      <c r="D179" s="3"/>
      <c r="E179" s="3" t="e">
        <f>VLOOKUP(D179,VIAJES!$D:$E,2,FALSE)</f>
        <v>#N/A</v>
      </c>
      <c r="F179" s="9" t="e">
        <f>VLOOKUP(D179,VIAJES!$D:$F,3,FALSE)</f>
        <v>#N/A</v>
      </c>
      <c r="G179" s="9" t="e">
        <f>VLOOKUP(D179,VIAJES!$D:$G,4,FALSE)</f>
        <v>#N/A</v>
      </c>
      <c r="H179" s="3" t="e">
        <f>VLOOKUP(D179,VIAJES!$D:$H,5,FALSE)</f>
        <v>#N/A</v>
      </c>
      <c r="S179" s="3">
        <f>IFERROR(INDEX(EVENTOS!$D:$D,MATCH(SCORE!S$2&amp;" "&amp;SCORE!$D179,EVENTOS!$F:$F,0)),0)</f>
        <v>0</v>
      </c>
      <c r="T179" s="3">
        <f>IFERROR(INDEX(EVENTOS!$D:$D,MATCH(SCORE!T$2&amp;" "&amp;SCORE!$D179,EVENTOS!$F:$F,0)),0)</f>
        <v>0</v>
      </c>
      <c r="U179" s="3">
        <f>IFERROR(INDEX(EVENTOS!$D:$D,MATCH(SCORE!U$2&amp;" "&amp;SCORE!$D179,EVENTOS!$F:$F,0)),0)</f>
        <v>0</v>
      </c>
      <c r="V179" s="3">
        <f>IFERROR(INDEX(EVENTOS!$D:$D,MATCH(SCORE!V$2&amp;" "&amp;SCORE!$D179,EVENTOS!$F:$F,0)),0)</f>
        <v>0</v>
      </c>
      <c r="W179" s="3">
        <f>IFERROR(INDEX(EVENTOS!$D:$D,MATCH(SCORE!W$2&amp;" "&amp;SCORE!$D179,EVENTOS!$F:$F,0)),0)</f>
        <v>0</v>
      </c>
      <c r="X179" s="3">
        <f>IFERROR(INDEX(EVENTOS!$D:$D,MATCH(SCORE!X$2&amp;" "&amp;SCORE!$D179,EVENTOS!$F:$F,0)),0)</f>
        <v>0</v>
      </c>
      <c r="Y179" s="3">
        <f>SUMIFS(EVENTOS!$D:$D, EVENTOS!$B:$B, D179, EVENTOS!$E:$E, "*GirAlto*")</f>
        <v>0</v>
      </c>
      <c r="Z179" s="3">
        <f>SUMIFS(EVENTOS!$D:$D, EVENTOS!$B:$B, D179, EVENTOS!$E:$E, "*GirMed*")</f>
        <v>0</v>
      </c>
      <c r="AA179" s="3">
        <f>SUMIFS(EVENTOS!$D:$D, EVENTOS!$B:$B, D179, EVENTOS!$E:$E, "*GirBajo*")</f>
        <v>0</v>
      </c>
      <c r="AB179" s="3">
        <f>IFERROR(INDEX(EVENTOS!$D:$D,MATCH(SCORE!AB$2&amp;" "&amp;SCORE!$D179,EVENTOS!$F:$F,0)),0)</f>
        <v>0</v>
      </c>
      <c r="AC179" s="3">
        <f>IFERROR(INDEX(EVENTOS!$D:$D,MATCH(SCORE!AC$2&amp;" "&amp;SCORE!$D179,EVENTOS!$F:$F,0)),0)</f>
        <v>0</v>
      </c>
      <c r="AD179" s="3">
        <f>IFERROR(INDEX(EVENTOS!$D:$D,MATCH(SCORE!AD$2&amp;" "&amp;SCORE!$D179,EVENTOS!$F:$F,0)),0)</f>
        <v>0</v>
      </c>
      <c r="AE179" s="3">
        <f t="shared" si="6"/>
        <v>0</v>
      </c>
      <c r="AF179" s="10" t="e">
        <f t="shared" si="7"/>
        <v>#N/A</v>
      </c>
      <c r="AG179" s="3" t="str">
        <f t="shared" si="8"/>
        <v/>
      </c>
    </row>
    <row r="180" spans="1:33" x14ac:dyDescent="0.25">
      <c r="A180" s="7"/>
      <c r="B180" s="8"/>
      <c r="C180" s="3"/>
      <c r="D180" s="3"/>
      <c r="E180" s="3" t="e">
        <f>VLOOKUP(D180,VIAJES!$D:$E,2,FALSE)</f>
        <v>#N/A</v>
      </c>
      <c r="F180" s="9" t="e">
        <f>VLOOKUP(D180,VIAJES!$D:$F,3,FALSE)</f>
        <v>#N/A</v>
      </c>
      <c r="G180" s="9" t="e">
        <f>VLOOKUP(D180,VIAJES!$D:$G,4,FALSE)</f>
        <v>#N/A</v>
      </c>
      <c r="H180" s="3" t="e">
        <f>VLOOKUP(D180,VIAJES!$D:$H,5,FALSE)</f>
        <v>#N/A</v>
      </c>
      <c r="S180" s="3">
        <f>IFERROR(INDEX(EVENTOS!$D:$D,MATCH(SCORE!S$2&amp;" "&amp;SCORE!$D180,EVENTOS!$F:$F,0)),0)</f>
        <v>0</v>
      </c>
      <c r="T180" s="3">
        <f>IFERROR(INDEX(EVENTOS!$D:$D,MATCH(SCORE!T$2&amp;" "&amp;SCORE!$D180,EVENTOS!$F:$F,0)),0)</f>
        <v>0</v>
      </c>
      <c r="U180" s="3">
        <f>IFERROR(INDEX(EVENTOS!$D:$D,MATCH(SCORE!U$2&amp;" "&amp;SCORE!$D180,EVENTOS!$F:$F,0)),0)</f>
        <v>0</v>
      </c>
      <c r="V180" s="3">
        <f>IFERROR(INDEX(EVENTOS!$D:$D,MATCH(SCORE!V$2&amp;" "&amp;SCORE!$D180,EVENTOS!$F:$F,0)),0)</f>
        <v>0</v>
      </c>
      <c r="W180" s="3">
        <f>IFERROR(INDEX(EVENTOS!$D:$D,MATCH(SCORE!W$2&amp;" "&amp;SCORE!$D180,EVENTOS!$F:$F,0)),0)</f>
        <v>0</v>
      </c>
      <c r="X180" s="3">
        <f>IFERROR(INDEX(EVENTOS!$D:$D,MATCH(SCORE!X$2&amp;" "&amp;SCORE!$D180,EVENTOS!$F:$F,0)),0)</f>
        <v>0</v>
      </c>
      <c r="Y180" s="3">
        <f>SUMIFS(EVENTOS!$D:$D, EVENTOS!$B:$B, D180, EVENTOS!$E:$E, "*GirAlto*")</f>
        <v>0</v>
      </c>
      <c r="Z180" s="3">
        <f>SUMIFS(EVENTOS!$D:$D, EVENTOS!$B:$B, D180, EVENTOS!$E:$E, "*GirMed*")</f>
        <v>0</v>
      </c>
      <c r="AA180" s="3">
        <f>SUMIFS(EVENTOS!$D:$D, EVENTOS!$B:$B, D180, EVENTOS!$E:$E, "*GirBajo*")</f>
        <v>0</v>
      </c>
      <c r="AB180" s="3">
        <f>IFERROR(INDEX(EVENTOS!$D:$D,MATCH(SCORE!AB$2&amp;" "&amp;SCORE!$D180,EVENTOS!$F:$F,0)),0)</f>
        <v>0</v>
      </c>
      <c r="AC180" s="3">
        <f>IFERROR(INDEX(EVENTOS!$D:$D,MATCH(SCORE!AC$2&amp;" "&amp;SCORE!$D180,EVENTOS!$F:$F,0)),0)</f>
        <v>0</v>
      </c>
      <c r="AD180" s="3">
        <f>IFERROR(INDEX(EVENTOS!$D:$D,MATCH(SCORE!AD$2&amp;" "&amp;SCORE!$D180,EVENTOS!$F:$F,0)),0)</f>
        <v>0</v>
      </c>
      <c r="AE180" s="3">
        <f t="shared" si="6"/>
        <v>0</v>
      </c>
      <c r="AF180" s="10" t="e">
        <f t="shared" si="7"/>
        <v>#N/A</v>
      </c>
      <c r="AG180" s="3" t="str">
        <f t="shared" si="8"/>
        <v/>
      </c>
    </row>
    <row r="181" spans="1:33" x14ac:dyDescent="0.25">
      <c r="A181" s="7"/>
      <c r="B181" s="8"/>
      <c r="C181" s="3"/>
      <c r="D181" s="3"/>
      <c r="E181" s="3" t="e">
        <f>VLOOKUP(D181,VIAJES!$D:$E,2,FALSE)</f>
        <v>#N/A</v>
      </c>
      <c r="F181" s="9" t="e">
        <f>VLOOKUP(D181,VIAJES!$D:$F,3,FALSE)</f>
        <v>#N/A</v>
      </c>
      <c r="G181" s="9" t="e">
        <f>VLOOKUP(D181,VIAJES!$D:$G,4,FALSE)</f>
        <v>#N/A</v>
      </c>
      <c r="H181" s="3" t="e">
        <f>VLOOKUP(D181,VIAJES!$D:$H,5,FALSE)</f>
        <v>#N/A</v>
      </c>
      <c r="S181" s="3">
        <f>IFERROR(INDEX(EVENTOS!$D:$D,MATCH(SCORE!S$2&amp;" "&amp;SCORE!$D181,EVENTOS!$F:$F,0)),0)</f>
        <v>0</v>
      </c>
      <c r="T181" s="3">
        <f>IFERROR(INDEX(EVENTOS!$D:$D,MATCH(SCORE!T$2&amp;" "&amp;SCORE!$D181,EVENTOS!$F:$F,0)),0)</f>
        <v>0</v>
      </c>
      <c r="U181" s="3">
        <f>IFERROR(INDEX(EVENTOS!$D:$D,MATCH(SCORE!U$2&amp;" "&amp;SCORE!$D181,EVENTOS!$F:$F,0)),0)</f>
        <v>0</v>
      </c>
      <c r="V181" s="3">
        <f>IFERROR(INDEX(EVENTOS!$D:$D,MATCH(SCORE!V$2&amp;" "&amp;SCORE!$D181,EVENTOS!$F:$F,0)),0)</f>
        <v>0</v>
      </c>
      <c r="W181" s="3">
        <f>IFERROR(INDEX(EVENTOS!$D:$D,MATCH(SCORE!W$2&amp;" "&amp;SCORE!$D181,EVENTOS!$F:$F,0)),0)</f>
        <v>0</v>
      </c>
      <c r="X181" s="3">
        <f>IFERROR(INDEX(EVENTOS!$D:$D,MATCH(SCORE!X$2&amp;" "&amp;SCORE!$D181,EVENTOS!$F:$F,0)),0)</f>
        <v>0</v>
      </c>
      <c r="Y181" s="3">
        <f>SUMIFS(EVENTOS!$D:$D, EVENTOS!$B:$B, D181, EVENTOS!$E:$E, "*GirAlto*")</f>
        <v>0</v>
      </c>
      <c r="Z181" s="3">
        <f>SUMIFS(EVENTOS!$D:$D, EVENTOS!$B:$B, D181, EVENTOS!$E:$E, "*GirMed*")</f>
        <v>0</v>
      </c>
      <c r="AA181" s="3">
        <f>SUMIFS(EVENTOS!$D:$D, EVENTOS!$B:$B, D181, EVENTOS!$E:$E, "*GirBajo*")</f>
        <v>0</v>
      </c>
      <c r="AB181" s="3">
        <f>IFERROR(INDEX(EVENTOS!$D:$D,MATCH(SCORE!AB$2&amp;" "&amp;SCORE!$D181,EVENTOS!$F:$F,0)),0)</f>
        <v>0</v>
      </c>
      <c r="AC181" s="3">
        <f>IFERROR(INDEX(EVENTOS!$D:$D,MATCH(SCORE!AC$2&amp;" "&amp;SCORE!$D181,EVENTOS!$F:$F,0)),0)</f>
        <v>0</v>
      </c>
      <c r="AD181" s="3">
        <f>IFERROR(INDEX(EVENTOS!$D:$D,MATCH(SCORE!AD$2&amp;" "&amp;SCORE!$D181,EVENTOS!$F:$F,0)),0)</f>
        <v>0</v>
      </c>
      <c r="AE181" s="3">
        <f t="shared" si="6"/>
        <v>0</v>
      </c>
      <c r="AF181" s="10" t="e">
        <f t="shared" si="7"/>
        <v>#N/A</v>
      </c>
      <c r="AG181" s="3" t="str">
        <f t="shared" si="8"/>
        <v/>
      </c>
    </row>
    <row r="182" spans="1:33" x14ac:dyDescent="0.25">
      <c r="A182" s="7"/>
      <c r="B182" s="8"/>
      <c r="C182" s="3"/>
      <c r="D182" s="3"/>
      <c r="E182" s="3" t="e">
        <f>VLOOKUP(D182,VIAJES!$D:$E,2,FALSE)</f>
        <v>#N/A</v>
      </c>
      <c r="F182" s="9" t="e">
        <f>VLOOKUP(D182,VIAJES!$D:$F,3,FALSE)</f>
        <v>#N/A</v>
      </c>
      <c r="G182" s="9" t="e">
        <f>VLOOKUP(D182,VIAJES!$D:$G,4,FALSE)</f>
        <v>#N/A</v>
      </c>
      <c r="H182" s="3" t="e">
        <f>VLOOKUP(D182,VIAJES!$D:$H,5,FALSE)</f>
        <v>#N/A</v>
      </c>
      <c r="S182" s="3">
        <f>IFERROR(INDEX(EVENTOS!$D:$D,MATCH(SCORE!S$2&amp;" "&amp;SCORE!$D182,EVENTOS!$F:$F,0)),0)</f>
        <v>0</v>
      </c>
      <c r="T182" s="3">
        <f>IFERROR(INDEX(EVENTOS!$D:$D,MATCH(SCORE!T$2&amp;" "&amp;SCORE!$D182,EVENTOS!$F:$F,0)),0)</f>
        <v>0</v>
      </c>
      <c r="U182" s="3">
        <f>IFERROR(INDEX(EVENTOS!$D:$D,MATCH(SCORE!U$2&amp;" "&amp;SCORE!$D182,EVENTOS!$F:$F,0)),0)</f>
        <v>0</v>
      </c>
      <c r="V182" s="3">
        <f>IFERROR(INDEX(EVENTOS!$D:$D,MATCH(SCORE!V$2&amp;" "&amp;SCORE!$D182,EVENTOS!$F:$F,0)),0)</f>
        <v>0</v>
      </c>
      <c r="W182" s="3">
        <f>IFERROR(INDEX(EVENTOS!$D:$D,MATCH(SCORE!W$2&amp;" "&amp;SCORE!$D182,EVENTOS!$F:$F,0)),0)</f>
        <v>0</v>
      </c>
      <c r="X182" s="3">
        <f>IFERROR(INDEX(EVENTOS!$D:$D,MATCH(SCORE!X$2&amp;" "&amp;SCORE!$D182,EVENTOS!$F:$F,0)),0)</f>
        <v>0</v>
      </c>
      <c r="Y182" s="3">
        <f>SUMIFS(EVENTOS!$D:$D, EVENTOS!$B:$B, D182, EVENTOS!$E:$E, "*GirAlto*")</f>
        <v>0</v>
      </c>
      <c r="Z182" s="3">
        <f>SUMIFS(EVENTOS!$D:$D, EVENTOS!$B:$B, D182, EVENTOS!$E:$E, "*GirMed*")</f>
        <v>0</v>
      </c>
      <c r="AA182" s="3">
        <f>SUMIFS(EVENTOS!$D:$D, EVENTOS!$B:$B, D182, EVENTOS!$E:$E, "*GirBajo*")</f>
        <v>0</v>
      </c>
      <c r="AB182" s="3">
        <f>IFERROR(INDEX(EVENTOS!$D:$D,MATCH(SCORE!AB$2&amp;" "&amp;SCORE!$D182,EVENTOS!$F:$F,0)),0)</f>
        <v>0</v>
      </c>
      <c r="AC182" s="3">
        <f>IFERROR(INDEX(EVENTOS!$D:$D,MATCH(SCORE!AC$2&amp;" "&amp;SCORE!$D182,EVENTOS!$F:$F,0)),0)</f>
        <v>0</v>
      </c>
      <c r="AD182" s="3">
        <f>IFERROR(INDEX(EVENTOS!$D:$D,MATCH(SCORE!AD$2&amp;" "&amp;SCORE!$D182,EVENTOS!$F:$F,0)),0)</f>
        <v>0</v>
      </c>
      <c r="AE182" s="3">
        <f t="shared" si="6"/>
        <v>0</v>
      </c>
      <c r="AF182" s="10" t="e">
        <f t="shared" si="7"/>
        <v>#N/A</v>
      </c>
      <c r="AG182" s="3" t="str">
        <f t="shared" si="8"/>
        <v/>
      </c>
    </row>
    <row r="183" spans="1:33" x14ac:dyDescent="0.25">
      <c r="A183" s="7"/>
      <c r="B183" s="8"/>
      <c r="C183" s="3"/>
      <c r="D183" s="3"/>
      <c r="E183" s="3" t="e">
        <f>VLOOKUP(D183,VIAJES!$D:$E,2,FALSE)</f>
        <v>#N/A</v>
      </c>
      <c r="F183" s="9" t="e">
        <f>VLOOKUP(D183,VIAJES!$D:$F,3,FALSE)</f>
        <v>#N/A</v>
      </c>
      <c r="G183" s="9" t="e">
        <f>VLOOKUP(D183,VIAJES!$D:$G,4,FALSE)</f>
        <v>#N/A</v>
      </c>
      <c r="H183" s="3" t="e">
        <f>VLOOKUP(D183,VIAJES!$D:$H,5,FALSE)</f>
        <v>#N/A</v>
      </c>
      <c r="S183" s="3">
        <f>IFERROR(INDEX(EVENTOS!$D:$D,MATCH(SCORE!S$2&amp;" "&amp;SCORE!$D183,EVENTOS!$F:$F,0)),0)</f>
        <v>0</v>
      </c>
      <c r="T183" s="3">
        <f>IFERROR(INDEX(EVENTOS!$D:$D,MATCH(SCORE!T$2&amp;" "&amp;SCORE!$D183,EVENTOS!$F:$F,0)),0)</f>
        <v>0</v>
      </c>
      <c r="U183" s="3">
        <f>IFERROR(INDEX(EVENTOS!$D:$D,MATCH(SCORE!U$2&amp;" "&amp;SCORE!$D183,EVENTOS!$F:$F,0)),0)</f>
        <v>0</v>
      </c>
      <c r="V183" s="3">
        <f>IFERROR(INDEX(EVENTOS!$D:$D,MATCH(SCORE!V$2&amp;" "&amp;SCORE!$D183,EVENTOS!$F:$F,0)),0)</f>
        <v>0</v>
      </c>
      <c r="W183" s="3">
        <f>IFERROR(INDEX(EVENTOS!$D:$D,MATCH(SCORE!W$2&amp;" "&amp;SCORE!$D183,EVENTOS!$F:$F,0)),0)</f>
        <v>0</v>
      </c>
      <c r="X183" s="3">
        <f>IFERROR(INDEX(EVENTOS!$D:$D,MATCH(SCORE!X$2&amp;" "&amp;SCORE!$D183,EVENTOS!$F:$F,0)),0)</f>
        <v>0</v>
      </c>
      <c r="Y183" s="3">
        <f>SUMIFS(EVENTOS!$D:$D, EVENTOS!$B:$B, D183, EVENTOS!$E:$E, "*GirAlto*")</f>
        <v>0</v>
      </c>
      <c r="Z183" s="3">
        <f>SUMIFS(EVENTOS!$D:$D, EVENTOS!$B:$B, D183, EVENTOS!$E:$E, "*GirMed*")</f>
        <v>0</v>
      </c>
      <c r="AA183" s="3">
        <f>SUMIFS(EVENTOS!$D:$D, EVENTOS!$B:$B, D183, EVENTOS!$E:$E, "*GirBajo*")</f>
        <v>0</v>
      </c>
      <c r="AB183" s="3">
        <f>IFERROR(INDEX(EVENTOS!$D:$D,MATCH(SCORE!AB$2&amp;" "&amp;SCORE!$D183,EVENTOS!$F:$F,0)),0)</f>
        <v>0</v>
      </c>
      <c r="AC183" s="3">
        <f>IFERROR(INDEX(EVENTOS!$D:$D,MATCH(SCORE!AC$2&amp;" "&amp;SCORE!$D183,EVENTOS!$F:$F,0)),0)</f>
        <v>0</v>
      </c>
      <c r="AD183" s="3">
        <f>IFERROR(INDEX(EVENTOS!$D:$D,MATCH(SCORE!AD$2&amp;" "&amp;SCORE!$D183,EVENTOS!$F:$F,0)),0)</f>
        <v>0</v>
      </c>
      <c r="AE183" s="3">
        <f t="shared" si="6"/>
        <v>0</v>
      </c>
      <c r="AF183" s="10" t="e">
        <f t="shared" si="7"/>
        <v>#N/A</v>
      </c>
      <c r="AG183" s="3" t="str">
        <f t="shared" si="8"/>
        <v/>
      </c>
    </row>
    <row r="184" spans="1:33" x14ac:dyDescent="0.25">
      <c r="A184" s="7"/>
      <c r="B184" s="8"/>
      <c r="C184" s="3"/>
      <c r="D184" s="3"/>
      <c r="E184" s="3" t="e">
        <f>VLOOKUP(D184,VIAJES!$D:$E,2,FALSE)</f>
        <v>#N/A</v>
      </c>
      <c r="F184" s="9" t="e">
        <f>VLOOKUP(D184,VIAJES!$D:$F,3,FALSE)</f>
        <v>#N/A</v>
      </c>
      <c r="G184" s="9" t="e">
        <f>VLOOKUP(D184,VIAJES!$D:$G,4,FALSE)</f>
        <v>#N/A</v>
      </c>
      <c r="H184" s="3" t="e">
        <f>VLOOKUP(D184,VIAJES!$D:$H,5,FALSE)</f>
        <v>#N/A</v>
      </c>
      <c r="S184" s="3">
        <f>IFERROR(INDEX(EVENTOS!$D:$D,MATCH(SCORE!S$2&amp;" "&amp;SCORE!$D184,EVENTOS!$F:$F,0)),0)</f>
        <v>0</v>
      </c>
      <c r="T184" s="3">
        <f>IFERROR(INDEX(EVENTOS!$D:$D,MATCH(SCORE!T$2&amp;" "&amp;SCORE!$D184,EVENTOS!$F:$F,0)),0)</f>
        <v>0</v>
      </c>
      <c r="U184" s="3">
        <f>IFERROR(INDEX(EVENTOS!$D:$D,MATCH(SCORE!U$2&amp;" "&amp;SCORE!$D184,EVENTOS!$F:$F,0)),0)</f>
        <v>0</v>
      </c>
      <c r="V184" s="3">
        <f>IFERROR(INDEX(EVENTOS!$D:$D,MATCH(SCORE!V$2&amp;" "&amp;SCORE!$D184,EVENTOS!$F:$F,0)),0)</f>
        <v>0</v>
      </c>
      <c r="W184" s="3">
        <f>IFERROR(INDEX(EVENTOS!$D:$D,MATCH(SCORE!W$2&amp;" "&amp;SCORE!$D184,EVENTOS!$F:$F,0)),0)</f>
        <v>0</v>
      </c>
      <c r="X184" s="3">
        <f>IFERROR(INDEX(EVENTOS!$D:$D,MATCH(SCORE!X$2&amp;" "&amp;SCORE!$D184,EVENTOS!$F:$F,0)),0)</f>
        <v>0</v>
      </c>
      <c r="Y184" s="3">
        <f>SUMIFS(EVENTOS!$D:$D, EVENTOS!$B:$B, D184, EVENTOS!$E:$E, "*GirAlto*")</f>
        <v>0</v>
      </c>
      <c r="Z184" s="3">
        <f>SUMIFS(EVENTOS!$D:$D, EVENTOS!$B:$B, D184, EVENTOS!$E:$E, "*GirMed*")</f>
        <v>0</v>
      </c>
      <c r="AA184" s="3">
        <f>SUMIFS(EVENTOS!$D:$D, EVENTOS!$B:$B, D184, EVENTOS!$E:$E, "*GirBajo*")</f>
        <v>0</v>
      </c>
      <c r="AB184" s="3">
        <f>IFERROR(INDEX(EVENTOS!$D:$D,MATCH(SCORE!AB$2&amp;" "&amp;SCORE!$D184,EVENTOS!$F:$F,0)),0)</f>
        <v>0</v>
      </c>
      <c r="AC184" s="3">
        <f>IFERROR(INDEX(EVENTOS!$D:$D,MATCH(SCORE!AC$2&amp;" "&amp;SCORE!$D184,EVENTOS!$F:$F,0)),0)</f>
        <v>0</v>
      </c>
      <c r="AD184" s="3">
        <f>IFERROR(INDEX(EVENTOS!$D:$D,MATCH(SCORE!AD$2&amp;" "&amp;SCORE!$D184,EVENTOS!$F:$F,0)),0)</f>
        <v>0</v>
      </c>
      <c r="AE184" s="3">
        <f t="shared" si="6"/>
        <v>0</v>
      </c>
      <c r="AF184" s="10" t="e">
        <f t="shared" si="7"/>
        <v>#N/A</v>
      </c>
      <c r="AG184" s="3" t="str">
        <f t="shared" si="8"/>
        <v/>
      </c>
    </row>
    <row r="185" spans="1:33" x14ac:dyDescent="0.25">
      <c r="A185" s="7"/>
      <c r="B185" s="8"/>
      <c r="C185" s="3"/>
      <c r="D185" s="3"/>
      <c r="E185" s="3" t="e">
        <f>VLOOKUP(D185,VIAJES!$D:$E,2,FALSE)</f>
        <v>#N/A</v>
      </c>
      <c r="F185" s="9" t="e">
        <f>VLOOKUP(D185,VIAJES!$D:$F,3,FALSE)</f>
        <v>#N/A</v>
      </c>
      <c r="G185" s="9" t="e">
        <f>VLOOKUP(D185,VIAJES!$D:$G,4,FALSE)</f>
        <v>#N/A</v>
      </c>
      <c r="H185" s="3" t="e">
        <f>VLOOKUP(D185,VIAJES!$D:$H,5,FALSE)</f>
        <v>#N/A</v>
      </c>
      <c r="S185" s="3">
        <f>IFERROR(INDEX(EVENTOS!$D:$D,MATCH(SCORE!S$2&amp;" "&amp;SCORE!$D185,EVENTOS!$F:$F,0)),0)</f>
        <v>0</v>
      </c>
      <c r="T185" s="3">
        <f>IFERROR(INDEX(EVENTOS!$D:$D,MATCH(SCORE!T$2&amp;" "&amp;SCORE!$D185,EVENTOS!$F:$F,0)),0)</f>
        <v>0</v>
      </c>
      <c r="U185" s="3">
        <f>IFERROR(INDEX(EVENTOS!$D:$D,MATCH(SCORE!U$2&amp;" "&amp;SCORE!$D185,EVENTOS!$F:$F,0)),0)</f>
        <v>0</v>
      </c>
      <c r="V185" s="3">
        <f>IFERROR(INDEX(EVENTOS!$D:$D,MATCH(SCORE!V$2&amp;" "&amp;SCORE!$D185,EVENTOS!$F:$F,0)),0)</f>
        <v>0</v>
      </c>
      <c r="W185" s="3">
        <f>IFERROR(INDEX(EVENTOS!$D:$D,MATCH(SCORE!W$2&amp;" "&amp;SCORE!$D185,EVENTOS!$F:$F,0)),0)</f>
        <v>0</v>
      </c>
      <c r="X185" s="3">
        <f>IFERROR(INDEX(EVENTOS!$D:$D,MATCH(SCORE!X$2&amp;" "&amp;SCORE!$D185,EVENTOS!$F:$F,0)),0)</f>
        <v>0</v>
      </c>
      <c r="Y185" s="3">
        <f>SUMIFS(EVENTOS!$D:$D, EVENTOS!$B:$B, D185, EVENTOS!$E:$E, "*GirAlto*")</f>
        <v>0</v>
      </c>
      <c r="Z185" s="3">
        <f>SUMIFS(EVENTOS!$D:$D, EVENTOS!$B:$B, D185, EVENTOS!$E:$E, "*GirMed*")</f>
        <v>0</v>
      </c>
      <c r="AA185" s="3">
        <f>SUMIFS(EVENTOS!$D:$D, EVENTOS!$B:$B, D185, EVENTOS!$E:$E, "*GirBajo*")</f>
        <v>0</v>
      </c>
      <c r="AB185" s="3">
        <f>IFERROR(INDEX(EVENTOS!$D:$D,MATCH(SCORE!AB$2&amp;" "&amp;SCORE!$D185,EVENTOS!$F:$F,0)),0)</f>
        <v>0</v>
      </c>
      <c r="AC185" s="3">
        <f>IFERROR(INDEX(EVENTOS!$D:$D,MATCH(SCORE!AC$2&amp;" "&amp;SCORE!$D185,EVENTOS!$F:$F,0)),0)</f>
        <v>0</v>
      </c>
      <c r="AD185" s="3">
        <f>IFERROR(INDEX(EVENTOS!$D:$D,MATCH(SCORE!AD$2&amp;" "&amp;SCORE!$D185,EVENTOS!$F:$F,0)),0)</f>
        <v>0</v>
      </c>
      <c r="AE185" s="3">
        <f t="shared" si="6"/>
        <v>0</v>
      </c>
      <c r="AF185" s="10" t="e">
        <f t="shared" si="7"/>
        <v>#N/A</v>
      </c>
      <c r="AG185" s="3" t="str">
        <f t="shared" si="8"/>
        <v/>
      </c>
    </row>
    <row r="186" spans="1:33" x14ac:dyDescent="0.25">
      <c r="A186" s="7"/>
      <c r="B186" s="8"/>
      <c r="C186" s="3"/>
      <c r="D186" s="3"/>
      <c r="E186" s="3" t="e">
        <f>VLOOKUP(D186,VIAJES!$D:$E,2,FALSE)</f>
        <v>#N/A</v>
      </c>
      <c r="F186" s="9" t="e">
        <f>VLOOKUP(D186,VIAJES!$D:$F,3,FALSE)</f>
        <v>#N/A</v>
      </c>
      <c r="G186" s="9" t="e">
        <f>VLOOKUP(D186,VIAJES!$D:$G,4,FALSE)</f>
        <v>#N/A</v>
      </c>
      <c r="H186" s="3" t="e">
        <f>VLOOKUP(D186,VIAJES!$D:$H,5,FALSE)</f>
        <v>#N/A</v>
      </c>
      <c r="S186" s="3">
        <f>IFERROR(INDEX(EVENTOS!$D:$D,MATCH(SCORE!S$2&amp;" "&amp;SCORE!$D186,EVENTOS!$F:$F,0)),0)</f>
        <v>0</v>
      </c>
      <c r="T186" s="3">
        <f>IFERROR(INDEX(EVENTOS!$D:$D,MATCH(SCORE!T$2&amp;" "&amp;SCORE!$D186,EVENTOS!$F:$F,0)),0)</f>
        <v>0</v>
      </c>
      <c r="U186" s="3">
        <f>IFERROR(INDEX(EVENTOS!$D:$D,MATCH(SCORE!U$2&amp;" "&amp;SCORE!$D186,EVENTOS!$F:$F,0)),0)</f>
        <v>0</v>
      </c>
      <c r="V186" s="3">
        <f>IFERROR(INDEX(EVENTOS!$D:$D,MATCH(SCORE!V$2&amp;" "&amp;SCORE!$D186,EVENTOS!$F:$F,0)),0)</f>
        <v>0</v>
      </c>
      <c r="W186" s="3">
        <f>IFERROR(INDEX(EVENTOS!$D:$D,MATCH(SCORE!W$2&amp;" "&amp;SCORE!$D186,EVENTOS!$F:$F,0)),0)</f>
        <v>0</v>
      </c>
      <c r="X186" s="3">
        <f>IFERROR(INDEX(EVENTOS!$D:$D,MATCH(SCORE!X$2&amp;" "&amp;SCORE!$D186,EVENTOS!$F:$F,0)),0)</f>
        <v>0</v>
      </c>
      <c r="Y186" s="3">
        <f>SUMIFS(EVENTOS!$D:$D, EVENTOS!$B:$B, D186, EVENTOS!$E:$E, "*GirAlto*")</f>
        <v>0</v>
      </c>
      <c r="Z186" s="3">
        <f>SUMIFS(EVENTOS!$D:$D, EVENTOS!$B:$B, D186, EVENTOS!$E:$E, "*GirMed*")</f>
        <v>0</v>
      </c>
      <c r="AA186" s="3">
        <f>SUMIFS(EVENTOS!$D:$D, EVENTOS!$B:$B, D186, EVENTOS!$E:$E, "*GirBajo*")</f>
        <v>0</v>
      </c>
      <c r="AB186" s="3">
        <f>IFERROR(INDEX(EVENTOS!$D:$D,MATCH(SCORE!AB$2&amp;" "&amp;SCORE!$D186,EVENTOS!$F:$F,0)),0)</f>
        <v>0</v>
      </c>
      <c r="AC186" s="3">
        <f>IFERROR(INDEX(EVENTOS!$D:$D,MATCH(SCORE!AC$2&amp;" "&amp;SCORE!$D186,EVENTOS!$F:$F,0)),0)</f>
        <v>0</v>
      </c>
      <c r="AD186" s="3">
        <f>IFERROR(INDEX(EVENTOS!$D:$D,MATCH(SCORE!AD$2&amp;" "&amp;SCORE!$D186,EVENTOS!$F:$F,0)),0)</f>
        <v>0</v>
      </c>
      <c r="AE186" s="3">
        <f t="shared" si="6"/>
        <v>0</v>
      </c>
      <c r="AF186" s="10" t="e">
        <f t="shared" si="7"/>
        <v>#N/A</v>
      </c>
      <c r="AG186" s="3" t="str">
        <f t="shared" si="8"/>
        <v/>
      </c>
    </row>
    <row r="187" spans="1:33" x14ac:dyDescent="0.25">
      <c r="A187" s="7"/>
      <c r="B187" s="8"/>
      <c r="C187" s="3"/>
      <c r="D187" s="3"/>
      <c r="E187" s="3" t="e">
        <f>VLOOKUP(D187,VIAJES!$D:$E,2,FALSE)</f>
        <v>#N/A</v>
      </c>
      <c r="F187" s="9" t="e">
        <f>VLOOKUP(D187,VIAJES!$D:$F,3,FALSE)</f>
        <v>#N/A</v>
      </c>
      <c r="G187" s="9" t="e">
        <f>VLOOKUP(D187,VIAJES!$D:$G,4,FALSE)</f>
        <v>#N/A</v>
      </c>
      <c r="H187" s="3" t="e">
        <f>VLOOKUP(D187,VIAJES!$D:$H,5,FALSE)</f>
        <v>#N/A</v>
      </c>
      <c r="S187" s="3">
        <f>IFERROR(INDEX(EVENTOS!$D:$D,MATCH(SCORE!S$2&amp;" "&amp;SCORE!$D187,EVENTOS!$F:$F,0)),0)</f>
        <v>0</v>
      </c>
      <c r="T187" s="3">
        <f>IFERROR(INDEX(EVENTOS!$D:$D,MATCH(SCORE!T$2&amp;" "&amp;SCORE!$D187,EVENTOS!$F:$F,0)),0)</f>
        <v>0</v>
      </c>
      <c r="U187" s="3">
        <f>IFERROR(INDEX(EVENTOS!$D:$D,MATCH(SCORE!U$2&amp;" "&amp;SCORE!$D187,EVENTOS!$F:$F,0)),0)</f>
        <v>0</v>
      </c>
      <c r="V187" s="3">
        <f>IFERROR(INDEX(EVENTOS!$D:$D,MATCH(SCORE!V$2&amp;" "&amp;SCORE!$D187,EVENTOS!$F:$F,0)),0)</f>
        <v>0</v>
      </c>
      <c r="W187" s="3">
        <f>IFERROR(INDEX(EVENTOS!$D:$D,MATCH(SCORE!W$2&amp;" "&amp;SCORE!$D187,EVENTOS!$F:$F,0)),0)</f>
        <v>0</v>
      </c>
      <c r="X187" s="3">
        <f>IFERROR(INDEX(EVENTOS!$D:$D,MATCH(SCORE!X$2&amp;" "&amp;SCORE!$D187,EVENTOS!$F:$F,0)),0)</f>
        <v>0</v>
      </c>
      <c r="Y187" s="3">
        <f>SUMIFS(EVENTOS!$D:$D, EVENTOS!$B:$B, D187, EVENTOS!$E:$E, "*GirAlto*")</f>
        <v>0</v>
      </c>
      <c r="Z187" s="3">
        <f>SUMIFS(EVENTOS!$D:$D, EVENTOS!$B:$B, D187, EVENTOS!$E:$E, "*GirMed*")</f>
        <v>0</v>
      </c>
      <c r="AA187" s="3">
        <f>SUMIFS(EVENTOS!$D:$D, EVENTOS!$B:$B, D187, EVENTOS!$E:$E, "*GirBajo*")</f>
        <v>0</v>
      </c>
      <c r="AB187" s="3">
        <f>IFERROR(INDEX(EVENTOS!$D:$D,MATCH(SCORE!AB$2&amp;" "&amp;SCORE!$D187,EVENTOS!$F:$F,0)),0)</f>
        <v>0</v>
      </c>
      <c r="AC187" s="3">
        <f>IFERROR(INDEX(EVENTOS!$D:$D,MATCH(SCORE!AC$2&amp;" "&amp;SCORE!$D187,EVENTOS!$F:$F,0)),0)</f>
        <v>0</v>
      </c>
      <c r="AD187" s="3">
        <f>IFERROR(INDEX(EVENTOS!$D:$D,MATCH(SCORE!AD$2&amp;" "&amp;SCORE!$D187,EVENTOS!$F:$F,0)),0)</f>
        <v>0</v>
      </c>
      <c r="AE187" s="3">
        <f t="shared" si="6"/>
        <v>0</v>
      </c>
      <c r="AF187" s="10" t="e">
        <f t="shared" si="7"/>
        <v>#N/A</v>
      </c>
      <c r="AG187" s="3" t="str">
        <f t="shared" si="8"/>
        <v/>
      </c>
    </row>
    <row r="188" spans="1:33" x14ac:dyDescent="0.25">
      <c r="A188" s="7"/>
      <c r="B188" s="8"/>
      <c r="C188" s="3"/>
      <c r="D188" s="3"/>
      <c r="E188" s="3" t="e">
        <f>VLOOKUP(D188,VIAJES!$D:$E,2,FALSE)</f>
        <v>#N/A</v>
      </c>
      <c r="F188" s="9" t="e">
        <f>VLOOKUP(D188,VIAJES!$D:$F,3,FALSE)</f>
        <v>#N/A</v>
      </c>
      <c r="G188" s="9" t="e">
        <f>VLOOKUP(D188,VIAJES!$D:$G,4,FALSE)</f>
        <v>#N/A</v>
      </c>
      <c r="H188" s="3" t="e">
        <f>VLOOKUP(D188,VIAJES!$D:$H,5,FALSE)</f>
        <v>#N/A</v>
      </c>
      <c r="S188" s="3">
        <f>IFERROR(INDEX(EVENTOS!$D:$D,MATCH(SCORE!S$2&amp;" "&amp;SCORE!$D188,EVENTOS!$F:$F,0)),0)</f>
        <v>0</v>
      </c>
      <c r="T188" s="3">
        <f>IFERROR(INDEX(EVENTOS!$D:$D,MATCH(SCORE!T$2&amp;" "&amp;SCORE!$D188,EVENTOS!$F:$F,0)),0)</f>
        <v>0</v>
      </c>
      <c r="U188" s="3">
        <f>IFERROR(INDEX(EVENTOS!$D:$D,MATCH(SCORE!U$2&amp;" "&amp;SCORE!$D188,EVENTOS!$F:$F,0)),0)</f>
        <v>0</v>
      </c>
      <c r="V188" s="3">
        <f>IFERROR(INDEX(EVENTOS!$D:$D,MATCH(SCORE!V$2&amp;" "&amp;SCORE!$D188,EVENTOS!$F:$F,0)),0)</f>
        <v>0</v>
      </c>
      <c r="W188" s="3">
        <f>IFERROR(INDEX(EVENTOS!$D:$D,MATCH(SCORE!W$2&amp;" "&amp;SCORE!$D188,EVENTOS!$F:$F,0)),0)</f>
        <v>0</v>
      </c>
      <c r="X188" s="3">
        <f>IFERROR(INDEX(EVENTOS!$D:$D,MATCH(SCORE!X$2&amp;" "&amp;SCORE!$D188,EVENTOS!$F:$F,0)),0)</f>
        <v>0</v>
      </c>
      <c r="Y188" s="3">
        <f>SUMIFS(EVENTOS!$D:$D, EVENTOS!$B:$B, D188, EVENTOS!$E:$E, "*GirAlto*")</f>
        <v>0</v>
      </c>
      <c r="Z188" s="3">
        <f>SUMIFS(EVENTOS!$D:$D, EVENTOS!$B:$B, D188, EVENTOS!$E:$E, "*GirMed*")</f>
        <v>0</v>
      </c>
      <c r="AA188" s="3">
        <f>SUMIFS(EVENTOS!$D:$D, EVENTOS!$B:$B, D188, EVENTOS!$E:$E, "*GirBajo*")</f>
        <v>0</v>
      </c>
      <c r="AB188" s="3">
        <f>IFERROR(INDEX(EVENTOS!$D:$D,MATCH(SCORE!AB$2&amp;" "&amp;SCORE!$D188,EVENTOS!$F:$F,0)),0)</f>
        <v>0</v>
      </c>
      <c r="AC188" s="3">
        <f>IFERROR(INDEX(EVENTOS!$D:$D,MATCH(SCORE!AC$2&amp;" "&amp;SCORE!$D188,EVENTOS!$F:$F,0)),0)</f>
        <v>0</v>
      </c>
      <c r="AD188" s="3">
        <f>IFERROR(INDEX(EVENTOS!$D:$D,MATCH(SCORE!AD$2&amp;" "&amp;SCORE!$D188,EVENTOS!$F:$F,0)),0)</f>
        <v>0</v>
      </c>
      <c r="AE188" s="3">
        <f t="shared" si="6"/>
        <v>0</v>
      </c>
      <c r="AF188" s="10" t="e">
        <f t="shared" si="7"/>
        <v>#N/A</v>
      </c>
      <c r="AG188" s="3" t="str">
        <f t="shared" si="8"/>
        <v/>
      </c>
    </row>
    <row r="189" spans="1:33" x14ac:dyDescent="0.25">
      <c r="A189" s="7"/>
      <c r="B189" s="8"/>
      <c r="C189" s="3"/>
      <c r="D189" s="3"/>
      <c r="E189" s="3" t="e">
        <f>VLOOKUP(D189,VIAJES!$D:$E,2,FALSE)</f>
        <v>#N/A</v>
      </c>
      <c r="F189" s="9" t="e">
        <f>VLOOKUP(D189,VIAJES!$D:$F,3,FALSE)</f>
        <v>#N/A</v>
      </c>
      <c r="G189" s="9" t="e">
        <f>VLOOKUP(D189,VIAJES!$D:$G,4,FALSE)</f>
        <v>#N/A</v>
      </c>
      <c r="H189" s="3" t="e">
        <f>VLOOKUP(D189,VIAJES!$D:$H,5,FALSE)</f>
        <v>#N/A</v>
      </c>
      <c r="S189" s="3">
        <f>IFERROR(INDEX(EVENTOS!$D:$D,MATCH(SCORE!S$2&amp;" "&amp;SCORE!$D189,EVENTOS!$F:$F,0)),0)</f>
        <v>0</v>
      </c>
      <c r="T189" s="3">
        <f>IFERROR(INDEX(EVENTOS!$D:$D,MATCH(SCORE!T$2&amp;" "&amp;SCORE!$D189,EVENTOS!$F:$F,0)),0)</f>
        <v>0</v>
      </c>
      <c r="U189" s="3">
        <f>IFERROR(INDEX(EVENTOS!$D:$D,MATCH(SCORE!U$2&amp;" "&amp;SCORE!$D189,EVENTOS!$F:$F,0)),0)</f>
        <v>0</v>
      </c>
      <c r="V189" s="3">
        <f>IFERROR(INDEX(EVENTOS!$D:$D,MATCH(SCORE!V$2&amp;" "&amp;SCORE!$D189,EVENTOS!$F:$F,0)),0)</f>
        <v>0</v>
      </c>
      <c r="W189" s="3">
        <f>IFERROR(INDEX(EVENTOS!$D:$D,MATCH(SCORE!W$2&amp;" "&amp;SCORE!$D189,EVENTOS!$F:$F,0)),0)</f>
        <v>0</v>
      </c>
      <c r="X189" s="3">
        <f>IFERROR(INDEX(EVENTOS!$D:$D,MATCH(SCORE!X$2&amp;" "&amp;SCORE!$D189,EVENTOS!$F:$F,0)),0)</f>
        <v>0</v>
      </c>
      <c r="Y189" s="3">
        <f>SUMIFS(EVENTOS!$D:$D, EVENTOS!$B:$B, D189, EVENTOS!$E:$E, "*GirAlto*")</f>
        <v>0</v>
      </c>
      <c r="Z189" s="3">
        <f>SUMIFS(EVENTOS!$D:$D, EVENTOS!$B:$B, D189, EVENTOS!$E:$E, "*GirMed*")</f>
        <v>0</v>
      </c>
      <c r="AA189" s="3">
        <f>SUMIFS(EVENTOS!$D:$D, EVENTOS!$B:$B, D189, EVENTOS!$E:$E, "*GirBajo*")</f>
        <v>0</v>
      </c>
      <c r="AB189" s="3">
        <f>IFERROR(INDEX(EVENTOS!$D:$D,MATCH(SCORE!AB$2&amp;" "&amp;SCORE!$D189,EVENTOS!$F:$F,0)),0)</f>
        <v>0</v>
      </c>
      <c r="AC189" s="3">
        <f>IFERROR(INDEX(EVENTOS!$D:$D,MATCH(SCORE!AC$2&amp;" "&amp;SCORE!$D189,EVENTOS!$F:$F,0)),0)</f>
        <v>0</v>
      </c>
      <c r="AD189" s="3">
        <f>IFERROR(INDEX(EVENTOS!$D:$D,MATCH(SCORE!AD$2&amp;" "&amp;SCORE!$D189,EVENTOS!$F:$F,0)),0)</f>
        <v>0</v>
      </c>
      <c r="AE189" s="3">
        <f t="shared" si="6"/>
        <v>0</v>
      </c>
      <c r="AF189" s="10" t="e">
        <f t="shared" si="7"/>
        <v>#N/A</v>
      </c>
      <c r="AG189" s="3" t="str">
        <f t="shared" si="8"/>
        <v/>
      </c>
    </row>
    <row r="190" spans="1:33" x14ac:dyDescent="0.25">
      <c r="A190" s="7"/>
      <c r="B190" s="8"/>
      <c r="C190" s="3"/>
      <c r="D190" s="3"/>
      <c r="E190" s="3" t="e">
        <f>VLOOKUP(D190,VIAJES!$D:$E,2,FALSE)</f>
        <v>#N/A</v>
      </c>
      <c r="F190" s="9" t="e">
        <f>VLOOKUP(D190,VIAJES!$D:$F,3,FALSE)</f>
        <v>#N/A</v>
      </c>
      <c r="G190" s="9" t="e">
        <f>VLOOKUP(D190,VIAJES!$D:$G,4,FALSE)</f>
        <v>#N/A</v>
      </c>
      <c r="H190" s="3" t="e">
        <f>VLOOKUP(D190,VIAJES!$D:$H,5,FALSE)</f>
        <v>#N/A</v>
      </c>
      <c r="S190" s="3">
        <f>IFERROR(INDEX(EVENTOS!$D:$D,MATCH(SCORE!S$2&amp;" "&amp;SCORE!$D190,EVENTOS!$F:$F,0)),0)</f>
        <v>0</v>
      </c>
      <c r="T190" s="3">
        <f>IFERROR(INDEX(EVENTOS!$D:$D,MATCH(SCORE!T$2&amp;" "&amp;SCORE!$D190,EVENTOS!$F:$F,0)),0)</f>
        <v>0</v>
      </c>
      <c r="U190" s="3">
        <f>IFERROR(INDEX(EVENTOS!$D:$D,MATCH(SCORE!U$2&amp;" "&amp;SCORE!$D190,EVENTOS!$F:$F,0)),0)</f>
        <v>0</v>
      </c>
      <c r="V190" s="3">
        <f>IFERROR(INDEX(EVENTOS!$D:$D,MATCH(SCORE!V$2&amp;" "&amp;SCORE!$D190,EVENTOS!$F:$F,0)),0)</f>
        <v>0</v>
      </c>
      <c r="W190" s="3">
        <f>IFERROR(INDEX(EVENTOS!$D:$D,MATCH(SCORE!W$2&amp;" "&amp;SCORE!$D190,EVENTOS!$F:$F,0)),0)</f>
        <v>0</v>
      </c>
      <c r="X190" s="3">
        <f>IFERROR(INDEX(EVENTOS!$D:$D,MATCH(SCORE!X$2&amp;" "&amp;SCORE!$D190,EVENTOS!$F:$F,0)),0)</f>
        <v>0</v>
      </c>
      <c r="Y190" s="3">
        <f>SUMIFS(EVENTOS!$D:$D, EVENTOS!$B:$B, D190, EVENTOS!$E:$E, "*GirAlto*")</f>
        <v>0</v>
      </c>
      <c r="Z190" s="3">
        <f>SUMIFS(EVENTOS!$D:$D, EVENTOS!$B:$B, D190, EVENTOS!$E:$E, "*GirMed*")</f>
        <v>0</v>
      </c>
      <c r="AA190" s="3">
        <f>SUMIFS(EVENTOS!$D:$D, EVENTOS!$B:$B, D190, EVENTOS!$E:$E, "*GirBajo*")</f>
        <v>0</v>
      </c>
      <c r="AB190" s="3">
        <f>IFERROR(INDEX(EVENTOS!$D:$D,MATCH(SCORE!AB$2&amp;" "&amp;SCORE!$D190,EVENTOS!$F:$F,0)),0)</f>
        <v>0</v>
      </c>
      <c r="AC190" s="3">
        <f>IFERROR(INDEX(EVENTOS!$D:$D,MATCH(SCORE!AC$2&amp;" "&amp;SCORE!$D190,EVENTOS!$F:$F,0)),0)</f>
        <v>0</v>
      </c>
      <c r="AD190" s="3">
        <f>IFERROR(INDEX(EVENTOS!$D:$D,MATCH(SCORE!AD$2&amp;" "&amp;SCORE!$D190,EVENTOS!$F:$F,0)),0)</f>
        <v>0</v>
      </c>
      <c r="AE190" s="3">
        <f t="shared" si="6"/>
        <v>0</v>
      </c>
      <c r="AF190" s="10" t="e">
        <f t="shared" si="7"/>
        <v>#N/A</v>
      </c>
      <c r="AG190" s="3" t="str">
        <f t="shared" si="8"/>
        <v/>
      </c>
    </row>
    <row r="191" spans="1:33" x14ac:dyDescent="0.25">
      <c r="A191" s="7"/>
      <c r="B191" s="8"/>
      <c r="C191" s="3"/>
      <c r="D191" s="3"/>
      <c r="E191" s="3" t="e">
        <f>VLOOKUP(D191,VIAJES!$D:$E,2,FALSE)</f>
        <v>#N/A</v>
      </c>
      <c r="F191" s="9" t="e">
        <f>VLOOKUP(D191,VIAJES!$D:$F,3,FALSE)</f>
        <v>#N/A</v>
      </c>
      <c r="G191" s="9" t="e">
        <f>VLOOKUP(D191,VIAJES!$D:$G,4,FALSE)</f>
        <v>#N/A</v>
      </c>
      <c r="H191" s="3" t="e">
        <f>VLOOKUP(D191,VIAJES!$D:$H,5,FALSE)</f>
        <v>#N/A</v>
      </c>
      <c r="S191" s="3">
        <f>IFERROR(INDEX(EVENTOS!$D:$D,MATCH(SCORE!S$2&amp;" "&amp;SCORE!$D191,EVENTOS!$F:$F,0)),0)</f>
        <v>0</v>
      </c>
      <c r="T191" s="3">
        <f>IFERROR(INDEX(EVENTOS!$D:$D,MATCH(SCORE!T$2&amp;" "&amp;SCORE!$D191,EVENTOS!$F:$F,0)),0)</f>
        <v>0</v>
      </c>
      <c r="U191" s="3">
        <f>IFERROR(INDEX(EVENTOS!$D:$D,MATCH(SCORE!U$2&amp;" "&amp;SCORE!$D191,EVENTOS!$F:$F,0)),0)</f>
        <v>0</v>
      </c>
      <c r="V191" s="3">
        <f>IFERROR(INDEX(EVENTOS!$D:$D,MATCH(SCORE!V$2&amp;" "&amp;SCORE!$D191,EVENTOS!$F:$F,0)),0)</f>
        <v>0</v>
      </c>
      <c r="W191" s="3">
        <f>IFERROR(INDEX(EVENTOS!$D:$D,MATCH(SCORE!W$2&amp;" "&amp;SCORE!$D191,EVENTOS!$F:$F,0)),0)</f>
        <v>0</v>
      </c>
      <c r="X191" s="3">
        <f>IFERROR(INDEX(EVENTOS!$D:$D,MATCH(SCORE!X$2&amp;" "&amp;SCORE!$D191,EVENTOS!$F:$F,0)),0)</f>
        <v>0</v>
      </c>
      <c r="Y191" s="3">
        <f>SUMIFS(EVENTOS!$D:$D, EVENTOS!$B:$B, D191, EVENTOS!$E:$E, "*GirAlto*")</f>
        <v>0</v>
      </c>
      <c r="Z191" s="3">
        <f>SUMIFS(EVENTOS!$D:$D, EVENTOS!$B:$B, D191, EVENTOS!$E:$E, "*GirMed*")</f>
        <v>0</v>
      </c>
      <c r="AA191" s="3">
        <f>SUMIFS(EVENTOS!$D:$D, EVENTOS!$B:$B, D191, EVENTOS!$E:$E, "*GirBajo*")</f>
        <v>0</v>
      </c>
      <c r="AB191" s="3">
        <f>IFERROR(INDEX(EVENTOS!$D:$D,MATCH(SCORE!AB$2&amp;" "&amp;SCORE!$D191,EVENTOS!$F:$F,0)),0)</f>
        <v>0</v>
      </c>
      <c r="AC191" s="3">
        <f>IFERROR(INDEX(EVENTOS!$D:$D,MATCH(SCORE!AC$2&amp;" "&amp;SCORE!$D191,EVENTOS!$F:$F,0)),0)</f>
        <v>0</v>
      </c>
      <c r="AD191" s="3">
        <f>IFERROR(INDEX(EVENTOS!$D:$D,MATCH(SCORE!AD$2&amp;" "&amp;SCORE!$D191,EVENTOS!$F:$F,0)),0)</f>
        <v>0</v>
      </c>
      <c r="AE191" s="3">
        <f t="shared" si="6"/>
        <v>0</v>
      </c>
      <c r="AF191" s="10" t="e">
        <f t="shared" si="7"/>
        <v>#N/A</v>
      </c>
      <c r="AG191" s="3" t="str">
        <f t="shared" si="8"/>
        <v/>
      </c>
    </row>
    <row r="192" spans="1:33" x14ac:dyDescent="0.25">
      <c r="A192" s="7"/>
      <c r="B192" s="8"/>
      <c r="C192" s="3"/>
      <c r="D192" s="3"/>
      <c r="E192" s="3" t="e">
        <f>VLOOKUP(D192,VIAJES!$D:$E,2,FALSE)</f>
        <v>#N/A</v>
      </c>
      <c r="F192" s="9" t="e">
        <f>VLOOKUP(D192,VIAJES!$D:$F,3,FALSE)</f>
        <v>#N/A</v>
      </c>
      <c r="G192" s="9" t="e">
        <f>VLOOKUP(D192,VIAJES!$D:$G,4,FALSE)</f>
        <v>#N/A</v>
      </c>
      <c r="H192" s="3" t="e">
        <f>VLOOKUP(D192,VIAJES!$D:$H,5,FALSE)</f>
        <v>#N/A</v>
      </c>
      <c r="S192" s="3">
        <f>IFERROR(INDEX(EVENTOS!$D:$D,MATCH(SCORE!S$2&amp;" "&amp;SCORE!$D192,EVENTOS!$F:$F,0)),0)</f>
        <v>0</v>
      </c>
      <c r="T192" s="3">
        <f>IFERROR(INDEX(EVENTOS!$D:$D,MATCH(SCORE!T$2&amp;" "&amp;SCORE!$D192,EVENTOS!$F:$F,0)),0)</f>
        <v>0</v>
      </c>
      <c r="U192" s="3">
        <f>IFERROR(INDEX(EVENTOS!$D:$D,MATCH(SCORE!U$2&amp;" "&amp;SCORE!$D192,EVENTOS!$F:$F,0)),0)</f>
        <v>0</v>
      </c>
      <c r="V192" s="3">
        <f>IFERROR(INDEX(EVENTOS!$D:$D,MATCH(SCORE!V$2&amp;" "&amp;SCORE!$D192,EVENTOS!$F:$F,0)),0)</f>
        <v>0</v>
      </c>
      <c r="W192" s="3">
        <f>IFERROR(INDEX(EVENTOS!$D:$D,MATCH(SCORE!W$2&amp;" "&amp;SCORE!$D192,EVENTOS!$F:$F,0)),0)</f>
        <v>0</v>
      </c>
      <c r="X192" s="3">
        <f>IFERROR(INDEX(EVENTOS!$D:$D,MATCH(SCORE!X$2&amp;" "&amp;SCORE!$D192,EVENTOS!$F:$F,0)),0)</f>
        <v>0</v>
      </c>
      <c r="Y192" s="3">
        <f>SUMIFS(EVENTOS!$D:$D, EVENTOS!$B:$B, D192, EVENTOS!$E:$E, "*GirAlto*")</f>
        <v>0</v>
      </c>
      <c r="Z192" s="3">
        <f>SUMIFS(EVENTOS!$D:$D, EVENTOS!$B:$B, D192, EVENTOS!$E:$E, "*GirMed*")</f>
        <v>0</v>
      </c>
      <c r="AA192" s="3">
        <f>SUMIFS(EVENTOS!$D:$D, EVENTOS!$B:$B, D192, EVENTOS!$E:$E, "*GirBajo*")</f>
        <v>0</v>
      </c>
      <c r="AB192" s="3">
        <f>IFERROR(INDEX(EVENTOS!$D:$D,MATCH(SCORE!AB$2&amp;" "&amp;SCORE!$D192,EVENTOS!$F:$F,0)),0)</f>
        <v>0</v>
      </c>
      <c r="AC192" s="3">
        <f>IFERROR(INDEX(EVENTOS!$D:$D,MATCH(SCORE!AC$2&amp;" "&amp;SCORE!$D192,EVENTOS!$F:$F,0)),0)</f>
        <v>0</v>
      </c>
      <c r="AD192" s="3">
        <f>IFERROR(INDEX(EVENTOS!$D:$D,MATCH(SCORE!AD$2&amp;" "&amp;SCORE!$D192,EVENTOS!$F:$F,0)),0)</f>
        <v>0</v>
      </c>
      <c r="AE192" s="3">
        <f t="shared" si="6"/>
        <v>0</v>
      </c>
      <c r="AF192" s="10" t="e">
        <f t="shared" si="7"/>
        <v>#N/A</v>
      </c>
      <c r="AG192" s="3" t="str">
        <f t="shared" si="8"/>
        <v/>
      </c>
    </row>
    <row r="193" spans="1:33" x14ac:dyDescent="0.25">
      <c r="A193" s="7"/>
      <c r="B193" s="8"/>
      <c r="C193" s="3"/>
      <c r="D193" s="3"/>
      <c r="E193" s="3" t="e">
        <f>VLOOKUP(D193,VIAJES!$D:$E,2,FALSE)</f>
        <v>#N/A</v>
      </c>
      <c r="F193" s="9" t="e">
        <f>VLOOKUP(D193,VIAJES!$D:$F,3,FALSE)</f>
        <v>#N/A</v>
      </c>
      <c r="G193" s="9" t="e">
        <f>VLOOKUP(D193,VIAJES!$D:$G,4,FALSE)</f>
        <v>#N/A</v>
      </c>
      <c r="H193" s="3" t="e">
        <f>VLOOKUP(D193,VIAJES!$D:$H,5,FALSE)</f>
        <v>#N/A</v>
      </c>
      <c r="S193" s="3">
        <f>IFERROR(INDEX(EVENTOS!$D:$D,MATCH(SCORE!S$2&amp;" "&amp;SCORE!$D193,EVENTOS!$F:$F,0)),0)</f>
        <v>0</v>
      </c>
      <c r="T193" s="3">
        <f>IFERROR(INDEX(EVENTOS!$D:$D,MATCH(SCORE!T$2&amp;" "&amp;SCORE!$D193,EVENTOS!$F:$F,0)),0)</f>
        <v>0</v>
      </c>
      <c r="U193" s="3">
        <f>IFERROR(INDEX(EVENTOS!$D:$D,MATCH(SCORE!U$2&amp;" "&amp;SCORE!$D193,EVENTOS!$F:$F,0)),0)</f>
        <v>0</v>
      </c>
      <c r="V193" s="3">
        <f>IFERROR(INDEX(EVENTOS!$D:$D,MATCH(SCORE!V$2&amp;" "&amp;SCORE!$D193,EVENTOS!$F:$F,0)),0)</f>
        <v>0</v>
      </c>
      <c r="W193" s="3">
        <f>IFERROR(INDEX(EVENTOS!$D:$D,MATCH(SCORE!W$2&amp;" "&amp;SCORE!$D193,EVENTOS!$F:$F,0)),0)</f>
        <v>0</v>
      </c>
      <c r="X193" s="3">
        <f>IFERROR(INDEX(EVENTOS!$D:$D,MATCH(SCORE!X$2&amp;" "&amp;SCORE!$D193,EVENTOS!$F:$F,0)),0)</f>
        <v>0</v>
      </c>
      <c r="Y193" s="3">
        <f>SUMIFS(EVENTOS!$D:$D, EVENTOS!$B:$B, D193, EVENTOS!$E:$E, "*GirAlto*")</f>
        <v>0</v>
      </c>
      <c r="Z193" s="3">
        <f>SUMIFS(EVENTOS!$D:$D, EVENTOS!$B:$B, D193, EVENTOS!$E:$E, "*GirMed*")</f>
        <v>0</v>
      </c>
      <c r="AA193" s="3">
        <f>SUMIFS(EVENTOS!$D:$D, EVENTOS!$B:$B, D193, EVENTOS!$E:$E, "*GirBajo*")</f>
        <v>0</v>
      </c>
      <c r="AB193" s="3">
        <f>IFERROR(INDEX(EVENTOS!$D:$D,MATCH(SCORE!AB$2&amp;" "&amp;SCORE!$D193,EVENTOS!$F:$F,0)),0)</f>
        <v>0</v>
      </c>
      <c r="AC193" s="3">
        <f>IFERROR(INDEX(EVENTOS!$D:$D,MATCH(SCORE!AC$2&amp;" "&amp;SCORE!$D193,EVENTOS!$F:$F,0)),0)</f>
        <v>0</v>
      </c>
      <c r="AD193" s="3">
        <f>IFERROR(INDEX(EVENTOS!$D:$D,MATCH(SCORE!AD$2&amp;" "&amp;SCORE!$D193,EVENTOS!$F:$F,0)),0)</f>
        <v>0</v>
      </c>
      <c r="AE193" s="3">
        <f t="shared" si="6"/>
        <v>0</v>
      </c>
      <c r="AF193" s="10" t="e">
        <f t="shared" si="7"/>
        <v>#N/A</v>
      </c>
      <c r="AG193" s="3" t="str">
        <f t="shared" si="8"/>
        <v/>
      </c>
    </row>
    <row r="194" spans="1:33" x14ac:dyDescent="0.25">
      <c r="A194" s="7"/>
      <c r="B194" s="8"/>
      <c r="C194" s="3"/>
      <c r="D194" s="3"/>
      <c r="E194" s="3" t="e">
        <f>VLOOKUP(D194,VIAJES!$D:$E,2,FALSE)</f>
        <v>#N/A</v>
      </c>
      <c r="F194" s="9" t="e">
        <f>VLOOKUP(D194,VIAJES!$D:$F,3,FALSE)</f>
        <v>#N/A</v>
      </c>
      <c r="G194" s="9" t="e">
        <f>VLOOKUP(D194,VIAJES!$D:$G,4,FALSE)</f>
        <v>#N/A</v>
      </c>
      <c r="H194" s="3" t="e">
        <f>VLOOKUP(D194,VIAJES!$D:$H,5,FALSE)</f>
        <v>#N/A</v>
      </c>
      <c r="S194" s="3">
        <f>IFERROR(INDEX(EVENTOS!$D:$D,MATCH(SCORE!S$2&amp;" "&amp;SCORE!$D194,EVENTOS!$F:$F,0)),0)</f>
        <v>0</v>
      </c>
      <c r="T194" s="3">
        <f>IFERROR(INDEX(EVENTOS!$D:$D,MATCH(SCORE!T$2&amp;" "&amp;SCORE!$D194,EVENTOS!$F:$F,0)),0)</f>
        <v>0</v>
      </c>
      <c r="U194" s="3">
        <f>IFERROR(INDEX(EVENTOS!$D:$D,MATCH(SCORE!U$2&amp;" "&amp;SCORE!$D194,EVENTOS!$F:$F,0)),0)</f>
        <v>0</v>
      </c>
      <c r="V194" s="3">
        <f>IFERROR(INDEX(EVENTOS!$D:$D,MATCH(SCORE!V$2&amp;" "&amp;SCORE!$D194,EVENTOS!$F:$F,0)),0)</f>
        <v>0</v>
      </c>
      <c r="W194" s="3">
        <f>IFERROR(INDEX(EVENTOS!$D:$D,MATCH(SCORE!W$2&amp;" "&amp;SCORE!$D194,EVENTOS!$F:$F,0)),0)</f>
        <v>0</v>
      </c>
      <c r="X194" s="3">
        <f>IFERROR(INDEX(EVENTOS!$D:$D,MATCH(SCORE!X$2&amp;" "&amp;SCORE!$D194,EVENTOS!$F:$F,0)),0)</f>
        <v>0</v>
      </c>
      <c r="Y194" s="3">
        <f>SUMIFS(EVENTOS!$D:$D, EVENTOS!$B:$B, D194, EVENTOS!$E:$E, "*GirAlto*")</f>
        <v>0</v>
      </c>
      <c r="Z194" s="3">
        <f>SUMIFS(EVENTOS!$D:$D, EVENTOS!$B:$B, D194, EVENTOS!$E:$E, "*GirMed*")</f>
        <v>0</v>
      </c>
      <c r="AA194" s="3">
        <f>SUMIFS(EVENTOS!$D:$D, EVENTOS!$B:$B, D194, EVENTOS!$E:$E, "*GirBajo*")</f>
        <v>0</v>
      </c>
      <c r="AB194" s="3">
        <f>IFERROR(INDEX(EVENTOS!$D:$D,MATCH(SCORE!AB$2&amp;" "&amp;SCORE!$D194,EVENTOS!$F:$F,0)),0)</f>
        <v>0</v>
      </c>
      <c r="AC194" s="3">
        <f>IFERROR(INDEX(EVENTOS!$D:$D,MATCH(SCORE!AC$2&amp;" "&amp;SCORE!$D194,EVENTOS!$F:$F,0)),0)</f>
        <v>0</v>
      </c>
      <c r="AD194" s="3">
        <f>IFERROR(INDEX(EVENTOS!$D:$D,MATCH(SCORE!AD$2&amp;" "&amp;SCORE!$D194,EVENTOS!$F:$F,0)),0)</f>
        <v>0</v>
      </c>
      <c r="AE194" s="3">
        <f t="shared" si="6"/>
        <v>0</v>
      </c>
      <c r="AF194" s="10" t="e">
        <f t="shared" si="7"/>
        <v>#N/A</v>
      </c>
      <c r="AG194" s="3" t="str">
        <f t="shared" si="8"/>
        <v/>
      </c>
    </row>
    <row r="195" spans="1:33" x14ac:dyDescent="0.25">
      <c r="A195" s="7"/>
      <c r="B195" s="8"/>
      <c r="C195" s="3"/>
      <c r="D195" s="3"/>
      <c r="E195" s="3" t="e">
        <f>VLOOKUP(D195,VIAJES!$D:$E,2,FALSE)</f>
        <v>#N/A</v>
      </c>
      <c r="F195" s="9" t="e">
        <f>VLOOKUP(D195,VIAJES!$D:$F,3,FALSE)</f>
        <v>#N/A</v>
      </c>
      <c r="G195" s="9" t="e">
        <f>VLOOKUP(D195,VIAJES!$D:$G,4,FALSE)</f>
        <v>#N/A</v>
      </c>
      <c r="H195" s="3" t="e">
        <f>VLOOKUP(D195,VIAJES!$D:$H,5,FALSE)</f>
        <v>#N/A</v>
      </c>
      <c r="S195" s="3">
        <f>IFERROR(INDEX(EVENTOS!$D:$D,MATCH(SCORE!S$2&amp;" "&amp;SCORE!$D195,EVENTOS!$F:$F,0)),0)</f>
        <v>0</v>
      </c>
      <c r="T195" s="3">
        <f>IFERROR(INDEX(EVENTOS!$D:$D,MATCH(SCORE!T$2&amp;" "&amp;SCORE!$D195,EVENTOS!$F:$F,0)),0)</f>
        <v>0</v>
      </c>
      <c r="U195" s="3">
        <f>IFERROR(INDEX(EVENTOS!$D:$D,MATCH(SCORE!U$2&amp;" "&amp;SCORE!$D195,EVENTOS!$F:$F,0)),0)</f>
        <v>0</v>
      </c>
      <c r="V195" s="3">
        <f>IFERROR(INDEX(EVENTOS!$D:$D,MATCH(SCORE!V$2&amp;" "&amp;SCORE!$D195,EVENTOS!$F:$F,0)),0)</f>
        <v>0</v>
      </c>
      <c r="W195" s="3">
        <f>IFERROR(INDEX(EVENTOS!$D:$D,MATCH(SCORE!W$2&amp;" "&amp;SCORE!$D195,EVENTOS!$F:$F,0)),0)</f>
        <v>0</v>
      </c>
      <c r="X195" s="3">
        <f>IFERROR(INDEX(EVENTOS!$D:$D,MATCH(SCORE!X$2&amp;" "&amp;SCORE!$D195,EVENTOS!$F:$F,0)),0)</f>
        <v>0</v>
      </c>
      <c r="Y195" s="3">
        <f>SUMIFS(EVENTOS!$D:$D, EVENTOS!$B:$B, D195, EVENTOS!$E:$E, "*GirAlto*")</f>
        <v>0</v>
      </c>
      <c r="Z195" s="3">
        <f>SUMIFS(EVENTOS!$D:$D, EVENTOS!$B:$B, D195, EVENTOS!$E:$E, "*GirMed*")</f>
        <v>0</v>
      </c>
      <c r="AA195" s="3">
        <f>SUMIFS(EVENTOS!$D:$D, EVENTOS!$B:$B, D195, EVENTOS!$E:$E, "*GirBajo*")</f>
        <v>0</v>
      </c>
      <c r="AB195" s="3">
        <f>IFERROR(INDEX(EVENTOS!$D:$D,MATCH(SCORE!AB$2&amp;" "&amp;SCORE!$D195,EVENTOS!$F:$F,0)),0)</f>
        <v>0</v>
      </c>
      <c r="AC195" s="3">
        <f>IFERROR(INDEX(EVENTOS!$D:$D,MATCH(SCORE!AC$2&amp;" "&amp;SCORE!$D195,EVENTOS!$F:$F,0)),0)</f>
        <v>0</v>
      </c>
      <c r="AD195" s="3">
        <f>IFERROR(INDEX(EVENTOS!$D:$D,MATCH(SCORE!AD$2&amp;" "&amp;SCORE!$D195,EVENTOS!$F:$F,0)),0)</f>
        <v>0</v>
      </c>
      <c r="AE195" s="3">
        <f t="shared" ref="AE195:AE258" si="9">((S195+V195+Y195+AB195)*50)+((T195+W195+Z195+AC195)*25)+((U195+X195+AA195+AD195)*5)</f>
        <v>0</v>
      </c>
      <c r="AF195" s="10" t="e">
        <f t="shared" ref="AF195:AF258" si="10">AE195/(G195*24)*100</f>
        <v>#N/A</v>
      </c>
      <c r="AG195" s="3" t="str">
        <f t="shared" ref="AG195:AG258" si="11">IF(D195&lt;&gt;"",IF(AF195&gt;=30000,5,ROUNDDOWN((((5-95)*(AF195-0))/(30000-0))+95,0)),"")</f>
        <v/>
      </c>
    </row>
    <row r="196" spans="1:33" x14ac:dyDescent="0.25">
      <c r="A196" s="7"/>
      <c r="B196" s="8"/>
      <c r="C196" s="3"/>
      <c r="D196" s="3"/>
      <c r="E196" s="3" t="e">
        <f>VLOOKUP(D196,VIAJES!$D:$E,2,FALSE)</f>
        <v>#N/A</v>
      </c>
      <c r="F196" s="9" t="e">
        <f>VLOOKUP(D196,VIAJES!$D:$F,3,FALSE)</f>
        <v>#N/A</v>
      </c>
      <c r="G196" s="9" t="e">
        <f>VLOOKUP(D196,VIAJES!$D:$G,4,FALSE)</f>
        <v>#N/A</v>
      </c>
      <c r="H196" s="3" t="e">
        <f>VLOOKUP(D196,VIAJES!$D:$H,5,FALSE)</f>
        <v>#N/A</v>
      </c>
      <c r="S196" s="3">
        <f>IFERROR(INDEX(EVENTOS!$D:$D,MATCH(SCORE!S$2&amp;" "&amp;SCORE!$D196,EVENTOS!$F:$F,0)),0)</f>
        <v>0</v>
      </c>
      <c r="T196" s="3">
        <f>IFERROR(INDEX(EVENTOS!$D:$D,MATCH(SCORE!T$2&amp;" "&amp;SCORE!$D196,EVENTOS!$F:$F,0)),0)</f>
        <v>0</v>
      </c>
      <c r="U196" s="3">
        <f>IFERROR(INDEX(EVENTOS!$D:$D,MATCH(SCORE!U$2&amp;" "&amp;SCORE!$D196,EVENTOS!$F:$F,0)),0)</f>
        <v>0</v>
      </c>
      <c r="V196" s="3">
        <f>IFERROR(INDEX(EVENTOS!$D:$D,MATCH(SCORE!V$2&amp;" "&amp;SCORE!$D196,EVENTOS!$F:$F,0)),0)</f>
        <v>0</v>
      </c>
      <c r="W196" s="3">
        <f>IFERROR(INDEX(EVENTOS!$D:$D,MATCH(SCORE!W$2&amp;" "&amp;SCORE!$D196,EVENTOS!$F:$F,0)),0)</f>
        <v>0</v>
      </c>
      <c r="X196" s="3">
        <f>IFERROR(INDEX(EVENTOS!$D:$D,MATCH(SCORE!X$2&amp;" "&amp;SCORE!$D196,EVENTOS!$F:$F,0)),0)</f>
        <v>0</v>
      </c>
      <c r="Y196" s="3">
        <f>SUMIFS(EVENTOS!$D:$D, EVENTOS!$B:$B, D196, EVENTOS!$E:$E, "*GirAlto*")</f>
        <v>0</v>
      </c>
      <c r="Z196" s="3">
        <f>SUMIFS(EVENTOS!$D:$D, EVENTOS!$B:$B, D196, EVENTOS!$E:$E, "*GirMed*")</f>
        <v>0</v>
      </c>
      <c r="AA196" s="3">
        <f>SUMIFS(EVENTOS!$D:$D, EVENTOS!$B:$B, D196, EVENTOS!$E:$E, "*GirBajo*")</f>
        <v>0</v>
      </c>
      <c r="AB196" s="3">
        <f>IFERROR(INDEX(EVENTOS!$D:$D,MATCH(SCORE!AB$2&amp;" "&amp;SCORE!$D196,EVENTOS!$F:$F,0)),0)</f>
        <v>0</v>
      </c>
      <c r="AC196" s="3">
        <f>IFERROR(INDEX(EVENTOS!$D:$D,MATCH(SCORE!AC$2&amp;" "&amp;SCORE!$D196,EVENTOS!$F:$F,0)),0)</f>
        <v>0</v>
      </c>
      <c r="AD196" s="3">
        <f>IFERROR(INDEX(EVENTOS!$D:$D,MATCH(SCORE!AD$2&amp;" "&amp;SCORE!$D196,EVENTOS!$F:$F,0)),0)</f>
        <v>0</v>
      </c>
      <c r="AE196" s="3">
        <f t="shared" si="9"/>
        <v>0</v>
      </c>
      <c r="AF196" s="10" t="e">
        <f t="shared" si="10"/>
        <v>#N/A</v>
      </c>
      <c r="AG196" s="3" t="str">
        <f t="shared" si="11"/>
        <v/>
      </c>
    </row>
    <row r="197" spans="1:33" x14ac:dyDescent="0.25">
      <c r="A197" s="7"/>
      <c r="B197" s="8"/>
      <c r="C197" s="3"/>
      <c r="D197" s="3"/>
      <c r="E197" s="3" t="e">
        <f>VLOOKUP(D197,VIAJES!$D:$E,2,FALSE)</f>
        <v>#N/A</v>
      </c>
      <c r="F197" s="9" t="e">
        <f>VLOOKUP(D197,VIAJES!$D:$F,3,FALSE)</f>
        <v>#N/A</v>
      </c>
      <c r="G197" s="9" t="e">
        <f>VLOOKUP(D197,VIAJES!$D:$G,4,FALSE)</f>
        <v>#N/A</v>
      </c>
      <c r="H197" s="3" t="e">
        <f>VLOOKUP(D197,VIAJES!$D:$H,5,FALSE)</f>
        <v>#N/A</v>
      </c>
      <c r="S197" s="3">
        <f>IFERROR(INDEX(EVENTOS!$D:$D,MATCH(SCORE!S$2&amp;" "&amp;SCORE!$D197,EVENTOS!$F:$F,0)),0)</f>
        <v>0</v>
      </c>
      <c r="T197" s="3">
        <f>IFERROR(INDEX(EVENTOS!$D:$D,MATCH(SCORE!T$2&amp;" "&amp;SCORE!$D197,EVENTOS!$F:$F,0)),0)</f>
        <v>0</v>
      </c>
      <c r="U197" s="3">
        <f>IFERROR(INDEX(EVENTOS!$D:$D,MATCH(SCORE!U$2&amp;" "&amp;SCORE!$D197,EVENTOS!$F:$F,0)),0)</f>
        <v>0</v>
      </c>
      <c r="V197" s="3">
        <f>IFERROR(INDEX(EVENTOS!$D:$D,MATCH(SCORE!V$2&amp;" "&amp;SCORE!$D197,EVENTOS!$F:$F,0)),0)</f>
        <v>0</v>
      </c>
      <c r="W197" s="3">
        <f>IFERROR(INDEX(EVENTOS!$D:$D,MATCH(SCORE!W$2&amp;" "&amp;SCORE!$D197,EVENTOS!$F:$F,0)),0)</f>
        <v>0</v>
      </c>
      <c r="X197" s="3">
        <f>IFERROR(INDEX(EVENTOS!$D:$D,MATCH(SCORE!X$2&amp;" "&amp;SCORE!$D197,EVENTOS!$F:$F,0)),0)</f>
        <v>0</v>
      </c>
      <c r="Y197" s="3">
        <f>SUMIFS(EVENTOS!$D:$D, EVENTOS!$B:$B, D197, EVENTOS!$E:$E, "*GirAlto*")</f>
        <v>0</v>
      </c>
      <c r="Z197" s="3">
        <f>SUMIFS(EVENTOS!$D:$D, EVENTOS!$B:$B, D197, EVENTOS!$E:$E, "*GirMed*")</f>
        <v>0</v>
      </c>
      <c r="AA197" s="3">
        <f>SUMIFS(EVENTOS!$D:$D, EVENTOS!$B:$B, D197, EVENTOS!$E:$E, "*GirBajo*")</f>
        <v>0</v>
      </c>
      <c r="AB197" s="3">
        <f>IFERROR(INDEX(EVENTOS!$D:$D,MATCH(SCORE!AB$2&amp;" "&amp;SCORE!$D197,EVENTOS!$F:$F,0)),0)</f>
        <v>0</v>
      </c>
      <c r="AC197" s="3">
        <f>IFERROR(INDEX(EVENTOS!$D:$D,MATCH(SCORE!AC$2&amp;" "&amp;SCORE!$D197,EVENTOS!$F:$F,0)),0)</f>
        <v>0</v>
      </c>
      <c r="AD197" s="3">
        <f>IFERROR(INDEX(EVENTOS!$D:$D,MATCH(SCORE!AD$2&amp;" "&amp;SCORE!$D197,EVENTOS!$F:$F,0)),0)</f>
        <v>0</v>
      </c>
      <c r="AE197" s="3">
        <f t="shared" si="9"/>
        <v>0</v>
      </c>
      <c r="AF197" s="10" t="e">
        <f t="shared" si="10"/>
        <v>#N/A</v>
      </c>
      <c r="AG197" s="3" t="str">
        <f t="shared" si="11"/>
        <v/>
      </c>
    </row>
    <row r="198" spans="1:33" x14ac:dyDescent="0.25">
      <c r="A198" s="7"/>
      <c r="B198" s="8"/>
      <c r="C198" s="3"/>
      <c r="D198" s="3"/>
      <c r="E198" s="3" t="e">
        <f>VLOOKUP(D198,VIAJES!$D:$E,2,FALSE)</f>
        <v>#N/A</v>
      </c>
      <c r="F198" s="9" t="e">
        <f>VLOOKUP(D198,VIAJES!$D:$F,3,FALSE)</f>
        <v>#N/A</v>
      </c>
      <c r="G198" s="9" t="e">
        <f>VLOOKUP(D198,VIAJES!$D:$G,4,FALSE)</f>
        <v>#N/A</v>
      </c>
      <c r="H198" s="3" t="e">
        <f>VLOOKUP(D198,VIAJES!$D:$H,5,FALSE)</f>
        <v>#N/A</v>
      </c>
      <c r="S198" s="3">
        <f>IFERROR(INDEX(EVENTOS!$D:$D,MATCH(SCORE!S$2&amp;" "&amp;SCORE!$D198,EVENTOS!$F:$F,0)),0)</f>
        <v>0</v>
      </c>
      <c r="T198" s="3">
        <f>IFERROR(INDEX(EVENTOS!$D:$D,MATCH(SCORE!T$2&amp;" "&amp;SCORE!$D198,EVENTOS!$F:$F,0)),0)</f>
        <v>0</v>
      </c>
      <c r="U198" s="3">
        <f>IFERROR(INDEX(EVENTOS!$D:$D,MATCH(SCORE!U$2&amp;" "&amp;SCORE!$D198,EVENTOS!$F:$F,0)),0)</f>
        <v>0</v>
      </c>
      <c r="V198" s="3">
        <f>IFERROR(INDEX(EVENTOS!$D:$D,MATCH(SCORE!V$2&amp;" "&amp;SCORE!$D198,EVENTOS!$F:$F,0)),0)</f>
        <v>0</v>
      </c>
      <c r="W198" s="3">
        <f>IFERROR(INDEX(EVENTOS!$D:$D,MATCH(SCORE!W$2&amp;" "&amp;SCORE!$D198,EVENTOS!$F:$F,0)),0)</f>
        <v>0</v>
      </c>
      <c r="X198" s="3">
        <f>IFERROR(INDEX(EVENTOS!$D:$D,MATCH(SCORE!X$2&amp;" "&amp;SCORE!$D198,EVENTOS!$F:$F,0)),0)</f>
        <v>0</v>
      </c>
      <c r="Y198" s="3">
        <f>SUMIFS(EVENTOS!$D:$D, EVENTOS!$B:$B, D198, EVENTOS!$E:$E, "*GirAlto*")</f>
        <v>0</v>
      </c>
      <c r="Z198" s="3">
        <f>SUMIFS(EVENTOS!$D:$D, EVENTOS!$B:$B, D198, EVENTOS!$E:$E, "*GirMed*")</f>
        <v>0</v>
      </c>
      <c r="AA198" s="3">
        <f>SUMIFS(EVENTOS!$D:$D, EVENTOS!$B:$B, D198, EVENTOS!$E:$E, "*GirBajo*")</f>
        <v>0</v>
      </c>
      <c r="AB198" s="3">
        <f>IFERROR(INDEX(EVENTOS!$D:$D,MATCH(SCORE!AB$2&amp;" "&amp;SCORE!$D198,EVENTOS!$F:$F,0)),0)</f>
        <v>0</v>
      </c>
      <c r="AC198" s="3">
        <f>IFERROR(INDEX(EVENTOS!$D:$D,MATCH(SCORE!AC$2&amp;" "&amp;SCORE!$D198,EVENTOS!$F:$F,0)),0)</f>
        <v>0</v>
      </c>
      <c r="AD198" s="3">
        <f>IFERROR(INDEX(EVENTOS!$D:$D,MATCH(SCORE!AD$2&amp;" "&amp;SCORE!$D198,EVENTOS!$F:$F,0)),0)</f>
        <v>0</v>
      </c>
      <c r="AE198" s="3">
        <f t="shared" si="9"/>
        <v>0</v>
      </c>
      <c r="AF198" s="10" t="e">
        <f t="shared" si="10"/>
        <v>#N/A</v>
      </c>
      <c r="AG198" s="3" t="str">
        <f t="shared" si="11"/>
        <v/>
      </c>
    </row>
    <row r="199" spans="1:33" x14ac:dyDescent="0.25">
      <c r="A199" s="7"/>
      <c r="B199" s="8"/>
      <c r="C199" s="3"/>
      <c r="D199" s="3"/>
      <c r="E199" s="3" t="e">
        <f>VLOOKUP(D199,VIAJES!$D:$E,2,FALSE)</f>
        <v>#N/A</v>
      </c>
      <c r="F199" s="9" t="e">
        <f>VLOOKUP(D199,VIAJES!$D:$F,3,FALSE)</f>
        <v>#N/A</v>
      </c>
      <c r="G199" s="9" t="e">
        <f>VLOOKUP(D199,VIAJES!$D:$G,4,FALSE)</f>
        <v>#N/A</v>
      </c>
      <c r="H199" s="3" t="e">
        <f>VLOOKUP(D199,VIAJES!$D:$H,5,FALSE)</f>
        <v>#N/A</v>
      </c>
      <c r="S199" s="3">
        <f>IFERROR(INDEX(EVENTOS!$D:$D,MATCH(SCORE!S$2&amp;" "&amp;SCORE!$D199,EVENTOS!$F:$F,0)),0)</f>
        <v>0</v>
      </c>
      <c r="T199" s="3">
        <f>IFERROR(INDEX(EVENTOS!$D:$D,MATCH(SCORE!T$2&amp;" "&amp;SCORE!$D199,EVENTOS!$F:$F,0)),0)</f>
        <v>0</v>
      </c>
      <c r="U199" s="3">
        <f>IFERROR(INDEX(EVENTOS!$D:$D,MATCH(SCORE!U$2&amp;" "&amp;SCORE!$D199,EVENTOS!$F:$F,0)),0)</f>
        <v>0</v>
      </c>
      <c r="V199" s="3">
        <f>IFERROR(INDEX(EVENTOS!$D:$D,MATCH(SCORE!V$2&amp;" "&amp;SCORE!$D199,EVENTOS!$F:$F,0)),0)</f>
        <v>0</v>
      </c>
      <c r="W199" s="3">
        <f>IFERROR(INDEX(EVENTOS!$D:$D,MATCH(SCORE!W$2&amp;" "&amp;SCORE!$D199,EVENTOS!$F:$F,0)),0)</f>
        <v>0</v>
      </c>
      <c r="X199" s="3">
        <f>IFERROR(INDEX(EVENTOS!$D:$D,MATCH(SCORE!X$2&amp;" "&amp;SCORE!$D199,EVENTOS!$F:$F,0)),0)</f>
        <v>0</v>
      </c>
      <c r="Y199" s="3">
        <f>SUMIFS(EVENTOS!$D:$D, EVENTOS!$B:$B, D199, EVENTOS!$E:$E, "*GirAlto*")</f>
        <v>0</v>
      </c>
      <c r="Z199" s="3">
        <f>SUMIFS(EVENTOS!$D:$D, EVENTOS!$B:$B, D199, EVENTOS!$E:$E, "*GirMed*")</f>
        <v>0</v>
      </c>
      <c r="AA199" s="3">
        <f>SUMIFS(EVENTOS!$D:$D, EVENTOS!$B:$B, D199, EVENTOS!$E:$E, "*GirBajo*")</f>
        <v>0</v>
      </c>
      <c r="AB199" s="3">
        <f>IFERROR(INDEX(EVENTOS!$D:$D,MATCH(SCORE!AB$2&amp;" "&amp;SCORE!$D199,EVENTOS!$F:$F,0)),0)</f>
        <v>0</v>
      </c>
      <c r="AC199" s="3">
        <f>IFERROR(INDEX(EVENTOS!$D:$D,MATCH(SCORE!AC$2&amp;" "&amp;SCORE!$D199,EVENTOS!$F:$F,0)),0)</f>
        <v>0</v>
      </c>
      <c r="AD199" s="3">
        <f>IFERROR(INDEX(EVENTOS!$D:$D,MATCH(SCORE!AD$2&amp;" "&amp;SCORE!$D199,EVENTOS!$F:$F,0)),0)</f>
        <v>0</v>
      </c>
      <c r="AE199" s="3">
        <f t="shared" si="9"/>
        <v>0</v>
      </c>
      <c r="AF199" s="10" t="e">
        <f t="shared" si="10"/>
        <v>#N/A</v>
      </c>
      <c r="AG199" s="3" t="str">
        <f t="shared" si="11"/>
        <v/>
      </c>
    </row>
    <row r="200" spans="1:33" x14ac:dyDescent="0.25">
      <c r="A200" s="7"/>
      <c r="B200" s="8"/>
      <c r="C200" s="3"/>
      <c r="D200" s="3"/>
      <c r="E200" s="3" t="e">
        <f>VLOOKUP(D200,VIAJES!$D:$E,2,FALSE)</f>
        <v>#N/A</v>
      </c>
      <c r="F200" s="9" t="e">
        <f>VLOOKUP(D200,VIAJES!$D:$F,3,FALSE)</f>
        <v>#N/A</v>
      </c>
      <c r="G200" s="9" t="e">
        <f>VLOOKUP(D200,VIAJES!$D:$G,4,FALSE)</f>
        <v>#N/A</v>
      </c>
      <c r="H200" s="3" t="e">
        <f>VLOOKUP(D200,VIAJES!$D:$H,5,FALSE)</f>
        <v>#N/A</v>
      </c>
      <c r="S200" s="3">
        <f>IFERROR(INDEX(EVENTOS!$D:$D,MATCH(SCORE!S$2&amp;" "&amp;SCORE!$D200,EVENTOS!$F:$F,0)),0)</f>
        <v>0</v>
      </c>
      <c r="T200" s="3">
        <f>IFERROR(INDEX(EVENTOS!$D:$D,MATCH(SCORE!T$2&amp;" "&amp;SCORE!$D200,EVENTOS!$F:$F,0)),0)</f>
        <v>0</v>
      </c>
      <c r="U200" s="3">
        <f>IFERROR(INDEX(EVENTOS!$D:$D,MATCH(SCORE!U$2&amp;" "&amp;SCORE!$D200,EVENTOS!$F:$F,0)),0)</f>
        <v>0</v>
      </c>
      <c r="V200" s="3">
        <f>IFERROR(INDEX(EVENTOS!$D:$D,MATCH(SCORE!V$2&amp;" "&amp;SCORE!$D200,EVENTOS!$F:$F,0)),0)</f>
        <v>0</v>
      </c>
      <c r="W200" s="3">
        <f>IFERROR(INDEX(EVENTOS!$D:$D,MATCH(SCORE!W$2&amp;" "&amp;SCORE!$D200,EVENTOS!$F:$F,0)),0)</f>
        <v>0</v>
      </c>
      <c r="X200" s="3">
        <f>IFERROR(INDEX(EVENTOS!$D:$D,MATCH(SCORE!X$2&amp;" "&amp;SCORE!$D200,EVENTOS!$F:$F,0)),0)</f>
        <v>0</v>
      </c>
      <c r="Y200" s="3">
        <f>SUMIFS(EVENTOS!$D:$D, EVENTOS!$B:$B, D200, EVENTOS!$E:$E, "*GirAlto*")</f>
        <v>0</v>
      </c>
      <c r="Z200" s="3">
        <f>SUMIFS(EVENTOS!$D:$D, EVENTOS!$B:$B, D200, EVENTOS!$E:$E, "*GirMed*")</f>
        <v>0</v>
      </c>
      <c r="AA200" s="3">
        <f>SUMIFS(EVENTOS!$D:$D, EVENTOS!$B:$B, D200, EVENTOS!$E:$E, "*GirBajo*")</f>
        <v>0</v>
      </c>
      <c r="AB200" s="3">
        <f>IFERROR(INDEX(EVENTOS!$D:$D,MATCH(SCORE!AB$2&amp;" "&amp;SCORE!$D200,EVENTOS!$F:$F,0)),0)</f>
        <v>0</v>
      </c>
      <c r="AC200" s="3">
        <f>IFERROR(INDEX(EVENTOS!$D:$D,MATCH(SCORE!AC$2&amp;" "&amp;SCORE!$D200,EVENTOS!$F:$F,0)),0)</f>
        <v>0</v>
      </c>
      <c r="AD200" s="3">
        <f>IFERROR(INDEX(EVENTOS!$D:$D,MATCH(SCORE!AD$2&amp;" "&amp;SCORE!$D200,EVENTOS!$F:$F,0)),0)</f>
        <v>0</v>
      </c>
      <c r="AE200" s="3">
        <f t="shared" si="9"/>
        <v>0</v>
      </c>
      <c r="AF200" s="10" t="e">
        <f t="shared" si="10"/>
        <v>#N/A</v>
      </c>
      <c r="AG200" s="3" t="str">
        <f t="shared" si="11"/>
        <v/>
      </c>
    </row>
    <row r="201" spans="1:33" x14ac:dyDescent="0.25">
      <c r="A201" s="7"/>
      <c r="B201" s="8"/>
      <c r="C201" s="3"/>
      <c r="D201" s="3"/>
      <c r="E201" s="3" t="e">
        <f>VLOOKUP(D201,VIAJES!$D:$E,2,FALSE)</f>
        <v>#N/A</v>
      </c>
      <c r="F201" s="9" t="e">
        <f>VLOOKUP(D201,VIAJES!$D:$F,3,FALSE)</f>
        <v>#N/A</v>
      </c>
      <c r="G201" s="9" t="e">
        <f>VLOOKUP(D201,VIAJES!$D:$G,4,FALSE)</f>
        <v>#N/A</v>
      </c>
      <c r="H201" s="3" t="e">
        <f>VLOOKUP(D201,VIAJES!$D:$H,5,FALSE)</f>
        <v>#N/A</v>
      </c>
      <c r="S201" s="3">
        <f>IFERROR(INDEX(EVENTOS!$D:$D,MATCH(SCORE!S$2&amp;" "&amp;SCORE!$D201,EVENTOS!$F:$F,0)),0)</f>
        <v>0</v>
      </c>
      <c r="T201" s="3">
        <f>IFERROR(INDEX(EVENTOS!$D:$D,MATCH(SCORE!T$2&amp;" "&amp;SCORE!$D201,EVENTOS!$F:$F,0)),0)</f>
        <v>0</v>
      </c>
      <c r="U201" s="3">
        <f>IFERROR(INDEX(EVENTOS!$D:$D,MATCH(SCORE!U$2&amp;" "&amp;SCORE!$D201,EVENTOS!$F:$F,0)),0)</f>
        <v>0</v>
      </c>
      <c r="V201" s="3">
        <f>IFERROR(INDEX(EVENTOS!$D:$D,MATCH(SCORE!V$2&amp;" "&amp;SCORE!$D201,EVENTOS!$F:$F,0)),0)</f>
        <v>0</v>
      </c>
      <c r="W201" s="3">
        <f>IFERROR(INDEX(EVENTOS!$D:$D,MATCH(SCORE!W$2&amp;" "&amp;SCORE!$D201,EVENTOS!$F:$F,0)),0)</f>
        <v>0</v>
      </c>
      <c r="X201" s="3">
        <f>IFERROR(INDEX(EVENTOS!$D:$D,MATCH(SCORE!X$2&amp;" "&amp;SCORE!$D201,EVENTOS!$F:$F,0)),0)</f>
        <v>0</v>
      </c>
      <c r="Y201" s="3">
        <f>SUMIFS(EVENTOS!$D:$D, EVENTOS!$B:$B, D201, EVENTOS!$E:$E, "*GirAlto*")</f>
        <v>0</v>
      </c>
      <c r="Z201" s="3">
        <f>SUMIFS(EVENTOS!$D:$D, EVENTOS!$B:$B, D201, EVENTOS!$E:$E, "*GirMed*")</f>
        <v>0</v>
      </c>
      <c r="AA201" s="3">
        <f>SUMIFS(EVENTOS!$D:$D, EVENTOS!$B:$B, D201, EVENTOS!$E:$E, "*GirBajo*")</f>
        <v>0</v>
      </c>
      <c r="AB201" s="3">
        <f>IFERROR(INDEX(EVENTOS!$D:$D,MATCH(SCORE!AB$2&amp;" "&amp;SCORE!$D201,EVENTOS!$F:$F,0)),0)</f>
        <v>0</v>
      </c>
      <c r="AC201" s="3">
        <f>IFERROR(INDEX(EVENTOS!$D:$D,MATCH(SCORE!AC$2&amp;" "&amp;SCORE!$D201,EVENTOS!$F:$F,0)),0)</f>
        <v>0</v>
      </c>
      <c r="AD201" s="3">
        <f>IFERROR(INDEX(EVENTOS!$D:$D,MATCH(SCORE!AD$2&amp;" "&amp;SCORE!$D201,EVENTOS!$F:$F,0)),0)</f>
        <v>0</v>
      </c>
      <c r="AE201" s="3">
        <f t="shared" si="9"/>
        <v>0</v>
      </c>
      <c r="AF201" s="10" t="e">
        <f t="shared" si="10"/>
        <v>#N/A</v>
      </c>
      <c r="AG201" s="3" t="str">
        <f t="shared" si="11"/>
        <v/>
      </c>
    </row>
    <row r="202" spans="1:33" x14ac:dyDescent="0.25">
      <c r="A202" s="7"/>
      <c r="B202" s="8"/>
      <c r="C202" s="3"/>
      <c r="D202" s="3"/>
      <c r="E202" s="3" t="e">
        <f>VLOOKUP(D202,VIAJES!$D:$E,2,FALSE)</f>
        <v>#N/A</v>
      </c>
      <c r="F202" s="9" t="e">
        <f>VLOOKUP(D202,VIAJES!$D:$F,3,FALSE)</f>
        <v>#N/A</v>
      </c>
      <c r="G202" s="9" t="e">
        <f>VLOOKUP(D202,VIAJES!$D:$G,4,FALSE)</f>
        <v>#N/A</v>
      </c>
      <c r="H202" s="3" t="e">
        <f>VLOOKUP(D202,VIAJES!$D:$H,5,FALSE)</f>
        <v>#N/A</v>
      </c>
      <c r="S202" s="3">
        <f>IFERROR(INDEX(EVENTOS!$D:$D,MATCH(SCORE!S$2&amp;" "&amp;SCORE!$D202,EVENTOS!$F:$F,0)),0)</f>
        <v>0</v>
      </c>
      <c r="T202" s="3">
        <f>IFERROR(INDEX(EVENTOS!$D:$D,MATCH(SCORE!T$2&amp;" "&amp;SCORE!$D202,EVENTOS!$F:$F,0)),0)</f>
        <v>0</v>
      </c>
      <c r="U202" s="3">
        <f>IFERROR(INDEX(EVENTOS!$D:$D,MATCH(SCORE!U$2&amp;" "&amp;SCORE!$D202,EVENTOS!$F:$F,0)),0)</f>
        <v>0</v>
      </c>
      <c r="V202" s="3">
        <f>IFERROR(INDEX(EVENTOS!$D:$D,MATCH(SCORE!V$2&amp;" "&amp;SCORE!$D202,EVENTOS!$F:$F,0)),0)</f>
        <v>0</v>
      </c>
      <c r="W202" s="3">
        <f>IFERROR(INDEX(EVENTOS!$D:$D,MATCH(SCORE!W$2&amp;" "&amp;SCORE!$D202,EVENTOS!$F:$F,0)),0)</f>
        <v>0</v>
      </c>
      <c r="X202" s="3">
        <f>IFERROR(INDEX(EVENTOS!$D:$D,MATCH(SCORE!X$2&amp;" "&amp;SCORE!$D202,EVENTOS!$F:$F,0)),0)</f>
        <v>0</v>
      </c>
      <c r="Y202" s="3">
        <f>SUMIFS(EVENTOS!$D:$D, EVENTOS!$B:$B, D202, EVENTOS!$E:$E, "*GirAlto*")</f>
        <v>0</v>
      </c>
      <c r="Z202" s="3">
        <f>SUMIFS(EVENTOS!$D:$D, EVENTOS!$B:$B, D202, EVENTOS!$E:$E, "*GirMed*")</f>
        <v>0</v>
      </c>
      <c r="AA202" s="3">
        <f>SUMIFS(EVENTOS!$D:$D, EVENTOS!$B:$B, D202, EVENTOS!$E:$E, "*GirBajo*")</f>
        <v>0</v>
      </c>
      <c r="AB202" s="3">
        <f>IFERROR(INDEX(EVENTOS!$D:$D,MATCH(SCORE!AB$2&amp;" "&amp;SCORE!$D202,EVENTOS!$F:$F,0)),0)</f>
        <v>0</v>
      </c>
      <c r="AC202" s="3">
        <f>IFERROR(INDEX(EVENTOS!$D:$D,MATCH(SCORE!AC$2&amp;" "&amp;SCORE!$D202,EVENTOS!$F:$F,0)),0)</f>
        <v>0</v>
      </c>
      <c r="AD202" s="3">
        <f>IFERROR(INDEX(EVENTOS!$D:$D,MATCH(SCORE!AD$2&amp;" "&amp;SCORE!$D202,EVENTOS!$F:$F,0)),0)</f>
        <v>0</v>
      </c>
      <c r="AE202" s="3">
        <f t="shared" si="9"/>
        <v>0</v>
      </c>
      <c r="AF202" s="10" t="e">
        <f t="shared" si="10"/>
        <v>#N/A</v>
      </c>
      <c r="AG202" s="3" t="str">
        <f t="shared" si="11"/>
        <v/>
      </c>
    </row>
    <row r="203" spans="1:33" x14ac:dyDescent="0.25">
      <c r="A203" s="7"/>
      <c r="B203" s="8"/>
      <c r="C203" s="3"/>
      <c r="D203" s="3"/>
      <c r="E203" s="3" t="e">
        <f>VLOOKUP(D203,VIAJES!$D:$E,2,FALSE)</f>
        <v>#N/A</v>
      </c>
      <c r="F203" s="9" t="e">
        <f>VLOOKUP(D203,VIAJES!$D:$F,3,FALSE)</f>
        <v>#N/A</v>
      </c>
      <c r="G203" s="9" t="e">
        <f>VLOOKUP(D203,VIAJES!$D:$G,4,FALSE)</f>
        <v>#N/A</v>
      </c>
      <c r="H203" s="3" t="e">
        <f>VLOOKUP(D203,VIAJES!$D:$H,5,FALSE)</f>
        <v>#N/A</v>
      </c>
      <c r="S203" s="3">
        <f>IFERROR(INDEX(EVENTOS!$D:$D,MATCH(SCORE!S$2&amp;" "&amp;SCORE!$D203,EVENTOS!$F:$F,0)),0)</f>
        <v>0</v>
      </c>
      <c r="T203" s="3">
        <f>IFERROR(INDEX(EVENTOS!$D:$D,MATCH(SCORE!T$2&amp;" "&amp;SCORE!$D203,EVENTOS!$F:$F,0)),0)</f>
        <v>0</v>
      </c>
      <c r="U203" s="3">
        <f>IFERROR(INDEX(EVENTOS!$D:$D,MATCH(SCORE!U$2&amp;" "&amp;SCORE!$D203,EVENTOS!$F:$F,0)),0)</f>
        <v>0</v>
      </c>
      <c r="V203" s="3">
        <f>IFERROR(INDEX(EVENTOS!$D:$D,MATCH(SCORE!V$2&amp;" "&amp;SCORE!$D203,EVENTOS!$F:$F,0)),0)</f>
        <v>0</v>
      </c>
      <c r="W203" s="3">
        <f>IFERROR(INDEX(EVENTOS!$D:$D,MATCH(SCORE!W$2&amp;" "&amp;SCORE!$D203,EVENTOS!$F:$F,0)),0)</f>
        <v>0</v>
      </c>
      <c r="X203" s="3">
        <f>IFERROR(INDEX(EVENTOS!$D:$D,MATCH(SCORE!X$2&amp;" "&amp;SCORE!$D203,EVENTOS!$F:$F,0)),0)</f>
        <v>0</v>
      </c>
      <c r="Y203" s="3">
        <f>SUMIFS(EVENTOS!$D:$D, EVENTOS!$B:$B, D203, EVENTOS!$E:$E, "*GirAlto*")</f>
        <v>0</v>
      </c>
      <c r="Z203" s="3">
        <f>SUMIFS(EVENTOS!$D:$D, EVENTOS!$B:$B, D203, EVENTOS!$E:$E, "*GirMed*")</f>
        <v>0</v>
      </c>
      <c r="AA203" s="3">
        <f>SUMIFS(EVENTOS!$D:$D, EVENTOS!$B:$B, D203, EVENTOS!$E:$E, "*GirBajo*")</f>
        <v>0</v>
      </c>
      <c r="AB203" s="3">
        <f>IFERROR(INDEX(EVENTOS!$D:$D,MATCH(SCORE!AB$2&amp;" "&amp;SCORE!$D203,EVENTOS!$F:$F,0)),0)</f>
        <v>0</v>
      </c>
      <c r="AC203" s="3">
        <f>IFERROR(INDEX(EVENTOS!$D:$D,MATCH(SCORE!AC$2&amp;" "&amp;SCORE!$D203,EVENTOS!$F:$F,0)),0)</f>
        <v>0</v>
      </c>
      <c r="AD203" s="3">
        <f>IFERROR(INDEX(EVENTOS!$D:$D,MATCH(SCORE!AD$2&amp;" "&amp;SCORE!$D203,EVENTOS!$F:$F,0)),0)</f>
        <v>0</v>
      </c>
      <c r="AE203" s="3">
        <f t="shared" si="9"/>
        <v>0</v>
      </c>
      <c r="AF203" s="10" t="e">
        <f t="shared" si="10"/>
        <v>#N/A</v>
      </c>
      <c r="AG203" s="3" t="str">
        <f t="shared" si="11"/>
        <v/>
      </c>
    </row>
    <row r="204" spans="1:33" x14ac:dyDescent="0.25">
      <c r="A204" s="7"/>
      <c r="B204" s="8"/>
      <c r="C204" s="3"/>
      <c r="D204" s="3"/>
      <c r="E204" s="3" t="e">
        <f>VLOOKUP(D204,VIAJES!$D:$E,2,FALSE)</f>
        <v>#N/A</v>
      </c>
      <c r="F204" s="9" t="e">
        <f>VLOOKUP(D204,VIAJES!$D:$F,3,FALSE)</f>
        <v>#N/A</v>
      </c>
      <c r="G204" s="9" t="e">
        <f>VLOOKUP(D204,VIAJES!$D:$G,4,FALSE)</f>
        <v>#N/A</v>
      </c>
      <c r="H204" s="3" t="e">
        <f>VLOOKUP(D204,VIAJES!$D:$H,5,FALSE)</f>
        <v>#N/A</v>
      </c>
      <c r="S204" s="3">
        <f>IFERROR(INDEX(EVENTOS!$D:$D,MATCH(SCORE!S$2&amp;" "&amp;SCORE!$D204,EVENTOS!$F:$F,0)),0)</f>
        <v>0</v>
      </c>
      <c r="T204" s="3">
        <f>IFERROR(INDEX(EVENTOS!$D:$D,MATCH(SCORE!T$2&amp;" "&amp;SCORE!$D204,EVENTOS!$F:$F,0)),0)</f>
        <v>0</v>
      </c>
      <c r="U204" s="3">
        <f>IFERROR(INDEX(EVENTOS!$D:$D,MATCH(SCORE!U$2&amp;" "&amp;SCORE!$D204,EVENTOS!$F:$F,0)),0)</f>
        <v>0</v>
      </c>
      <c r="V204" s="3">
        <f>IFERROR(INDEX(EVENTOS!$D:$D,MATCH(SCORE!V$2&amp;" "&amp;SCORE!$D204,EVENTOS!$F:$F,0)),0)</f>
        <v>0</v>
      </c>
      <c r="W204" s="3">
        <f>IFERROR(INDEX(EVENTOS!$D:$D,MATCH(SCORE!W$2&amp;" "&amp;SCORE!$D204,EVENTOS!$F:$F,0)),0)</f>
        <v>0</v>
      </c>
      <c r="X204" s="3">
        <f>IFERROR(INDEX(EVENTOS!$D:$D,MATCH(SCORE!X$2&amp;" "&amp;SCORE!$D204,EVENTOS!$F:$F,0)),0)</f>
        <v>0</v>
      </c>
      <c r="Y204" s="3">
        <f>SUMIFS(EVENTOS!$D:$D, EVENTOS!$B:$B, D204, EVENTOS!$E:$E, "*GirAlto*")</f>
        <v>0</v>
      </c>
      <c r="Z204" s="3">
        <f>SUMIFS(EVENTOS!$D:$D, EVENTOS!$B:$B, D204, EVENTOS!$E:$E, "*GirMed*")</f>
        <v>0</v>
      </c>
      <c r="AA204" s="3">
        <f>SUMIFS(EVENTOS!$D:$D, EVENTOS!$B:$B, D204, EVENTOS!$E:$E, "*GirBajo*")</f>
        <v>0</v>
      </c>
      <c r="AB204" s="3">
        <f>IFERROR(INDEX(EVENTOS!$D:$D,MATCH(SCORE!AB$2&amp;" "&amp;SCORE!$D204,EVENTOS!$F:$F,0)),0)</f>
        <v>0</v>
      </c>
      <c r="AC204" s="3">
        <f>IFERROR(INDEX(EVENTOS!$D:$D,MATCH(SCORE!AC$2&amp;" "&amp;SCORE!$D204,EVENTOS!$F:$F,0)),0)</f>
        <v>0</v>
      </c>
      <c r="AD204" s="3">
        <f>IFERROR(INDEX(EVENTOS!$D:$D,MATCH(SCORE!AD$2&amp;" "&amp;SCORE!$D204,EVENTOS!$F:$F,0)),0)</f>
        <v>0</v>
      </c>
      <c r="AE204" s="3">
        <f t="shared" si="9"/>
        <v>0</v>
      </c>
      <c r="AF204" s="10" t="e">
        <f t="shared" si="10"/>
        <v>#N/A</v>
      </c>
      <c r="AG204" s="3" t="str">
        <f t="shared" si="11"/>
        <v/>
      </c>
    </row>
    <row r="205" spans="1:33" x14ac:dyDescent="0.25">
      <c r="A205" s="7"/>
      <c r="B205" s="8"/>
      <c r="C205" s="3"/>
      <c r="D205" s="3"/>
      <c r="E205" s="3" t="e">
        <f>VLOOKUP(D205,VIAJES!$D:$E,2,FALSE)</f>
        <v>#N/A</v>
      </c>
      <c r="F205" s="9" t="e">
        <f>VLOOKUP(D205,VIAJES!$D:$F,3,FALSE)</f>
        <v>#N/A</v>
      </c>
      <c r="G205" s="9" t="e">
        <f>VLOOKUP(D205,VIAJES!$D:$G,4,FALSE)</f>
        <v>#N/A</v>
      </c>
      <c r="H205" s="3" t="e">
        <f>VLOOKUP(D205,VIAJES!$D:$H,5,FALSE)</f>
        <v>#N/A</v>
      </c>
      <c r="S205" s="3">
        <f>IFERROR(INDEX(EVENTOS!$D:$D,MATCH(SCORE!S$2&amp;" "&amp;SCORE!$D205,EVENTOS!$F:$F,0)),0)</f>
        <v>0</v>
      </c>
      <c r="T205" s="3">
        <f>IFERROR(INDEX(EVENTOS!$D:$D,MATCH(SCORE!T$2&amp;" "&amp;SCORE!$D205,EVENTOS!$F:$F,0)),0)</f>
        <v>0</v>
      </c>
      <c r="U205" s="3">
        <f>IFERROR(INDEX(EVENTOS!$D:$D,MATCH(SCORE!U$2&amp;" "&amp;SCORE!$D205,EVENTOS!$F:$F,0)),0)</f>
        <v>0</v>
      </c>
      <c r="V205" s="3">
        <f>IFERROR(INDEX(EVENTOS!$D:$D,MATCH(SCORE!V$2&amp;" "&amp;SCORE!$D205,EVENTOS!$F:$F,0)),0)</f>
        <v>0</v>
      </c>
      <c r="W205" s="3">
        <f>IFERROR(INDEX(EVENTOS!$D:$D,MATCH(SCORE!W$2&amp;" "&amp;SCORE!$D205,EVENTOS!$F:$F,0)),0)</f>
        <v>0</v>
      </c>
      <c r="X205" s="3">
        <f>IFERROR(INDEX(EVENTOS!$D:$D,MATCH(SCORE!X$2&amp;" "&amp;SCORE!$D205,EVENTOS!$F:$F,0)),0)</f>
        <v>0</v>
      </c>
      <c r="Y205" s="3">
        <f>SUMIFS(EVENTOS!$D:$D, EVENTOS!$B:$B, D205, EVENTOS!$E:$E, "*GirAlto*")</f>
        <v>0</v>
      </c>
      <c r="Z205" s="3">
        <f>SUMIFS(EVENTOS!$D:$D, EVENTOS!$B:$B, D205, EVENTOS!$E:$E, "*GirMed*")</f>
        <v>0</v>
      </c>
      <c r="AA205" s="3">
        <f>SUMIFS(EVENTOS!$D:$D, EVENTOS!$B:$B, D205, EVENTOS!$E:$E, "*GirBajo*")</f>
        <v>0</v>
      </c>
      <c r="AB205" s="3">
        <f>IFERROR(INDEX(EVENTOS!$D:$D,MATCH(SCORE!AB$2&amp;" "&amp;SCORE!$D205,EVENTOS!$F:$F,0)),0)</f>
        <v>0</v>
      </c>
      <c r="AC205" s="3">
        <f>IFERROR(INDEX(EVENTOS!$D:$D,MATCH(SCORE!AC$2&amp;" "&amp;SCORE!$D205,EVENTOS!$F:$F,0)),0)</f>
        <v>0</v>
      </c>
      <c r="AD205" s="3">
        <f>IFERROR(INDEX(EVENTOS!$D:$D,MATCH(SCORE!AD$2&amp;" "&amp;SCORE!$D205,EVENTOS!$F:$F,0)),0)</f>
        <v>0</v>
      </c>
      <c r="AE205" s="3">
        <f t="shared" si="9"/>
        <v>0</v>
      </c>
      <c r="AF205" s="10" t="e">
        <f t="shared" si="10"/>
        <v>#N/A</v>
      </c>
      <c r="AG205" s="3" t="str">
        <f t="shared" si="11"/>
        <v/>
      </c>
    </row>
    <row r="206" spans="1:33" x14ac:dyDescent="0.25">
      <c r="A206" s="7"/>
      <c r="B206" s="8"/>
      <c r="C206" s="3"/>
      <c r="D206" s="3"/>
      <c r="E206" s="3" t="e">
        <f>VLOOKUP(D206,VIAJES!$D:$E,2,FALSE)</f>
        <v>#N/A</v>
      </c>
      <c r="F206" s="9" t="e">
        <f>VLOOKUP(D206,VIAJES!$D:$F,3,FALSE)</f>
        <v>#N/A</v>
      </c>
      <c r="G206" s="9" t="e">
        <f>VLOOKUP(D206,VIAJES!$D:$G,4,FALSE)</f>
        <v>#N/A</v>
      </c>
      <c r="H206" s="3" t="e">
        <f>VLOOKUP(D206,VIAJES!$D:$H,5,FALSE)</f>
        <v>#N/A</v>
      </c>
      <c r="S206" s="3">
        <f>IFERROR(INDEX(EVENTOS!$D:$D,MATCH(SCORE!S$2&amp;" "&amp;SCORE!$D206,EVENTOS!$F:$F,0)),0)</f>
        <v>0</v>
      </c>
      <c r="T206" s="3">
        <f>IFERROR(INDEX(EVENTOS!$D:$D,MATCH(SCORE!T$2&amp;" "&amp;SCORE!$D206,EVENTOS!$F:$F,0)),0)</f>
        <v>0</v>
      </c>
      <c r="U206" s="3">
        <f>IFERROR(INDEX(EVENTOS!$D:$D,MATCH(SCORE!U$2&amp;" "&amp;SCORE!$D206,EVENTOS!$F:$F,0)),0)</f>
        <v>0</v>
      </c>
      <c r="V206" s="3">
        <f>IFERROR(INDEX(EVENTOS!$D:$D,MATCH(SCORE!V$2&amp;" "&amp;SCORE!$D206,EVENTOS!$F:$F,0)),0)</f>
        <v>0</v>
      </c>
      <c r="W206" s="3">
        <f>IFERROR(INDEX(EVENTOS!$D:$D,MATCH(SCORE!W$2&amp;" "&amp;SCORE!$D206,EVENTOS!$F:$F,0)),0)</f>
        <v>0</v>
      </c>
      <c r="X206" s="3">
        <f>IFERROR(INDEX(EVENTOS!$D:$D,MATCH(SCORE!X$2&amp;" "&amp;SCORE!$D206,EVENTOS!$F:$F,0)),0)</f>
        <v>0</v>
      </c>
      <c r="Y206" s="3">
        <f>SUMIFS(EVENTOS!$D:$D, EVENTOS!$B:$B, D206, EVENTOS!$E:$E, "*GirAlto*")</f>
        <v>0</v>
      </c>
      <c r="Z206" s="3">
        <f>SUMIFS(EVENTOS!$D:$D, EVENTOS!$B:$B, D206, EVENTOS!$E:$E, "*GirMed*")</f>
        <v>0</v>
      </c>
      <c r="AA206" s="3">
        <f>SUMIFS(EVENTOS!$D:$D, EVENTOS!$B:$B, D206, EVENTOS!$E:$E, "*GirBajo*")</f>
        <v>0</v>
      </c>
      <c r="AB206" s="3">
        <f>IFERROR(INDEX(EVENTOS!$D:$D,MATCH(SCORE!AB$2&amp;" "&amp;SCORE!$D206,EVENTOS!$F:$F,0)),0)</f>
        <v>0</v>
      </c>
      <c r="AC206" s="3">
        <f>IFERROR(INDEX(EVENTOS!$D:$D,MATCH(SCORE!AC$2&amp;" "&amp;SCORE!$D206,EVENTOS!$F:$F,0)),0)</f>
        <v>0</v>
      </c>
      <c r="AD206" s="3">
        <f>IFERROR(INDEX(EVENTOS!$D:$D,MATCH(SCORE!AD$2&amp;" "&amp;SCORE!$D206,EVENTOS!$F:$F,0)),0)</f>
        <v>0</v>
      </c>
      <c r="AE206" s="3">
        <f t="shared" si="9"/>
        <v>0</v>
      </c>
      <c r="AF206" s="10" t="e">
        <f t="shared" si="10"/>
        <v>#N/A</v>
      </c>
      <c r="AG206" s="3" t="str">
        <f t="shared" si="11"/>
        <v/>
      </c>
    </row>
    <row r="207" spans="1:33" x14ac:dyDescent="0.25">
      <c r="A207" s="7"/>
      <c r="B207" s="8"/>
      <c r="C207" s="3"/>
      <c r="D207" s="3"/>
      <c r="E207" s="3" t="e">
        <f>VLOOKUP(D207,VIAJES!$D:$E,2,FALSE)</f>
        <v>#N/A</v>
      </c>
      <c r="F207" s="9" t="e">
        <f>VLOOKUP(D207,VIAJES!$D:$F,3,FALSE)</f>
        <v>#N/A</v>
      </c>
      <c r="G207" s="9" t="e">
        <f>VLOOKUP(D207,VIAJES!$D:$G,4,FALSE)</f>
        <v>#N/A</v>
      </c>
      <c r="H207" s="3" t="e">
        <f>VLOOKUP(D207,VIAJES!$D:$H,5,FALSE)</f>
        <v>#N/A</v>
      </c>
      <c r="S207" s="3">
        <f>IFERROR(INDEX(EVENTOS!$D:$D,MATCH(SCORE!S$2&amp;" "&amp;SCORE!$D207,EVENTOS!$F:$F,0)),0)</f>
        <v>0</v>
      </c>
      <c r="T207" s="3">
        <f>IFERROR(INDEX(EVENTOS!$D:$D,MATCH(SCORE!T$2&amp;" "&amp;SCORE!$D207,EVENTOS!$F:$F,0)),0)</f>
        <v>0</v>
      </c>
      <c r="U207" s="3">
        <f>IFERROR(INDEX(EVENTOS!$D:$D,MATCH(SCORE!U$2&amp;" "&amp;SCORE!$D207,EVENTOS!$F:$F,0)),0)</f>
        <v>0</v>
      </c>
      <c r="V207" s="3">
        <f>IFERROR(INDEX(EVENTOS!$D:$D,MATCH(SCORE!V$2&amp;" "&amp;SCORE!$D207,EVENTOS!$F:$F,0)),0)</f>
        <v>0</v>
      </c>
      <c r="W207" s="3">
        <f>IFERROR(INDEX(EVENTOS!$D:$D,MATCH(SCORE!W$2&amp;" "&amp;SCORE!$D207,EVENTOS!$F:$F,0)),0)</f>
        <v>0</v>
      </c>
      <c r="X207" s="3">
        <f>IFERROR(INDEX(EVENTOS!$D:$D,MATCH(SCORE!X$2&amp;" "&amp;SCORE!$D207,EVENTOS!$F:$F,0)),0)</f>
        <v>0</v>
      </c>
      <c r="Y207" s="3">
        <f>SUMIFS(EVENTOS!$D:$D, EVENTOS!$B:$B, D207, EVENTOS!$E:$E, "*GirAlto*")</f>
        <v>0</v>
      </c>
      <c r="Z207" s="3">
        <f>SUMIFS(EVENTOS!$D:$D, EVENTOS!$B:$B, D207, EVENTOS!$E:$E, "*GirMed*")</f>
        <v>0</v>
      </c>
      <c r="AA207" s="3">
        <f>SUMIFS(EVENTOS!$D:$D, EVENTOS!$B:$B, D207, EVENTOS!$E:$E, "*GirBajo*")</f>
        <v>0</v>
      </c>
      <c r="AB207" s="3">
        <f>IFERROR(INDEX(EVENTOS!$D:$D,MATCH(SCORE!AB$2&amp;" "&amp;SCORE!$D207,EVENTOS!$F:$F,0)),0)</f>
        <v>0</v>
      </c>
      <c r="AC207" s="3">
        <f>IFERROR(INDEX(EVENTOS!$D:$D,MATCH(SCORE!AC$2&amp;" "&amp;SCORE!$D207,EVENTOS!$F:$F,0)),0)</f>
        <v>0</v>
      </c>
      <c r="AD207" s="3">
        <f>IFERROR(INDEX(EVENTOS!$D:$D,MATCH(SCORE!AD$2&amp;" "&amp;SCORE!$D207,EVENTOS!$F:$F,0)),0)</f>
        <v>0</v>
      </c>
      <c r="AE207" s="3">
        <f t="shared" si="9"/>
        <v>0</v>
      </c>
      <c r="AF207" s="10" t="e">
        <f t="shared" si="10"/>
        <v>#N/A</v>
      </c>
      <c r="AG207" s="3" t="str">
        <f t="shared" si="11"/>
        <v/>
      </c>
    </row>
    <row r="208" spans="1:33" x14ac:dyDescent="0.25">
      <c r="A208" s="7"/>
      <c r="B208" s="8"/>
      <c r="C208" s="3"/>
      <c r="D208" s="3"/>
      <c r="E208" s="3" t="e">
        <f>VLOOKUP(D208,VIAJES!$D:$E,2,FALSE)</f>
        <v>#N/A</v>
      </c>
      <c r="F208" s="9" t="e">
        <f>VLOOKUP(D208,VIAJES!$D:$F,3,FALSE)</f>
        <v>#N/A</v>
      </c>
      <c r="G208" s="9" t="e">
        <f>VLOOKUP(D208,VIAJES!$D:$G,4,FALSE)</f>
        <v>#N/A</v>
      </c>
      <c r="H208" s="3" t="e">
        <f>VLOOKUP(D208,VIAJES!$D:$H,5,FALSE)</f>
        <v>#N/A</v>
      </c>
      <c r="S208" s="3">
        <f>IFERROR(INDEX(EVENTOS!$D:$D,MATCH(SCORE!S$2&amp;" "&amp;SCORE!$D208,EVENTOS!$F:$F,0)),0)</f>
        <v>0</v>
      </c>
      <c r="T208" s="3">
        <f>IFERROR(INDEX(EVENTOS!$D:$D,MATCH(SCORE!T$2&amp;" "&amp;SCORE!$D208,EVENTOS!$F:$F,0)),0)</f>
        <v>0</v>
      </c>
      <c r="U208" s="3">
        <f>IFERROR(INDEX(EVENTOS!$D:$D,MATCH(SCORE!U$2&amp;" "&amp;SCORE!$D208,EVENTOS!$F:$F,0)),0)</f>
        <v>0</v>
      </c>
      <c r="V208" s="3">
        <f>IFERROR(INDEX(EVENTOS!$D:$D,MATCH(SCORE!V$2&amp;" "&amp;SCORE!$D208,EVENTOS!$F:$F,0)),0)</f>
        <v>0</v>
      </c>
      <c r="W208" s="3">
        <f>IFERROR(INDEX(EVENTOS!$D:$D,MATCH(SCORE!W$2&amp;" "&amp;SCORE!$D208,EVENTOS!$F:$F,0)),0)</f>
        <v>0</v>
      </c>
      <c r="X208" s="3">
        <f>IFERROR(INDEX(EVENTOS!$D:$D,MATCH(SCORE!X$2&amp;" "&amp;SCORE!$D208,EVENTOS!$F:$F,0)),0)</f>
        <v>0</v>
      </c>
      <c r="Y208" s="3">
        <f>SUMIFS(EVENTOS!$D:$D, EVENTOS!$B:$B, D208, EVENTOS!$E:$E, "*GirAlto*")</f>
        <v>0</v>
      </c>
      <c r="Z208" s="3">
        <f>SUMIFS(EVENTOS!$D:$D, EVENTOS!$B:$B, D208, EVENTOS!$E:$E, "*GirMed*")</f>
        <v>0</v>
      </c>
      <c r="AA208" s="3">
        <f>SUMIFS(EVENTOS!$D:$D, EVENTOS!$B:$B, D208, EVENTOS!$E:$E, "*GirBajo*")</f>
        <v>0</v>
      </c>
      <c r="AB208" s="3">
        <f>IFERROR(INDEX(EVENTOS!$D:$D,MATCH(SCORE!AB$2&amp;" "&amp;SCORE!$D208,EVENTOS!$F:$F,0)),0)</f>
        <v>0</v>
      </c>
      <c r="AC208" s="3">
        <f>IFERROR(INDEX(EVENTOS!$D:$D,MATCH(SCORE!AC$2&amp;" "&amp;SCORE!$D208,EVENTOS!$F:$F,0)),0)</f>
        <v>0</v>
      </c>
      <c r="AD208" s="3">
        <f>IFERROR(INDEX(EVENTOS!$D:$D,MATCH(SCORE!AD$2&amp;" "&amp;SCORE!$D208,EVENTOS!$F:$F,0)),0)</f>
        <v>0</v>
      </c>
      <c r="AE208" s="3">
        <f t="shared" si="9"/>
        <v>0</v>
      </c>
      <c r="AF208" s="10" t="e">
        <f t="shared" si="10"/>
        <v>#N/A</v>
      </c>
      <c r="AG208" s="3" t="str">
        <f t="shared" si="11"/>
        <v/>
      </c>
    </row>
    <row r="209" spans="1:33" x14ac:dyDescent="0.25">
      <c r="A209" s="7"/>
      <c r="B209" s="8"/>
      <c r="C209" s="3"/>
      <c r="D209" s="3"/>
      <c r="E209" s="3" t="e">
        <f>VLOOKUP(D209,VIAJES!$D:$E,2,FALSE)</f>
        <v>#N/A</v>
      </c>
      <c r="F209" s="9" t="e">
        <f>VLOOKUP(D209,VIAJES!$D:$F,3,FALSE)</f>
        <v>#N/A</v>
      </c>
      <c r="G209" s="9" t="e">
        <f>VLOOKUP(D209,VIAJES!$D:$G,4,FALSE)</f>
        <v>#N/A</v>
      </c>
      <c r="H209" s="3" t="e">
        <f>VLOOKUP(D209,VIAJES!$D:$H,5,FALSE)</f>
        <v>#N/A</v>
      </c>
      <c r="S209" s="3">
        <f>IFERROR(INDEX(EVENTOS!$D:$D,MATCH(SCORE!S$2&amp;" "&amp;SCORE!$D209,EVENTOS!$F:$F,0)),0)</f>
        <v>0</v>
      </c>
      <c r="T209" s="3">
        <f>IFERROR(INDEX(EVENTOS!$D:$D,MATCH(SCORE!T$2&amp;" "&amp;SCORE!$D209,EVENTOS!$F:$F,0)),0)</f>
        <v>0</v>
      </c>
      <c r="U209" s="3">
        <f>IFERROR(INDEX(EVENTOS!$D:$D,MATCH(SCORE!U$2&amp;" "&amp;SCORE!$D209,EVENTOS!$F:$F,0)),0)</f>
        <v>0</v>
      </c>
      <c r="V209" s="3">
        <f>IFERROR(INDEX(EVENTOS!$D:$D,MATCH(SCORE!V$2&amp;" "&amp;SCORE!$D209,EVENTOS!$F:$F,0)),0)</f>
        <v>0</v>
      </c>
      <c r="W209" s="3">
        <f>IFERROR(INDEX(EVENTOS!$D:$D,MATCH(SCORE!W$2&amp;" "&amp;SCORE!$D209,EVENTOS!$F:$F,0)),0)</f>
        <v>0</v>
      </c>
      <c r="X209" s="3">
        <f>IFERROR(INDEX(EVENTOS!$D:$D,MATCH(SCORE!X$2&amp;" "&amp;SCORE!$D209,EVENTOS!$F:$F,0)),0)</f>
        <v>0</v>
      </c>
      <c r="Y209" s="3">
        <f>SUMIFS(EVENTOS!$D:$D, EVENTOS!$B:$B, D209, EVENTOS!$E:$E, "*GirAlto*")</f>
        <v>0</v>
      </c>
      <c r="Z209" s="3">
        <f>SUMIFS(EVENTOS!$D:$D, EVENTOS!$B:$B, D209, EVENTOS!$E:$E, "*GirMed*")</f>
        <v>0</v>
      </c>
      <c r="AA209" s="3">
        <f>SUMIFS(EVENTOS!$D:$D, EVENTOS!$B:$B, D209, EVENTOS!$E:$E, "*GirBajo*")</f>
        <v>0</v>
      </c>
      <c r="AB209" s="3">
        <f>IFERROR(INDEX(EVENTOS!$D:$D,MATCH(SCORE!AB$2&amp;" "&amp;SCORE!$D209,EVENTOS!$F:$F,0)),0)</f>
        <v>0</v>
      </c>
      <c r="AC209" s="3">
        <f>IFERROR(INDEX(EVENTOS!$D:$D,MATCH(SCORE!AC$2&amp;" "&amp;SCORE!$D209,EVENTOS!$F:$F,0)),0)</f>
        <v>0</v>
      </c>
      <c r="AD209" s="3">
        <f>IFERROR(INDEX(EVENTOS!$D:$D,MATCH(SCORE!AD$2&amp;" "&amp;SCORE!$D209,EVENTOS!$F:$F,0)),0)</f>
        <v>0</v>
      </c>
      <c r="AE209" s="3">
        <f t="shared" si="9"/>
        <v>0</v>
      </c>
      <c r="AF209" s="10" t="e">
        <f t="shared" si="10"/>
        <v>#N/A</v>
      </c>
      <c r="AG209" s="3" t="str">
        <f t="shared" si="11"/>
        <v/>
      </c>
    </row>
    <row r="210" spans="1:33" x14ac:dyDescent="0.25">
      <c r="A210" s="7"/>
      <c r="B210" s="8"/>
      <c r="C210" s="3"/>
      <c r="D210" s="3"/>
      <c r="E210" s="3" t="e">
        <f>VLOOKUP(D210,VIAJES!$D:$E,2,FALSE)</f>
        <v>#N/A</v>
      </c>
      <c r="F210" s="9" t="e">
        <f>VLOOKUP(D210,VIAJES!$D:$F,3,FALSE)</f>
        <v>#N/A</v>
      </c>
      <c r="G210" s="9" t="e">
        <f>VLOOKUP(D210,VIAJES!$D:$G,4,FALSE)</f>
        <v>#N/A</v>
      </c>
      <c r="H210" s="3" t="e">
        <f>VLOOKUP(D210,VIAJES!$D:$H,5,FALSE)</f>
        <v>#N/A</v>
      </c>
      <c r="S210" s="3">
        <f>IFERROR(INDEX(EVENTOS!$D:$D,MATCH(SCORE!S$2&amp;" "&amp;SCORE!$D210,EVENTOS!$F:$F,0)),0)</f>
        <v>0</v>
      </c>
      <c r="T210" s="3">
        <f>IFERROR(INDEX(EVENTOS!$D:$D,MATCH(SCORE!T$2&amp;" "&amp;SCORE!$D210,EVENTOS!$F:$F,0)),0)</f>
        <v>0</v>
      </c>
      <c r="U210" s="3">
        <f>IFERROR(INDEX(EVENTOS!$D:$D,MATCH(SCORE!U$2&amp;" "&amp;SCORE!$D210,EVENTOS!$F:$F,0)),0)</f>
        <v>0</v>
      </c>
      <c r="V210" s="3">
        <f>IFERROR(INDEX(EVENTOS!$D:$D,MATCH(SCORE!V$2&amp;" "&amp;SCORE!$D210,EVENTOS!$F:$F,0)),0)</f>
        <v>0</v>
      </c>
      <c r="W210" s="3">
        <f>IFERROR(INDEX(EVENTOS!$D:$D,MATCH(SCORE!W$2&amp;" "&amp;SCORE!$D210,EVENTOS!$F:$F,0)),0)</f>
        <v>0</v>
      </c>
      <c r="X210" s="3">
        <f>IFERROR(INDEX(EVENTOS!$D:$D,MATCH(SCORE!X$2&amp;" "&amp;SCORE!$D210,EVENTOS!$F:$F,0)),0)</f>
        <v>0</v>
      </c>
      <c r="Y210" s="3">
        <f>SUMIFS(EVENTOS!$D:$D, EVENTOS!$B:$B, D210, EVENTOS!$E:$E, "*GirAlto*")</f>
        <v>0</v>
      </c>
      <c r="Z210" s="3">
        <f>SUMIFS(EVENTOS!$D:$D, EVENTOS!$B:$B, D210, EVENTOS!$E:$E, "*GirMed*")</f>
        <v>0</v>
      </c>
      <c r="AA210" s="3">
        <f>SUMIFS(EVENTOS!$D:$D, EVENTOS!$B:$B, D210, EVENTOS!$E:$E, "*GirBajo*")</f>
        <v>0</v>
      </c>
      <c r="AB210" s="3">
        <f>IFERROR(INDEX(EVENTOS!$D:$D,MATCH(SCORE!AB$2&amp;" "&amp;SCORE!$D210,EVENTOS!$F:$F,0)),0)</f>
        <v>0</v>
      </c>
      <c r="AC210" s="3">
        <f>IFERROR(INDEX(EVENTOS!$D:$D,MATCH(SCORE!AC$2&amp;" "&amp;SCORE!$D210,EVENTOS!$F:$F,0)),0)</f>
        <v>0</v>
      </c>
      <c r="AD210" s="3">
        <f>IFERROR(INDEX(EVENTOS!$D:$D,MATCH(SCORE!AD$2&amp;" "&amp;SCORE!$D210,EVENTOS!$F:$F,0)),0)</f>
        <v>0</v>
      </c>
      <c r="AE210" s="3">
        <f t="shared" si="9"/>
        <v>0</v>
      </c>
      <c r="AF210" s="10" t="e">
        <f t="shared" si="10"/>
        <v>#N/A</v>
      </c>
      <c r="AG210" s="3" t="str">
        <f t="shared" si="11"/>
        <v/>
      </c>
    </row>
    <row r="211" spans="1:33" x14ac:dyDescent="0.25">
      <c r="A211" s="7"/>
      <c r="B211" s="8"/>
      <c r="C211" s="3"/>
      <c r="D211" s="3"/>
      <c r="E211" s="3" t="e">
        <f>VLOOKUP(D211,VIAJES!$D:$E,2,FALSE)</f>
        <v>#N/A</v>
      </c>
      <c r="F211" s="9" t="e">
        <f>VLOOKUP(D211,VIAJES!$D:$F,3,FALSE)</f>
        <v>#N/A</v>
      </c>
      <c r="G211" s="9" t="e">
        <f>VLOOKUP(D211,VIAJES!$D:$G,4,FALSE)</f>
        <v>#N/A</v>
      </c>
      <c r="H211" s="3" t="e">
        <f>VLOOKUP(D211,VIAJES!$D:$H,5,FALSE)</f>
        <v>#N/A</v>
      </c>
      <c r="S211" s="3">
        <f>IFERROR(INDEX(EVENTOS!$D:$D,MATCH(SCORE!S$2&amp;" "&amp;SCORE!$D211,EVENTOS!$F:$F,0)),0)</f>
        <v>0</v>
      </c>
      <c r="T211" s="3">
        <f>IFERROR(INDEX(EVENTOS!$D:$D,MATCH(SCORE!T$2&amp;" "&amp;SCORE!$D211,EVENTOS!$F:$F,0)),0)</f>
        <v>0</v>
      </c>
      <c r="U211" s="3">
        <f>IFERROR(INDEX(EVENTOS!$D:$D,MATCH(SCORE!U$2&amp;" "&amp;SCORE!$D211,EVENTOS!$F:$F,0)),0)</f>
        <v>0</v>
      </c>
      <c r="V211" s="3">
        <f>IFERROR(INDEX(EVENTOS!$D:$D,MATCH(SCORE!V$2&amp;" "&amp;SCORE!$D211,EVENTOS!$F:$F,0)),0)</f>
        <v>0</v>
      </c>
      <c r="W211" s="3">
        <f>IFERROR(INDEX(EVENTOS!$D:$D,MATCH(SCORE!W$2&amp;" "&amp;SCORE!$D211,EVENTOS!$F:$F,0)),0)</f>
        <v>0</v>
      </c>
      <c r="X211" s="3">
        <f>IFERROR(INDEX(EVENTOS!$D:$D,MATCH(SCORE!X$2&amp;" "&amp;SCORE!$D211,EVENTOS!$F:$F,0)),0)</f>
        <v>0</v>
      </c>
      <c r="Y211" s="3">
        <f>SUMIFS(EVENTOS!$D:$D, EVENTOS!$B:$B, D211, EVENTOS!$E:$E, "*GirAlto*")</f>
        <v>0</v>
      </c>
      <c r="Z211" s="3">
        <f>SUMIFS(EVENTOS!$D:$D, EVENTOS!$B:$B, D211, EVENTOS!$E:$E, "*GirMed*")</f>
        <v>0</v>
      </c>
      <c r="AA211" s="3">
        <f>SUMIFS(EVENTOS!$D:$D, EVENTOS!$B:$B, D211, EVENTOS!$E:$E, "*GirBajo*")</f>
        <v>0</v>
      </c>
      <c r="AB211" s="3">
        <f>IFERROR(INDEX(EVENTOS!$D:$D,MATCH(SCORE!AB$2&amp;" "&amp;SCORE!$D211,EVENTOS!$F:$F,0)),0)</f>
        <v>0</v>
      </c>
      <c r="AC211" s="3">
        <f>IFERROR(INDEX(EVENTOS!$D:$D,MATCH(SCORE!AC$2&amp;" "&amp;SCORE!$D211,EVENTOS!$F:$F,0)),0)</f>
        <v>0</v>
      </c>
      <c r="AD211" s="3">
        <f>IFERROR(INDEX(EVENTOS!$D:$D,MATCH(SCORE!AD$2&amp;" "&amp;SCORE!$D211,EVENTOS!$F:$F,0)),0)</f>
        <v>0</v>
      </c>
      <c r="AE211" s="3">
        <f t="shared" si="9"/>
        <v>0</v>
      </c>
      <c r="AF211" s="10" t="e">
        <f t="shared" si="10"/>
        <v>#N/A</v>
      </c>
      <c r="AG211" s="3" t="str">
        <f t="shared" si="11"/>
        <v/>
      </c>
    </row>
    <row r="212" spans="1:33" x14ac:dyDescent="0.25">
      <c r="A212" s="7"/>
      <c r="B212" s="8"/>
      <c r="C212" s="3"/>
      <c r="D212" s="3"/>
      <c r="E212" s="3" t="e">
        <f>VLOOKUP(D212,VIAJES!$D:$E,2,FALSE)</f>
        <v>#N/A</v>
      </c>
      <c r="F212" s="9" t="e">
        <f>VLOOKUP(D212,VIAJES!$D:$F,3,FALSE)</f>
        <v>#N/A</v>
      </c>
      <c r="G212" s="9" t="e">
        <f>VLOOKUP(D212,VIAJES!$D:$G,4,FALSE)</f>
        <v>#N/A</v>
      </c>
      <c r="H212" s="3" t="e">
        <f>VLOOKUP(D212,VIAJES!$D:$H,5,FALSE)</f>
        <v>#N/A</v>
      </c>
      <c r="S212" s="3">
        <f>IFERROR(INDEX(EVENTOS!$D:$D,MATCH(SCORE!S$2&amp;" "&amp;SCORE!$D212,EVENTOS!$F:$F,0)),0)</f>
        <v>0</v>
      </c>
      <c r="T212" s="3">
        <f>IFERROR(INDEX(EVENTOS!$D:$D,MATCH(SCORE!T$2&amp;" "&amp;SCORE!$D212,EVENTOS!$F:$F,0)),0)</f>
        <v>0</v>
      </c>
      <c r="U212" s="3">
        <f>IFERROR(INDEX(EVENTOS!$D:$D,MATCH(SCORE!U$2&amp;" "&amp;SCORE!$D212,EVENTOS!$F:$F,0)),0)</f>
        <v>0</v>
      </c>
      <c r="V212" s="3">
        <f>IFERROR(INDEX(EVENTOS!$D:$D,MATCH(SCORE!V$2&amp;" "&amp;SCORE!$D212,EVENTOS!$F:$F,0)),0)</f>
        <v>0</v>
      </c>
      <c r="W212" s="3">
        <f>IFERROR(INDEX(EVENTOS!$D:$D,MATCH(SCORE!W$2&amp;" "&amp;SCORE!$D212,EVENTOS!$F:$F,0)),0)</f>
        <v>0</v>
      </c>
      <c r="X212" s="3">
        <f>IFERROR(INDEX(EVENTOS!$D:$D,MATCH(SCORE!X$2&amp;" "&amp;SCORE!$D212,EVENTOS!$F:$F,0)),0)</f>
        <v>0</v>
      </c>
      <c r="Y212" s="3">
        <f>SUMIFS(EVENTOS!$D:$D, EVENTOS!$B:$B, D212, EVENTOS!$E:$E, "*GirAlto*")</f>
        <v>0</v>
      </c>
      <c r="Z212" s="3">
        <f>SUMIFS(EVENTOS!$D:$D, EVENTOS!$B:$B, D212, EVENTOS!$E:$E, "*GirMed*")</f>
        <v>0</v>
      </c>
      <c r="AA212" s="3">
        <f>SUMIFS(EVENTOS!$D:$D, EVENTOS!$B:$B, D212, EVENTOS!$E:$E, "*GirBajo*")</f>
        <v>0</v>
      </c>
      <c r="AB212" s="3">
        <f>IFERROR(INDEX(EVENTOS!$D:$D,MATCH(SCORE!AB$2&amp;" "&amp;SCORE!$D212,EVENTOS!$F:$F,0)),0)</f>
        <v>0</v>
      </c>
      <c r="AC212" s="3">
        <f>IFERROR(INDEX(EVENTOS!$D:$D,MATCH(SCORE!AC$2&amp;" "&amp;SCORE!$D212,EVENTOS!$F:$F,0)),0)</f>
        <v>0</v>
      </c>
      <c r="AD212" s="3">
        <f>IFERROR(INDEX(EVENTOS!$D:$D,MATCH(SCORE!AD$2&amp;" "&amp;SCORE!$D212,EVENTOS!$F:$F,0)),0)</f>
        <v>0</v>
      </c>
      <c r="AE212" s="3">
        <f t="shared" si="9"/>
        <v>0</v>
      </c>
      <c r="AF212" s="10" t="e">
        <f t="shared" si="10"/>
        <v>#N/A</v>
      </c>
      <c r="AG212" s="3" t="str">
        <f t="shared" si="11"/>
        <v/>
      </c>
    </row>
    <row r="213" spans="1:33" x14ac:dyDescent="0.25">
      <c r="A213" s="7"/>
      <c r="B213" s="8"/>
      <c r="C213" s="3"/>
      <c r="D213" s="3"/>
      <c r="E213" s="3" t="e">
        <f>VLOOKUP(D213,VIAJES!$D:$E,2,FALSE)</f>
        <v>#N/A</v>
      </c>
      <c r="F213" s="9" t="e">
        <f>VLOOKUP(D213,VIAJES!$D:$F,3,FALSE)</f>
        <v>#N/A</v>
      </c>
      <c r="G213" s="9" t="e">
        <f>VLOOKUP(D213,VIAJES!$D:$G,4,FALSE)</f>
        <v>#N/A</v>
      </c>
      <c r="H213" s="3" t="e">
        <f>VLOOKUP(D213,VIAJES!$D:$H,5,FALSE)</f>
        <v>#N/A</v>
      </c>
      <c r="S213" s="3">
        <f>IFERROR(INDEX(EVENTOS!$D:$D,MATCH(SCORE!S$2&amp;" "&amp;SCORE!$D213,EVENTOS!$F:$F,0)),0)</f>
        <v>0</v>
      </c>
      <c r="T213" s="3">
        <f>IFERROR(INDEX(EVENTOS!$D:$D,MATCH(SCORE!T$2&amp;" "&amp;SCORE!$D213,EVENTOS!$F:$F,0)),0)</f>
        <v>0</v>
      </c>
      <c r="U213" s="3">
        <f>IFERROR(INDEX(EVENTOS!$D:$D,MATCH(SCORE!U$2&amp;" "&amp;SCORE!$D213,EVENTOS!$F:$F,0)),0)</f>
        <v>0</v>
      </c>
      <c r="V213" s="3">
        <f>IFERROR(INDEX(EVENTOS!$D:$D,MATCH(SCORE!V$2&amp;" "&amp;SCORE!$D213,EVENTOS!$F:$F,0)),0)</f>
        <v>0</v>
      </c>
      <c r="W213" s="3">
        <f>IFERROR(INDEX(EVENTOS!$D:$D,MATCH(SCORE!W$2&amp;" "&amp;SCORE!$D213,EVENTOS!$F:$F,0)),0)</f>
        <v>0</v>
      </c>
      <c r="X213" s="3">
        <f>IFERROR(INDEX(EVENTOS!$D:$D,MATCH(SCORE!X$2&amp;" "&amp;SCORE!$D213,EVENTOS!$F:$F,0)),0)</f>
        <v>0</v>
      </c>
      <c r="Y213" s="3">
        <f>SUMIFS(EVENTOS!$D:$D, EVENTOS!$B:$B, D213, EVENTOS!$E:$E, "*GirAlto*")</f>
        <v>0</v>
      </c>
      <c r="Z213" s="3">
        <f>SUMIFS(EVENTOS!$D:$D, EVENTOS!$B:$B, D213, EVENTOS!$E:$E, "*GirMed*")</f>
        <v>0</v>
      </c>
      <c r="AA213" s="3">
        <f>SUMIFS(EVENTOS!$D:$D, EVENTOS!$B:$B, D213, EVENTOS!$E:$E, "*GirBajo*")</f>
        <v>0</v>
      </c>
      <c r="AB213" s="3">
        <f>IFERROR(INDEX(EVENTOS!$D:$D,MATCH(SCORE!AB$2&amp;" "&amp;SCORE!$D213,EVENTOS!$F:$F,0)),0)</f>
        <v>0</v>
      </c>
      <c r="AC213" s="3">
        <f>IFERROR(INDEX(EVENTOS!$D:$D,MATCH(SCORE!AC$2&amp;" "&amp;SCORE!$D213,EVENTOS!$F:$F,0)),0)</f>
        <v>0</v>
      </c>
      <c r="AD213" s="3">
        <f>IFERROR(INDEX(EVENTOS!$D:$D,MATCH(SCORE!AD$2&amp;" "&amp;SCORE!$D213,EVENTOS!$F:$F,0)),0)</f>
        <v>0</v>
      </c>
      <c r="AE213" s="3">
        <f t="shared" si="9"/>
        <v>0</v>
      </c>
      <c r="AF213" s="10" t="e">
        <f t="shared" si="10"/>
        <v>#N/A</v>
      </c>
      <c r="AG213" s="3" t="str">
        <f t="shared" si="11"/>
        <v/>
      </c>
    </row>
    <row r="214" spans="1:33" x14ac:dyDescent="0.25">
      <c r="A214" s="7"/>
      <c r="B214" s="8"/>
      <c r="C214" s="3"/>
      <c r="D214" s="3"/>
      <c r="E214" s="3" t="e">
        <f>VLOOKUP(D214,VIAJES!$D:$E,2,FALSE)</f>
        <v>#N/A</v>
      </c>
      <c r="F214" s="9" t="e">
        <f>VLOOKUP(D214,VIAJES!$D:$F,3,FALSE)</f>
        <v>#N/A</v>
      </c>
      <c r="G214" s="9" t="e">
        <f>VLOOKUP(D214,VIAJES!$D:$G,4,FALSE)</f>
        <v>#N/A</v>
      </c>
      <c r="H214" s="3" t="e">
        <f>VLOOKUP(D214,VIAJES!$D:$H,5,FALSE)</f>
        <v>#N/A</v>
      </c>
      <c r="S214" s="3">
        <f>IFERROR(INDEX(EVENTOS!$D:$D,MATCH(SCORE!S$2&amp;" "&amp;SCORE!$D214,EVENTOS!$F:$F,0)),0)</f>
        <v>0</v>
      </c>
      <c r="T214" s="3">
        <f>IFERROR(INDEX(EVENTOS!$D:$D,MATCH(SCORE!T$2&amp;" "&amp;SCORE!$D214,EVENTOS!$F:$F,0)),0)</f>
        <v>0</v>
      </c>
      <c r="U214" s="3">
        <f>IFERROR(INDEX(EVENTOS!$D:$D,MATCH(SCORE!U$2&amp;" "&amp;SCORE!$D214,EVENTOS!$F:$F,0)),0)</f>
        <v>0</v>
      </c>
      <c r="V214" s="3">
        <f>IFERROR(INDEX(EVENTOS!$D:$D,MATCH(SCORE!V$2&amp;" "&amp;SCORE!$D214,EVENTOS!$F:$F,0)),0)</f>
        <v>0</v>
      </c>
      <c r="W214" s="3">
        <f>IFERROR(INDEX(EVENTOS!$D:$D,MATCH(SCORE!W$2&amp;" "&amp;SCORE!$D214,EVENTOS!$F:$F,0)),0)</f>
        <v>0</v>
      </c>
      <c r="X214" s="3">
        <f>IFERROR(INDEX(EVENTOS!$D:$D,MATCH(SCORE!X$2&amp;" "&amp;SCORE!$D214,EVENTOS!$F:$F,0)),0)</f>
        <v>0</v>
      </c>
      <c r="Y214" s="3">
        <f>SUMIFS(EVENTOS!$D:$D, EVENTOS!$B:$B, D214, EVENTOS!$E:$E, "*GirAlto*")</f>
        <v>0</v>
      </c>
      <c r="Z214" s="3">
        <f>SUMIFS(EVENTOS!$D:$D, EVENTOS!$B:$B, D214, EVENTOS!$E:$E, "*GirMed*")</f>
        <v>0</v>
      </c>
      <c r="AA214" s="3">
        <f>SUMIFS(EVENTOS!$D:$D, EVENTOS!$B:$B, D214, EVENTOS!$E:$E, "*GirBajo*")</f>
        <v>0</v>
      </c>
      <c r="AB214" s="3">
        <f>IFERROR(INDEX(EVENTOS!$D:$D,MATCH(SCORE!AB$2&amp;" "&amp;SCORE!$D214,EVENTOS!$F:$F,0)),0)</f>
        <v>0</v>
      </c>
      <c r="AC214" s="3">
        <f>IFERROR(INDEX(EVENTOS!$D:$D,MATCH(SCORE!AC$2&amp;" "&amp;SCORE!$D214,EVENTOS!$F:$F,0)),0)</f>
        <v>0</v>
      </c>
      <c r="AD214" s="3">
        <f>IFERROR(INDEX(EVENTOS!$D:$D,MATCH(SCORE!AD$2&amp;" "&amp;SCORE!$D214,EVENTOS!$F:$F,0)),0)</f>
        <v>0</v>
      </c>
      <c r="AE214" s="3">
        <f t="shared" si="9"/>
        <v>0</v>
      </c>
      <c r="AF214" s="10" t="e">
        <f t="shared" si="10"/>
        <v>#N/A</v>
      </c>
      <c r="AG214" s="3" t="str">
        <f t="shared" si="11"/>
        <v/>
      </c>
    </row>
    <row r="215" spans="1:33" x14ac:dyDescent="0.25">
      <c r="A215" s="7"/>
      <c r="B215" s="8"/>
      <c r="C215" s="3"/>
      <c r="D215" s="3"/>
      <c r="E215" s="3" t="e">
        <f>VLOOKUP(D215,VIAJES!$D:$E,2,FALSE)</f>
        <v>#N/A</v>
      </c>
      <c r="F215" s="9" t="e">
        <f>VLOOKUP(D215,VIAJES!$D:$F,3,FALSE)</f>
        <v>#N/A</v>
      </c>
      <c r="G215" s="9" t="e">
        <f>VLOOKUP(D215,VIAJES!$D:$G,4,FALSE)</f>
        <v>#N/A</v>
      </c>
      <c r="H215" s="3" t="e">
        <f>VLOOKUP(D215,VIAJES!$D:$H,5,FALSE)</f>
        <v>#N/A</v>
      </c>
      <c r="S215" s="3">
        <f>IFERROR(INDEX(EVENTOS!$D:$D,MATCH(SCORE!S$2&amp;" "&amp;SCORE!$D215,EVENTOS!$F:$F,0)),0)</f>
        <v>0</v>
      </c>
      <c r="T215" s="3">
        <f>IFERROR(INDEX(EVENTOS!$D:$D,MATCH(SCORE!T$2&amp;" "&amp;SCORE!$D215,EVENTOS!$F:$F,0)),0)</f>
        <v>0</v>
      </c>
      <c r="U215" s="3">
        <f>IFERROR(INDEX(EVENTOS!$D:$D,MATCH(SCORE!U$2&amp;" "&amp;SCORE!$D215,EVENTOS!$F:$F,0)),0)</f>
        <v>0</v>
      </c>
      <c r="V215" s="3">
        <f>IFERROR(INDEX(EVENTOS!$D:$D,MATCH(SCORE!V$2&amp;" "&amp;SCORE!$D215,EVENTOS!$F:$F,0)),0)</f>
        <v>0</v>
      </c>
      <c r="W215" s="3">
        <f>IFERROR(INDEX(EVENTOS!$D:$D,MATCH(SCORE!W$2&amp;" "&amp;SCORE!$D215,EVENTOS!$F:$F,0)),0)</f>
        <v>0</v>
      </c>
      <c r="X215" s="3">
        <f>IFERROR(INDEX(EVENTOS!$D:$D,MATCH(SCORE!X$2&amp;" "&amp;SCORE!$D215,EVENTOS!$F:$F,0)),0)</f>
        <v>0</v>
      </c>
      <c r="Y215" s="3">
        <f>SUMIFS(EVENTOS!$D:$D, EVENTOS!$B:$B, D215, EVENTOS!$E:$E, "*GirAlto*")</f>
        <v>0</v>
      </c>
      <c r="Z215" s="3">
        <f>SUMIFS(EVENTOS!$D:$D, EVENTOS!$B:$B, D215, EVENTOS!$E:$E, "*GirMed*")</f>
        <v>0</v>
      </c>
      <c r="AA215" s="3">
        <f>SUMIFS(EVENTOS!$D:$D, EVENTOS!$B:$B, D215, EVENTOS!$E:$E, "*GirBajo*")</f>
        <v>0</v>
      </c>
      <c r="AB215" s="3">
        <f>IFERROR(INDEX(EVENTOS!$D:$D,MATCH(SCORE!AB$2&amp;" "&amp;SCORE!$D215,EVENTOS!$F:$F,0)),0)</f>
        <v>0</v>
      </c>
      <c r="AC215" s="3">
        <f>IFERROR(INDEX(EVENTOS!$D:$D,MATCH(SCORE!AC$2&amp;" "&amp;SCORE!$D215,EVENTOS!$F:$F,0)),0)</f>
        <v>0</v>
      </c>
      <c r="AD215" s="3">
        <f>IFERROR(INDEX(EVENTOS!$D:$D,MATCH(SCORE!AD$2&amp;" "&amp;SCORE!$D215,EVENTOS!$F:$F,0)),0)</f>
        <v>0</v>
      </c>
      <c r="AE215" s="3">
        <f t="shared" si="9"/>
        <v>0</v>
      </c>
      <c r="AF215" s="10" t="e">
        <f t="shared" si="10"/>
        <v>#N/A</v>
      </c>
      <c r="AG215" s="3" t="str">
        <f t="shared" si="11"/>
        <v/>
      </c>
    </row>
    <row r="216" spans="1:33" x14ac:dyDescent="0.25">
      <c r="A216" s="7"/>
      <c r="B216" s="8"/>
      <c r="C216" s="3"/>
      <c r="D216" s="3"/>
      <c r="E216" s="3" t="e">
        <f>VLOOKUP(D216,VIAJES!$D:$E,2,FALSE)</f>
        <v>#N/A</v>
      </c>
      <c r="F216" s="9" t="e">
        <f>VLOOKUP(D216,VIAJES!$D:$F,3,FALSE)</f>
        <v>#N/A</v>
      </c>
      <c r="G216" s="9" t="e">
        <f>VLOOKUP(D216,VIAJES!$D:$G,4,FALSE)</f>
        <v>#N/A</v>
      </c>
      <c r="H216" s="3" t="e">
        <f>VLOOKUP(D216,VIAJES!$D:$H,5,FALSE)</f>
        <v>#N/A</v>
      </c>
      <c r="S216" s="3">
        <f>IFERROR(INDEX(EVENTOS!$D:$D,MATCH(SCORE!S$2&amp;" "&amp;SCORE!$D216,EVENTOS!$F:$F,0)),0)</f>
        <v>0</v>
      </c>
      <c r="T216" s="3">
        <f>IFERROR(INDEX(EVENTOS!$D:$D,MATCH(SCORE!T$2&amp;" "&amp;SCORE!$D216,EVENTOS!$F:$F,0)),0)</f>
        <v>0</v>
      </c>
      <c r="U216" s="3">
        <f>IFERROR(INDEX(EVENTOS!$D:$D,MATCH(SCORE!U$2&amp;" "&amp;SCORE!$D216,EVENTOS!$F:$F,0)),0)</f>
        <v>0</v>
      </c>
      <c r="V216" s="3">
        <f>IFERROR(INDEX(EVENTOS!$D:$D,MATCH(SCORE!V$2&amp;" "&amp;SCORE!$D216,EVENTOS!$F:$F,0)),0)</f>
        <v>0</v>
      </c>
      <c r="W216" s="3">
        <f>IFERROR(INDEX(EVENTOS!$D:$D,MATCH(SCORE!W$2&amp;" "&amp;SCORE!$D216,EVENTOS!$F:$F,0)),0)</f>
        <v>0</v>
      </c>
      <c r="X216" s="3">
        <f>IFERROR(INDEX(EVENTOS!$D:$D,MATCH(SCORE!X$2&amp;" "&amp;SCORE!$D216,EVENTOS!$F:$F,0)),0)</f>
        <v>0</v>
      </c>
      <c r="Y216" s="3">
        <f>SUMIFS(EVENTOS!$D:$D, EVENTOS!$B:$B, D216, EVENTOS!$E:$E, "*GirAlto*")</f>
        <v>0</v>
      </c>
      <c r="Z216" s="3">
        <f>SUMIFS(EVENTOS!$D:$D, EVENTOS!$B:$B, D216, EVENTOS!$E:$E, "*GirMed*")</f>
        <v>0</v>
      </c>
      <c r="AA216" s="3">
        <f>SUMIFS(EVENTOS!$D:$D, EVENTOS!$B:$B, D216, EVENTOS!$E:$E, "*GirBajo*")</f>
        <v>0</v>
      </c>
      <c r="AB216" s="3">
        <f>IFERROR(INDEX(EVENTOS!$D:$D,MATCH(SCORE!AB$2&amp;" "&amp;SCORE!$D216,EVENTOS!$F:$F,0)),0)</f>
        <v>0</v>
      </c>
      <c r="AC216" s="3">
        <f>IFERROR(INDEX(EVENTOS!$D:$D,MATCH(SCORE!AC$2&amp;" "&amp;SCORE!$D216,EVENTOS!$F:$F,0)),0)</f>
        <v>0</v>
      </c>
      <c r="AD216" s="3">
        <f>IFERROR(INDEX(EVENTOS!$D:$D,MATCH(SCORE!AD$2&amp;" "&amp;SCORE!$D216,EVENTOS!$F:$F,0)),0)</f>
        <v>0</v>
      </c>
      <c r="AE216" s="3">
        <f t="shared" si="9"/>
        <v>0</v>
      </c>
      <c r="AF216" s="10" t="e">
        <f t="shared" si="10"/>
        <v>#N/A</v>
      </c>
      <c r="AG216" s="3" t="str">
        <f t="shared" si="11"/>
        <v/>
      </c>
    </row>
    <row r="217" spans="1:33" x14ac:dyDescent="0.25">
      <c r="A217" s="7"/>
      <c r="B217" s="8"/>
      <c r="C217" s="3"/>
      <c r="D217" s="3"/>
      <c r="E217" s="3" t="e">
        <f>VLOOKUP(D217,VIAJES!$D:$E,2,FALSE)</f>
        <v>#N/A</v>
      </c>
      <c r="F217" s="9" t="e">
        <f>VLOOKUP(D217,VIAJES!$D:$F,3,FALSE)</f>
        <v>#N/A</v>
      </c>
      <c r="G217" s="9" t="e">
        <f>VLOOKUP(D217,VIAJES!$D:$G,4,FALSE)</f>
        <v>#N/A</v>
      </c>
      <c r="H217" s="3" t="e">
        <f>VLOOKUP(D217,VIAJES!$D:$H,5,FALSE)</f>
        <v>#N/A</v>
      </c>
      <c r="S217" s="3">
        <f>IFERROR(INDEX(EVENTOS!$D:$D,MATCH(SCORE!S$2&amp;" "&amp;SCORE!$D217,EVENTOS!$F:$F,0)),0)</f>
        <v>0</v>
      </c>
      <c r="T217" s="3">
        <f>IFERROR(INDEX(EVENTOS!$D:$D,MATCH(SCORE!T$2&amp;" "&amp;SCORE!$D217,EVENTOS!$F:$F,0)),0)</f>
        <v>0</v>
      </c>
      <c r="U217" s="3">
        <f>IFERROR(INDEX(EVENTOS!$D:$D,MATCH(SCORE!U$2&amp;" "&amp;SCORE!$D217,EVENTOS!$F:$F,0)),0)</f>
        <v>0</v>
      </c>
      <c r="V217" s="3">
        <f>IFERROR(INDEX(EVENTOS!$D:$D,MATCH(SCORE!V$2&amp;" "&amp;SCORE!$D217,EVENTOS!$F:$F,0)),0)</f>
        <v>0</v>
      </c>
      <c r="W217" s="3">
        <f>IFERROR(INDEX(EVENTOS!$D:$D,MATCH(SCORE!W$2&amp;" "&amp;SCORE!$D217,EVENTOS!$F:$F,0)),0)</f>
        <v>0</v>
      </c>
      <c r="X217" s="3">
        <f>IFERROR(INDEX(EVENTOS!$D:$D,MATCH(SCORE!X$2&amp;" "&amp;SCORE!$D217,EVENTOS!$F:$F,0)),0)</f>
        <v>0</v>
      </c>
      <c r="Y217" s="3">
        <f>SUMIFS(EVENTOS!$D:$D, EVENTOS!$B:$B, D217, EVENTOS!$E:$E, "*GirAlto*")</f>
        <v>0</v>
      </c>
      <c r="Z217" s="3">
        <f>SUMIFS(EVENTOS!$D:$D, EVENTOS!$B:$B, D217, EVENTOS!$E:$E, "*GirMed*")</f>
        <v>0</v>
      </c>
      <c r="AA217" s="3">
        <f>SUMIFS(EVENTOS!$D:$D, EVENTOS!$B:$B, D217, EVENTOS!$E:$E, "*GirBajo*")</f>
        <v>0</v>
      </c>
      <c r="AB217" s="3">
        <f>IFERROR(INDEX(EVENTOS!$D:$D,MATCH(SCORE!AB$2&amp;" "&amp;SCORE!$D217,EVENTOS!$F:$F,0)),0)</f>
        <v>0</v>
      </c>
      <c r="AC217" s="3">
        <f>IFERROR(INDEX(EVENTOS!$D:$D,MATCH(SCORE!AC$2&amp;" "&amp;SCORE!$D217,EVENTOS!$F:$F,0)),0)</f>
        <v>0</v>
      </c>
      <c r="AD217" s="3">
        <f>IFERROR(INDEX(EVENTOS!$D:$D,MATCH(SCORE!AD$2&amp;" "&amp;SCORE!$D217,EVENTOS!$F:$F,0)),0)</f>
        <v>0</v>
      </c>
      <c r="AE217" s="3">
        <f t="shared" si="9"/>
        <v>0</v>
      </c>
      <c r="AF217" s="10" t="e">
        <f t="shared" si="10"/>
        <v>#N/A</v>
      </c>
      <c r="AG217" s="3" t="str">
        <f t="shared" si="11"/>
        <v/>
      </c>
    </row>
    <row r="218" spans="1:33" x14ac:dyDescent="0.25">
      <c r="A218" s="7"/>
      <c r="B218" s="8"/>
      <c r="C218" s="3"/>
      <c r="D218" s="3"/>
      <c r="E218" s="3" t="e">
        <f>VLOOKUP(D218,VIAJES!$D:$E,2,FALSE)</f>
        <v>#N/A</v>
      </c>
      <c r="F218" s="9" t="e">
        <f>VLOOKUP(D218,VIAJES!$D:$F,3,FALSE)</f>
        <v>#N/A</v>
      </c>
      <c r="G218" s="9" t="e">
        <f>VLOOKUP(D218,VIAJES!$D:$G,4,FALSE)</f>
        <v>#N/A</v>
      </c>
      <c r="H218" s="3" t="e">
        <f>VLOOKUP(D218,VIAJES!$D:$H,5,FALSE)</f>
        <v>#N/A</v>
      </c>
      <c r="S218" s="3">
        <f>IFERROR(INDEX(EVENTOS!$D:$D,MATCH(SCORE!S$2&amp;" "&amp;SCORE!$D218,EVENTOS!$F:$F,0)),0)</f>
        <v>0</v>
      </c>
      <c r="T218" s="3">
        <f>IFERROR(INDEX(EVENTOS!$D:$D,MATCH(SCORE!T$2&amp;" "&amp;SCORE!$D218,EVENTOS!$F:$F,0)),0)</f>
        <v>0</v>
      </c>
      <c r="U218" s="3">
        <f>IFERROR(INDEX(EVENTOS!$D:$D,MATCH(SCORE!U$2&amp;" "&amp;SCORE!$D218,EVENTOS!$F:$F,0)),0)</f>
        <v>0</v>
      </c>
      <c r="V218" s="3">
        <f>IFERROR(INDEX(EVENTOS!$D:$D,MATCH(SCORE!V$2&amp;" "&amp;SCORE!$D218,EVENTOS!$F:$F,0)),0)</f>
        <v>0</v>
      </c>
      <c r="W218" s="3">
        <f>IFERROR(INDEX(EVENTOS!$D:$D,MATCH(SCORE!W$2&amp;" "&amp;SCORE!$D218,EVENTOS!$F:$F,0)),0)</f>
        <v>0</v>
      </c>
      <c r="X218" s="3">
        <f>IFERROR(INDEX(EVENTOS!$D:$D,MATCH(SCORE!X$2&amp;" "&amp;SCORE!$D218,EVENTOS!$F:$F,0)),0)</f>
        <v>0</v>
      </c>
      <c r="Y218" s="3">
        <f>SUMIFS(EVENTOS!$D:$D, EVENTOS!$B:$B, D218, EVENTOS!$E:$E, "*GirAlto*")</f>
        <v>0</v>
      </c>
      <c r="Z218" s="3">
        <f>SUMIFS(EVENTOS!$D:$D, EVENTOS!$B:$B, D218, EVENTOS!$E:$E, "*GirMed*")</f>
        <v>0</v>
      </c>
      <c r="AA218" s="3">
        <f>SUMIFS(EVENTOS!$D:$D, EVENTOS!$B:$B, D218, EVENTOS!$E:$E, "*GirBajo*")</f>
        <v>0</v>
      </c>
      <c r="AB218" s="3">
        <f>IFERROR(INDEX(EVENTOS!$D:$D,MATCH(SCORE!AB$2&amp;" "&amp;SCORE!$D218,EVENTOS!$F:$F,0)),0)</f>
        <v>0</v>
      </c>
      <c r="AC218" s="3">
        <f>IFERROR(INDEX(EVENTOS!$D:$D,MATCH(SCORE!AC$2&amp;" "&amp;SCORE!$D218,EVENTOS!$F:$F,0)),0)</f>
        <v>0</v>
      </c>
      <c r="AD218" s="3">
        <f>IFERROR(INDEX(EVENTOS!$D:$D,MATCH(SCORE!AD$2&amp;" "&amp;SCORE!$D218,EVENTOS!$F:$F,0)),0)</f>
        <v>0</v>
      </c>
      <c r="AE218" s="3">
        <f t="shared" si="9"/>
        <v>0</v>
      </c>
      <c r="AF218" s="10" t="e">
        <f t="shared" si="10"/>
        <v>#N/A</v>
      </c>
      <c r="AG218" s="3" t="str">
        <f t="shared" si="11"/>
        <v/>
      </c>
    </row>
    <row r="219" spans="1:33" x14ac:dyDescent="0.25">
      <c r="A219" s="7"/>
      <c r="B219" s="8"/>
      <c r="C219" s="3"/>
      <c r="D219" s="3"/>
      <c r="E219" s="3" t="e">
        <f>VLOOKUP(D219,VIAJES!$D:$E,2,FALSE)</f>
        <v>#N/A</v>
      </c>
      <c r="F219" s="9" t="e">
        <f>VLOOKUP(D219,VIAJES!$D:$F,3,FALSE)</f>
        <v>#N/A</v>
      </c>
      <c r="G219" s="9" t="e">
        <f>VLOOKUP(D219,VIAJES!$D:$G,4,FALSE)</f>
        <v>#N/A</v>
      </c>
      <c r="H219" s="3" t="e">
        <f>VLOOKUP(D219,VIAJES!$D:$H,5,FALSE)</f>
        <v>#N/A</v>
      </c>
      <c r="S219" s="3">
        <f>IFERROR(INDEX(EVENTOS!$D:$D,MATCH(SCORE!S$2&amp;" "&amp;SCORE!$D219,EVENTOS!$F:$F,0)),0)</f>
        <v>0</v>
      </c>
      <c r="T219" s="3">
        <f>IFERROR(INDEX(EVENTOS!$D:$D,MATCH(SCORE!T$2&amp;" "&amp;SCORE!$D219,EVENTOS!$F:$F,0)),0)</f>
        <v>0</v>
      </c>
      <c r="U219" s="3">
        <f>IFERROR(INDEX(EVENTOS!$D:$D,MATCH(SCORE!U$2&amp;" "&amp;SCORE!$D219,EVENTOS!$F:$F,0)),0)</f>
        <v>0</v>
      </c>
      <c r="V219" s="3">
        <f>IFERROR(INDEX(EVENTOS!$D:$D,MATCH(SCORE!V$2&amp;" "&amp;SCORE!$D219,EVENTOS!$F:$F,0)),0)</f>
        <v>0</v>
      </c>
      <c r="W219" s="3">
        <f>IFERROR(INDEX(EVENTOS!$D:$D,MATCH(SCORE!W$2&amp;" "&amp;SCORE!$D219,EVENTOS!$F:$F,0)),0)</f>
        <v>0</v>
      </c>
      <c r="X219" s="3">
        <f>IFERROR(INDEX(EVENTOS!$D:$D,MATCH(SCORE!X$2&amp;" "&amp;SCORE!$D219,EVENTOS!$F:$F,0)),0)</f>
        <v>0</v>
      </c>
      <c r="Y219" s="3">
        <f>SUMIFS(EVENTOS!$D:$D, EVENTOS!$B:$B, D219, EVENTOS!$E:$E, "*GirAlto*")</f>
        <v>0</v>
      </c>
      <c r="Z219" s="3">
        <f>SUMIFS(EVENTOS!$D:$D, EVENTOS!$B:$B, D219, EVENTOS!$E:$E, "*GirMed*")</f>
        <v>0</v>
      </c>
      <c r="AA219" s="3">
        <f>SUMIFS(EVENTOS!$D:$D, EVENTOS!$B:$B, D219, EVENTOS!$E:$E, "*GirBajo*")</f>
        <v>0</v>
      </c>
      <c r="AB219" s="3">
        <f>IFERROR(INDEX(EVENTOS!$D:$D,MATCH(SCORE!AB$2&amp;" "&amp;SCORE!$D219,EVENTOS!$F:$F,0)),0)</f>
        <v>0</v>
      </c>
      <c r="AC219" s="3">
        <f>IFERROR(INDEX(EVENTOS!$D:$D,MATCH(SCORE!AC$2&amp;" "&amp;SCORE!$D219,EVENTOS!$F:$F,0)),0)</f>
        <v>0</v>
      </c>
      <c r="AD219" s="3">
        <f>IFERROR(INDEX(EVENTOS!$D:$D,MATCH(SCORE!AD$2&amp;" "&amp;SCORE!$D219,EVENTOS!$F:$F,0)),0)</f>
        <v>0</v>
      </c>
      <c r="AE219" s="3">
        <f t="shared" si="9"/>
        <v>0</v>
      </c>
      <c r="AF219" s="10" t="e">
        <f t="shared" si="10"/>
        <v>#N/A</v>
      </c>
      <c r="AG219" s="3" t="str">
        <f t="shared" si="11"/>
        <v/>
      </c>
    </row>
    <row r="220" spans="1:33" x14ac:dyDescent="0.25">
      <c r="A220" s="7"/>
      <c r="B220" s="8"/>
      <c r="C220" s="3"/>
      <c r="D220" s="3"/>
      <c r="E220" s="3" t="e">
        <f>VLOOKUP(D220,VIAJES!$D:$E,2,FALSE)</f>
        <v>#N/A</v>
      </c>
      <c r="F220" s="9" t="e">
        <f>VLOOKUP(D220,VIAJES!$D:$F,3,FALSE)</f>
        <v>#N/A</v>
      </c>
      <c r="G220" s="9" t="e">
        <f>VLOOKUP(D220,VIAJES!$D:$G,4,FALSE)</f>
        <v>#N/A</v>
      </c>
      <c r="H220" s="3" t="e">
        <f>VLOOKUP(D220,VIAJES!$D:$H,5,FALSE)</f>
        <v>#N/A</v>
      </c>
      <c r="S220" s="3">
        <f>IFERROR(INDEX(EVENTOS!$D:$D,MATCH(SCORE!S$2&amp;" "&amp;SCORE!$D220,EVENTOS!$F:$F,0)),0)</f>
        <v>0</v>
      </c>
      <c r="T220" s="3">
        <f>IFERROR(INDEX(EVENTOS!$D:$D,MATCH(SCORE!T$2&amp;" "&amp;SCORE!$D220,EVENTOS!$F:$F,0)),0)</f>
        <v>0</v>
      </c>
      <c r="U220" s="3">
        <f>IFERROR(INDEX(EVENTOS!$D:$D,MATCH(SCORE!U$2&amp;" "&amp;SCORE!$D220,EVENTOS!$F:$F,0)),0)</f>
        <v>0</v>
      </c>
      <c r="V220" s="3">
        <f>IFERROR(INDEX(EVENTOS!$D:$D,MATCH(SCORE!V$2&amp;" "&amp;SCORE!$D220,EVENTOS!$F:$F,0)),0)</f>
        <v>0</v>
      </c>
      <c r="W220" s="3">
        <f>IFERROR(INDEX(EVENTOS!$D:$D,MATCH(SCORE!W$2&amp;" "&amp;SCORE!$D220,EVENTOS!$F:$F,0)),0)</f>
        <v>0</v>
      </c>
      <c r="X220" s="3">
        <f>IFERROR(INDEX(EVENTOS!$D:$D,MATCH(SCORE!X$2&amp;" "&amp;SCORE!$D220,EVENTOS!$F:$F,0)),0)</f>
        <v>0</v>
      </c>
      <c r="Y220" s="3">
        <f>SUMIFS(EVENTOS!$D:$D, EVENTOS!$B:$B, D220, EVENTOS!$E:$E, "*GirAlto*")</f>
        <v>0</v>
      </c>
      <c r="Z220" s="3">
        <f>SUMIFS(EVENTOS!$D:$D, EVENTOS!$B:$B, D220, EVENTOS!$E:$E, "*GirMed*")</f>
        <v>0</v>
      </c>
      <c r="AA220" s="3">
        <f>SUMIFS(EVENTOS!$D:$D, EVENTOS!$B:$B, D220, EVENTOS!$E:$E, "*GirBajo*")</f>
        <v>0</v>
      </c>
      <c r="AB220" s="3">
        <f>IFERROR(INDEX(EVENTOS!$D:$D,MATCH(SCORE!AB$2&amp;" "&amp;SCORE!$D220,EVENTOS!$F:$F,0)),0)</f>
        <v>0</v>
      </c>
      <c r="AC220" s="3">
        <f>IFERROR(INDEX(EVENTOS!$D:$D,MATCH(SCORE!AC$2&amp;" "&amp;SCORE!$D220,EVENTOS!$F:$F,0)),0)</f>
        <v>0</v>
      </c>
      <c r="AD220" s="3">
        <f>IFERROR(INDEX(EVENTOS!$D:$D,MATCH(SCORE!AD$2&amp;" "&amp;SCORE!$D220,EVENTOS!$F:$F,0)),0)</f>
        <v>0</v>
      </c>
      <c r="AE220" s="3">
        <f t="shared" si="9"/>
        <v>0</v>
      </c>
      <c r="AF220" s="10" t="e">
        <f t="shared" si="10"/>
        <v>#N/A</v>
      </c>
      <c r="AG220" s="3" t="str">
        <f t="shared" si="11"/>
        <v/>
      </c>
    </row>
    <row r="221" spans="1:33" x14ac:dyDescent="0.25">
      <c r="A221" s="7"/>
      <c r="B221" s="8"/>
      <c r="C221" s="3"/>
      <c r="D221" s="3"/>
      <c r="E221" s="3" t="e">
        <f>VLOOKUP(D221,VIAJES!$D:$E,2,FALSE)</f>
        <v>#N/A</v>
      </c>
      <c r="F221" s="9" t="e">
        <f>VLOOKUP(D221,VIAJES!$D:$F,3,FALSE)</f>
        <v>#N/A</v>
      </c>
      <c r="G221" s="9" t="e">
        <f>VLOOKUP(D221,VIAJES!$D:$G,4,FALSE)</f>
        <v>#N/A</v>
      </c>
      <c r="H221" s="3" t="e">
        <f>VLOOKUP(D221,VIAJES!$D:$H,5,FALSE)</f>
        <v>#N/A</v>
      </c>
      <c r="S221" s="3">
        <f>IFERROR(INDEX(EVENTOS!$D:$D,MATCH(SCORE!S$2&amp;" "&amp;SCORE!$D221,EVENTOS!$F:$F,0)),0)</f>
        <v>0</v>
      </c>
      <c r="T221" s="3">
        <f>IFERROR(INDEX(EVENTOS!$D:$D,MATCH(SCORE!T$2&amp;" "&amp;SCORE!$D221,EVENTOS!$F:$F,0)),0)</f>
        <v>0</v>
      </c>
      <c r="U221" s="3">
        <f>IFERROR(INDEX(EVENTOS!$D:$D,MATCH(SCORE!U$2&amp;" "&amp;SCORE!$D221,EVENTOS!$F:$F,0)),0)</f>
        <v>0</v>
      </c>
      <c r="V221" s="3">
        <f>IFERROR(INDEX(EVENTOS!$D:$D,MATCH(SCORE!V$2&amp;" "&amp;SCORE!$D221,EVENTOS!$F:$F,0)),0)</f>
        <v>0</v>
      </c>
      <c r="W221" s="3">
        <f>IFERROR(INDEX(EVENTOS!$D:$D,MATCH(SCORE!W$2&amp;" "&amp;SCORE!$D221,EVENTOS!$F:$F,0)),0)</f>
        <v>0</v>
      </c>
      <c r="X221" s="3">
        <f>IFERROR(INDEX(EVENTOS!$D:$D,MATCH(SCORE!X$2&amp;" "&amp;SCORE!$D221,EVENTOS!$F:$F,0)),0)</f>
        <v>0</v>
      </c>
      <c r="Y221" s="3">
        <f>SUMIFS(EVENTOS!$D:$D, EVENTOS!$B:$B, D221, EVENTOS!$E:$E, "*GirAlto*")</f>
        <v>0</v>
      </c>
      <c r="Z221" s="3">
        <f>SUMIFS(EVENTOS!$D:$D, EVENTOS!$B:$B, D221, EVENTOS!$E:$E, "*GirMed*")</f>
        <v>0</v>
      </c>
      <c r="AA221" s="3">
        <f>SUMIFS(EVENTOS!$D:$D, EVENTOS!$B:$B, D221, EVENTOS!$E:$E, "*GirBajo*")</f>
        <v>0</v>
      </c>
      <c r="AB221" s="3">
        <f>IFERROR(INDEX(EVENTOS!$D:$D,MATCH(SCORE!AB$2&amp;" "&amp;SCORE!$D221,EVENTOS!$F:$F,0)),0)</f>
        <v>0</v>
      </c>
      <c r="AC221" s="3">
        <f>IFERROR(INDEX(EVENTOS!$D:$D,MATCH(SCORE!AC$2&amp;" "&amp;SCORE!$D221,EVENTOS!$F:$F,0)),0)</f>
        <v>0</v>
      </c>
      <c r="AD221" s="3">
        <f>IFERROR(INDEX(EVENTOS!$D:$D,MATCH(SCORE!AD$2&amp;" "&amp;SCORE!$D221,EVENTOS!$F:$F,0)),0)</f>
        <v>0</v>
      </c>
      <c r="AE221" s="3">
        <f t="shared" si="9"/>
        <v>0</v>
      </c>
      <c r="AF221" s="10" t="e">
        <f t="shared" si="10"/>
        <v>#N/A</v>
      </c>
      <c r="AG221" s="3" t="str">
        <f t="shared" si="11"/>
        <v/>
      </c>
    </row>
    <row r="222" spans="1:33" x14ac:dyDescent="0.25">
      <c r="A222" s="7"/>
      <c r="B222" s="8"/>
      <c r="C222" s="3"/>
      <c r="D222" s="3"/>
      <c r="E222" s="3" t="e">
        <f>VLOOKUP(D222,VIAJES!$D:$E,2,FALSE)</f>
        <v>#N/A</v>
      </c>
      <c r="F222" s="9" t="e">
        <f>VLOOKUP(D222,VIAJES!$D:$F,3,FALSE)</f>
        <v>#N/A</v>
      </c>
      <c r="G222" s="9" t="e">
        <f>VLOOKUP(D222,VIAJES!$D:$G,4,FALSE)</f>
        <v>#N/A</v>
      </c>
      <c r="H222" s="3" t="e">
        <f>VLOOKUP(D222,VIAJES!$D:$H,5,FALSE)</f>
        <v>#N/A</v>
      </c>
      <c r="S222" s="3">
        <f>IFERROR(INDEX(EVENTOS!$D:$D,MATCH(SCORE!S$2&amp;" "&amp;SCORE!$D222,EVENTOS!$F:$F,0)),0)</f>
        <v>0</v>
      </c>
      <c r="T222" s="3">
        <f>IFERROR(INDEX(EVENTOS!$D:$D,MATCH(SCORE!T$2&amp;" "&amp;SCORE!$D222,EVENTOS!$F:$F,0)),0)</f>
        <v>0</v>
      </c>
      <c r="U222" s="3">
        <f>IFERROR(INDEX(EVENTOS!$D:$D,MATCH(SCORE!U$2&amp;" "&amp;SCORE!$D222,EVENTOS!$F:$F,0)),0)</f>
        <v>0</v>
      </c>
      <c r="V222" s="3">
        <f>IFERROR(INDEX(EVENTOS!$D:$D,MATCH(SCORE!V$2&amp;" "&amp;SCORE!$D222,EVENTOS!$F:$F,0)),0)</f>
        <v>0</v>
      </c>
      <c r="W222" s="3">
        <f>IFERROR(INDEX(EVENTOS!$D:$D,MATCH(SCORE!W$2&amp;" "&amp;SCORE!$D222,EVENTOS!$F:$F,0)),0)</f>
        <v>0</v>
      </c>
      <c r="X222" s="3">
        <f>IFERROR(INDEX(EVENTOS!$D:$D,MATCH(SCORE!X$2&amp;" "&amp;SCORE!$D222,EVENTOS!$F:$F,0)),0)</f>
        <v>0</v>
      </c>
      <c r="Y222" s="3">
        <f>SUMIFS(EVENTOS!$D:$D, EVENTOS!$B:$B, D222, EVENTOS!$E:$E, "*GirAlto*")</f>
        <v>0</v>
      </c>
      <c r="Z222" s="3">
        <f>SUMIFS(EVENTOS!$D:$D, EVENTOS!$B:$B, D222, EVENTOS!$E:$E, "*GirMed*")</f>
        <v>0</v>
      </c>
      <c r="AA222" s="3">
        <f>SUMIFS(EVENTOS!$D:$D, EVENTOS!$B:$B, D222, EVENTOS!$E:$E, "*GirBajo*")</f>
        <v>0</v>
      </c>
      <c r="AB222" s="3">
        <f>IFERROR(INDEX(EVENTOS!$D:$D,MATCH(SCORE!AB$2&amp;" "&amp;SCORE!$D222,EVENTOS!$F:$F,0)),0)</f>
        <v>0</v>
      </c>
      <c r="AC222" s="3">
        <f>IFERROR(INDEX(EVENTOS!$D:$D,MATCH(SCORE!AC$2&amp;" "&amp;SCORE!$D222,EVENTOS!$F:$F,0)),0)</f>
        <v>0</v>
      </c>
      <c r="AD222" s="3">
        <f>IFERROR(INDEX(EVENTOS!$D:$D,MATCH(SCORE!AD$2&amp;" "&amp;SCORE!$D222,EVENTOS!$F:$F,0)),0)</f>
        <v>0</v>
      </c>
      <c r="AE222" s="3">
        <f t="shared" si="9"/>
        <v>0</v>
      </c>
      <c r="AF222" s="10" t="e">
        <f t="shared" si="10"/>
        <v>#N/A</v>
      </c>
      <c r="AG222" s="3" t="str">
        <f t="shared" si="11"/>
        <v/>
      </c>
    </row>
    <row r="223" spans="1:33" x14ac:dyDescent="0.25">
      <c r="A223" s="7"/>
      <c r="B223" s="8"/>
      <c r="C223" s="3"/>
      <c r="D223" s="3"/>
      <c r="E223" s="3" t="e">
        <f>VLOOKUP(D223,VIAJES!$D:$E,2,FALSE)</f>
        <v>#N/A</v>
      </c>
      <c r="F223" s="9" t="e">
        <f>VLOOKUP(D223,VIAJES!$D:$F,3,FALSE)</f>
        <v>#N/A</v>
      </c>
      <c r="G223" s="9" t="e">
        <f>VLOOKUP(D223,VIAJES!$D:$G,4,FALSE)</f>
        <v>#N/A</v>
      </c>
      <c r="H223" s="3" t="e">
        <f>VLOOKUP(D223,VIAJES!$D:$H,5,FALSE)</f>
        <v>#N/A</v>
      </c>
      <c r="S223" s="3">
        <f>IFERROR(INDEX(EVENTOS!$D:$D,MATCH(SCORE!S$2&amp;" "&amp;SCORE!$D223,EVENTOS!$F:$F,0)),0)</f>
        <v>0</v>
      </c>
      <c r="T223" s="3">
        <f>IFERROR(INDEX(EVENTOS!$D:$D,MATCH(SCORE!T$2&amp;" "&amp;SCORE!$D223,EVENTOS!$F:$F,0)),0)</f>
        <v>0</v>
      </c>
      <c r="U223" s="3">
        <f>IFERROR(INDEX(EVENTOS!$D:$D,MATCH(SCORE!U$2&amp;" "&amp;SCORE!$D223,EVENTOS!$F:$F,0)),0)</f>
        <v>0</v>
      </c>
      <c r="V223" s="3">
        <f>IFERROR(INDEX(EVENTOS!$D:$D,MATCH(SCORE!V$2&amp;" "&amp;SCORE!$D223,EVENTOS!$F:$F,0)),0)</f>
        <v>0</v>
      </c>
      <c r="W223" s="3">
        <f>IFERROR(INDEX(EVENTOS!$D:$D,MATCH(SCORE!W$2&amp;" "&amp;SCORE!$D223,EVENTOS!$F:$F,0)),0)</f>
        <v>0</v>
      </c>
      <c r="X223" s="3">
        <f>IFERROR(INDEX(EVENTOS!$D:$D,MATCH(SCORE!X$2&amp;" "&amp;SCORE!$D223,EVENTOS!$F:$F,0)),0)</f>
        <v>0</v>
      </c>
      <c r="Y223" s="3">
        <f>SUMIFS(EVENTOS!$D:$D, EVENTOS!$B:$B, D223, EVENTOS!$E:$E, "*GirAlto*")</f>
        <v>0</v>
      </c>
      <c r="Z223" s="3">
        <f>SUMIFS(EVENTOS!$D:$D, EVENTOS!$B:$B, D223, EVENTOS!$E:$E, "*GirMed*")</f>
        <v>0</v>
      </c>
      <c r="AA223" s="3">
        <f>SUMIFS(EVENTOS!$D:$D, EVENTOS!$B:$B, D223, EVENTOS!$E:$E, "*GirBajo*")</f>
        <v>0</v>
      </c>
      <c r="AB223" s="3">
        <f>IFERROR(INDEX(EVENTOS!$D:$D,MATCH(SCORE!AB$2&amp;" "&amp;SCORE!$D223,EVENTOS!$F:$F,0)),0)</f>
        <v>0</v>
      </c>
      <c r="AC223" s="3">
        <f>IFERROR(INDEX(EVENTOS!$D:$D,MATCH(SCORE!AC$2&amp;" "&amp;SCORE!$D223,EVENTOS!$F:$F,0)),0)</f>
        <v>0</v>
      </c>
      <c r="AD223" s="3">
        <f>IFERROR(INDEX(EVENTOS!$D:$D,MATCH(SCORE!AD$2&amp;" "&amp;SCORE!$D223,EVENTOS!$F:$F,0)),0)</f>
        <v>0</v>
      </c>
      <c r="AE223" s="3">
        <f t="shared" si="9"/>
        <v>0</v>
      </c>
      <c r="AF223" s="10" t="e">
        <f t="shared" si="10"/>
        <v>#N/A</v>
      </c>
      <c r="AG223" s="3" t="str">
        <f t="shared" si="11"/>
        <v/>
      </c>
    </row>
    <row r="224" spans="1:33" x14ac:dyDescent="0.25">
      <c r="A224" s="7"/>
      <c r="B224" s="8"/>
      <c r="C224" s="3"/>
      <c r="D224" s="3"/>
      <c r="E224" s="3" t="e">
        <f>VLOOKUP(D224,VIAJES!$D:$E,2,FALSE)</f>
        <v>#N/A</v>
      </c>
      <c r="F224" s="9" t="e">
        <f>VLOOKUP(D224,VIAJES!$D:$F,3,FALSE)</f>
        <v>#N/A</v>
      </c>
      <c r="G224" s="9" t="e">
        <f>VLOOKUP(D224,VIAJES!$D:$G,4,FALSE)</f>
        <v>#N/A</v>
      </c>
      <c r="H224" s="3" t="e">
        <f>VLOOKUP(D224,VIAJES!$D:$H,5,FALSE)</f>
        <v>#N/A</v>
      </c>
      <c r="S224" s="3">
        <f>IFERROR(INDEX(EVENTOS!$D:$D,MATCH(SCORE!S$2&amp;" "&amp;SCORE!$D224,EVENTOS!$F:$F,0)),0)</f>
        <v>0</v>
      </c>
      <c r="T224" s="3">
        <f>IFERROR(INDEX(EVENTOS!$D:$D,MATCH(SCORE!T$2&amp;" "&amp;SCORE!$D224,EVENTOS!$F:$F,0)),0)</f>
        <v>0</v>
      </c>
      <c r="U224" s="3">
        <f>IFERROR(INDEX(EVENTOS!$D:$D,MATCH(SCORE!U$2&amp;" "&amp;SCORE!$D224,EVENTOS!$F:$F,0)),0)</f>
        <v>0</v>
      </c>
      <c r="V224" s="3">
        <f>IFERROR(INDEX(EVENTOS!$D:$D,MATCH(SCORE!V$2&amp;" "&amp;SCORE!$D224,EVENTOS!$F:$F,0)),0)</f>
        <v>0</v>
      </c>
      <c r="W224" s="3">
        <f>IFERROR(INDEX(EVENTOS!$D:$D,MATCH(SCORE!W$2&amp;" "&amp;SCORE!$D224,EVENTOS!$F:$F,0)),0)</f>
        <v>0</v>
      </c>
      <c r="X224" s="3">
        <f>IFERROR(INDEX(EVENTOS!$D:$D,MATCH(SCORE!X$2&amp;" "&amp;SCORE!$D224,EVENTOS!$F:$F,0)),0)</f>
        <v>0</v>
      </c>
      <c r="Y224" s="3">
        <f>SUMIFS(EVENTOS!$D:$D, EVENTOS!$B:$B, D224, EVENTOS!$E:$E, "*GirAlto*")</f>
        <v>0</v>
      </c>
      <c r="Z224" s="3">
        <f>SUMIFS(EVENTOS!$D:$D, EVENTOS!$B:$B, D224, EVENTOS!$E:$E, "*GirMed*")</f>
        <v>0</v>
      </c>
      <c r="AA224" s="3">
        <f>SUMIFS(EVENTOS!$D:$D, EVENTOS!$B:$B, D224, EVENTOS!$E:$E, "*GirBajo*")</f>
        <v>0</v>
      </c>
      <c r="AB224" s="3">
        <f>IFERROR(INDEX(EVENTOS!$D:$D,MATCH(SCORE!AB$2&amp;" "&amp;SCORE!$D224,EVENTOS!$F:$F,0)),0)</f>
        <v>0</v>
      </c>
      <c r="AC224" s="3">
        <f>IFERROR(INDEX(EVENTOS!$D:$D,MATCH(SCORE!AC$2&amp;" "&amp;SCORE!$D224,EVENTOS!$F:$F,0)),0)</f>
        <v>0</v>
      </c>
      <c r="AD224" s="3">
        <f>IFERROR(INDEX(EVENTOS!$D:$D,MATCH(SCORE!AD$2&amp;" "&amp;SCORE!$D224,EVENTOS!$F:$F,0)),0)</f>
        <v>0</v>
      </c>
      <c r="AE224" s="3">
        <f t="shared" si="9"/>
        <v>0</v>
      </c>
      <c r="AF224" s="10" t="e">
        <f t="shared" si="10"/>
        <v>#N/A</v>
      </c>
      <c r="AG224" s="3" t="str">
        <f t="shared" si="11"/>
        <v/>
      </c>
    </row>
    <row r="225" spans="1:33" x14ac:dyDescent="0.25">
      <c r="A225" s="7"/>
      <c r="B225" s="8"/>
      <c r="C225" s="3"/>
      <c r="D225" s="3"/>
      <c r="E225" s="3" t="e">
        <f>VLOOKUP(D225,VIAJES!$D:$E,2,FALSE)</f>
        <v>#N/A</v>
      </c>
      <c r="F225" s="9" t="e">
        <f>VLOOKUP(D225,VIAJES!$D:$F,3,FALSE)</f>
        <v>#N/A</v>
      </c>
      <c r="G225" s="9" t="e">
        <f>VLOOKUP(D225,VIAJES!$D:$G,4,FALSE)</f>
        <v>#N/A</v>
      </c>
      <c r="H225" s="3" t="e">
        <f>VLOOKUP(D225,VIAJES!$D:$H,5,FALSE)</f>
        <v>#N/A</v>
      </c>
      <c r="S225" s="3">
        <f>IFERROR(INDEX(EVENTOS!$D:$D,MATCH(SCORE!S$2&amp;" "&amp;SCORE!$D225,EVENTOS!$F:$F,0)),0)</f>
        <v>0</v>
      </c>
      <c r="T225" s="3">
        <f>IFERROR(INDEX(EVENTOS!$D:$D,MATCH(SCORE!T$2&amp;" "&amp;SCORE!$D225,EVENTOS!$F:$F,0)),0)</f>
        <v>0</v>
      </c>
      <c r="U225" s="3">
        <f>IFERROR(INDEX(EVENTOS!$D:$D,MATCH(SCORE!U$2&amp;" "&amp;SCORE!$D225,EVENTOS!$F:$F,0)),0)</f>
        <v>0</v>
      </c>
      <c r="V225" s="3">
        <f>IFERROR(INDEX(EVENTOS!$D:$D,MATCH(SCORE!V$2&amp;" "&amp;SCORE!$D225,EVENTOS!$F:$F,0)),0)</f>
        <v>0</v>
      </c>
      <c r="W225" s="3">
        <f>IFERROR(INDEX(EVENTOS!$D:$D,MATCH(SCORE!W$2&amp;" "&amp;SCORE!$D225,EVENTOS!$F:$F,0)),0)</f>
        <v>0</v>
      </c>
      <c r="X225" s="3">
        <f>IFERROR(INDEX(EVENTOS!$D:$D,MATCH(SCORE!X$2&amp;" "&amp;SCORE!$D225,EVENTOS!$F:$F,0)),0)</f>
        <v>0</v>
      </c>
      <c r="Y225" s="3">
        <f>SUMIFS(EVENTOS!$D:$D, EVENTOS!$B:$B, D225, EVENTOS!$E:$E, "*GirAlto*")</f>
        <v>0</v>
      </c>
      <c r="Z225" s="3">
        <f>SUMIFS(EVENTOS!$D:$D, EVENTOS!$B:$B, D225, EVENTOS!$E:$E, "*GirMed*")</f>
        <v>0</v>
      </c>
      <c r="AA225" s="3">
        <f>SUMIFS(EVENTOS!$D:$D, EVENTOS!$B:$B, D225, EVENTOS!$E:$E, "*GirBajo*")</f>
        <v>0</v>
      </c>
      <c r="AB225" s="3">
        <f>IFERROR(INDEX(EVENTOS!$D:$D,MATCH(SCORE!AB$2&amp;" "&amp;SCORE!$D225,EVENTOS!$F:$F,0)),0)</f>
        <v>0</v>
      </c>
      <c r="AC225" s="3">
        <f>IFERROR(INDEX(EVENTOS!$D:$D,MATCH(SCORE!AC$2&amp;" "&amp;SCORE!$D225,EVENTOS!$F:$F,0)),0)</f>
        <v>0</v>
      </c>
      <c r="AD225" s="3">
        <f>IFERROR(INDEX(EVENTOS!$D:$D,MATCH(SCORE!AD$2&amp;" "&amp;SCORE!$D225,EVENTOS!$F:$F,0)),0)</f>
        <v>0</v>
      </c>
      <c r="AE225" s="3">
        <f t="shared" si="9"/>
        <v>0</v>
      </c>
      <c r="AF225" s="10" t="e">
        <f t="shared" si="10"/>
        <v>#N/A</v>
      </c>
      <c r="AG225" s="3" t="str">
        <f t="shared" si="11"/>
        <v/>
      </c>
    </row>
    <row r="226" spans="1:33" x14ac:dyDescent="0.25">
      <c r="A226" s="7"/>
      <c r="B226" s="8"/>
      <c r="C226" s="3"/>
      <c r="D226" s="3"/>
      <c r="E226" s="3" t="e">
        <f>VLOOKUP(D226,VIAJES!$D:$E,2,FALSE)</f>
        <v>#N/A</v>
      </c>
      <c r="F226" s="9" t="e">
        <f>VLOOKUP(D226,VIAJES!$D:$F,3,FALSE)</f>
        <v>#N/A</v>
      </c>
      <c r="G226" s="9" t="e">
        <f>VLOOKUP(D226,VIAJES!$D:$G,4,FALSE)</f>
        <v>#N/A</v>
      </c>
      <c r="H226" s="3" t="e">
        <f>VLOOKUP(D226,VIAJES!$D:$H,5,FALSE)</f>
        <v>#N/A</v>
      </c>
      <c r="S226" s="3">
        <f>IFERROR(INDEX(EVENTOS!$D:$D,MATCH(SCORE!S$2&amp;" "&amp;SCORE!$D226,EVENTOS!$F:$F,0)),0)</f>
        <v>0</v>
      </c>
      <c r="T226" s="3">
        <f>IFERROR(INDEX(EVENTOS!$D:$D,MATCH(SCORE!T$2&amp;" "&amp;SCORE!$D226,EVENTOS!$F:$F,0)),0)</f>
        <v>0</v>
      </c>
      <c r="U226" s="3">
        <f>IFERROR(INDEX(EVENTOS!$D:$D,MATCH(SCORE!U$2&amp;" "&amp;SCORE!$D226,EVENTOS!$F:$F,0)),0)</f>
        <v>0</v>
      </c>
      <c r="V226" s="3">
        <f>IFERROR(INDEX(EVENTOS!$D:$D,MATCH(SCORE!V$2&amp;" "&amp;SCORE!$D226,EVENTOS!$F:$F,0)),0)</f>
        <v>0</v>
      </c>
      <c r="W226" s="3">
        <f>IFERROR(INDEX(EVENTOS!$D:$D,MATCH(SCORE!W$2&amp;" "&amp;SCORE!$D226,EVENTOS!$F:$F,0)),0)</f>
        <v>0</v>
      </c>
      <c r="X226" s="3">
        <f>IFERROR(INDEX(EVENTOS!$D:$D,MATCH(SCORE!X$2&amp;" "&amp;SCORE!$D226,EVENTOS!$F:$F,0)),0)</f>
        <v>0</v>
      </c>
      <c r="Y226" s="3">
        <f>SUMIFS(EVENTOS!$D:$D, EVENTOS!$B:$B, D226, EVENTOS!$E:$E, "*GirAlto*")</f>
        <v>0</v>
      </c>
      <c r="Z226" s="3">
        <f>SUMIFS(EVENTOS!$D:$D, EVENTOS!$B:$B, D226, EVENTOS!$E:$E, "*GirMed*")</f>
        <v>0</v>
      </c>
      <c r="AA226" s="3">
        <f>SUMIFS(EVENTOS!$D:$D, EVENTOS!$B:$B, D226, EVENTOS!$E:$E, "*GirBajo*")</f>
        <v>0</v>
      </c>
      <c r="AB226" s="3">
        <f>IFERROR(INDEX(EVENTOS!$D:$D,MATCH(SCORE!AB$2&amp;" "&amp;SCORE!$D226,EVENTOS!$F:$F,0)),0)</f>
        <v>0</v>
      </c>
      <c r="AC226" s="3">
        <f>IFERROR(INDEX(EVENTOS!$D:$D,MATCH(SCORE!AC$2&amp;" "&amp;SCORE!$D226,EVENTOS!$F:$F,0)),0)</f>
        <v>0</v>
      </c>
      <c r="AD226" s="3">
        <f>IFERROR(INDEX(EVENTOS!$D:$D,MATCH(SCORE!AD$2&amp;" "&amp;SCORE!$D226,EVENTOS!$F:$F,0)),0)</f>
        <v>0</v>
      </c>
      <c r="AE226" s="3">
        <f t="shared" si="9"/>
        <v>0</v>
      </c>
      <c r="AF226" s="10" t="e">
        <f t="shared" si="10"/>
        <v>#N/A</v>
      </c>
      <c r="AG226" s="3" t="str">
        <f t="shared" si="11"/>
        <v/>
      </c>
    </row>
    <row r="227" spans="1:33" x14ac:dyDescent="0.25">
      <c r="A227" s="7"/>
      <c r="B227" s="8"/>
      <c r="C227" s="3"/>
      <c r="D227" s="3"/>
      <c r="E227" s="3" t="e">
        <f>VLOOKUP(D227,VIAJES!$D:$E,2,FALSE)</f>
        <v>#N/A</v>
      </c>
      <c r="F227" s="9" t="e">
        <f>VLOOKUP(D227,VIAJES!$D:$F,3,FALSE)</f>
        <v>#N/A</v>
      </c>
      <c r="G227" s="9" t="e">
        <f>VLOOKUP(D227,VIAJES!$D:$G,4,FALSE)</f>
        <v>#N/A</v>
      </c>
      <c r="H227" s="3" t="e">
        <f>VLOOKUP(D227,VIAJES!$D:$H,5,FALSE)</f>
        <v>#N/A</v>
      </c>
      <c r="S227" s="3">
        <f>IFERROR(INDEX(EVENTOS!$D:$D,MATCH(SCORE!S$2&amp;" "&amp;SCORE!$D227,EVENTOS!$F:$F,0)),0)</f>
        <v>0</v>
      </c>
      <c r="T227" s="3">
        <f>IFERROR(INDEX(EVENTOS!$D:$D,MATCH(SCORE!T$2&amp;" "&amp;SCORE!$D227,EVENTOS!$F:$F,0)),0)</f>
        <v>0</v>
      </c>
      <c r="U227" s="3">
        <f>IFERROR(INDEX(EVENTOS!$D:$D,MATCH(SCORE!U$2&amp;" "&amp;SCORE!$D227,EVENTOS!$F:$F,0)),0)</f>
        <v>0</v>
      </c>
      <c r="V227" s="3">
        <f>IFERROR(INDEX(EVENTOS!$D:$D,MATCH(SCORE!V$2&amp;" "&amp;SCORE!$D227,EVENTOS!$F:$F,0)),0)</f>
        <v>0</v>
      </c>
      <c r="W227" s="3">
        <f>IFERROR(INDEX(EVENTOS!$D:$D,MATCH(SCORE!W$2&amp;" "&amp;SCORE!$D227,EVENTOS!$F:$F,0)),0)</f>
        <v>0</v>
      </c>
      <c r="X227" s="3">
        <f>IFERROR(INDEX(EVENTOS!$D:$D,MATCH(SCORE!X$2&amp;" "&amp;SCORE!$D227,EVENTOS!$F:$F,0)),0)</f>
        <v>0</v>
      </c>
      <c r="Y227" s="3">
        <f>SUMIFS(EVENTOS!$D:$D, EVENTOS!$B:$B, D227, EVENTOS!$E:$E, "*GirAlto*")</f>
        <v>0</v>
      </c>
      <c r="Z227" s="3">
        <f>SUMIFS(EVENTOS!$D:$D, EVENTOS!$B:$B, D227, EVENTOS!$E:$E, "*GirMed*")</f>
        <v>0</v>
      </c>
      <c r="AA227" s="3">
        <f>SUMIFS(EVENTOS!$D:$D, EVENTOS!$B:$B, D227, EVENTOS!$E:$E, "*GirBajo*")</f>
        <v>0</v>
      </c>
      <c r="AB227" s="3">
        <f>IFERROR(INDEX(EVENTOS!$D:$D,MATCH(SCORE!AB$2&amp;" "&amp;SCORE!$D227,EVENTOS!$F:$F,0)),0)</f>
        <v>0</v>
      </c>
      <c r="AC227" s="3">
        <f>IFERROR(INDEX(EVENTOS!$D:$D,MATCH(SCORE!AC$2&amp;" "&amp;SCORE!$D227,EVENTOS!$F:$F,0)),0)</f>
        <v>0</v>
      </c>
      <c r="AD227" s="3">
        <f>IFERROR(INDEX(EVENTOS!$D:$D,MATCH(SCORE!AD$2&amp;" "&amp;SCORE!$D227,EVENTOS!$F:$F,0)),0)</f>
        <v>0</v>
      </c>
      <c r="AE227" s="3">
        <f t="shared" si="9"/>
        <v>0</v>
      </c>
      <c r="AF227" s="10" t="e">
        <f t="shared" si="10"/>
        <v>#N/A</v>
      </c>
      <c r="AG227" s="3" t="str">
        <f t="shared" si="11"/>
        <v/>
      </c>
    </row>
    <row r="228" spans="1:33" x14ac:dyDescent="0.25">
      <c r="A228" s="7"/>
      <c r="B228" s="8"/>
      <c r="C228" s="3"/>
      <c r="D228" s="3"/>
      <c r="E228" s="3" t="e">
        <f>VLOOKUP(D228,VIAJES!$D:$E,2,FALSE)</f>
        <v>#N/A</v>
      </c>
      <c r="F228" s="9" t="e">
        <f>VLOOKUP(D228,VIAJES!$D:$F,3,FALSE)</f>
        <v>#N/A</v>
      </c>
      <c r="G228" s="9" t="e">
        <f>VLOOKUP(D228,VIAJES!$D:$G,4,FALSE)</f>
        <v>#N/A</v>
      </c>
      <c r="H228" s="3" t="e">
        <f>VLOOKUP(D228,VIAJES!$D:$H,5,FALSE)</f>
        <v>#N/A</v>
      </c>
      <c r="S228" s="3">
        <f>IFERROR(INDEX(EVENTOS!$D:$D,MATCH(SCORE!S$2&amp;" "&amp;SCORE!$D228,EVENTOS!$F:$F,0)),0)</f>
        <v>0</v>
      </c>
      <c r="T228" s="3">
        <f>IFERROR(INDEX(EVENTOS!$D:$D,MATCH(SCORE!T$2&amp;" "&amp;SCORE!$D228,EVENTOS!$F:$F,0)),0)</f>
        <v>0</v>
      </c>
      <c r="U228" s="3">
        <f>IFERROR(INDEX(EVENTOS!$D:$D,MATCH(SCORE!U$2&amp;" "&amp;SCORE!$D228,EVENTOS!$F:$F,0)),0)</f>
        <v>0</v>
      </c>
      <c r="V228" s="3">
        <f>IFERROR(INDEX(EVENTOS!$D:$D,MATCH(SCORE!V$2&amp;" "&amp;SCORE!$D228,EVENTOS!$F:$F,0)),0)</f>
        <v>0</v>
      </c>
      <c r="W228" s="3">
        <f>IFERROR(INDEX(EVENTOS!$D:$D,MATCH(SCORE!W$2&amp;" "&amp;SCORE!$D228,EVENTOS!$F:$F,0)),0)</f>
        <v>0</v>
      </c>
      <c r="X228" s="3">
        <f>IFERROR(INDEX(EVENTOS!$D:$D,MATCH(SCORE!X$2&amp;" "&amp;SCORE!$D228,EVENTOS!$F:$F,0)),0)</f>
        <v>0</v>
      </c>
      <c r="Y228" s="3">
        <f>SUMIFS(EVENTOS!$D:$D, EVENTOS!$B:$B, D228, EVENTOS!$E:$E, "*GirAlto*")</f>
        <v>0</v>
      </c>
      <c r="Z228" s="3">
        <f>SUMIFS(EVENTOS!$D:$D, EVENTOS!$B:$B, D228, EVENTOS!$E:$E, "*GirMed*")</f>
        <v>0</v>
      </c>
      <c r="AA228" s="3">
        <f>SUMIFS(EVENTOS!$D:$D, EVENTOS!$B:$B, D228, EVENTOS!$E:$E, "*GirBajo*")</f>
        <v>0</v>
      </c>
      <c r="AB228" s="3">
        <f>IFERROR(INDEX(EVENTOS!$D:$D,MATCH(SCORE!AB$2&amp;" "&amp;SCORE!$D228,EVENTOS!$F:$F,0)),0)</f>
        <v>0</v>
      </c>
      <c r="AC228" s="3">
        <f>IFERROR(INDEX(EVENTOS!$D:$D,MATCH(SCORE!AC$2&amp;" "&amp;SCORE!$D228,EVENTOS!$F:$F,0)),0)</f>
        <v>0</v>
      </c>
      <c r="AD228" s="3">
        <f>IFERROR(INDEX(EVENTOS!$D:$D,MATCH(SCORE!AD$2&amp;" "&amp;SCORE!$D228,EVENTOS!$F:$F,0)),0)</f>
        <v>0</v>
      </c>
      <c r="AE228" s="3">
        <f t="shared" si="9"/>
        <v>0</v>
      </c>
      <c r="AF228" s="10" t="e">
        <f t="shared" si="10"/>
        <v>#N/A</v>
      </c>
      <c r="AG228" s="3" t="str">
        <f t="shared" si="11"/>
        <v/>
      </c>
    </row>
    <row r="229" spans="1:33" x14ac:dyDescent="0.25">
      <c r="A229" s="7"/>
      <c r="B229" s="8"/>
      <c r="C229" s="3"/>
      <c r="D229" s="3"/>
      <c r="E229" s="3" t="e">
        <f>VLOOKUP(D229,VIAJES!$D:$E,2,FALSE)</f>
        <v>#N/A</v>
      </c>
      <c r="F229" s="9" t="e">
        <f>VLOOKUP(D229,VIAJES!$D:$F,3,FALSE)</f>
        <v>#N/A</v>
      </c>
      <c r="G229" s="9" t="e">
        <f>VLOOKUP(D229,VIAJES!$D:$G,4,FALSE)</f>
        <v>#N/A</v>
      </c>
      <c r="H229" s="3" t="e">
        <f>VLOOKUP(D229,VIAJES!$D:$H,5,FALSE)</f>
        <v>#N/A</v>
      </c>
      <c r="S229" s="3">
        <f>IFERROR(INDEX(EVENTOS!$D:$D,MATCH(SCORE!S$2&amp;" "&amp;SCORE!$D229,EVENTOS!$F:$F,0)),0)</f>
        <v>0</v>
      </c>
      <c r="T229" s="3">
        <f>IFERROR(INDEX(EVENTOS!$D:$D,MATCH(SCORE!T$2&amp;" "&amp;SCORE!$D229,EVENTOS!$F:$F,0)),0)</f>
        <v>0</v>
      </c>
      <c r="U229" s="3">
        <f>IFERROR(INDEX(EVENTOS!$D:$D,MATCH(SCORE!U$2&amp;" "&amp;SCORE!$D229,EVENTOS!$F:$F,0)),0)</f>
        <v>0</v>
      </c>
      <c r="V229" s="3">
        <f>IFERROR(INDEX(EVENTOS!$D:$D,MATCH(SCORE!V$2&amp;" "&amp;SCORE!$D229,EVENTOS!$F:$F,0)),0)</f>
        <v>0</v>
      </c>
      <c r="W229" s="3">
        <f>IFERROR(INDEX(EVENTOS!$D:$D,MATCH(SCORE!W$2&amp;" "&amp;SCORE!$D229,EVENTOS!$F:$F,0)),0)</f>
        <v>0</v>
      </c>
      <c r="X229" s="3">
        <f>IFERROR(INDEX(EVENTOS!$D:$D,MATCH(SCORE!X$2&amp;" "&amp;SCORE!$D229,EVENTOS!$F:$F,0)),0)</f>
        <v>0</v>
      </c>
      <c r="Y229" s="3">
        <f>SUMIFS(EVENTOS!$D:$D, EVENTOS!$B:$B, D229, EVENTOS!$E:$E, "*GirAlto*")</f>
        <v>0</v>
      </c>
      <c r="Z229" s="3">
        <f>SUMIFS(EVENTOS!$D:$D, EVENTOS!$B:$B, D229, EVENTOS!$E:$E, "*GirMed*")</f>
        <v>0</v>
      </c>
      <c r="AA229" s="3">
        <f>SUMIFS(EVENTOS!$D:$D, EVENTOS!$B:$B, D229, EVENTOS!$E:$E, "*GirBajo*")</f>
        <v>0</v>
      </c>
      <c r="AB229" s="3">
        <f>IFERROR(INDEX(EVENTOS!$D:$D,MATCH(SCORE!AB$2&amp;" "&amp;SCORE!$D229,EVENTOS!$F:$F,0)),0)</f>
        <v>0</v>
      </c>
      <c r="AC229" s="3">
        <f>IFERROR(INDEX(EVENTOS!$D:$D,MATCH(SCORE!AC$2&amp;" "&amp;SCORE!$D229,EVENTOS!$F:$F,0)),0)</f>
        <v>0</v>
      </c>
      <c r="AD229" s="3">
        <f>IFERROR(INDEX(EVENTOS!$D:$D,MATCH(SCORE!AD$2&amp;" "&amp;SCORE!$D229,EVENTOS!$F:$F,0)),0)</f>
        <v>0</v>
      </c>
      <c r="AE229" s="3">
        <f t="shared" si="9"/>
        <v>0</v>
      </c>
      <c r="AF229" s="10" t="e">
        <f t="shared" si="10"/>
        <v>#N/A</v>
      </c>
      <c r="AG229" s="3" t="str">
        <f t="shared" si="11"/>
        <v/>
      </c>
    </row>
    <row r="230" spans="1:33" x14ac:dyDescent="0.25">
      <c r="A230" s="7"/>
      <c r="B230" s="8"/>
      <c r="C230" s="3"/>
      <c r="D230" s="3"/>
      <c r="E230" s="3" t="e">
        <f>VLOOKUP(D230,VIAJES!$D:$E,2,FALSE)</f>
        <v>#N/A</v>
      </c>
      <c r="F230" s="9" t="e">
        <f>VLOOKUP(D230,VIAJES!$D:$F,3,FALSE)</f>
        <v>#N/A</v>
      </c>
      <c r="G230" s="9" t="e">
        <f>VLOOKUP(D230,VIAJES!$D:$G,4,FALSE)</f>
        <v>#N/A</v>
      </c>
      <c r="H230" s="3" t="e">
        <f>VLOOKUP(D230,VIAJES!$D:$H,5,FALSE)</f>
        <v>#N/A</v>
      </c>
      <c r="S230" s="3">
        <f>IFERROR(INDEX(EVENTOS!$D:$D,MATCH(SCORE!S$2&amp;" "&amp;SCORE!$D230,EVENTOS!$F:$F,0)),0)</f>
        <v>0</v>
      </c>
      <c r="T230" s="3">
        <f>IFERROR(INDEX(EVENTOS!$D:$D,MATCH(SCORE!T$2&amp;" "&amp;SCORE!$D230,EVENTOS!$F:$F,0)),0)</f>
        <v>0</v>
      </c>
      <c r="U230" s="3">
        <f>IFERROR(INDEX(EVENTOS!$D:$D,MATCH(SCORE!U$2&amp;" "&amp;SCORE!$D230,EVENTOS!$F:$F,0)),0)</f>
        <v>0</v>
      </c>
      <c r="V230" s="3">
        <f>IFERROR(INDEX(EVENTOS!$D:$D,MATCH(SCORE!V$2&amp;" "&amp;SCORE!$D230,EVENTOS!$F:$F,0)),0)</f>
        <v>0</v>
      </c>
      <c r="W230" s="3">
        <f>IFERROR(INDEX(EVENTOS!$D:$D,MATCH(SCORE!W$2&amp;" "&amp;SCORE!$D230,EVENTOS!$F:$F,0)),0)</f>
        <v>0</v>
      </c>
      <c r="X230" s="3">
        <f>IFERROR(INDEX(EVENTOS!$D:$D,MATCH(SCORE!X$2&amp;" "&amp;SCORE!$D230,EVENTOS!$F:$F,0)),0)</f>
        <v>0</v>
      </c>
      <c r="Y230" s="3">
        <f>SUMIFS(EVENTOS!$D:$D, EVENTOS!$B:$B, D230, EVENTOS!$E:$E, "*GirAlto*")</f>
        <v>0</v>
      </c>
      <c r="Z230" s="3">
        <f>SUMIFS(EVENTOS!$D:$D, EVENTOS!$B:$B, D230, EVENTOS!$E:$E, "*GirMed*")</f>
        <v>0</v>
      </c>
      <c r="AA230" s="3">
        <f>SUMIFS(EVENTOS!$D:$D, EVENTOS!$B:$B, D230, EVENTOS!$E:$E, "*GirBajo*")</f>
        <v>0</v>
      </c>
      <c r="AB230" s="3">
        <f>IFERROR(INDEX(EVENTOS!$D:$D,MATCH(SCORE!AB$2&amp;" "&amp;SCORE!$D230,EVENTOS!$F:$F,0)),0)</f>
        <v>0</v>
      </c>
      <c r="AC230" s="3">
        <f>IFERROR(INDEX(EVENTOS!$D:$D,MATCH(SCORE!AC$2&amp;" "&amp;SCORE!$D230,EVENTOS!$F:$F,0)),0)</f>
        <v>0</v>
      </c>
      <c r="AD230" s="3">
        <f>IFERROR(INDEX(EVENTOS!$D:$D,MATCH(SCORE!AD$2&amp;" "&amp;SCORE!$D230,EVENTOS!$F:$F,0)),0)</f>
        <v>0</v>
      </c>
      <c r="AE230" s="3">
        <f t="shared" si="9"/>
        <v>0</v>
      </c>
      <c r="AF230" s="10" t="e">
        <f t="shared" si="10"/>
        <v>#N/A</v>
      </c>
      <c r="AG230" s="3" t="str">
        <f t="shared" si="11"/>
        <v/>
      </c>
    </row>
    <row r="231" spans="1:33" x14ac:dyDescent="0.25">
      <c r="A231" s="7"/>
      <c r="B231" s="8"/>
      <c r="C231" s="3"/>
      <c r="D231" s="3"/>
      <c r="E231" s="3" t="e">
        <f>VLOOKUP(D231,VIAJES!$D:$E,2,FALSE)</f>
        <v>#N/A</v>
      </c>
      <c r="F231" s="9" t="e">
        <f>VLOOKUP(D231,VIAJES!$D:$F,3,FALSE)</f>
        <v>#N/A</v>
      </c>
      <c r="G231" s="9" t="e">
        <f>VLOOKUP(D231,VIAJES!$D:$G,4,FALSE)</f>
        <v>#N/A</v>
      </c>
      <c r="H231" s="3" t="e">
        <f>VLOOKUP(D231,VIAJES!$D:$H,5,FALSE)</f>
        <v>#N/A</v>
      </c>
      <c r="S231" s="3">
        <f>IFERROR(INDEX(EVENTOS!$D:$D,MATCH(SCORE!S$2&amp;" "&amp;SCORE!$D231,EVENTOS!$F:$F,0)),0)</f>
        <v>0</v>
      </c>
      <c r="T231" s="3">
        <f>IFERROR(INDEX(EVENTOS!$D:$D,MATCH(SCORE!T$2&amp;" "&amp;SCORE!$D231,EVENTOS!$F:$F,0)),0)</f>
        <v>0</v>
      </c>
      <c r="U231" s="3">
        <f>IFERROR(INDEX(EVENTOS!$D:$D,MATCH(SCORE!U$2&amp;" "&amp;SCORE!$D231,EVENTOS!$F:$F,0)),0)</f>
        <v>0</v>
      </c>
      <c r="V231" s="3">
        <f>IFERROR(INDEX(EVENTOS!$D:$D,MATCH(SCORE!V$2&amp;" "&amp;SCORE!$D231,EVENTOS!$F:$F,0)),0)</f>
        <v>0</v>
      </c>
      <c r="W231" s="3">
        <f>IFERROR(INDEX(EVENTOS!$D:$D,MATCH(SCORE!W$2&amp;" "&amp;SCORE!$D231,EVENTOS!$F:$F,0)),0)</f>
        <v>0</v>
      </c>
      <c r="X231" s="3">
        <f>IFERROR(INDEX(EVENTOS!$D:$D,MATCH(SCORE!X$2&amp;" "&amp;SCORE!$D231,EVENTOS!$F:$F,0)),0)</f>
        <v>0</v>
      </c>
      <c r="Y231" s="3">
        <f>SUMIFS(EVENTOS!$D:$D, EVENTOS!$B:$B, D231, EVENTOS!$E:$E, "*GirAlto*")</f>
        <v>0</v>
      </c>
      <c r="Z231" s="3">
        <f>SUMIFS(EVENTOS!$D:$D, EVENTOS!$B:$B, D231, EVENTOS!$E:$E, "*GirMed*")</f>
        <v>0</v>
      </c>
      <c r="AA231" s="3">
        <f>SUMIFS(EVENTOS!$D:$D, EVENTOS!$B:$B, D231, EVENTOS!$E:$E, "*GirBajo*")</f>
        <v>0</v>
      </c>
      <c r="AB231" s="3">
        <f>IFERROR(INDEX(EVENTOS!$D:$D,MATCH(SCORE!AB$2&amp;" "&amp;SCORE!$D231,EVENTOS!$F:$F,0)),0)</f>
        <v>0</v>
      </c>
      <c r="AC231" s="3">
        <f>IFERROR(INDEX(EVENTOS!$D:$D,MATCH(SCORE!AC$2&amp;" "&amp;SCORE!$D231,EVENTOS!$F:$F,0)),0)</f>
        <v>0</v>
      </c>
      <c r="AD231" s="3">
        <f>IFERROR(INDEX(EVENTOS!$D:$D,MATCH(SCORE!AD$2&amp;" "&amp;SCORE!$D231,EVENTOS!$F:$F,0)),0)</f>
        <v>0</v>
      </c>
      <c r="AE231" s="3">
        <f t="shared" si="9"/>
        <v>0</v>
      </c>
      <c r="AF231" s="10" t="e">
        <f t="shared" si="10"/>
        <v>#N/A</v>
      </c>
      <c r="AG231" s="3" t="str">
        <f t="shared" si="11"/>
        <v/>
      </c>
    </row>
    <row r="232" spans="1:33" x14ac:dyDescent="0.25">
      <c r="A232" s="7"/>
      <c r="B232" s="8"/>
      <c r="C232" s="3"/>
      <c r="D232" s="3"/>
      <c r="E232" s="3" t="e">
        <f>VLOOKUP(D232,VIAJES!$D:$E,2,FALSE)</f>
        <v>#N/A</v>
      </c>
      <c r="F232" s="9" t="e">
        <f>VLOOKUP(D232,VIAJES!$D:$F,3,FALSE)</f>
        <v>#N/A</v>
      </c>
      <c r="G232" s="9" t="e">
        <f>VLOOKUP(D232,VIAJES!$D:$G,4,FALSE)</f>
        <v>#N/A</v>
      </c>
      <c r="H232" s="3" t="e">
        <f>VLOOKUP(D232,VIAJES!$D:$H,5,FALSE)</f>
        <v>#N/A</v>
      </c>
      <c r="S232" s="3">
        <f>IFERROR(INDEX(EVENTOS!$D:$D,MATCH(SCORE!S$2&amp;" "&amp;SCORE!$D232,EVENTOS!$F:$F,0)),0)</f>
        <v>0</v>
      </c>
      <c r="T232" s="3">
        <f>IFERROR(INDEX(EVENTOS!$D:$D,MATCH(SCORE!T$2&amp;" "&amp;SCORE!$D232,EVENTOS!$F:$F,0)),0)</f>
        <v>0</v>
      </c>
      <c r="U232" s="3">
        <f>IFERROR(INDEX(EVENTOS!$D:$D,MATCH(SCORE!U$2&amp;" "&amp;SCORE!$D232,EVENTOS!$F:$F,0)),0)</f>
        <v>0</v>
      </c>
      <c r="V232" s="3">
        <f>IFERROR(INDEX(EVENTOS!$D:$D,MATCH(SCORE!V$2&amp;" "&amp;SCORE!$D232,EVENTOS!$F:$F,0)),0)</f>
        <v>0</v>
      </c>
      <c r="W232" s="3">
        <f>IFERROR(INDEX(EVENTOS!$D:$D,MATCH(SCORE!W$2&amp;" "&amp;SCORE!$D232,EVENTOS!$F:$F,0)),0)</f>
        <v>0</v>
      </c>
      <c r="X232" s="3">
        <f>IFERROR(INDEX(EVENTOS!$D:$D,MATCH(SCORE!X$2&amp;" "&amp;SCORE!$D232,EVENTOS!$F:$F,0)),0)</f>
        <v>0</v>
      </c>
      <c r="Y232" s="3">
        <f>SUMIFS(EVENTOS!$D:$D, EVENTOS!$B:$B, D232, EVENTOS!$E:$E, "*GirAlto*")</f>
        <v>0</v>
      </c>
      <c r="Z232" s="3">
        <f>SUMIFS(EVENTOS!$D:$D, EVENTOS!$B:$B, D232, EVENTOS!$E:$E, "*GirMed*")</f>
        <v>0</v>
      </c>
      <c r="AA232" s="3">
        <f>SUMIFS(EVENTOS!$D:$D, EVENTOS!$B:$B, D232, EVENTOS!$E:$E, "*GirBajo*")</f>
        <v>0</v>
      </c>
      <c r="AB232" s="3">
        <f>IFERROR(INDEX(EVENTOS!$D:$D,MATCH(SCORE!AB$2&amp;" "&amp;SCORE!$D232,EVENTOS!$F:$F,0)),0)</f>
        <v>0</v>
      </c>
      <c r="AC232" s="3">
        <f>IFERROR(INDEX(EVENTOS!$D:$D,MATCH(SCORE!AC$2&amp;" "&amp;SCORE!$D232,EVENTOS!$F:$F,0)),0)</f>
        <v>0</v>
      </c>
      <c r="AD232" s="3">
        <f>IFERROR(INDEX(EVENTOS!$D:$D,MATCH(SCORE!AD$2&amp;" "&amp;SCORE!$D232,EVENTOS!$F:$F,0)),0)</f>
        <v>0</v>
      </c>
      <c r="AE232" s="3">
        <f t="shared" si="9"/>
        <v>0</v>
      </c>
      <c r="AF232" s="10" t="e">
        <f t="shared" si="10"/>
        <v>#N/A</v>
      </c>
      <c r="AG232" s="3" t="str">
        <f t="shared" si="11"/>
        <v/>
      </c>
    </row>
    <row r="233" spans="1:33" x14ac:dyDescent="0.25">
      <c r="A233" s="7"/>
      <c r="B233" s="8"/>
      <c r="C233" s="3"/>
      <c r="D233" s="3"/>
      <c r="E233" s="3" t="e">
        <f>VLOOKUP(D233,VIAJES!$D:$E,2,FALSE)</f>
        <v>#N/A</v>
      </c>
      <c r="F233" s="9" t="e">
        <f>VLOOKUP(D233,VIAJES!$D:$F,3,FALSE)</f>
        <v>#N/A</v>
      </c>
      <c r="G233" s="9" t="e">
        <f>VLOOKUP(D233,VIAJES!$D:$G,4,FALSE)</f>
        <v>#N/A</v>
      </c>
      <c r="H233" s="3" t="e">
        <f>VLOOKUP(D233,VIAJES!$D:$H,5,FALSE)</f>
        <v>#N/A</v>
      </c>
      <c r="S233" s="3">
        <f>IFERROR(INDEX(EVENTOS!$D:$D,MATCH(SCORE!S$2&amp;" "&amp;SCORE!$D233,EVENTOS!$F:$F,0)),0)</f>
        <v>0</v>
      </c>
      <c r="T233" s="3">
        <f>IFERROR(INDEX(EVENTOS!$D:$D,MATCH(SCORE!T$2&amp;" "&amp;SCORE!$D233,EVENTOS!$F:$F,0)),0)</f>
        <v>0</v>
      </c>
      <c r="U233" s="3">
        <f>IFERROR(INDEX(EVENTOS!$D:$D,MATCH(SCORE!U$2&amp;" "&amp;SCORE!$D233,EVENTOS!$F:$F,0)),0)</f>
        <v>0</v>
      </c>
      <c r="V233" s="3">
        <f>IFERROR(INDEX(EVENTOS!$D:$D,MATCH(SCORE!V$2&amp;" "&amp;SCORE!$D233,EVENTOS!$F:$F,0)),0)</f>
        <v>0</v>
      </c>
      <c r="W233" s="3">
        <f>IFERROR(INDEX(EVENTOS!$D:$D,MATCH(SCORE!W$2&amp;" "&amp;SCORE!$D233,EVENTOS!$F:$F,0)),0)</f>
        <v>0</v>
      </c>
      <c r="X233" s="3">
        <f>IFERROR(INDEX(EVENTOS!$D:$D,MATCH(SCORE!X$2&amp;" "&amp;SCORE!$D233,EVENTOS!$F:$F,0)),0)</f>
        <v>0</v>
      </c>
      <c r="Y233" s="3">
        <f>SUMIFS(EVENTOS!$D:$D, EVENTOS!$B:$B, D233, EVENTOS!$E:$E, "*GirAlto*")</f>
        <v>0</v>
      </c>
      <c r="Z233" s="3">
        <f>SUMIFS(EVENTOS!$D:$D, EVENTOS!$B:$B, D233, EVENTOS!$E:$E, "*GirMed*")</f>
        <v>0</v>
      </c>
      <c r="AA233" s="3">
        <f>SUMIFS(EVENTOS!$D:$D, EVENTOS!$B:$B, D233, EVENTOS!$E:$E, "*GirBajo*")</f>
        <v>0</v>
      </c>
      <c r="AB233" s="3">
        <f>IFERROR(INDEX(EVENTOS!$D:$D,MATCH(SCORE!AB$2&amp;" "&amp;SCORE!$D233,EVENTOS!$F:$F,0)),0)</f>
        <v>0</v>
      </c>
      <c r="AC233" s="3">
        <f>IFERROR(INDEX(EVENTOS!$D:$D,MATCH(SCORE!AC$2&amp;" "&amp;SCORE!$D233,EVENTOS!$F:$F,0)),0)</f>
        <v>0</v>
      </c>
      <c r="AD233" s="3">
        <f>IFERROR(INDEX(EVENTOS!$D:$D,MATCH(SCORE!AD$2&amp;" "&amp;SCORE!$D233,EVENTOS!$F:$F,0)),0)</f>
        <v>0</v>
      </c>
      <c r="AE233" s="3">
        <f t="shared" si="9"/>
        <v>0</v>
      </c>
      <c r="AF233" s="10" t="e">
        <f t="shared" si="10"/>
        <v>#N/A</v>
      </c>
      <c r="AG233" s="3" t="str">
        <f t="shared" si="11"/>
        <v/>
      </c>
    </row>
    <row r="234" spans="1:33" x14ac:dyDescent="0.25">
      <c r="A234" s="7"/>
      <c r="B234" s="8"/>
      <c r="C234" s="3"/>
      <c r="D234" s="3"/>
      <c r="E234" s="3" t="e">
        <f>VLOOKUP(D234,VIAJES!$D:$E,2,FALSE)</f>
        <v>#N/A</v>
      </c>
      <c r="F234" s="9" t="e">
        <f>VLOOKUP(D234,VIAJES!$D:$F,3,FALSE)</f>
        <v>#N/A</v>
      </c>
      <c r="G234" s="9" t="e">
        <f>VLOOKUP(D234,VIAJES!$D:$G,4,FALSE)</f>
        <v>#N/A</v>
      </c>
      <c r="H234" s="3" t="e">
        <f>VLOOKUP(D234,VIAJES!$D:$H,5,FALSE)</f>
        <v>#N/A</v>
      </c>
      <c r="S234" s="3">
        <f>IFERROR(INDEX(EVENTOS!$D:$D,MATCH(SCORE!S$2&amp;" "&amp;SCORE!$D234,EVENTOS!$F:$F,0)),0)</f>
        <v>0</v>
      </c>
      <c r="T234" s="3">
        <f>IFERROR(INDEX(EVENTOS!$D:$D,MATCH(SCORE!T$2&amp;" "&amp;SCORE!$D234,EVENTOS!$F:$F,0)),0)</f>
        <v>0</v>
      </c>
      <c r="U234" s="3">
        <f>IFERROR(INDEX(EVENTOS!$D:$D,MATCH(SCORE!U$2&amp;" "&amp;SCORE!$D234,EVENTOS!$F:$F,0)),0)</f>
        <v>0</v>
      </c>
      <c r="V234" s="3">
        <f>IFERROR(INDEX(EVENTOS!$D:$D,MATCH(SCORE!V$2&amp;" "&amp;SCORE!$D234,EVENTOS!$F:$F,0)),0)</f>
        <v>0</v>
      </c>
      <c r="W234" s="3">
        <f>IFERROR(INDEX(EVENTOS!$D:$D,MATCH(SCORE!W$2&amp;" "&amp;SCORE!$D234,EVENTOS!$F:$F,0)),0)</f>
        <v>0</v>
      </c>
      <c r="X234" s="3">
        <f>IFERROR(INDEX(EVENTOS!$D:$D,MATCH(SCORE!X$2&amp;" "&amp;SCORE!$D234,EVENTOS!$F:$F,0)),0)</f>
        <v>0</v>
      </c>
      <c r="Y234" s="3">
        <f>SUMIFS(EVENTOS!$D:$D, EVENTOS!$B:$B, D234, EVENTOS!$E:$E, "*GirAlto*")</f>
        <v>0</v>
      </c>
      <c r="Z234" s="3">
        <f>SUMIFS(EVENTOS!$D:$D, EVENTOS!$B:$B, D234, EVENTOS!$E:$E, "*GirMed*")</f>
        <v>0</v>
      </c>
      <c r="AA234" s="3">
        <f>SUMIFS(EVENTOS!$D:$D, EVENTOS!$B:$B, D234, EVENTOS!$E:$E, "*GirBajo*")</f>
        <v>0</v>
      </c>
      <c r="AB234" s="3">
        <f>IFERROR(INDEX(EVENTOS!$D:$D,MATCH(SCORE!AB$2&amp;" "&amp;SCORE!$D234,EVENTOS!$F:$F,0)),0)</f>
        <v>0</v>
      </c>
      <c r="AC234" s="3">
        <f>IFERROR(INDEX(EVENTOS!$D:$D,MATCH(SCORE!AC$2&amp;" "&amp;SCORE!$D234,EVENTOS!$F:$F,0)),0)</f>
        <v>0</v>
      </c>
      <c r="AD234" s="3">
        <f>IFERROR(INDEX(EVENTOS!$D:$D,MATCH(SCORE!AD$2&amp;" "&amp;SCORE!$D234,EVENTOS!$F:$F,0)),0)</f>
        <v>0</v>
      </c>
      <c r="AE234" s="3">
        <f t="shared" si="9"/>
        <v>0</v>
      </c>
      <c r="AF234" s="10" t="e">
        <f t="shared" si="10"/>
        <v>#N/A</v>
      </c>
      <c r="AG234" s="3" t="str">
        <f t="shared" si="11"/>
        <v/>
      </c>
    </row>
    <row r="235" spans="1:33" x14ac:dyDescent="0.25">
      <c r="A235" s="7"/>
      <c r="B235" s="8"/>
      <c r="C235" s="3"/>
      <c r="D235" s="3"/>
      <c r="E235" s="3" t="e">
        <f>VLOOKUP(D235,VIAJES!$D:$E,2,FALSE)</f>
        <v>#N/A</v>
      </c>
      <c r="F235" s="9" t="e">
        <f>VLOOKUP(D235,VIAJES!$D:$F,3,FALSE)</f>
        <v>#N/A</v>
      </c>
      <c r="G235" s="9" t="e">
        <f>VLOOKUP(D235,VIAJES!$D:$G,4,FALSE)</f>
        <v>#N/A</v>
      </c>
      <c r="H235" s="3" t="e">
        <f>VLOOKUP(D235,VIAJES!$D:$H,5,FALSE)</f>
        <v>#N/A</v>
      </c>
      <c r="S235" s="3">
        <f>IFERROR(INDEX(EVENTOS!$D:$D,MATCH(SCORE!S$2&amp;" "&amp;SCORE!$D235,EVENTOS!$F:$F,0)),0)</f>
        <v>0</v>
      </c>
      <c r="T235" s="3">
        <f>IFERROR(INDEX(EVENTOS!$D:$D,MATCH(SCORE!T$2&amp;" "&amp;SCORE!$D235,EVENTOS!$F:$F,0)),0)</f>
        <v>0</v>
      </c>
      <c r="U235" s="3">
        <f>IFERROR(INDEX(EVENTOS!$D:$D,MATCH(SCORE!U$2&amp;" "&amp;SCORE!$D235,EVENTOS!$F:$F,0)),0)</f>
        <v>0</v>
      </c>
      <c r="V235" s="3">
        <f>IFERROR(INDEX(EVENTOS!$D:$D,MATCH(SCORE!V$2&amp;" "&amp;SCORE!$D235,EVENTOS!$F:$F,0)),0)</f>
        <v>0</v>
      </c>
      <c r="W235" s="3">
        <f>IFERROR(INDEX(EVENTOS!$D:$D,MATCH(SCORE!W$2&amp;" "&amp;SCORE!$D235,EVENTOS!$F:$F,0)),0)</f>
        <v>0</v>
      </c>
      <c r="X235" s="3">
        <f>IFERROR(INDEX(EVENTOS!$D:$D,MATCH(SCORE!X$2&amp;" "&amp;SCORE!$D235,EVENTOS!$F:$F,0)),0)</f>
        <v>0</v>
      </c>
      <c r="Y235" s="3">
        <f>SUMIFS(EVENTOS!$D:$D, EVENTOS!$B:$B, D235, EVENTOS!$E:$E, "*GirAlto*")</f>
        <v>0</v>
      </c>
      <c r="Z235" s="3">
        <f>SUMIFS(EVENTOS!$D:$D, EVENTOS!$B:$B, D235, EVENTOS!$E:$E, "*GirMed*")</f>
        <v>0</v>
      </c>
      <c r="AA235" s="3">
        <f>SUMIFS(EVENTOS!$D:$D, EVENTOS!$B:$B, D235, EVENTOS!$E:$E, "*GirBajo*")</f>
        <v>0</v>
      </c>
      <c r="AB235" s="3">
        <f>IFERROR(INDEX(EVENTOS!$D:$D,MATCH(SCORE!AB$2&amp;" "&amp;SCORE!$D235,EVENTOS!$F:$F,0)),0)</f>
        <v>0</v>
      </c>
      <c r="AC235" s="3">
        <f>IFERROR(INDEX(EVENTOS!$D:$D,MATCH(SCORE!AC$2&amp;" "&amp;SCORE!$D235,EVENTOS!$F:$F,0)),0)</f>
        <v>0</v>
      </c>
      <c r="AD235" s="3">
        <f>IFERROR(INDEX(EVENTOS!$D:$D,MATCH(SCORE!AD$2&amp;" "&amp;SCORE!$D235,EVENTOS!$F:$F,0)),0)</f>
        <v>0</v>
      </c>
      <c r="AE235" s="3">
        <f t="shared" si="9"/>
        <v>0</v>
      </c>
      <c r="AF235" s="10" t="e">
        <f t="shared" si="10"/>
        <v>#N/A</v>
      </c>
      <c r="AG235" s="3" t="str">
        <f t="shared" si="11"/>
        <v/>
      </c>
    </row>
    <row r="236" spans="1:33" x14ac:dyDescent="0.25">
      <c r="A236" s="7"/>
      <c r="B236" s="8"/>
      <c r="C236" s="3"/>
      <c r="D236" s="3"/>
      <c r="E236" s="3" t="e">
        <f>VLOOKUP(D236,VIAJES!$D:$E,2,FALSE)</f>
        <v>#N/A</v>
      </c>
      <c r="F236" s="9" t="e">
        <f>VLOOKUP(D236,VIAJES!$D:$F,3,FALSE)</f>
        <v>#N/A</v>
      </c>
      <c r="G236" s="9" t="e">
        <f>VLOOKUP(D236,VIAJES!$D:$G,4,FALSE)</f>
        <v>#N/A</v>
      </c>
      <c r="H236" s="3" t="e">
        <f>VLOOKUP(D236,VIAJES!$D:$H,5,FALSE)</f>
        <v>#N/A</v>
      </c>
      <c r="S236" s="3">
        <f>IFERROR(INDEX(EVENTOS!$D:$D,MATCH(SCORE!S$2&amp;" "&amp;SCORE!$D236,EVENTOS!$F:$F,0)),0)</f>
        <v>0</v>
      </c>
      <c r="T236" s="3">
        <f>IFERROR(INDEX(EVENTOS!$D:$D,MATCH(SCORE!T$2&amp;" "&amp;SCORE!$D236,EVENTOS!$F:$F,0)),0)</f>
        <v>0</v>
      </c>
      <c r="U236" s="3">
        <f>IFERROR(INDEX(EVENTOS!$D:$D,MATCH(SCORE!U$2&amp;" "&amp;SCORE!$D236,EVENTOS!$F:$F,0)),0)</f>
        <v>0</v>
      </c>
      <c r="V236" s="3">
        <f>IFERROR(INDEX(EVENTOS!$D:$D,MATCH(SCORE!V$2&amp;" "&amp;SCORE!$D236,EVENTOS!$F:$F,0)),0)</f>
        <v>0</v>
      </c>
      <c r="W236" s="3">
        <f>IFERROR(INDEX(EVENTOS!$D:$D,MATCH(SCORE!W$2&amp;" "&amp;SCORE!$D236,EVENTOS!$F:$F,0)),0)</f>
        <v>0</v>
      </c>
      <c r="X236" s="3">
        <f>IFERROR(INDEX(EVENTOS!$D:$D,MATCH(SCORE!X$2&amp;" "&amp;SCORE!$D236,EVENTOS!$F:$F,0)),0)</f>
        <v>0</v>
      </c>
      <c r="Y236" s="3">
        <f>SUMIFS(EVENTOS!$D:$D, EVENTOS!$B:$B, D236, EVENTOS!$E:$E, "*GirAlto*")</f>
        <v>0</v>
      </c>
      <c r="Z236" s="3">
        <f>SUMIFS(EVENTOS!$D:$D, EVENTOS!$B:$B, D236, EVENTOS!$E:$E, "*GirMed*")</f>
        <v>0</v>
      </c>
      <c r="AA236" s="3">
        <f>SUMIFS(EVENTOS!$D:$D, EVENTOS!$B:$B, D236, EVENTOS!$E:$E, "*GirBajo*")</f>
        <v>0</v>
      </c>
      <c r="AB236" s="3">
        <f>IFERROR(INDEX(EVENTOS!$D:$D,MATCH(SCORE!AB$2&amp;" "&amp;SCORE!$D236,EVENTOS!$F:$F,0)),0)</f>
        <v>0</v>
      </c>
      <c r="AC236" s="3">
        <f>IFERROR(INDEX(EVENTOS!$D:$D,MATCH(SCORE!AC$2&amp;" "&amp;SCORE!$D236,EVENTOS!$F:$F,0)),0)</f>
        <v>0</v>
      </c>
      <c r="AD236" s="3">
        <f>IFERROR(INDEX(EVENTOS!$D:$D,MATCH(SCORE!AD$2&amp;" "&amp;SCORE!$D236,EVENTOS!$F:$F,0)),0)</f>
        <v>0</v>
      </c>
      <c r="AE236" s="3">
        <f t="shared" si="9"/>
        <v>0</v>
      </c>
      <c r="AF236" s="10" t="e">
        <f t="shared" si="10"/>
        <v>#N/A</v>
      </c>
      <c r="AG236" s="3" t="str">
        <f t="shared" si="11"/>
        <v/>
      </c>
    </row>
    <row r="237" spans="1:33" x14ac:dyDescent="0.25">
      <c r="A237" s="7"/>
      <c r="B237" s="8"/>
      <c r="C237" s="3"/>
      <c r="D237" s="3"/>
      <c r="E237" s="3" t="e">
        <f>VLOOKUP(D237,VIAJES!$D:$E,2,FALSE)</f>
        <v>#N/A</v>
      </c>
      <c r="F237" s="9" t="e">
        <f>VLOOKUP(D237,VIAJES!$D:$F,3,FALSE)</f>
        <v>#N/A</v>
      </c>
      <c r="G237" s="9" t="e">
        <f>VLOOKUP(D237,VIAJES!$D:$G,4,FALSE)</f>
        <v>#N/A</v>
      </c>
      <c r="H237" s="3" t="e">
        <f>VLOOKUP(D237,VIAJES!$D:$H,5,FALSE)</f>
        <v>#N/A</v>
      </c>
      <c r="S237" s="3">
        <f>IFERROR(INDEX(EVENTOS!$D:$D,MATCH(SCORE!S$2&amp;" "&amp;SCORE!$D237,EVENTOS!$F:$F,0)),0)</f>
        <v>0</v>
      </c>
      <c r="T237" s="3">
        <f>IFERROR(INDEX(EVENTOS!$D:$D,MATCH(SCORE!T$2&amp;" "&amp;SCORE!$D237,EVENTOS!$F:$F,0)),0)</f>
        <v>0</v>
      </c>
      <c r="U237" s="3">
        <f>IFERROR(INDEX(EVENTOS!$D:$D,MATCH(SCORE!U$2&amp;" "&amp;SCORE!$D237,EVENTOS!$F:$F,0)),0)</f>
        <v>0</v>
      </c>
      <c r="V237" s="3">
        <f>IFERROR(INDEX(EVENTOS!$D:$D,MATCH(SCORE!V$2&amp;" "&amp;SCORE!$D237,EVENTOS!$F:$F,0)),0)</f>
        <v>0</v>
      </c>
      <c r="W237" s="3">
        <f>IFERROR(INDEX(EVENTOS!$D:$D,MATCH(SCORE!W$2&amp;" "&amp;SCORE!$D237,EVENTOS!$F:$F,0)),0)</f>
        <v>0</v>
      </c>
      <c r="X237" s="3">
        <f>IFERROR(INDEX(EVENTOS!$D:$D,MATCH(SCORE!X$2&amp;" "&amp;SCORE!$D237,EVENTOS!$F:$F,0)),0)</f>
        <v>0</v>
      </c>
      <c r="Y237" s="3">
        <f>SUMIFS(EVENTOS!$D:$D, EVENTOS!$B:$B, D237, EVENTOS!$E:$E, "*GirAlto*")</f>
        <v>0</v>
      </c>
      <c r="Z237" s="3">
        <f>SUMIFS(EVENTOS!$D:$D, EVENTOS!$B:$B, D237, EVENTOS!$E:$E, "*GirMed*")</f>
        <v>0</v>
      </c>
      <c r="AA237" s="3">
        <f>SUMIFS(EVENTOS!$D:$D, EVENTOS!$B:$B, D237, EVENTOS!$E:$E, "*GirBajo*")</f>
        <v>0</v>
      </c>
      <c r="AB237" s="3">
        <f>IFERROR(INDEX(EVENTOS!$D:$D,MATCH(SCORE!AB$2&amp;" "&amp;SCORE!$D237,EVENTOS!$F:$F,0)),0)</f>
        <v>0</v>
      </c>
      <c r="AC237" s="3">
        <f>IFERROR(INDEX(EVENTOS!$D:$D,MATCH(SCORE!AC$2&amp;" "&amp;SCORE!$D237,EVENTOS!$F:$F,0)),0)</f>
        <v>0</v>
      </c>
      <c r="AD237" s="3">
        <f>IFERROR(INDEX(EVENTOS!$D:$D,MATCH(SCORE!AD$2&amp;" "&amp;SCORE!$D237,EVENTOS!$F:$F,0)),0)</f>
        <v>0</v>
      </c>
      <c r="AE237" s="3">
        <f t="shared" si="9"/>
        <v>0</v>
      </c>
      <c r="AF237" s="10" t="e">
        <f t="shared" si="10"/>
        <v>#N/A</v>
      </c>
      <c r="AG237" s="3" t="str">
        <f t="shared" si="11"/>
        <v/>
      </c>
    </row>
    <row r="238" spans="1:33" x14ac:dyDescent="0.25">
      <c r="A238" s="7"/>
      <c r="B238" s="8"/>
      <c r="C238" s="3"/>
      <c r="D238" s="3"/>
      <c r="E238" s="3" t="e">
        <f>VLOOKUP(D238,VIAJES!$D:$E,2,FALSE)</f>
        <v>#N/A</v>
      </c>
      <c r="F238" s="9" t="e">
        <f>VLOOKUP(D238,VIAJES!$D:$F,3,FALSE)</f>
        <v>#N/A</v>
      </c>
      <c r="G238" s="9" t="e">
        <f>VLOOKUP(D238,VIAJES!$D:$G,4,FALSE)</f>
        <v>#N/A</v>
      </c>
      <c r="H238" s="3" t="e">
        <f>VLOOKUP(D238,VIAJES!$D:$H,5,FALSE)</f>
        <v>#N/A</v>
      </c>
      <c r="S238" s="3">
        <f>IFERROR(INDEX(EVENTOS!$D:$D,MATCH(SCORE!S$2&amp;" "&amp;SCORE!$D238,EVENTOS!$F:$F,0)),0)</f>
        <v>0</v>
      </c>
      <c r="T238" s="3">
        <f>IFERROR(INDEX(EVENTOS!$D:$D,MATCH(SCORE!T$2&amp;" "&amp;SCORE!$D238,EVENTOS!$F:$F,0)),0)</f>
        <v>0</v>
      </c>
      <c r="U238" s="3">
        <f>IFERROR(INDEX(EVENTOS!$D:$D,MATCH(SCORE!U$2&amp;" "&amp;SCORE!$D238,EVENTOS!$F:$F,0)),0)</f>
        <v>0</v>
      </c>
      <c r="V238" s="3">
        <f>IFERROR(INDEX(EVENTOS!$D:$D,MATCH(SCORE!V$2&amp;" "&amp;SCORE!$D238,EVENTOS!$F:$F,0)),0)</f>
        <v>0</v>
      </c>
      <c r="W238" s="3">
        <f>IFERROR(INDEX(EVENTOS!$D:$D,MATCH(SCORE!W$2&amp;" "&amp;SCORE!$D238,EVENTOS!$F:$F,0)),0)</f>
        <v>0</v>
      </c>
      <c r="X238" s="3">
        <f>IFERROR(INDEX(EVENTOS!$D:$D,MATCH(SCORE!X$2&amp;" "&amp;SCORE!$D238,EVENTOS!$F:$F,0)),0)</f>
        <v>0</v>
      </c>
      <c r="Y238" s="3">
        <f>SUMIFS(EVENTOS!$D:$D, EVENTOS!$B:$B, D238, EVENTOS!$E:$E, "*GirAlto*")</f>
        <v>0</v>
      </c>
      <c r="Z238" s="3">
        <f>SUMIFS(EVENTOS!$D:$D, EVENTOS!$B:$B, D238, EVENTOS!$E:$E, "*GirMed*")</f>
        <v>0</v>
      </c>
      <c r="AA238" s="3">
        <f>SUMIFS(EVENTOS!$D:$D, EVENTOS!$B:$B, D238, EVENTOS!$E:$E, "*GirBajo*")</f>
        <v>0</v>
      </c>
      <c r="AB238" s="3">
        <f>IFERROR(INDEX(EVENTOS!$D:$D,MATCH(SCORE!AB$2&amp;" "&amp;SCORE!$D238,EVENTOS!$F:$F,0)),0)</f>
        <v>0</v>
      </c>
      <c r="AC238" s="3">
        <f>IFERROR(INDEX(EVENTOS!$D:$D,MATCH(SCORE!AC$2&amp;" "&amp;SCORE!$D238,EVENTOS!$F:$F,0)),0)</f>
        <v>0</v>
      </c>
      <c r="AD238" s="3">
        <f>IFERROR(INDEX(EVENTOS!$D:$D,MATCH(SCORE!AD$2&amp;" "&amp;SCORE!$D238,EVENTOS!$F:$F,0)),0)</f>
        <v>0</v>
      </c>
      <c r="AE238" s="3">
        <f t="shared" si="9"/>
        <v>0</v>
      </c>
      <c r="AF238" s="10" t="e">
        <f t="shared" si="10"/>
        <v>#N/A</v>
      </c>
      <c r="AG238" s="3" t="str">
        <f t="shared" si="11"/>
        <v/>
      </c>
    </row>
    <row r="239" spans="1:33" x14ac:dyDescent="0.25">
      <c r="A239" s="7"/>
      <c r="B239" s="8"/>
      <c r="C239" s="3"/>
      <c r="D239" s="3"/>
      <c r="E239" s="3" t="e">
        <f>VLOOKUP(D239,VIAJES!$D:$E,2,FALSE)</f>
        <v>#N/A</v>
      </c>
      <c r="F239" s="9" t="e">
        <f>VLOOKUP(D239,VIAJES!$D:$F,3,FALSE)</f>
        <v>#N/A</v>
      </c>
      <c r="G239" s="9" t="e">
        <f>VLOOKUP(D239,VIAJES!$D:$G,4,FALSE)</f>
        <v>#N/A</v>
      </c>
      <c r="H239" s="3" t="e">
        <f>VLOOKUP(D239,VIAJES!$D:$H,5,FALSE)</f>
        <v>#N/A</v>
      </c>
      <c r="S239" s="3">
        <f>IFERROR(INDEX(EVENTOS!$D:$D,MATCH(SCORE!S$2&amp;" "&amp;SCORE!$D239,EVENTOS!$F:$F,0)),0)</f>
        <v>0</v>
      </c>
      <c r="T239" s="3">
        <f>IFERROR(INDEX(EVENTOS!$D:$D,MATCH(SCORE!T$2&amp;" "&amp;SCORE!$D239,EVENTOS!$F:$F,0)),0)</f>
        <v>0</v>
      </c>
      <c r="U239" s="3">
        <f>IFERROR(INDEX(EVENTOS!$D:$D,MATCH(SCORE!U$2&amp;" "&amp;SCORE!$D239,EVENTOS!$F:$F,0)),0)</f>
        <v>0</v>
      </c>
      <c r="V239" s="3">
        <f>IFERROR(INDEX(EVENTOS!$D:$D,MATCH(SCORE!V$2&amp;" "&amp;SCORE!$D239,EVENTOS!$F:$F,0)),0)</f>
        <v>0</v>
      </c>
      <c r="W239" s="3">
        <f>IFERROR(INDEX(EVENTOS!$D:$D,MATCH(SCORE!W$2&amp;" "&amp;SCORE!$D239,EVENTOS!$F:$F,0)),0)</f>
        <v>0</v>
      </c>
      <c r="X239" s="3">
        <f>IFERROR(INDEX(EVENTOS!$D:$D,MATCH(SCORE!X$2&amp;" "&amp;SCORE!$D239,EVENTOS!$F:$F,0)),0)</f>
        <v>0</v>
      </c>
      <c r="Y239" s="3">
        <f>SUMIFS(EVENTOS!$D:$D, EVENTOS!$B:$B, D239, EVENTOS!$E:$E, "*GirAlto*")</f>
        <v>0</v>
      </c>
      <c r="Z239" s="3">
        <f>SUMIFS(EVENTOS!$D:$D, EVENTOS!$B:$B, D239, EVENTOS!$E:$E, "*GirMed*")</f>
        <v>0</v>
      </c>
      <c r="AA239" s="3">
        <f>SUMIFS(EVENTOS!$D:$D, EVENTOS!$B:$B, D239, EVENTOS!$E:$E, "*GirBajo*")</f>
        <v>0</v>
      </c>
      <c r="AB239" s="3">
        <f>IFERROR(INDEX(EVENTOS!$D:$D,MATCH(SCORE!AB$2&amp;" "&amp;SCORE!$D239,EVENTOS!$F:$F,0)),0)</f>
        <v>0</v>
      </c>
      <c r="AC239" s="3">
        <f>IFERROR(INDEX(EVENTOS!$D:$D,MATCH(SCORE!AC$2&amp;" "&amp;SCORE!$D239,EVENTOS!$F:$F,0)),0)</f>
        <v>0</v>
      </c>
      <c r="AD239" s="3">
        <f>IFERROR(INDEX(EVENTOS!$D:$D,MATCH(SCORE!AD$2&amp;" "&amp;SCORE!$D239,EVENTOS!$F:$F,0)),0)</f>
        <v>0</v>
      </c>
      <c r="AE239" s="3">
        <f t="shared" si="9"/>
        <v>0</v>
      </c>
      <c r="AF239" s="10" t="e">
        <f t="shared" si="10"/>
        <v>#N/A</v>
      </c>
      <c r="AG239" s="3" t="str">
        <f t="shared" si="11"/>
        <v/>
      </c>
    </row>
    <row r="240" spans="1:33" x14ac:dyDescent="0.25">
      <c r="A240" s="7"/>
      <c r="B240" s="8"/>
      <c r="C240" s="3"/>
      <c r="D240" s="3"/>
      <c r="E240" s="3" t="e">
        <f>VLOOKUP(D240,VIAJES!$D:$E,2,FALSE)</f>
        <v>#N/A</v>
      </c>
      <c r="F240" s="9" t="e">
        <f>VLOOKUP(D240,VIAJES!$D:$F,3,FALSE)</f>
        <v>#N/A</v>
      </c>
      <c r="G240" s="9" t="e">
        <f>VLOOKUP(D240,VIAJES!$D:$G,4,FALSE)</f>
        <v>#N/A</v>
      </c>
      <c r="H240" s="3" t="e">
        <f>VLOOKUP(D240,VIAJES!$D:$H,5,FALSE)</f>
        <v>#N/A</v>
      </c>
      <c r="S240" s="3">
        <f>IFERROR(INDEX(EVENTOS!$D:$D,MATCH(SCORE!S$2&amp;" "&amp;SCORE!$D240,EVENTOS!$F:$F,0)),0)</f>
        <v>0</v>
      </c>
      <c r="T240" s="3">
        <f>IFERROR(INDEX(EVENTOS!$D:$D,MATCH(SCORE!T$2&amp;" "&amp;SCORE!$D240,EVENTOS!$F:$F,0)),0)</f>
        <v>0</v>
      </c>
      <c r="U240" s="3">
        <f>IFERROR(INDEX(EVENTOS!$D:$D,MATCH(SCORE!U$2&amp;" "&amp;SCORE!$D240,EVENTOS!$F:$F,0)),0)</f>
        <v>0</v>
      </c>
      <c r="V240" s="3">
        <f>IFERROR(INDEX(EVENTOS!$D:$D,MATCH(SCORE!V$2&amp;" "&amp;SCORE!$D240,EVENTOS!$F:$F,0)),0)</f>
        <v>0</v>
      </c>
      <c r="W240" s="3">
        <f>IFERROR(INDEX(EVENTOS!$D:$D,MATCH(SCORE!W$2&amp;" "&amp;SCORE!$D240,EVENTOS!$F:$F,0)),0)</f>
        <v>0</v>
      </c>
      <c r="X240" s="3">
        <f>IFERROR(INDEX(EVENTOS!$D:$D,MATCH(SCORE!X$2&amp;" "&amp;SCORE!$D240,EVENTOS!$F:$F,0)),0)</f>
        <v>0</v>
      </c>
      <c r="Y240" s="3">
        <f>SUMIFS(EVENTOS!$D:$D, EVENTOS!$B:$B, D240, EVENTOS!$E:$E, "*GirAlto*")</f>
        <v>0</v>
      </c>
      <c r="Z240" s="3">
        <f>SUMIFS(EVENTOS!$D:$D, EVENTOS!$B:$B, D240, EVENTOS!$E:$E, "*GirMed*")</f>
        <v>0</v>
      </c>
      <c r="AA240" s="3">
        <f>SUMIFS(EVENTOS!$D:$D, EVENTOS!$B:$B, D240, EVENTOS!$E:$E, "*GirBajo*")</f>
        <v>0</v>
      </c>
      <c r="AB240" s="3">
        <f>IFERROR(INDEX(EVENTOS!$D:$D,MATCH(SCORE!AB$2&amp;" "&amp;SCORE!$D240,EVENTOS!$F:$F,0)),0)</f>
        <v>0</v>
      </c>
      <c r="AC240" s="3">
        <f>IFERROR(INDEX(EVENTOS!$D:$D,MATCH(SCORE!AC$2&amp;" "&amp;SCORE!$D240,EVENTOS!$F:$F,0)),0)</f>
        <v>0</v>
      </c>
      <c r="AD240" s="3">
        <f>IFERROR(INDEX(EVENTOS!$D:$D,MATCH(SCORE!AD$2&amp;" "&amp;SCORE!$D240,EVENTOS!$F:$F,0)),0)</f>
        <v>0</v>
      </c>
      <c r="AE240" s="3">
        <f t="shared" si="9"/>
        <v>0</v>
      </c>
      <c r="AF240" s="10" t="e">
        <f t="shared" si="10"/>
        <v>#N/A</v>
      </c>
      <c r="AG240" s="3" t="str">
        <f t="shared" si="11"/>
        <v/>
      </c>
    </row>
    <row r="241" spans="1:33" x14ac:dyDescent="0.25">
      <c r="A241" s="7"/>
      <c r="B241" s="8"/>
      <c r="C241" s="3"/>
      <c r="D241" s="3"/>
      <c r="E241" s="3" t="e">
        <f>VLOOKUP(D241,VIAJES!$D:$E,2,FALSE)</f>
        <v>#N/A</v>
      </c>
      <c r="F241" s="9" t="e">
        <f>VLOOKUP(D241,VIAJES!$D:$F,3,FALSE)</f>
        <v>#N/A</v>
      </c>
      <c r="G241" s="9" t="e">
        <f>VLOOKUP(D241,VIAJES!$D:$G,4,FALSE)</f>
        <v>#N/A</v>
      </c>
      <c r="H241" s="3" t="e">
        <f>VLOOKUP(D241,VIAJES!$D:$H,5,FALSE)</f>
        <v>#N/A</v>
      </c>
      <c r="S241" s="3">
        <f>IFERROR(INDEX(EVENTOS!$D:$D,MATCH(SCORE!S$2&amp;" "&amp;SCORE!$D241,EVENTOS!$F:$F,0)),0)</f>
        <v>0</v>
      </c>
      <c r="T241" s="3">
        <f>IFERROR(INDEX(EVENTOS!$D:$D,MATCH(SCORE!T$2&amp;" "&amp;SCORE!$D241,EVENTOS!$F:$F,0)),0)</f>
        <v>0</v>
      </c>
      <c r="U241" s="3">
        <f>IFERROR(INDEX(EVENTOS!$D:$D,MATCH(SCORE!U$2&amp;" "&amp;SCORE!$D241,EVENTOS!$F:$F,0)),0)</f>
        <v>0</v>
      </c>
      <c r="V241" s="3">
        <f>IFERROR(INDEX(EVENTOS!$D:$D,MATCH(SCORE!V$2&amp;" "&amp;SCORE!$D241,EVENTOS!$F:$F,0)),0)</f>
        <v>0</v>
      </c>
      <c r="W241" s="3">
        <f>IFERROR(INDEX(EVENTOS!$D:$D,MATCH(SCORE!W$2&amp;" "&amp;SCORE!$D241,EVENTOS!$F:$F,0)),0)</f>
        <v>0</v>
      </c>
      <c r="X241" s="3">
        <f>IFERROR(INDEX(EVENTOS!$D:$D,MATCH(SCORE!X$2&amp;" "&amp;SCORE!$D241,EVENTOS!$F:$F,0)),0)</f>
        <v>0</v>
      </c>
      <c r="Y241" s="3">
        <f>SUMIFS(EVENTOS!$D:$D, EVENTOS!$B:$B, D241, EVENTOS!$E:$E, "*GirAlto*")</f>
        <v>0</v>
      </c>
      <c r="Z241" s="3">
        <f>SUMIFS(EVENTOS!$D:$D, EVENTOS!$B:$B, D241, EVENTOS!$E:$E, "*GirMed*")</f>
        <v>0</v>
      </c>
      <c r="AA241" s="3">
        <f>SUMIFS(EVENTOS!$D:$D, EVENTOS!$B:$B, D241, EVENTOS!$E:$E, "*GirBajo*")</f>
        <v>0</v>
      </c>
      <c r="AB241" s="3">
        <f>IFERROR(INDEX(EVENTOS!$D:$D,MATCH(SCORE!AB$2&amp;" "&amp;SCORE!$D241,EVENTOS!$F:$F,0)),0)</f>
        <v>0</v>
      </c>
      <c r="AC241" s="3">
        <f>IFERROR(INDEX(EVENTOS!$D:$D,MATCH(SCORE!AC$2&amp;" "&amp;SCORE!$D241,EVENTOS!$F:$F,0)),0)</f>
        <v>0</v>
      </c>
      <c r="AD241" s="3">
        <f>IFERROR(INDEX(EVENTOS!$D:$D,MATCH(SCORE!AD$2&amp;" "&amp;SCORE!$D241,EVENTOS!$F:$F,0)),0)</f>
        <v>0</v>
      </c>
      <c r="AE241" s="3">
        <f t="shared" si="9"/>
        <v>0</v>
      </c>
      <c r="AF241" s="10" t="e">
        <f t="shared" si="10"/>
        <v>#N/A</v>
      </c>
      <c r="AG241" s="3" t="str">
        <f t="shared" si="11"/>
        <v/>
      </c>
    </row>
    <row r="242" spans="1:33" x14ac:dyDescent="0.25">
      <c r="A242" s="7"/>
      <c r="B242" s="8"/>
      <c r="C242" s="3"/>
      <c r="D242" s="3"/>
      <c r="E242" s="3" t="e">
        <f>VLOOKUP(D242,VIAJES!$D:$E,2,FALSE)</f>
        <v>#N/A</v>
      </c>
      <c r="F242" s="9" t="e">
        <f>VLOOKUP(D242,VIAJES!$D:$F,3,FALSE)</f>
        <v>#N/A</v>
      </c>
      <c r="G242" s="9" t="e">
        <f>VLOOKUP(D242,VIAJES!$D:$G,4,FALSE)</f>
        <v>#N/A</v>
      </c>
      <c r="H242" s="3" t="e">
        <f>VLOOKUP(D242,VIAJES!$D:$H,5,FALSE)</f>
        <v>#N/A</v>
      </c>
      <c r="S242" s="3">
        <f>IFERROR(INDEX(EVENTOS!$D:$D,MATCH(SCORE!S$2&amp;" "&amp;SCORE!$D242,EVENTOS!$F:$F,0)),0)</f>
        <v>0</v>
      </c>
      <c r="T242" s="3">
        <f>IFERROR(INDEX(EVENTOS!$D:$D,MATCH(SCORE!T$2&amp;" "&amp;SCORE!$D242,EVENTOS!$F:$F,0)),0)</f>
        <v>0</v>
      </c>
      <c r="U242" s="3">
        <f>IFERROR(INDEX(EVENTOS!$D:$D,MATCH(SCORE!U$2&amp;" "&amp;SCORE!$D242,EVENTOS!$F:$F,0)),0)</f>
        <v>0</v>
      </c>
      <c r="V242" s="3">
        <f>IFERROR(INDEX(EVENTOS!$D:$D,MATCH(SCORE!V$2&amp;" "&amp;SCORE!$D242,EVENTOS!$F:$F,0)),0)</f>
        <v>0</v>
      </c>
      <c r="W242" s="3">
        <f>IFERROR(INDEX(EVENTOS!$D:$D,MATCH(SCORE!W$2&amp;" "&amp;SCORE!$D242,EVENTOS!$F:$F,0)),0)</f>
        <v>0</v>
      </c>
      <c r="X242" s="3">
        <f>IFERROR(INDEX(EVENTOS!$D:$D,MATCH(SCORE!X$2&amp;" "&amp;SCORE!$D242,EVENTOS!$F:$F,0)),0)</f>
        <v>0</v>
      </c>
      <c r="Y242" s="3">
        <f>SUMIFS(EVENTOS!$D:$D, EVENTOS!$B:$B, D242, EVENTOS!$E:$E, "*GirAlto*")</f>
        <v>0</v>
      </c>
      <c r="Z242" s="3">
        <f>SUMIFS(EVENTOS!$D:$D, EVENTOS!$B:$B, D242, EVENTOS!$E:$E, "*GirMed*")</f>
        <v>0</v>
      </c>
      <c r="AA242" s="3">
        <f>SUMIFS(EVENTOS!$D:$D, EVENTOS!$B:$B, D242, EVENTOS!$E:$E, "*GirBajo*")</f>
        <v>0</v>
      </c>
      <c r="AB242" s="3">
        <f>IFERROR(INDEX(EVENTOS!$D:$D,MATCH(SCORE!AB$2&amp;" "&amp;SCORE!$D242,EVENTOS!$F:$F,0)),0)</f>
        <v>0</v>
      </c>
      <c r="AC242" s="3">
        <f>IFERROR(INDEX(EVENTOS!$D:$D,MATCH(SCORE!AC$2&amp;" "&amp;SCORE!$D242,EVENTOS!$F:$F,0)),0)</f>
        <v>0</v>
      </c>
      <c r="AD242" s="3">
        <f>IFERROR(INDEX(EVENTOS!$D:$D,MATCH(SCORE!AD$2&amp;" "&amp;SCORE!$D242,EVENTOS!$F:$F,0)),0)</f>
        <v>0</v>
      </c>
      <c r="AE242" s="3">
        <f t="shared" si="9"/>
        <v>0</v>
      </c>
      <c r="AF242" s="10" t="e">
        <f t="shared" si="10"/>
        <v>#N/A</v>
      </c>
      <c r="AG242" s="3" t="str">
        <f t="shared" si="11"/>
        <v/>
      </c>
    </row>
    <row r="243" spans="1:33" x14ac:dyDescent="0.25">
      <c r="A243" s="7"/>
      <c r="B243" s="8"/>
      <c r="C243" s="3"/>
      <c r="D243" s="3"/>
      <c r="E243" s="3" t="e">
        <f>VLOOKUP(D243,VIAJES!$D:$E,2,FALSE)</f>
        <v>#N/A</v>
      </c>
      <c r="F243" s="9" t="e">
        <f>VLOOKUP(D243,VIAJES!$D:$F,3,FALSE)</f>
        <v>#N/A</v>
      </c>
      <c r="G243" s="9" t="e">
        <f>VLOOKUP(D243,VIAJES!$D:$G,4,FALSE)</f>
        <v>#N/A</v>
      </c>
      <c r="H243" s="3" t="e">
        <f>VLOOKUP(D243,VIAJES!$D:$H,5,FALSE)</f>
        <v>#N/A</v>
      </c>
      <c r="S243" s="3">
        <f>IFERROR(INDEX(EVENTOS!$D:$D,MATCH(SCORE!S$2&amp;" "&amp;SCORE!$D243,EVENTOS!$F:$F,0)),0)</f>
        <v>0</v>
      </c>
      <c r="T243" s="3">
        <f>IFERROR(INDEX(EVENTOS!$D:$D,MATCH(SCORE!T$2&amp;" "&amp;SCORE!$D243,EVENTOS!$F:$F,0)),0)</f>
        <v>0</v>
      </c>
      <c r="U243" s="3">
        <f>IFERROR(INDEX(EVENTOS!$D:$D,MATCH(SCORE!U$2&amp;" "&amp;SCORE!$D243,EVENTOS!$F:$F,0)),0)</f>
        <v>0</v>
      </c>
      <c r="V243" s="3">
        <f>IFERROR(INDEX(EVENTOS!$D:$D,MATCH(SCORE!V$2&amp;" "&amp;SCORE!$D243,EVENTOS!$F:$F,0)),0)</f>
        <v>0</v>
      </c>
      <c r="W243" s="3">
        <f>IFERROR(INDEX(EVENTOS!$D:$D,MATCH(SCORE!W$2&amp;" "&amp;SCORE!$D243,EVENTOS!$F:$F,0)),0)</f>
        <v>0</v>
      </c>
      <c r="X243" s="3">
        <f>IFERROR(INDEX(EVENTOS!$D:$D,MATCH(SCORE!X$2&amp;" "&amp;SCORE!$D243,EVENTOS!$F:$F,0)),0)</f>
        <v>0</v>
      </c>
      <c r="Y243" s="3">
        <f>SUMIFS(EVENTOS!$D:$D, EVENTOS!$B:$B, D243, EVENTOS!$E:$E, "*GirAlto*")</f>
        <v>0</v>
      </c>
      <c r="Z243" s="3">
        <f>SUMIFS(EVENTOS!$D:$D, EVENTOS!$B:$B, D243, EVENTOS!$E:$E, "*GirMed*")</f>
        <v>0</v>
      </c>
      <c r="AA243" s="3">
        <f>SUMIFS(EVENTOS!$D:$D, EVENTOS!$B:$B, D243, EVENTOS!$E:$E, "*GirBajo*")</f>
        <v>0</v>
      </c>
      <c r="AB243" s="3">
        <f>IFERROR(INDEX(EVENTOS!$D:$D,MATCH(SCORE!AB$2&amp;" "&amp;SCORE!$D243,EVENTOS!$F:$F,0)),0)</f>
        <v>0</v>
      </c>
      <c r="AC243" s="3">
        <f>IFERROR(INDEX(EVENTOS!$D:$D,MATCH(SCORE!AC$2&amp;" "&amp;SCORE!$D243,EVENTOS!$F:$F,0)),0)</f>
        <v>0</v>
      </c>
      <c r="AD243" s="3">
        <f>IFERROR(INDEX(EVENTOS!$D:$D,MATCH(SCORE!AD$2&amp;" "&amp;SCORE!$D243,EVENTOS!$F:$F,0)),0)</f>
        <v>0</v>
      </c>
      <c r="AE243" s="3">
        <f t="shared" si="9"/>
        <v>0</v>
      </c>
      <c r="AF243" s="10" t="e">
        <f t="shared" si="10"/>
        <v>#N/A</v>
      </c>
      <c r="AG243" s="3" t="str">
        <f t="shared" si="11"/>
        <v/>
      </c>
    </row>
    <row r="244" spans="1:33" x14ac:dyDescent="0.25">
      <c r="A244" s="7"/>
      <c r="B244" s="8"/>
      <c r="C244" s="3"/>
      <c r="D244" s="3"/>
      <c r="E244" s="3" t="e">
        <f>VLOOKUP(D244,VIAJES!$D:$E,2,FALSE)</f>
        <v>#N/A</v>
      </c>
      <c r="F244" s="9" t="e">
        <f>VLOOKUP(D244,VIAJES!$D:$F,3,FALSE)</f>
        <v>#N/A</v>
      </c>
      <c r="G244" s="9" t="e">
        <f>VLOOKUP(D244,VIAJES!$D:$G,4,FALSE)</f>
        <v>#N/A</v>
      </c>
      <c r="H244" s="3" t="e">
        <f>VLOOKUP(D244,VIAJES!$D:$H,5,FALSE)</f>
        <v>#N/A</v>
      </c>
      <c r="S244" s="3">
        <f>IFERROR(INDEX(EVENTOS!$D:$D,MATCH(SCORE!S$2&amp;" "&amp;SCORE!$D244,EVENTOS!$F:$F,0)),0)</f>
        <v>0</v>
      </c>
      <c r="T244" s="3">
        <f>IFERROR(INDEX(EVENTOS!$D:$D,MATCH(SCORE!T$2&amp;" "&amp;SCORE!$D244,EVENTOS!$F:$F,0)),0)</f>
        <v>0</v>
      </c>
      <c r="U244" s="3">
        <f>IFERROR(INDEX(EVENTOS!$D:$D,MATCH(SCORE!U$2&amp;" "&amp;SCORE!$D244,EVENTOS!$F:$F,0)),0)</f>
        <v>0</v>
      </c>
      <c r="V244" s="3">
        <f>IFERROR(INDEX(EVENTOS!$D:$D,MATCH(SCORE!V$2&amp;" "&amp;SCORE!$D244,EVENTOS!$F:$F,0)),0)</f>
        <v>0</v>
      </c>
      <c r="W244" s="3">
        <f>IFERROR(INDEX(EVENTOS!$D:$D,MATCH(SCORE!W$2&amp;" "&amp;SCORE!$D244,EVENTOS!$F:$F,0)),0)</f>
        <v>0</v>
      </c>
      <c r="X244" s="3">
        <f>IFERROR(INDEX(EVENTOS!$D:$D,MATCH(SCORE!X$2&amp;" "&amp;SCORE!$D244,EVENTOS!$F:$F,0)),0)</f>
        <v>0</v>
      </c>
      <c r="Y244" s="3">
        <f>SUMIFS(EVENTOS!$D:$D, EVENTOS!$B:$B, D244, EVENTOS!$E:$E, "*GirAlto*")</f>
        <v>0</v>
      </c>
      <c r="Z244" s="3">
        <f>SUMIFS(EVENTOS!$D:$D, EVENTOS!$B:$B, D244, EVENTOS!$E:$E, "*GirMed*")</f>
        <v>0</v>
      </c>
      <c r="AA244" s="3">
        <f>SUMIFS(EVENTOS!$D:$D, EVENTOS!$B:$B, D244, EVENTOS!$E:$E, "*GirBajo*")</f>
        <v>0</v>
      </c>
      <c r="AB244" s="3">
        <f>IFERROR(INDEX(EVENTOS!$D:$D,MATCH(SCORE!AB$2&amp;" "&amp;SCORE!$D244,EVENTOS!$F:$F,0)),0)</f>
        <v>0</v>
      </c>
      <c r="AC244" s="3">
        <f>IFERROR(INDEX(EVENTOS!$D:$D,MATCH(SCORE!AC$2&amp;" "&amp;SCORE!$D244,EVENTOS!$F:$F,0)),0)</f>
        <v>0</v>
      </c>
      <c r="AD244" s="3">
        <f>IFERROR(INDEX(EVENTOS!$D:$D,MATCH(SCORE!AD$2&amp;" "&amp;SCORE!$D244,EVENTOS!$F:$F,0)),0)</f>
        <v>0</v>
      </c>
      <c r="AE244" s="3">
        <f t="shared" si="9"/>
        <v>0</v>
      </c>
      <c r="AF244" s="10" t="e">
        <f t="shared" si="10"/>
        <v>#N/A</v>
      </c>
      <c r="AG244" s="3" t="str">
        <f t="shared" si="11"/>
        <v/>
      </c>
    </row>
    <row r="245" spans="1:33" x14ac:dyDescent="0.25">
      <c r="A245" s="7"/>
      <c r="B245" s="8"/>
      <c r="C245" s="3"/>
      <c r="D245" s="3"/>
      <c r="E245" s="3" t="e">
        <f>VLOOKUP(D245,VIAJES!$D:$E,2,FALSE)</f>
        <v>#N/A</v>
      </c>
      <c r="F245" s="9" t="e">
        <f>VLOOKUP(D245,VIAJES!$D:$F,3,FALSE)</f>
        <v>#N/A</v>
      </c>
      <c r="G245" s="9" t="e">
        <f>VLOOKUP(D245,VIAJES!$D:$G,4,FALSE)</f>
        <v>#N/A</v>
      </c>
      <c r="H245" s="3" t="e">
        <f>VLOOKUP(D245,VIAJES!$D:$H,5,FALSE)</f>
        <v>#N/A</v>
      </c>
      <c r="S245" s="3">
        <f>IFERROR(INDEX(EVENTOS!$D:$D,MATCH(SCORE!S$2&amp;" "&amp;SCORE!$D245,EVENTOS!$F:$F,0)),0)</f>
        <v>0</v>
      </c>
      <c r="T245" s="3">
        <f>IFERROR(INDEX(EVENTOS!$D:$D,MATCH(SCORE!T$2&amp;" "&amp;SCORE!$D245,EVENTOS!$F:$F,0)),0)</f>
        <v>0</v>
      </c>
      <c r="U245" s="3">
        <f>IFERROR(INDEX(EVENTOS!$D:$D,MATCH(SCORE!U$2&amp;" "&amp;SCORE!$D245,EVENTOS!$F:$F,0)),0)</f>
        <v>0</v>
      </c>
      <c r="V245" s="3">
        <f>IFERROR(INDEX(EVENTOS!$D:$D,MATCH(SCORE!V$2&amp;" "&amp;SCORE!$D245,EVENTOS!$F:$F,0)),0)</f>
        <v>0</v>
      </c>
      <c r="W245" s="3">
        <f>IFERROR(INDEX(EVENTOS!$D:$D,MATCH(SCORE!W$2&amp;" "&amp;SCORE!$D245,EVENTOS!$F:$F,0)),0)</f>
        <v>0</v>
      </c>
      <c r="X245" s="3">
        <f>IFERROR(INDEX(EVENTOS!$D:$D,MATCH(SCORE!X$2&amp;" "&amp;SCORE!$D245,EVENTOS!$F:$F,0)),0)</f>
        <v>0</v>
      </c>
      <c r="Y245" s="3">
        <f>SUMIFS(EVENTOS!$D:$D, EVENTOS!$B:$B, D245, EVENTOS!$E:$E, "*GirAlto*")</f>
        <v>0</v>
      </c>
      <c r="Z245" s="3">
        <f>SUMIFS(EVENTOS!$D:$D, EVENTOS!$B:$B, D245, EVENTOS!$E:$E, "*GirMed*")</f>
        <v>0</v>
      </c>
      <c r="AA245" s="3">
        <f>SUMIFS(EVENTOS!$D:$D, EVENTOS!$B:$B, D245, EVENTOS!$E:$E, "*GirBajo*")</f>
        <v>0</v>
      </c>
      <c r="AB245" s="3">
        <f>IFERROR(INDEX(EVENTOS!$D:$D,MATCH(SCORE!AB$2&amp;" "&amp;SCORE!$D245,EVENTOS!$F:$F,0)),0)</f>
        <v>0</v>
      </c>
      <c r="AC245" s="3">
        <f>IFERROR(INDEX(EVENTOS!$D:$D,MATCH(SCORE!AC$2&amp;" "&amp;SCORE!$D245,EVENTOS!$F:$F,0)),0)</f>
        <v>0</v>
      </c>
      <c r="AD245" s="3">
        <f>IFERROR(INDEX(EVENTOS!$D:$D,MATCH(SCORE!AD$2&amp;" "&amp;SCORE!$D245,EVENTOS!$F:$F,0)),0)</f>
        <v>0</v>
      </c>
      <c r="AE245" s="3">
        <f t="shared" si="9"/>
        <v>0</v>
      </c>
      <c r="AF245" s="10" t="e">
        <f t="shared" si="10"/>
        <v>#N/A</v>
      </c>
      <c r="AG245" s="3" t="str">
        <f t="shared" si="11"/>
        <v/>
      </c>
    </row>
    <row r="246" spans="1:33" x14ac:dyDescent="0.25">
      <c r="A246" s="7"/>
      <c r="B246" s="8"/>
      <c r="C246" s="3"/>
      <c r="D246" s="3"/>
      <c r="E246" s="3" t="e">
        <f>VLOOKUP(D246,VIAJES!$D:$E,2,FALSE)</f>
        <v>#N/A</v>
      </c>
      <c r="F246" s="9" t="e">
        <f>VLOOKUP(D246,VIAJES!$D:$F,3,FALSE)</f>
        <v>#N/A</v>
      </c>
      <c r="G246" s="9" t="e">
        <f>VLOOKUP(D246,VIAJES!$D:$G,4,FALSE)</f>
        <v>#N/A</v>
      </c>
      <c r="H246" s="3" t="e">
        <f>VLOOKUP(D246,VIAJES!$D:$H,5,FALSE)</f>
        <v>#N/A</v>
      </c>
      <c r="S246" s="3">
        <f>IFERROR(INDEX(EVENTOS!$D:$D,MATCH(SCORE!S$2&amp;" "&amp;SCORE!$D246,EVENTOS!$F:$F,0)),0)</f>
        <v>0</v>
      </c>
      <c r="T246" s="3">
        <f>IFERROR(INDEX(EVENTOS!$D:$D,MATCH(SCORE!T$2&amp;" "&amp;SCORE!$D246,EVENTOS!$F:$F,0)),0)</f>
        <v>0</v>
      </c>
      <c r="U246" s="3">
        <f>IFERROR(INDEX(EVENTOS!$D:$D,MATCH(SCORE!U$2&amp;" "&amp;SCORE!$D246,EVENTOS!$F:$F,0)),0)</f>
        <v>0</v>
      </c>
      <c r="V246" s="3">
        <f>IFERROR(INDEX(EVENTOS!$D:$D,MATCH(SCORE!V$2&amp;" "&amp;SCORE!$D246,EVENTOS!$F:$F,0)),0)</f>
        <v>0</v>
      </c>
      <c r="W246" s="3">
        <f>IFERROR(INDEX(EVENTOS!$D:$D,MATCH(SCORE!W$2&amp;" "&amp;SCORE!$D246,EVENTOS!$F:$F,0)),0)</f>
        <v>0</v>
      </c>
      <c r="X246" s="3">
        <f>IFERROR(INDEX(EVENTOS!$D:$D,MATCH(SCORE!X$2&amp;" "&amp;SCORE!$D246,EVENTOS!$F:$F,0)),0)</f>
        <v>0</v>
      </c>
      <c r="Y246" s="3">
        <f>SUMIFS(EVENTOS!$D:$D, EVENTOS!$B:$B, D246, EVENTOS!$E:$E, "*GirAlto*")</f>
        <v>0</v>
      </c>
      <c r="Z246" s="3">
        <f>SUMIFS(EVENTOS!$D:$D, EVENTOS!$B:$B, D246, EVENTOS!$E:$E, "*GirMed*")</f>
        <v>0</v>
      </c>
      <c r="AA246" s="3">
        <f>SUMIFS(EVENTOS!$D:$D, EVENTOS!$B:$B, D246, EVENTOS!$E:$E, "*GirBajo*")</f>
        <v>0</v>
      </c>
      <c r="AB246" s="3">
        <f>IFERROR(INDEX(EVENTOS!$D:$D,MATCH(SCORE!AB$2&amp;" "&amp;SCORE!$D246,EVENTOS!$F:$F,0)),0)</f>
        <v>0</v>
      </c>
      <c r="AC246" s="3">
        <f>IFERROR(INDEX(EVENTOS!$D:$D,MATCH(SCORE!AC$2&amp;" "&amp;SCORE!$D246,EVENTOS!$F:$F,0)),0)</f>
        <v>0</v>
      </c>
      <c r="AD246" s="3">
        <f>IFERROR(INDEX(EVENTOS!$D:$D,MATCH(SCORE!AD$2&amp;" "&amp;SCORE!$D246,EVENTOS!$F:$F,0)),0)</f>
        <v>0</v>
      </c>
      <c r="AE246" s="3">
        <f t="shared" si="9"/>
        <v>0</v>
      </c>
      <c r="AF246" s="10" t="e">
        <f t="shared" si="10"/>
        <v>#N/A</v>
      </c>
      <c r="AG246" s="3" t="str">
        <f t="shared" si="11"/>
        <v/>
      </c>
    </row>
    <row r="247" spans="1:33" x14ac:dyDescent="0.25">
      <c r="A247" s="7"/>
      <c r="B247" s="8"/>
      <c r="C247" s="3"/>
      <c r="D247" s="3"/>
      <c r="E247" s="3" t="e">
        <f>VLOOKUP(D247,VIAJES!$D:$E,2,FALSE)</f>
        <v>#N/A</v>
      </c>
      <c r="F247" s="9" t="e">
        <f>VLOOKUP(D247,VIAJES!$D:$F,3,FALSE)</f>
        <v>#N/A</v>
      </c>
      <c r="G247" s="9" t="e">
        <f>VLOOKUP(D247,VIAJES!$D:$G,4,FALSE)</f>
        <v>#N/A</v>
      </c>
      <c r="H247" s="3" t="e">
        <f>VLOOKUP(D247,VIAJES!$D:$H,5,FALSE)</f>
        <v>#N/A</v>
      </c>
      <c r="S247" s="3">
        <f>IFERROR(INDEX(EVENTOS!$D:$D,MATCH(SCORE!S$2&amp;" "&amp;SCORE!$D247,EVENTOS!$F:$F,0)),0)</f>
        <v>0</v>
      </c>
      <c r="T247" s="3">
        <f>IFERROR(INDEX(EVENTOS!$D:$D,MATCH(SCORE!T$2&amp;" "&amp;SCORE!$D247,EVENTOS!$F:$F,0)),0)</f>
        <v>0</v>
      </c>
      <c r="U247" s="3">
        <f>IFERROR(INDEX(EVENTOS!$D:$D,MATCH(SCORE!U$2&amp;" "&amp;SCORE!$D247,EVENTOS!$F:$F,0)),0)</f>
        <v>0</v>
      </c>
      <c r="V247" s="3">
        <f>IFERROR(INDEX(EVENTOS!$D:$D,MATCH(SCORE!V$2&amp;" "&amp;SCORE!$D247,EVENTOS!$F:$F,0)),0)</f>
        <v>0</v>
      </c>
      <c r="W247" s="3">
        <f>IFERROR(INDEX(EVENTOS!$D:$D,MATCH(SCORE!W$2&amp;" "&amp;SCORE!$D247,EVENTOS!$F:$F,0)),0)</f>
        <v>0</v>
      </c>
      <c r="X247" s="3">
        <f>IFERROR(INDEX(EVENTOS!$D:$D,MATCH(SCORE!X$2&amp;" "&amp;SCORE!$D247,EVENTOS!$F:$F,0)),0)</f>
        <v>0</v>
      </c>
      <c r="Y247" s="3">
        <f>SUMIFS(EVENTOS!$D:$D, EVENTOS!$B:$B, D247, EVENTOS!$E:$E, "*GirAlto*")</f>
        <v>0</v>
      </c>
      <c r="Z247" s="3">
        <f>SUMIFS(EVENTOS!$D:$D, EVENTOS!$B:$B, D247, EVENTOS!$E:$E, "*GirMed*")</f>
        <v>0</v>
      </c>
      <c r="AA247" s="3">
        <f>SUMIFS(EVENTOS!$D:$D, EVENTOS!$B:$B, D247, EVENTOS!$E:$E, "*GirBajo*")</f>
        <v>0</v>
      </c>
      <c r="AB247" s="3">
        <f>IFERROR(INDEX(EVENTOS!$D:$D,MATCH(SCORE!AB$2&amp;" "&amp;SCORE!$D247,EVENTOS!$F:$F,0)),0)</f>
        <v>0</v>
      </c>
      <c r="AC247" s="3">
        <f>IFERROR(INDEX(EVENTOS!$D:$D,MATCH(SCORE!AC$2&amp;" "&amp;SCORE!$D247,EVENTOS!$F:$F,0)),0)</f>
        <v>0</v>
      </c>
      <c r="AD247" s="3">
        <f>IFERROR(INDEX(EVENTOS!$D:$D,MATCH(SCORE!AD$2&amp;" "&amp;SCORE!$D247,EVENTOS!$F:$F,0)),0)</f>
        <v>0</v>
      </c>
      <c r="AE247" s="3">
        <f t="shared" si="9"/>
        <v>0</v>
      </c>
      <c r="AF247" s="10" t="e">
        <f t="shared" si="10"/>
        <v>#N/A</v>
      </c>
      <c r="AG247" s="3" t="str">
        <f t="shared" si="11"/>
        <v/>
      </c>
    </row>
    <row r="248" spans="1:33" x14ac:dyDescent="0.25">
      <c r="A248" s="7"/>
      <c r="B248" s="8"/>
      <c r="C248" s="3"/>
      <c r="D248" s="3"/>
      <c r="E248" s="3" t="e">
        <f>VLOOKUP(D248,VIAJES!$D:$E,2,FALSE)</f>
        <v>#N/A</v>
      </c>
      <c r="F248" s="9" t="e">
        <f>VLOOKUP(D248,VIAJES!$D:$F,3,FALSE)</f>
        <v>#N/A</v>
      </c>
      <c r="G248" s="9" t="e">
        <f>VLOOKUP(D248,VIAJES!$D:$G,4,FALSE)</f>
        <v>#N/A</v>
      </c>
      <c r="H248" s="3" t="e">
        <f>VLOOKUP(D248,VIAJES!$D:$H,5,FALSE)</f>
        <v>#N/A</v>
      </c>
      <c r="S248" s="3">
        <f>IFERROR(INDEX(EVENTOS!$D:$D,MATCH(SCORE!S$2&amp;" "&amp;SCORE!$D248,EVENTOS!$F:$F,0)),0)</f>
        <v>0</v>
      </c>
      <c r="T248" s="3">
        <f>IFERROR(INDEX(EVENTOS!$D:$D,MATCH(SCORE!T$2&amp;" "&amp;SCORE!$D248,EVENTOS!$F:$F,0)),0)</f>
        <v>0</v>
      </c>
      <c r="U248" s="3">
        <f>IFERROR(INDEX(EVENTOS!$D:$D,MATCH(SCORE!U$2&amp;" "&amp;SCORE!$D248,EVENTOS!$F:$F,0)),0)</f>
        <v>0</v>
      </c>
      <c r="V248" s="3">
        <f>IFERROR(INDEX(EVENTOS!$D:$D,MATCH(SCORE!V$2&amp;" "&amp;SCORE!$D248,EVENTOS!$F:$F,0)),0)</f>
        <v>0</v>
      </c>
      <c r="W248" s="3">
        <f>IFERROR(INDEX(EVENTOS!$D:$D,MATCH(SCORE!W$2&amp;" "&amp;SCORE!$D248,EVENTOS!$F:$F,0)),0)</f>
        <v>0</v>
      </c>
      <c r="X248" s="3">
        <f>IFERROR(INDEX(EVENTOS!$D:$D,MATCH(SCORE!X$2&amp;" "&amp;SCORE!$D248,EVENTOS!$F:$F,0)),0)</f>
        <v>0</v>
      </c>
      <c r="Y248" s="3">
        <f>SUMIFS(EVENTOS!$D:$D, EVENTOS!$B:$B, D248, EVENTOS!$E:$E, "*GirAlto*")</f>
        <v>0</v>
      </c>
      <c r="Z248" s="3">
        <f>SUMIFS(EVENTOS!$D:$D, EVENTOS!$B:$B, D248, EVENTOS!$E:$E, "*GirMed*")</f>
        <v>0</v>
      </c>
      <c r="AA248" s="3">
        <f>SUMIFS(EVENTOS!$D:$D, EVENTOS!$B:$B, D248, EVENTOS!$E:$E, "*GirBajo*")</f>
        <v>0</v>
      </c>
      <c r="AB248" s="3">
        <f>IFERROR(INDEX(EVENTOS!$D:$D,MATCH(SCORE!AB$2&amp;" "&amp;SCORE!$D248,EVENTOS!$F:$F,0)),0)</f>
        <v>0</v>
      </c>
      <c r="AC248" s="3">
        <f>IFERROR(INDEX(EVENTOS!$D:$D,MATCH(SCORE!AC$2&amp;" "&amp;SCORE!$D248,EVENTOS!$F:$F,0)),0)</f>
        <v>0</v>
      </c>
      <c r="AD248" s="3">
        <f>IFERROR(INDEX(EVENTOS!$D:$D,MATCH(SCORE!AD$2&amp;" "&amp;SCORE!$D248,EVENTOS!$F:$F,0)),0)</f>
        <v>0</v>
      </c>
      <c r="AE248" s="3">
        <f t="shared" si="9"/>
        <v>0</v>
      </c>
      <c r="AF248" s="10" t="e">
        <f t="shared" si="10"/>
        <v>#N/A</v>
      </c>
      <c r="AG248" s="3" t="str">
        <f t="shared" si="11"/>
        <v/>
      </c>
    </row>
    <row r="249" spans="1:33" x14ac:dyDescent="0.25">
      <c r="A249" s="7"/>
      <c r="B249" s="8"/>
      <c r="C249" s="3"/>
      <c r="D249" s="3"/>
      <c r="E249" s="3" t="e">
        <f>VLOOKUP(D249,VIAJES!$D:$E,2,FALSE)</f>
        <v>#N/A</v>
      </c>
      <c r="F249" s="9" t="e">
        <f>VLOOKUP(D249,VIAJES!$D:$F,3,FALSE)</f>
        <v>#N/A</v>
      </c>
      <c r="G249" s="9" t="e">
        <f>VLOOKUP(D249,VIAJES!$D:$G,4,FALSE)</f>
        <v>#N/A</v>
      </c>
      <c r="H249" s="3" t="e">
        <f>VLOOKUP(D249,VIAJES!$D:$H,5,FALSE)</f>
        <v>#N/A</v>
      </c>
      <c r="S249" s="3">
        <f>IFERROR(INDEX(EVENTOS!$D:$D,MATCH(SCORE!S$2&amp;" "&amp;SCORE!$D249,EVENTOS!$F:$F,0)),0)</f>
        <v>0</v>
      </c>
      <c r="T249" s="3">
        <f>IFERROR(INDEX(EVENTOS!$D:$D,MATCH(SCORE!T$2&amp;" "&amp;SCORE!$D249,EVENTOS!$F:$F,0)),0)</f>
        <v>0</v>
      </c>
      <c r="U249" s="3">
        <f>IFERROR(INDEX(EVENTOS!$D:$D,MATCH(SCORE!U$2&amp;" "&amp;SCORE!$D249,EVENTOS!$F:$F,0)),0)</f>
        <v>0</v>
      </c>
      <c r="V249" s="3">
        <f>IFERROR(INDEX(EVENTOS!$D:$D,MATCH(SCORE!V$2&amp;" "&amp;SCORE!$D249,EVENTOS!$F:$F,0)),0)</f>
        <v>0</v>
      </c>
      <c r="W249" s="3">
        <f>IFERROR(INDEX(EVENTOS!$D:$D,MATCH(SCORE!W$2&amp;" "&amp;SCORE!$D249,EVENTOS!$F:$F,0)),0)</f>
        <v>0</v>
      </c>
      <c r="X249" s="3">
        <f>IFERROR(INDEX(EVENTOS!$D:$D,MATCH(SCORE!X$2&amp;" "&amp;SCORE!$D249,EVENTOS!$F:$F,0)),0)</f>
        <v>0</v>
      </c>
      <c r="Y249" s="3">
        <f>SUMIFS(EVENTOS!$D:$D, EVENTOS!$B:$B, D249, EVENTOS!$E:$E, "*GirAlto*")</f>
        <v>0</v>
      </c>
      <c r="Z249" s="3">
        <f>SUMIFS(EVENTOS!$D:$D, EVENTOS!$B:$B, D249, EVENTOS!$E:$E, "*GirMed*")</f>
        <v>0</v>
      </c>
      <c r="AA249" s="3">
        <f>SUMIFS(EVENTOS!$D:$D, EVENTOS!$B:$B, D249, EVENTOS!$E:$E, "*GirBajo*")</f>
        <v>0</v>
      </c>
      <c r="AB249" s="3">
        <f>IFERROR(INDEX(EVENTOS!$D:$D,MATCH(SCORE!AB$2&amp;" "&amp;SCORE!$D249,EVENTOS!$F:$F,0)),0)</f>
        <v>0</v>
      </c>
      <c r="AC249" s="3">
        <f>IFERROR(INDEX(EVENTOS!$D:$D,MATCH(SCORE!AC$2&amp;" "&amp;SCORE!$D249,EVENTOS!$F:$F,0)),0)</f>
        <v>0</v>
      </c>
      <c r="AD249" s="3">
        <f>IFERROR(INDEX(EVENTOS!$D:$D,MATCH(SCORE!AD$2&amp;" "&amp;SCORE!$D249,EVENTOS!$F:$F,0)),0)</f>
        <v>0</v>
      </c>
      <c r="AE249" s="3">
        <f t="shared" si="9"/>
        <v>0</v>
      </c>
      <c r="AF249" s="10" t="e">
        <f t="shared" si="10"/>
        <v>#N/A</v>
      </c>
      <c r="AG249" s="3" t="str">
        <f t="shared" si="11"/>
        <v/>
      </c>
    </row>
    <row r="250" spans="1:33" x14ac:dyDescent="0.25">
      <c r="A250" s="7"/>
      <c r="B250" s="8"/>
      <c r="C250" s="3"/>
      <c r="D250" s="3"/>
      <c r="E250" s="3" t="e">
        <f>VLOOKUP(D250,VIAJES!$D:$E,2,FALSE)</f>
        <v>#N/A</v>
      </c>
      <c r="F250" s="9" t="e">
        <f>VLOOKUP(D250,VIAJES!$D:$F,3,FALSE)</f>
        <v>#N/A</v>
      </c>
      <c r="G250" s="9" t="e">
        <f>VLOOKUP(D250,VIAJES!$D:$G,4,FALSE)</f>
        <v>#N/A</v>
      </c>
      <c r="H250" s="3" t="e">
        <f>VLOOKUP(D250,VIAJES!$D:$H,5,FALSE)</f>
        <v>#N/A</v>
      </c>
      <c r="S250" s="3">
        <f>IFERROR(INDEX(EVENTOS!$D:$D,MATCH(SCORE!S$2&amp;" "&amp;SCORE!$D250,EVENTOS!$F:$F,0)),0)</f>
        <v>0</v>
      </c>
      <c r="T250" s="3">
        <f>IFERROR(INDEX(EVENTOS!$D:$D,MATCH(SCORE!T$2&amp;" "&amp;SCORE!$D250,EVENTOS!$F:$F,0)),0)</f>
        <v>0</v>
      </c>
      <c r="U250" s="3">
        <f>IFERROR(INDEX(EVENTOS!$D:$D,MATCH(SCORE!U$2&amp;" "&amp;SCORE!$D250,EVENTOS!$F:$F,0)),0)</f>
        <v>0</v>
      </c>
      <c r="V250" s="3">
        <f>IFERROR(INDEX(EVENTOS!$D:$D,MATCH(SCORE!V$2&amp;" "&amp;SCORE!$D250,EVENTOS!$F:$F,0)),0)</f>
        <v>0</v>
      </c>
      <c r="W250" s="3">
        <f>IFERROR(INDEX(EVENTOS!$D:$D,MATCH(SCORE!W$2&amp;" "&amp;SCORE!$D250,EVENTOS!$F:$F,0)),0)</f>
        <v>0</v>
      </c>
      <c r="X250" s="3">
        <f>IFERROR(INDEX(EVENTOS!$D:$D,MATCH(SCORE!X$2&amp;" "&amp;SCORE!$D250,EVENTOS!$F:$F,0)),0)</f>
        <v>0</v>
      </c>
      <c r="Y250" s="3">
        <f>SUMIFS(EVENTOS!$D:$D, EVENTOS!$B:$B, D250, EVENTOS!$E:$E, "*GirAlto*")</f>
        <v>0</v>
      </c>
      <c r="Z250" s="3">
        <f>SUMIFS(EVENTOS!$D:$D, EVENTOS!$B:$B, D250, EVENTOS!$E:$E, "*GirMed*")</f>
        <v>0</v>
      </c>
      <c r="AA250" s="3">
        <f>SUMIFS(EVENTOS!$D:$D, EVENTOS!$B:$B, D250, EVENTOS!$E:$E, "*GirBajo*")</f>
        <v>0</v>
      </c>
      <c r="AB250" s="3">
        <f>IFERROR(INDEX(EVENTOS!$D:$D,MATCH(SCORE!AB$2&amp;" "&amp;SCORE!$D250,EVENTOS!$F:$F,0)),0)</f>
        <v>0</v>
      </c>
      <c r="AC250" s="3">
        <f>IFERROR(INDEX(EVENTOS!$D:$D,MATCH(SCORE!AC$2&amp;" "&amp;SCORE!$D250,EVENTOS!$F:$F,0)),0)</f>
        <v>0</v>
      </c>
      <c r="AD250" s="3">
        <f>IFERROR(INDEX(EVENTOS!$D:$D,MATCH(SCORE!AD$2&amp;" "&amp;SCORE!$D250,EVENTOS!$F:$F,0)),0)</f>
        <v>0</v>
      </c>
      <c r="AE250" s="3">
        <f t="shared" si="9"/>
        <v>0</v>
      </c>
      <c r="AF250" s="10" t="e">
        <f t="shared" si="10"/>
        <v>#N/A</v>
      </c>
      <c r="AG250" s="3" t="str">
        <f t="shared" si="11"/>
        <v/>
      </c>
    </row>
    <row r="251" spans="1:33" x14ac:dyDescent="0.25">
      <c r="A251" s="7"/>
      <c r="B251" s="8"/>
      <c r="C251" s="3"/>
      <c r="D251" s="3"/>
      <c r="E251" s="3" t="e">
        <f>VLOOKUP(D251,VIAJES!$D:$E,2,FALSE)</f>
        <v>#N/A</v>
      </c>
      <c r="F251" s="9" t="e">
        <f>VLOOKUP(D251,VIAJES!$D:$F,3,FALSE)</f>
        <v>#N/A</v>
      </c>
      <c r="G251" s="9" t="e">
        <f>VLOOKUP(D251,VIAJES!$D:$G,4,FALSE)</f>
        <v>#N/A</v>
      </c>
      <c r="H251" s="3" t="e">
        <f>VLOOKUP(D251,VIAJES!$D:$H,5,FALSE)</f>
        <v>#N/A</v>
      </c>
      <c r="S251" s="3">
        <f>IFERROR(INDEX(EVENTOS!$D:$D,MATCH(SCORE!S$2&amp;" "&amp;SCORE!$D251,EVENTOS!$F:$F,0)),0)</f>
        <v>0</v>
      </c>
      <c r="T251" s="3">
        <f>IFERROR(INDEX(EVENTOS!$D:$D,MATCH(SCORE!T$2&amp;" "&amp;SCORE!$D251,EVENTOS!$F:$F,0)),0)</f>
        <v>0</v>
      </c>
      <c r="U251" s="3">
        <f>IFERROR(INDEX(EVENTOS!$D:$D,MATCH(SCORE!U$2&amp;" "&amp;SCORE!$D251,EVENTOS!$F:$F,0)),0)</f>
        <v>0</v>
      </c>
      <c r="V251" s="3">
        <f>IFERROR(INDEX(EVENTOS!$D:$D,MATCH(SCORE!V$2&amp;" "&amp;SCORE!$D251,EVENTOS!$F:$F,0)),0)</f>
        <v>0</v>
      </c>
      <c r="W251" s="3">
        <f>IFERROR(INDEX(EVENTOS!$D:$D,MATCH(SCORE!W$2&amp;" "&amp;SCORE!$D251,EVENTOS!$F:$F,0)),0)</f>
        <v>0</v>
      </c>
      <c r="X251" s="3">
        <f>IFERROR(INDEX(EVENTOS!$D:$D,MATCH(SCORE!X$2&amp;" "&amp;SCORE!$D251,EVENTOS!$F:$F,0)),0)</f>
        <v>0</v>
      </c>
      <c r="Y251" s="3">
        <f>SUMIFS(EVENTOS!$D:$D, EVENTOS!$B:$B, D251, EVENTOS!$E:$E, "*GirAlto*")</f>
        <v>0</v>
      </c>
      <c r="Z251" s="3">
        <f>SUMIFS(EVENTOS!$D:$D, EVENTOS!$B:$B, D251, EVENTOS!$E:$E, "*GirMed*")</f>
        <v>0</v>
      </c>
      <c r="AA251" s="3">
        <f>SUMIFS(EVENTOS!$D:$D, EVENTOS!$B:$B, D251, EVENTOS!$E:$E, "*GirBajo*")</f>
        <v>0</v>
      </c>
      <c r="AB251" s="3">
        <f>IFERROR(INDEX(EVENTOS!$D:$D,MATCH(SCORE!AB$2&amp;" "&amp;SCORE!$D251,EVENTOS!$F:$F,0)),0)</f>
        <v>0</v>
      </c>
      <c r="AC251" s="3">
        <f>IFERROR(INDEX(EVENTOS!$D:$D,MATCH(SCORE!AC$2&amp;" "&amp;SCORE!$D251,EVENTOS!$F:$F,0)),0)</f>
        <v>0</v>
      </c>
      <c r="AD251" s="3">
        <f>IFERROR(INDEX(EVENTOS!$D:$D,MATCH(SCORE!AD$2&amp;" "&amp;SCORE!$D251,EVENTOS!$F:$F,0)),0)</f>
        <v>0</v>
      </c>
      <c r="AE251" s="3">
        <f t="shared" si="9"/>
        <v>0</v>
      </c>
      <c r="AF251" s="10" t="e">
        <f t="shared" si="10"/>
        <v>#N/A</v>
      </c>
      <c r="AG251" s="3" t="str">
        <f t="shared" si="11"/>
        <v/>
      </c>
    </row>
    <row r="252" spans="1:33" x14ac:dyDescent="0.25">
      <c r="A252" s="7"/>
      <c r="B252" s="8"/>
      <c r="C252" s="3"/>
      <c r="D252" s="3"/>
      <c r="E252" s="3" t="e">
        <f>VLOOKUP(D252,VIAJES!$D:$E,2,FALSE)</f>
        <v>#N/A</v>
      </c>
      <c r="F252" s="9" t="e">
        <f>VLOOKUP(D252,VIAJES!$D:$F,3,FALSE)</f>
        <v>#N/A</v>
      </c>
      <c r="G252" s="9" t="e">
        <f>VLOOKUP(D252,VIAJES!$D:$G,4,FALSE)</f>
        <v>#N/A</v>
      </c>
      <c r="H252" s="3" t="e">
        <f>VLOOKUP(D252,VIAJES!$D:$H,5,FALSE)</f>
        <v>#N/A</v>
      </c>
      <c r="S252" s="3">
        <f>IFERROR(INDEX(EVENTOS!$D:$D,MATCH(SCORE!S$2&amp;" "&amp;SCORE!$D252,EVENTOS!$F:$F,0)),0)</f>
        <v>0</v>
      </c>
      <c r="T252" s="3">
        <f>IFERROR(INDEX(EVENTOS!$D:$D,MATCH(SCORE!T$2&amp;" "&amp;SCORE!$D252,EVENTOS!$F:$F,0)),0)</f>
        <v>0</v>
      </c>
      <c r="U252" s="3">
        <f>IFERROR(INDEX(EVENTOS!$D:$D,MATCH(SCORE!U$2&amp;" "&amp;SCORE!$D252,EVENTOS!$F:$F,0)),0)</f>
        <v>0</v>
      </c>
      <c r="V252" s="3">
        <f>IFERROR(INDEX(EVENTOS!$D:$D,MATCH(SCORE!V$2&amp;" "&amp;SCORE!$D252,EVENTOS!$F:$F,0)),0)</f>
        <v>0</v>
      </c>
      <c r="W252" s="3">
        <f>IFERROR(INDEX(EVENTOS!$D:$D,MATCH(SCORE!W$2&amp;" "&amp;SCORE!$D252,EVENTOS!$F:$F,0)),0)</f>
        <v>0</v>
      </c>
      <c r="X252" s="3">
        <f>IFERROR(INDEX(EVENTOS!$D:$D,MATCH(SCORE!X$2&amp;" "&amp;SCORE!$D252,EVENTOS!$F:$F,0)),0)</f>
        <v>0</v>
      </c>
      <c r="Y252" s="3">
        <f>SUMIFS(EVENTOS!$D:$D, EVENTOS!$B:$B, D252, EVENTOS!$E:$E, "*GirAlto*")</f>
        <v>0</v>
      </c>
      <c r="Z252" s="3">
        <f>SUMIFS(EVENTOS!$D:$D, EVENTOS!$B:$B, D252, EVENTOS!$E:$E, "*GirMed*")</f>
        <v>0</v>
      </c>
      <c r="AA252" s="3">
        <f>SUMIFS(EVENTOS!$D:$D, EVENTOS!$B:$B, D252, EVENTOS!$E:$E, "*GirBajo*")</f>
        <v>0</v>
      </c>
      <c r="AB252" s="3">
        <f>IFERROR(INDEX(EVENTOS!$D:$D,MATCH(SCORE!AB$2&amp;" "&amp;SCORE!$D252,EVENTOS!$F:$F,0)),0)</f>
        <v>0</v>
      </c>
      <c r="AC252" s="3">
        <f>IFERROR(INDEX(EVENTOS!$D:$D,MATCH(SCORE!AC$2&amp;" "&amp;SCORE!$D252,EVENTOS!$F:$F,0)),0)</f>
        <v>0</v>
      </c>
      <c r="AD252" s="3">
        <f>IFERROR(INDEX(EVENTOS!$D:$D,MATCH(SCORE!AD$2&amp;" "&amp;SCORE!$D252,EVENTOS!$F:$F,0)),0)</f>
        <v>0</v>
      </c>
      <c r="AE252" s="3">
        <f t="shared" si="9"/>
        <v>0</v>
      </c>
      <c r="AF252" s="10" t="e">
        <f t="shared" si="10"/>
        <v>#N/A</v>
      </c>
      <c r="AG252" s="3" t="str">
        <f t="shared" si="11"/>
        <v/>
      </c>
    </row>
    <row r="253" spans="1:33" x14ac:dyDescent="0.25">
      <c r="A253" s="7"/>
      <c r="B253" s="8"/>
      <c r="C253" s="3"/>
      <c r="D253" s="3"/>
      <c r="E253" s="3" t="e">
        <f>VLOOKUP(D253,VIAJES!$D:$E,2,FALSE)</f>
        <v>#N/A</v>
      </c>
      <c r="F253" s="9" t="e">
        <f>VLOOKUP(D253,VIAJES!$D:$F,3,FALSE)</f>
        <v>#N/A</v>
      </c>
      <c r="G253" s="9" t="e">
        <f>VLOOKUP(D253,VIAJES!$D:$G,4,FALSE)</f>
        <v>#N/A</v>
      </c>
      <c r="H253" s="3" t="e">
        <f>VLOOKUP(D253,VIAJES!$D:$H,5,FALSE)</f>
        <v>#N/A</v>
      </c>
      <c r="S253" s="3">
        <f>IFERROR(INDEX(EVENTOS!$D:$D,MATCH(SCORE!S$2&amp;" "&amp;SCORE!$D253,EVENTOS!$F:$F,0)),0)</f>
        <v>0</v>
      </c>
      <c r="T253" s="3">
        <f>IFERROR(INDEX(EVENTOS!$D:$D,MATCH(SCORE!T$2&amp;" "&amp;SCORE!$D253,EVENTOS!$F:$F,0)),0)</f>
        <v>0</v>
      </c>
      <c r="U253" s="3">
        <f>IFERROR(INDEX(EVENTOS!$D:$D,MATCH(SCORE!U$2&amp;" "&amp;SCORE!$D253,EVENTOS!$F:$F,0)),0)</f>
        <v>0</v>
      </c>
      <c r="V253" s="3">
        <f>IFERROR(INDEX(EVENTOS!$D:$D,MATCH(SCORE!V$2&amp;" "&amp;SCORE!$D253,EVENTOS!$F:$F,0)),0)</f>
        <v>0</v>
      </c>
      <c r="W253" s="3">
        <f>IFERROR(INDEX(EVENTOS!$D:$D,MATCH(SCORE!W$2&amp;" "&amp;SCORE!$D253,EVENTOS!$F:$F,0)),0)</f>
        <v>0</v>
      </c>
      <c r="X253" s="3">
        <f>IFERROR(INDEX(EVENTOS!$D:$D,MATCH(SCORE!X$2&amp;" "&amp;SCORE!$D253,EVENTOS!$F:$F,0)),0)</f>
        <v>0</v>
      </c>
      <c r="Y253" s="3">
        <f>SUMIFS(EVENTOS!$D:$D, EVENTOS!$B:$B, D253, EVENTOS!$E:$E, "*GirAlto*")</f>
        <v>0</v>
      </c>
      <c r="Z253" s="3">
        <f>SUMIFS(EVENTOS!$D:$D, EVENTOS!$B:$B, D253, EVENTOS!$E:$E, "*GirMed*")</f>
        <v>0</v>
      </c>
      <c r="AA253" s="3">
        <f>SUMIFS(EVENTOS!$D:$D, EVENTOS!$B:$B, D253, EVENTOS!$E:$E, "*GirBajo*")</f>
        <v>0</v>
      </c>
      <c r="AB253" s="3">
        <f>IFERROR(INDEX(EVENTOS!$D:$D,MATCH(SCORE!AB$2&amp;" "&amp;SCORE!$D253,EVENTOS!$F:$F,0)),0)</f>
        <v>0</v>
      </c>
      <c r="AC253" s="3">
        <f>IFERROR(INDEX(EVENTOS!$D:$D,MATCH(SCORE!AC$2&amp;" "&amp;SCORE!$D253,EVENTOS!$F:$F,0)),0)</f>
        <v>0</v>
      </c>
      <c r="AD253" s="3">
        <f>IFERROR(INDEX(EVENTOS!$D:$D,MATCH(SCORE!AD$2&amp;" "&amp;SCORE!$D253,EVENTOS!$F:$F,0)),0)</f>
        <v>0</v>
      </c>
      <c r="AE253" s="3">
        <f t="shared" si="9"/>
        <v>0</v>
      </c>
      <c r="AF253" s="10" t="e">
        <f t="shared" si="10"/>
        <v>#N/A</v>
      </c>
      <c r="AG253" s="3" t="str">
        <f t="shared" si="11"/>
        <v/>
      </c>
    </row>
    <row r="254" spans="1:33" x14ac:dyDescent="0.25">
      <c r="A254" s="7"/>
      <c r="B254" s="8"/>
      <c r="C254" s="3"/>
      <c r="D254" s="3"/>
      <c r="E254" s="3" t="e">
        <f>VLOOKUP(D254,VIAJES!$D:$E,2,FALSE)</f>
        <v>#N/A</v>
      </c>
      <c r="F254" s="9" t="e">
        <f>VLOOKUP(D254,VIAJES!$D:$F,3,FALSE)</f>
        <v>#N/A</v>
      </c>
      <c r="G254" s="9" t="e">
        <f>VLOOKUP(D254,VIAJES!$D:$G,4,FALSE)</f>
        <v>#N/A</v>
      </c>
      <c r="H254" s="3" t="e">
        <f>VLOOKUP(D254,VIAJES!$D:$H,5,FALSE)</f>
        <v>#N/A</v>
      </c>
      <c r="S254" s="3">
        <f>IFERROR(INDEX(EVENTOS!$D:$D,MATCH(SCORE!S$2&amp;" "&amp;SCORE!$D254,EVENTOS!$F:$F,0)),0)</f>
        <v>0</v>
      </c>
      <c r="T254" s="3">
        <f>IFERROR(INDEX(EVENTOS!$D:$D,MATCH(SCORE!T$2&amp;" "&amp;SCORE!$D254,EVENTOS!$F:$F,0)),0)</f>
        <v>0</v>
      </c>
      <c r="U254" s="3">
        <f>IFERROR(INDEX(EVENTOS!$D:$D,MATCH(SCORE!U$2&amp;" "&amp;SCORE!$D254,EVENTOS!$F:$F,0)),0)</f>
        <v>0</v>
      </c>
      <c r="V254" s="3">
        <f>IFERROR(INDEX(EVENTOS!$D:$D,MATCH(SCORE!V$2&amp;" "&amp;SCORE!$D254,EVENTOS!$F:$F,0)),0)</f>
        <v>0</v>
      </c>
      <c r="W254" s="3">
        <f>IFERROR(INDEX(EVENTOS!$D:$D,MATCH(SCORE!W$2&amp;" "&amp;SCORE!$D254,EVENTOS!$F:$F,0)),0)</f>
        <v>0</v>
      </c>
      <c r="X254" s="3">
        <f>IFERROR(INDEX(EVENTOS!$D:$D,MATCH(SCORE!X$2&amp;" "&amp;SCORE!$D254,EVENTOS!$F:$F,0)),0)</f>
        <v>0</v>
      </c>
      <c r="Y254" s="3">
        <f>SUMIFS(EVENTOS!$D:$D, EVENTOS!$B:$B, D254, EVENTOS!$E:$E, "*GirAlto*")</f>
        <v>0</v>
      </c>
      <c r="Z254" s="3">
        <f>SUMIFS(EVENTOS!$D:$D, EVENTOS!$B:$B, D254, EVENTOS!$E:$E, "*GirMed*")</f>
        <v>0</v>
      </c>
      <c r="AA254" s="3">
        <f>SUMIFS(EVENTOS!$D:$D, EVENTOS!$B:$B, D254, EVENTOS!$E:$E, "*GirBajo*")</f>
        <v>0</v>
      </c>
      <c r="AB254" s="3">
        <f>IFERROR(INDEX(EVENTOS!$D:$D,MATCH(SCORE!AB$2&amp;" "&amp;SCORE!$D254,EVENTOS!$F:$F,0)),0)</f>
        <v>0</v>
      </c>
      <c r="AC254" s="3">
        <f>IFERROR(INDEX(EVENTOS!$D:$D,MATCH(SCORE!AC$2&amp;" "&amp;SCORE!$D254,EVENTOS!$F:$F,0)),0)</f>
        <v>0</v>
      </c>
      <c r="AD254" s="3">
        <f>IFERROR(INDEX(EVENTOS!$D:$D,MATCH(SCORE!AD$2&amp;" "&amp;SCORE!$D254,EVENTOS!$F:$F,0)),0)</f>
        <v>0</v>
      </c>
      <c r="AE254" s="3">
        <f t="shared" si="9"/>
        <v>0</v>
      </c>
      <c r="AF254" s="10" t="e">
        <f t="shared" si="10"/>
        <v>#N/A</v>
      </c>
      <c r="AG254" s="3" t="str">
        <f t="shared" si="11"/>
        <v/>
      </c>
    </row>
    <row r="255" spans="1:33" x14ac:dyDescent="0.25">
      <c r="A255" s="7"/>
      <c r="B255" s="8"/>
      <c r="C255" s="3"/>
      <c r="D255" s="3"/>
      <c r="E255" s="3" t="e">
        <f>VLOOKUP(D255,VIAJES!$D:$E,2,FALSE)</f>
        <v>#N/A</v>
      </c>
      <c r="F255" s="9" t="e">
        <f>VLOOKUP(D255,VIAJES!$D:$F,3,FALSE)</f>
        <v>#N/A</v>
      </c>
      <c r="G255" s="9" t="e">
        <f>VLOOKUP(D255,VIAJES!$D:$G,4,FALSE)</f>
        <v>#N/A</v>
      </c>
      <c r="H255" s="3" t="e">
        <f>VLOOKUP(D255,VIAJES!$D:$H,5,FALSE)</f>
        <v>#N/A</v>
      </c>
      <c r="S255" s="3">
        <f>IFERROR(INDEX(EVENTOS!$D:$D,MATCH(SCORE!S$2&amp;" "&amp;SCORE!$D255,EVENTOS!$F:$F,0)),0)</f>
        <v>0</v>
      </c>
      <c r="T255" s="3">
        <f>IFERROR(INDEX(EVENTOS!$D:$D,MATCH(SCORE!T$2&amp;" "&amp;SCORE!$D255,EVENTOS!$F:$F,0)),0)</f>
        <v>0</v>
      </c>
      <c r="U255" s="3">
        <f>IFERROR(INDEX(EVENTOS!$D:$D,MATCH(SCORE!U$2&amp;" "&amp;SCORE!$D255,EVENTOS!$F:$F,0)),0)</f>
        <v>0</v>
      </c>
      <c r="V255" s="3">
        <f>IFERROR(INDEX(EVENTOS!$D:$D,MATCH(SCORE!V$2&amp;" "&amp;SCORE!$D255,EVENTOS!$F:$F,0)),0)</f>
        <v>0</v>
      </c>
      <c r="W255" s="3">
        <f>IFERROR(INDEX(EVENTOS!$D:$D,MATCH(SCORE!W$2&amp;" "&amp;SCORE!$D255,EVENTOS!$F:$F,0)),0)</f>
        <v>0</v>
      </c>
      <c r="X255" s="3">
        <f>IFERROR(INDEX(EVENTOS!$D:$D,MATCH(SCORE!X$2&amp;" "&amp;SCORE!$D255,EVENTOS!$F:$F,0)),0)</f>
        <v>0</v>
      </c>
      <c r="Y255" s="3">
        <f>SUMIFS(EVENTOS!$D:$D, EVENTOS!$B:$B, D255, EVENTOS!$E:$E, "*GirAlto*")</f>
        <v>0</v>
      </c>
      <c r="Z255" s="3">
        <f>SUMIFS(EVENTOS!$D:$D, EVENTOS!$B:$B, D255, EVENTOS!$E:$E, "*GirMed*")</f>
        <v>0</v>
      </c>
      <c r="AA255" s="3">
        <f>SUMIFS(EVENTOS!$D:$D, EVENTOS!$B:$B, D255, EVENTOS!$E:$E, "*GirBajo*")</f>
        <v>0</v>
      </c>
      <c r="AB255" s="3">
        <f>IFERROR(INDEX(EVENTOS!$D:$D,MATCH(SCORE!AB$2&amp;" "&amp;SCORE!$D255,EVENTOS!$F:$F,0)),0)</f>
        <v>0</v>
      </c>
      <c r="AC255" s="3">
        <f>IFERROR(INDEX(EVENTOS!$D:$D,MATCH(SCORE!AC$2&amp;" "&amp;SCORE!$D255,EVENTOS!$F:$F,0)),0)</f>
        <v>0</v>
      </c>
      <c r="AD255" s="3">
        <f>IFERROR(INDEX(EVENTOS!$D:$D,MATCH(SCORE!AD$2&amp;" "&amp;SCORE!$D255,EVENTOS!$F:$F,0)),0)</f>
        <v>0</v>
      </c>
      <c r="AE255" s="3">
        <f t="shared" si="9"/>
        <v>0</v>
      </c>
      <c r="AF255" s="10" t="e">
        <f t="shared" si="10"/>
        <v>#N/A</v>
      </c>
      <c r="AG255" s="3" t="str">
        <f t="shared" si="11"/>
        <v/>
      </c>
    </row>
    <row r="256" spans="1:33" x14ac:dyDescent="0.25">
      <c r="A256" s="7"/>
      <c r="B256" s="8"/>
      <c r="C256" s="3"/>
      <c r="D256" s="3"/>
      <c r="E256" s="3" t="e">
        <f>VLOOKUP(D256,VIAJES!$D:$E,2,FALSE)</f>
        <v>#N/A</v>
      </c>
      <c r="F256" s="9" t="e">
        <f>VLOOKUP(D256,VIAJES!$D:$F,3,FALSE)</f>
        <v>#N/A</v>
      </c>
      <c r="G256" s="9" t="e">
        <f>VLOOKUP(D256,VIAJES!$D:$G,4,FALSE)</f>
        <v>#N/A</v>
      </c>
      <c r="H256" s="3" t="e">
        <f>VLOOKUP(D256,VIAJES!$D:$H,5,FALSE)</f>
        <v>#N/A</v>
      </c>
      <c r="S256" s="3">
        <f>IFERROR(INDEX(EVENTOS!$D:$D,MATCH(SCORE!S$2&amp;" "&amp;SCORE!$D256,EVENTOS!$F:$F,0)),0)</f>
        <v>0</v>
      </c>
      <c r="T256" s="3">
        <f>IFERROR(INDEX(EVENTOS!$D:$D,MATCH(SCORE!T$2&amp;" "&amp;SCORE!$D256,EVENTOS!$F:$F,0)),0)</f>
        <v>0</v>
      </c>
      <c r="U256" s="3">
        <f>IFERROR(INDEX(EVENTOS!$D:$D,MATCH(SCORE!U$2&amp;" "&amp;SCORE!$D256,EVENTOS!$F:$F,0)),0)</f>
        <v>0</v>
      </c>
      <c r="V256" s="3">
        <f>IFERROR(INDEX(EVENTOS!$D:$D,MATCH(SCORE!V$2&amp;" "&amp;SCORE!$D256,EVENTOS!$F:$F,0)),0)</f>
        <v>0</v>
      </c>
      <c r="W256" s="3">
        <f>IFERROR(INDEX(EVENTOS!$D:$D,MATCH(SCORE!W$2&amp;" "&amp;SCORE!$D256,EVENTOS!$F:$F,0)),0)</f>
        <v>0</v>
      </c>
      <c r="X256" s="3">
        <f>IFERROR(INDEX(EVENTOS!$D:$D,MATCH(SCORE!X$2&amp;" "&amp;SCORE!$D256,EVENTOS!$F:$F,0)),0)</f>
        <v>0</v>
      </c>
      <c r="Y256" s="3">
        <f>SUMIFS(EVENTOS!$D:$D, EVENTOS!$B:$B, D256, EVENTOS!$E:$E, "*GirAlto*")</f>
        <v>0</v>
      </c>
      <c r="Z256" s="3">
        <f>SUMIFS(EVENTOS!$D:$D, EVENTOS!$B:$B, D256, EVENTOS!$E:$E, "*GirMed*")</f>
        <v>0</v>
      </c>
      <c r="AA256" s="3">
        <f>SUMIFS(EVENTOS!$D:$D, EVENTOS!$B:$B, D256, EVENTOS!$E:$E, "*GirBajo*")</f>
        <v>0</v>
      </c>
      <c r="AB256" s="3">
        <f>IFERROR(INDEX(EVENTOS!$D:$D,MATCH(SCORE!AB$2&amp;" "&amp;SCORE!$D256,EVENTOS!$F:$F,0)),0)</f>
        <v>0</v>
      </c>
      <c r="AC256" s="3">
        <f>IFERROR(INDEX(EVENTOS!$D:$D,MATCH(SCORE!AC$2&amp;" "&amp;SCORE!$D256,EVENTOS!$F:$F,0)),0)</f>
        <v>0</v>
      </c>
      <c r="AD256" s="3">
        <f>IFERROR(INDEX(EVENTOS!$D:$D,MATCH(SCORE!AD$2&amp;" "&amp;SCORE!$D256,EVENTOS!$F:$F,0)),0)</f>
        <v>0</v>
      </c>
      <c r="AE256" s="3">
        <f t="shared" si="9"/>
        <v>0</v>
      </c>
      <c r="AF256" s="10" t="e">
        <f t="shared" si="10"/>
        <v>#N/A</v>
      </c>
      <c r="AG256" s="3" t="str">
        <f t="shared" si="11"/>
        <v/>
      </c>
    </row>
    <row r="257" spans="1:33" x14ac:dyDescent="0.25">
      <c r="A257" s="7"/>
      <c r="B257" s="8"/>
      <c r="C257" s="3"/>
      <c r="D257" s="3"/>
      <c r="E257" s="3" t="e">
        <f>VLOOKUP(D257,VIAJES!$D:$E,2,FALSE)</f>
        <v>#N/A</v>
      </c>
      <c r="F257" s="9" t="e">
        <f>VLOOKUP(D257,VIAJES!$D:$F,3,FALSE)</f>
        <v>#N/A</v>
      </c>
      <c r="G257" s="9" t="e">
        <f>VLOOKUP(D257,VIAJES!$D:$G,4,FALSE)</f>
        <v>#N/A</v>
      </c>
      <c r="H257" s="3" t="e">
        <f>VLOOKUP(D257,VIAJES!$D:$H,5,FALSE)</f>
        <v>#N/A</v>
      </c>
      <c r="S257" s="3">
        <f>IFERROR(INDEX(EVENTOS!$D:$D,MATCH(SCORE!S$2&amp;" "&amp;SCORE!$D257,EVENTOS!$F:$F,0)),0)</f>
        <v>0</v>
      </c>
      <c r="T257" s="3">
        <f>IFERROR(INDEX(EVENTOS!$D:$D,MATCH(SCORE!T$2&amp;" "&amp;SCORE!$D257,EVENTOS!$F:$F,0)),0)</f>
        <v>0</v>
      </c>
      <c r="U257" s="3">
        <f>IFERROR(INDEX(EVENTOS!$D:$D,MATCH(SCORE!U$2&amp;" "&amp;SCORE!$D257,EVENTOS!$F:$F,0)),0)</f>
        <v>0</v>
      </c>
      <c r="V257" s="3">
        <f>IFERROR(INDEX(EVENTOS!$D:$D,MATCH(SCORE!V$2&amp;" "&amp;SCORE!$D257,EVENTOS!$F:$F,0)),0)</f>
        <v>0</v>
      </c>
      <c r="W257" s="3">
        <f>IFERROR(INDEX(EVENTOS!$D:$D,MATCH(SCORE!W$2&amp;" "&amp;SCORE!$D257,EVENTOS!$F:$F,0)),0)</f>
        <v>0</v>
      </c>
      <c r="X257" s="3">
        <f>IFERROR(INDEX(EVENTOS!$D:$D,MATCH(SCORE!X$2&amp;" "&amp;SCORE!$D257,EVENTOS!$F:$F,0)),0)</f>
        <v>0</v>
      </c>
      <c r="Y257" s="3">
        <f>SUMIFS(EVENTOS!$D:$D, EVENTOS!$B:$B, D257, EVENTOS!$E:$E, "*GirAlto*")</f>
        <v>0</v>
      </c>
      <c r="Z257" s="3">
        <f>SUMIFS(EVENTOS!$D:$D, EVENTOS!$B:$B, D257, EVENTOS!$E:$E, "*GirMed*")</f>
        <v>0</v>
      </c>
      <c r="AA257" s="3">
        <f>SUMIFS(EVENTOS!$D:$D, EVENTOS!$B:$B, D257, EVENTOS!$E:$E, "*GirBajo*")</f>
        <v>0</v>
      </c>
      <c r="AB257" s="3">
        <f>IFERROR(INDEX(EVENTOS!$D:$D,MATCH(SCORE!AB$2&amp;" "&amp;SCORE!$D257,EVENTOS!$F:$F,0)),0)</f>
        <v>0</v>
      </c>
      <c r="AC257" s="3">
        <f>IFERROR(INDEX(EVENTOS!$D:$D,MATCH(SCORE!AC$2&amp;" "&amp;SCORE!$D257,EVENTOS!$F:$F,0)),0)</f>
        <v>0</v>
      </c>
      <c r="AD257" s="3">
        <f>IFERROR(INDEX(EVENTOS!$D:$D,MATCH(SCORE!AD$2&amp;" "&amp;SCORE!$D257,EVENTOS!$F:$F,0)),0)</f>
        <v>0</v>
      </c>
      <c r="AE257" s="3">
        <f t="shared" si="9"/>
        <v>0</v>
      </c>
      <c r="AF257" s="10" t="e">
        <f t="shared" si="10"/>
        <v>#N/A</v>
      </c>
      <c r="AG257" s="3" t="str">
        <f t="shared" si="11"/>
        <v/>
      </c>
    </row>
    <row r="258" spans="1:33" x14ac:dyDescent="0.25">
      <c r="A258" s="7"/>
      <c r="B258" s="8"/>
      <c r="C258" s="3"/>
      <c r="D258" s="3"/>
      <c r="E258" s="3" t="e">
        <f>VLOOKUP(D258,VIAJES!$D:$E,2,FALSE)</f>
        <v>#N/A</v>
      </c>
      <c r="F258" s="9" t="e">
        <f>VLOOKUP(D258,VIAJES!$D:$F,3,FALSE)</f>
        <v>#N/A</v>
      </c>
      <c r="G258" s="9" t="e">
        <f>VLOOKUP(D258,VIAJES!$D:$G,4,FALSE)</f>
        <v>#N/A</v>
      </c>
      <c r="H258" s="3" t="e">
        <f>VLOOKUP(D258,VIAJES!$D:$H,5,FALSE)</f>
        <v>#N/A</v>
      </c>
      <c r="S258" s="3">
        <f>IFERROR(INDEX(EVENTOS!$D:$D,MATCH(SCORE!S$2&amp;" "&amp;SCORE!$D258,EVENTOS!$F:$F,0)),0)</f>
        <v>0</v>
      </c>
      <c r="T258" s="3">
        <f>IFERROR(INDEX(EVENTOS!$D:$D,MATCH(SCORE!T$2&amp;" "&amp;SCORE!$D258,EVENTOS!$F:$F,0)),0)</f>
        <v>0</v>
      </c>
      <c r="U258" s="3">
        <f>IFERROR(INDEX(EVENTOS!$D:$D,MATCH(SCORE!U$2&amp;" "&amp;SCORE!$D258,EVENTOS!$F:$F,0)),0)</f>
        <v>0</v>
      </c>
      <c r="V258" s="3">
        <f>IFERROR(INDEX(EVENTOS!$D:$D,MATCH(SCORE!V$2&amp;" "&amp;SCORE!$D258,EVENTOS!$F:$F,0)),0)</f>
        <v>0</v>
      </c>
      <c r="W258" s="3">
        <f>IFERROR(INDEX(EVENTOS!$D:$D,MATCH(SCORE!W$2&amp;" "&amp;SCORE!$D258,EVENTOS!$F:$F,0)),0)</f>
        <v>0</v>
      </c>
      <c r="X258" s="3">
        <f>IFERROR(INDEX(EVENTOS!$D:$D,MATCH(SCORE!X$2&amp;" "&amp;SCORE!$D258,EVENTOS!$F:$F,0)),0)</f>
        <v>0</v>
      </c>
      <c r="Y258" s="3">
        <f>SUMIFS(EVENTOS!$D:$D, EVENTOS!$B:$B, D258, EVENTOS!$E:$E, "*GirAlto*")</f>
        <v>0</v>
      </c>
      <c r="Z258" s="3">
        <f>SUMIFS(EVENTOS!$D:$D, EVENTOS!$B:$B, D258, EVENTOS!$E:$E, "*GirMed*")</f>
        <v>0</v>
      </c>
      <c r="AA258" s="3">
        <f>SUMIFS(EVENTOS!$D:$D, EVENTOS!$B:$B, D258, EVENTOS!$E:$E, "*GirBajo*")</f>
        <v>0</v>
      </c>
      <c r="AB258" s="3">
        <f>IFERROR(INDEX(EVENTOS!$D:$D,MATCH(SCORE!AB$2&amp;" "&amp;SCORE!$D258,EVENTOS!$F:$F,0)),0)</f>
        <v>0</v>
      </c>
      <c r="AC258" s="3">
        <f>IFERROR(INDEX(EVENTOS!$D:$D,MATCH(SCORE!AC$2&amp;" "&amp;SCORE!$D258,EVENTOS!$F:$F,0)),0)</f>
        <v>0</v>
      </c>
      <c r="AD258" s="3">
        <f>IFERROR(INDEX(EVENTOS!$D:$D,MATCH(SCORE!AD$2&amp;" "&amp;SCORE!$D258,EVENTOS!$F:$F,0)),0)</f>
        <v>0</v>
      </c>
      <c r="AE258" s="3">
        <f t="shared" si="9"/>
        <v>0</v>
      </c>
      <c r="AF258" s="10" t="e">
        <f t="shared" si="10"/>
        <v>#N/A</v>
      </c>
      <c r="AG258" s="3" t="str">
        <f t="shared" si="11"/>
        <v/>
      </c>
    </row>
    <row r="259" spans="1:33" x14ac:dyDescent="0.25">
      <c r="A259" s="7"/>
      <c r="B259" s="8"/>
      <c r="C259" s="3"/>
      <c r="D259" s="3"/>
      <c r="E259" s="3" t="e">
        <f>VLOOKUP(D259,VIAJES!$D:$E,2,FALSE)</f>
        <v>#N/A</v>
      </c>
      <c r="F259" s="9" t="e">
        <f>VLOOKUP(D259,VIAJES!$D:$F,3,FALSE)</f>
        <v>#N/A</v>
      </c>
      <c r="G259" s="9" t="e">
        <f>VLOOKUP(D259,VIAJES!$D:$G,4,FALSE)</f>
        <v>#N/A</v>
      </c>
      <c r="H259" s="3" t="e">
        <f>VLOOKUP(D259,VIAJES!$D:$H,5,FALSE)</f>
        <v>#N/A</v>
      </c>
      <c r="S259" s="3">
        <f>IFERROR(INDEX(EVENTOS!$D:$D,MATCH(SCORE!S$2&amp;" "&amp;SCORE!$D259,EVENTOS!$F:$F,0)),0)</f>
        <v>0</v>
      </c>
      <c r="T259" s="3">
        <f>IFERROR(INDEX(EVENTOS!$D:$D,MATCH(SCORE!T$2&amp;" "&amp;SCORE!$D259,EVENTOS!$F:$F,0)),0)</f>
        <v>0</v>
      </c>
      <c r="U259" s="3">
        <f>IFERROR(INDEX(EVENTOS!$D:$D,MATCH(SCORE!U$2&amp;" "&amp;SCORE!$D259,EVENTOS!$F:$F,0)),0)</f>
        <v>0</v>
      </c>
      <c r="V259" s="3">
        <f>IFERROR(INDEX(EVENTOS!$D:$D,MATCH(SCORE!V$2&amp;" "&amp;SCORE!$D259,EVENTOS!$F:$F,0)),0)</f>
        <v>0</v>
      </c>
      <c r="W259" s="3">
        <f>IFERROR(INDEX(EVENTOS!$D:$D,MATCH(SCORE!W$2&amp;" "&amp;SCORE!$D259,EVENTOS!$F:$F,0)),0)</f>
        <v>0</v>
      </c>
      <c r="X259" s="3">
        <f>IFERROR(INDEX(EVENTOS!$D:$D,MATCH(SCORE!X$2&amp;" "&amp;SCORE!$D259,EVENTOS!$F:$F,0)),0)</f>
        <v>0</v>
      </c>
      <c r="Y259" s="3">
        <f>SUMIFS(EVENTOS!$D:$D, EVENTOS!$B:$B, D259, EVENTOS!$E:$E, "*GirAlto*")</f>
        <v>0</v>
      </c>
      <c r="Z259" s="3">
        <f>SUMIFS(EVENTOS!$D:$D, EVENTOS!$B:$B, D259, EVENTOS!$E:$E, "*GirMed*")</f>
        <v>0</v>
      </c>
      <c r="AA259" s="3">
        <f>SUMIFS(EVENTOS!$D:$D, EVENTOS!$B:$B, D259, EVENTOS!$E:$E, "*GirBajo*")</f>
        <v>0</v>
      </c>
      <c r="AB259" s="3">
        <f>IFERROR(INDEX(EVENTOS!$D:$D,MATCH(SCORE!AB$2&amp;" "&amp;SCORE!$D259,EVENTOS!$F:$F,0)),0)</f>
        <v>0</v>
      </c>
      <c r="AC259" s="3">
        <f>IFERROR(INDEX(EVENTOS!$D:$D,MATCH(SCORE!AC$2&amp;" "&amp;SCORE!$D259,EVENTOS!$F:$F,0)),0)</f>
        <v>0</v>
      </c>
      <c r="AD259" s="3">
        <f>IFERROR(INDEX(EVENTOS!$D:$D,MATCH(SCORE!AD$2&amp;" "&amp;SCORE!$D259,EVENTOS!$F:$F,0)),0)</f>
        <v>0</v>
      </c>
      <c r="AE259" s="3">
        <f t="shared" ref="AE259:AE322" si="12">((S259+V259+Y259+AB259)*50)+((T259+W259+Z259+AC259)*25)+((U259+X259+AA259+AD259)*5)</f>
        <v>0</v>
      </c>
      <c r="AF259" s="10" t="e">
        <f t="shared" ref="AF259:AF322" si="13">AE259/(G259*24)*100</f>
        <v>#N/A</v>
      </c>
      <c r="AG259" s="3" t="str">
        <f t="shared" ref="AG259:AG322" si="14">IF(D259&lt;&gt;"",IF(AF259&gt;=30000,5,ROUNDDOWN((((5-95)*(AF259-0))/(30000-0))+95,0)),"")</f>
        <v/>
      </c>
    </row>
    <row r="260" spans="1:33" x14ac:dyDescent="0.25">
      <c r="A260" s="7"/>
      <c r="B260" s="8"/>
      <c r="C260" s="3"/>
      <c r="D260" s="3"/>
      <c r="E260" s="3" t="e">
        <f>VLOOKUP(D260,VIAJES!$D:$E,2,FALSE)</f>
        <v>#N/A</v>
      </c>
      <c r="F260" s="9" t="e">
        <f>VLOOKUP(D260,VIAJES!$D:$F,3,FALSE)</f>
        <v>#N/A</v>
      </c>
      <c r="G260" s="9" t="e">
        <f>VLOOKUP(D260,VIAJES!$D:$G,4,FALSE)</f>
        <v>#N/A</v>
      </c>
      <c r="H260" s="3" t="e">
        <f>VLOOKUP(D260,VIAJES!$D:$H,5,FALSE)</f>
        <v>#N/A</v>
      </c>
      <c r="S260" s="3">
        <f>IFERROR(INDEX(EVENTOS!$D:$D,MATCH(SCORE!S$2&amp;" "&amp;SCORE!$D260,EVENTOS!$F:$F,0)),0)</f>
        <v>0</v>
      </c>
      <c r="T260" s="3">
        <f>IFERROR(INDEX(EVENTOS!$D:$D,MATCH(SCORE!T$2&amp;" "&amp;SCORE!$D260,EVENTOS!$F:$F,0)),0)</f>
        <v>0</v>
      </c>
      <c r="U260" s="3">
        <f>IFERROR(INDEX(EVENTOS!$D:$D,MATCH(SCORE!U$2&amp;" "&amp;SCORE!$D260,EVENTOS!$F:$F,0)),0)</f>
        <v>0</v>
      </c>
      <c r="V260" s="3">
        <f>IFERROR(INDEX(EVENTOS!$D:$D,MATCH(SCORE!V$2&amp;" "&amp;SCORE!$D260,EVENTOS!$F:$F,0)),0)</f>
        <v>0</v>
      </c>
      <c r="W260" s="3">
        <f>IFERROR(INDEX(EVENTOS!$D:$D,MATCH(SCORE!W$2&amp;" "&amp;SCORE!$D260,EVENTOS!$F:$F,0)),0)</f>
        <v>0</v>
      </c>
      <c r="X260" s="3">
        <f>IFERROR(INDEX(EVENTOS!$D:$D,MATCH(SCORE!X$2&amp;" "&amp;SCORE!$D260,EVENTOS!$F:$F,0)),0)</f>
        <v>0</v>
      </c>
      <c r="Y260" s="3">
        <f>SUMIFS(EVENTOS!$D:$D, EVENTOS!$B:$B, D260, EVENTOS!$E:$E, "*GirAlto*")</f>
        <v>0</v>
      </c>
      <c r="Z260" s="3">
        <f>SUMIFS(EVENTOS!$D:$D, EVENTOS!$B:$B, D260, EVENTOS!$E:$E, "*GirMed*")</f>
        <v>0</v>
      </c>
      <c r="AA260" s="3">
        <f>SUMIFS(EVENTOS!$D:$D, EVENTOS!$B:$B, D260, EVENTOS!$E:$E, "*GirBajo*")</f>
        <v>0</v>
      </c>
      <c r="AB260" s="3">
        <f>IFERROR(INDEX(EVENTOS!$D:$D,MATCH(SCORE!AB$2&amp;" "&amp;SCORE!$D260,EVENTOS!$F:$F,0)),0)</f>
        <v>0</v>
      </c>
      <c r="AC260" s="3">
        <f>IFERROR(INDEX(EVENTOS!$D:$D,MATCH(SCORE!AC$2&amp;" "&amp;SCORE!$D260,EVENTOS!$F:$F,0)),0)</f>
        <v>0</v>
      </c>
      <c r="AD260" s="3">
        <f>IFERROR(INDEX(EVENTOS!$D:$D,MATCH(SCORE!AD$2&amp;" "&amp;SCORE!$D260,EVENTOS!$F:$F,0)),0)</f>
        <v>0</v>
      </c>
      <c r="AE260" s="3">
        <f t="shared" si="12"/>
        <v>0</v>
      </c>
      <c r="AF260" s="10" t="e">
        <f t="shared" si="13"/>
        <v>#N/A</v>
      </c>
      <c r="AG260" s="3" t="str">
        <f t="shared" si="14"/>
        <v/>
      </c>
    </row>
    <row r="261" spans="1:33" x14ac:dyDescent="0.25">
      <c r="A261" s="7"/>
      <c r="B261" s="8"/>
      <c r="C261" s="3"/>
      <c r="D261" s="3"/>
      <c r="E261" s="3" t="e">
        <f>VLOOKUP(D261,VIAJES!$D:$E,2,FALSE)</f>
        <v>#N/A</v>
      </c>
      <c r="F261" s="9" t="e">
        <f>VLOOKUP(D261,VIAJES!$D:$F,3,FALSE)</f>
        <v>#N/A</v>
      </c>
      <c r="G261" s="9" t="e">
        <f>VLOOKUP(D261,VIAJES!$D:$G,4,FALSE)</f>
        <v>#N/A</v>
      </c>
      <c r="H261" s="3" t="e">
        <f>VLOOKUP(D261,VIAJES!$D:$H,5,FALSE)</f>
        <v>#N/A</v>
      </c>
      <c r="S261" s="3">
        <f>IFERROR(INDEX(EVENTOS!$D:$D,MATCH(SCORE!S$2&amp;" "&amp;SCORE!$D261,EVENTOS!$F:$F,0)),0)</f>
        <v>0</v>
      </c>
      <c r="T261" s="3">
        <f>IFERROR(INDEX(EVENTOS!$D:$D,MATCH(SCORE!T$2&amp;" "&amp;SCORE!$D261,EVENTOS!$F:$F,0)),0)</f>
        <v>0</v>
      </c>
      <c r="U261" s="3">
        <f>IFERROR(INDEX(EVENTOS!$D:$D,MATCH(SCORE!U$2&amp;" "&amp;SCORE!$D261,EVENTOS!$F:$F,0)),0)</f>
        <v>0</v>
      </c>
      <c r="V261" s="3">
        <f>IFERROR(INDEX(EVENTOS!$D:$D,MATCH(SCORE!V$2&amp;" "&amp;SCORE!$D261,EVENTOS!$F:$F,0)),0)</f>
        <v>0</v>
      </c>
      <c r="W261" s="3">
        <f>IFERROR(INDEX(EVENTOS!$D:$D,MATCH(SCORE!W$2&amp;" "&amp;SCORE!$D261,EVENTOS!$F:$F,0)),0)</f>
        <v>0</v>
      </c>
      <c r="X261" s="3">
        <f>IFERROR(INDEX(EVENTOS!$D:$D,MATCH(SCORE!X$2&amp;" "&amp;SCORE!$D261,EVENTOS!$F:$F,0)),0)</f>
        <v>0</v>
      </c>
      <c r="Y261" s="3">
        <f>SUMIFS(EVENTOS!$D:$D, EVENTOS!$B:$B, D261, EVENTOS!$E:$E, "*GirAlto*")</f>
        <v>0</v>
      </c>
      <c r="Z261" s="3">
        <f>SUMIFS(EVENTOS!$D:$D, EVENTOS!$B:$B, D261, EVENTOS!$E:$E, "*GirMed*")</f>
        <v>0</v>
      </c>
      <c r="AA261" s="3">
        <f>SUMIFS(EVENTOS!$D:$D, EVENTOS!$B:$B, D261, EVENTOS!$E:$E, "*GirBajo*")</f>
        <v>0</v>
      </c>
      <c r="AB261" s="3">
        <f>IFERROR(INDEX(EVENTOS!$D:$D,MATCH(SCORE!AB$2&amp;" "&amp;SCORE!$D261,EVENTOS!$F:$F,0)),0)</f>
        <v>0</v>
      </c>
      <c r="AC261" s="3">
        <f>IFERROR(INDEX(EVENTOS!$D:$D,MATCH(SCORE!AC$2&amp;" "&amp;SCORE!$D261,EVENTOS!$F:$F,0)),0)</f>
        <v>0</v>
      </c>
      <c r="AD261" s="3">
        <f>IFERROR(INDEX(EVENTOS!$D:$D,MATCH(SCORE!AD$2&amp;" "&amp;SCORE!$D261,EVENTOS!$F:$F,0)),0)</f>
        <v>0</v>
      </c>
      <c r="AE261" s="3">
        <f t="shared" si="12"/>
        <v>0</v>
      </c>
      <c r="AF261" s="10" t="e">
        <f t="shared" si="13"/>
        <v>#N/A</v>
      </c>
      <c r="AG261" s="3" t="str">
        <f t="shared" si="14"/>
        <v/>
      </c>
    </row>
    <row r="262" spans="1:33" x14ac:dyDescent="0.25">
      <c r="A262" s="7"/>
      <c r="B262" s="8"/>
      <c r="C262" s="3"/>
      <c r="D262" s="3"/>
      <c r="E262" s="3" t="e">
        <f>VLOOKUP(D262,VIAJES!$D:$E,2,FALSE)</f>
        <v>#N/A</v>
      </c>
      <c r="F262" s="9" t="e">
        <f>VLOOKUP(D262,VIAJES!$D:$F,3,FALSE)</f>
        <v>#N/A</v>
      </c>
      <c r="G262" s="9" t="e">
        <f>VLOOKUP(D262,VIAJES!$D:$G,4,FALSE)</f>
        <v>#N/A</v>
      </c>
      <c r="H262" s="3" t="e">
        <f>VLOOKUP(D262,VIAJES!$D:$H,5,FALSE)</f>
        <v>#N/A</v>
      </c>
      <c r="S262" s="3">
        <f>IFERROR(INDEX(EVENTOS!$D:$D,MATCH(SCORE!S$2&amp;" "&amp;SCORE!$D262,EVENTOS!$F:$F,0)),0)</f>
        <v>0</v>
      </c>
      <c r="T262" s="3">
        <f>IFERROR(INDEX(EVENTOS!$D:$D,MATCH(SCORE!T$2&amp;" "&amp;SCORE!$D262,EVENTOS!$F:$F,0)),0)</f>
        <v>0</v>
      </c>
      <c r="U262" s="3">
        <f>IFERROR(INDEX(EVENTOS!$D:$D,MATCH(SCORE!U$2&amp;" "&amp;SCORE!$D262,EVENTOS!$F:$F,0)),0)</f>
        <v>0</v>
      </c>
      <c r="V262" s="3">
        <f>IFERROR(INDEX(EVENTOS!$D:$D,MATCH(SCORE!V$2&amp;" "&amp;SCORE!$D262,EVENTOS!$F:$F,0)),0)</f>
        <v>0</v>
      </c>
      <c r="W262" s="3">
        <f>IFERROR(INDEX(EVENTOS!$D:$D,MATCH(SCORE!W$2&amp;" "&amp;SCORE!$D262,EVENTOS!$F:$F,0)),0)</f>
        <v>0</v>
      </c>
      <c r="X262" s="3">
        <f>IFERROR(INDEX(EVENTOS!$D:$D,MATCH(SCORE!X$2&amp;" "&amp;SCORE!$D262,EVENTOS!$F:$F,0)),0)</f>
        <v>0</v>
      </c>
      <c r="Y262" s="3">
        <f>SUMIFS(EVENTOS!$D:$D, EVENTOS!$B:$B, D262, EVENTOS!$E:$E, "*GirAlto*")</f>
        <v>0</v>
      </c>
      <c r="Z262" s="3">
        <f>SUMIFS(EVENTOS!$D:$D, EVENTOS!$B:$B, D262, EVENTOS!$E:$E, "*GirMed*")</f>
        <v>0</v>
      </c>
      <c r="AA262" s="3">
        <f>SUMIFS(EVENTOS!$D:$D, EVENTOS!$B:$B, D262, EVENTOS!$E:$E, "*GirBajo*")</f>
        <v>0</v>
      </c>
      <c r="AB262" s="3">
        <f>IFERROR(INDEX(EVENTOS!$D:$D,MATCH(SCORE!AB$2&amp;" "&amp;SCORE!$D262,EVENTOS!$F:$F,0)),0)</f>
        <v>0</v>
      </c>
      <c r="AC262" s="3">
        <f>IFERROR(INDEX(EVENTOS!$D:$D,MATCH(SCORE!AC$2&amp;" "&amp;SCORE!$D262,EVENTOS!$F:$F,0)),0)</f>
        <v>0</v>
      </c>
      <c r="AD262" s="3">
        <f>IFERROR(INDEX(EVENTOS!$D:$D,MATCH(SCORE!AD$2&amp;" "&amp;SCORE!$D262,EVENTOS!$F:$F,0)),0)</f>
        <v>0</v>
      </c>
      <c r="AE262" s="3">
        <f t="shared" si="12"/>
        <v>0</v>
      </c>
      <c r="AF262" s="10" t="e">
        <f t="shared" si="13"/>
        <v>#N/A</v>
      </c>
      <c r="AG262" s="3" t="str">
        <f t="shared" si="14"/>
        <v/>
      </c>
    </row>
    <row r="263" spans="1:33" x14ac:dyDescent="0.25">
      <c r="A263" s="7"/>
      <c r="B263" s="8"/>
      <c r="C263" s="3"/>
      <c r="D263" s="3"/>
      <c r="E263" s="3" t="e">
        <f>VLOOKUP(D263,VIAJES!$D:$E,2,FALSE)</f>
        <v>#N/A</v>
      </c>
      <c r="F263" s="9" t="e">
        <f>VLOOKUP(D263,VIAJES!$D:$F,3,FALSE)</f>
        <v>#N/A</v>
      </c>
      <c r="G263" s="9" t="e">
        <f>VLOOKUP(D263,VIAJES!$D:$G,4,FALSE)</f>
        <v>#N/A</v>
      </c>
      <c r="H263" s="3" t="e">
        <f>VLOOKUP(D263,VIAJES!$D:$H,5,FALSE)</f>
        <v>#N/A</v>
      </c>
      <c r="S263" s="3">
        <f>IFERROR(INDEX(EVENTOS!$D:$D,MATCH(SCORE!S$2&amp;" "&amp;SCORE!$D263,EVENTOS!$F:$F,0)),0)</f>
        <v>0</v>
      </c>
      <c r="T263" s="3">
        <f>IFERROR(INDEX(EVENTOS!$D:$D,MATCH(SCORE!T$2&amp;" "&amp;SCORE!$D263,EVENTOS!$F:$F,0)),0)</f>
        <v>0</v>
      </c>
      <c r="U263" s="3">
        <f>IFERROR(INDEX(EVENTOS!$D:$D,MATCH(SCORE!U$2&amp;" "&amp;SCORE!$D263,EVENTOS!$F:$F,0)),0)</f>
        <v>0</v>
      </c>
      <c r="V263" s="3">
        <f>IFERROR(INDEX(EVENTOS!$D:$D,MATCH(SCORE!V$2&amp;" "&amp;SCORE!$D263,EVENTOS!$F:$F,0)),0)</f>
        <v>0</v>
      </c>
      <c r="W263" s="3">
        <f>IFERROR(INDEX(EVENTOS!$D:$D,MATCH(SCORE!W$2&amp;" "&amp;SCORE!$D263,EVENTOS!$F:$F,0)),0)</f>
        <v>0</v>
      </c>
      <c r="X263" s="3">
        <f>IFERROR(INDEX(EVENTOS!$D:$D,MATCH(SCORE!X$2&amp;" "&amp;SCORE!$D263,EVENTOS!$F:$F,0)),0)</f>
        <v>0</v>
      </c>
      <c r="Y263" s="3">
        <f>SUMIFS(EVENTOS!$D:$D, EVENTOS!$B:$B, D263, EVENTOS!$E:$E, "*GirAlto*")</f>
        <v>0</v>
      </c>
      <c r="Z263" s="3">
        <f>SUMIFS(EVENTOS!$D:$D, EVENTOS!$B:$B, D263, EVENTOS!$E:$E, "*GirMed*")</f>
        <v>0</v>
      </c>
      <c r="AA263" s="3">
        <f>SUMIFS(EVENTOS!$D:$D, EVENTOS!$B:$B, D263, EVENTOS!$E:$E, "*GirBajo*")</f>
        <v>0</v>
      </c>
      <c r="AB263" s="3">
        <f>IFERROR(INDEX(EVENTOS!$D:$D,MATCH(SCORE!AB$2&amp;" "&amp;SCORE!$D263,EVENTOS!$F:$F,0)),0)</f>
        <v>0</v>
      </c>
      <c r="AC263" s="3">
        <f>IFERROR(INDEX(EVENTOS!$D:$D,MATCH(SCORE!AC$2&amp;" "&amp;SCORE!$D263,EVENTOS!$F:$F,0)),0)</f>
        <v>0</v>
      </c>
      <c r="AD263" s="3">
        <f>IFERROR(INDEX(EVENTOS!$D:$D,MATCH(SCORE!AD$2&amp;" "&amp;SCORE!$D263,EVENTOS!$F:$F,0)),0)</f>
        <v>0</v>
      </c>
      <c r="AE263" s="3">
        <f t="shared" si="12"/>
        <v>0</v>
      </c>
      <c r="AF263" s="10" t="e">
        <f t="shared" si="13"/>
        <v>#N/A</v>
      </c>
      <c r="AG263" s="3" t="str">
        <f t="shared" si="14"/>
        <v/>
      </c>
    </row>
    <row r="264" spans="1:33" x14ac:dyDescent="0.25">
      <c r="A264" s="7"/>
      <c r="B264" s="8"/>
      <c r="C264" s="3"/>
      <c r="D264" s="3"/>
      <c r="E264" s="3" t="e">
        <f>VLOOKUP(D264,VIAJES!$D:$E,2,FALSE)</f>
        <v>#N/A</v>
      </c>
      <c r="F264" s="9" t="e">
        <f>VLOOKUP(D264,VIAJES!$D:$F,3,FALSE)</f>
        <v>#N/A</v>
      </c>
      <c r="G264" s="9" t="e">
        <f>VLOOKUP(D264,VIAJES!$D:$G,4,FALSE)</f>
        <v>#N/A</v>
      </c>
      <c r="H264" s="3" t="e">
        <f>VLOOKUP(D264,VIAJES!$D:$H,5,FALSE)</f>
        <v>#N/A</v>
      </c>
      <c r="S264" s="3">
        <f>IFERROR(INDEX(EVENTOS!$D:$D,MATCH(SCORE!S$2&amp;" "&amp;SCORE!$D264,EVENTOS!$F:$F,0)),0)</f>
        <v>0</v>
      </c>
      <c r="T264" s="3">
        <f>IFERROR(INDEX(EVENTOS!$D:$D,MATCH(SCORE!T$2&amp;" "&amp;SCORE!$D264,EVENTOS!$F:$F,0)),0)</f>
        <v>0</v>
      </c>
      <c r="U264" s="3">
        <f>IFERROR(INDEX(EVENTOS!$D:$D,MATCH(SCORE!U$2&amp;" "&amp;SCORE!$D264,EVENTOS!$F:$F,0)),0)</f>
        <v>0</v>
      </c>
      <c r="V264" s="3">
        <f>IFERROR(INDEX(EVENTOS!$D:$D,MATCH(SCORE!V$2&amp;" "&amp;SCORE!$D264,EVENTOS!$F:$F,0)),0)</f>
        <v>0</v>
      </c>
      <c r="W264" s="3">
        <f>IFERROR(INDEX(EVENTOS!$D:$D,MATCH(SCORE!W$2&amp;" "&amp;SCORE!$D264,EVENTOS!$F:$F,0)),0)</f>
        <v>0</v>
      </c>
      <c r="X264" s="3">
        <f>IFERROR(INDEX(EVENTOS!$D:$D,MATCH(SCORE!X$2&amp;" "&amp;SCORE!$D264,EVENTOS!$F:$F,0)),0)</f>
        <v>0</v>
      </c>
      <c r="Y264" s="3">
        <f>SUMIFS(EVENTOS!$D:$D, EVENTOS!$B:$B, D264, EVENTOS!$E:$E, "*GirAlto*")</f>
        <v>0</v>
      </c>
      <c r="Z264" s="3">
        <f>SUMIFS(EVENTOS!$D:$D, EVENTOS!$B:$B, D264, EVENTOS!$E:$E, "*GirMed*")</f>
        <v>0</v>
      </c>
      <c r="AA264" s="3">
        <f>SUMIFS(EVENTOS!$D:$D, EVENTOS!$B:$B, D264, EVENTOS!$E:$E, "*GirBajo*")</f>
        <v>0</v>
      </c>
      <c r="AB264" s="3">
        <f>IFERROR(INDEX(EVENTOS!$D:$D,MATCH(SCORE!AB$2&amp;" "&amp;SCORE!$D264,EVENTOS!$F:$F,0)),0)</f>
        <v>0</v>
      </c>
      <c r="AC264" s="3">
        <f>IFERROR(INDEX(EVENTOS!$D:$D,MATCH(SCORE!AC$2&amp;" "&amp;SCORE!$D264,EVENTOS!$F:$F,0)),0)</f>
        <v>0</v>
      </c>
      <c r="AD264" s="3">
        <f>IFERROR(INDEX(EVENTOS!$D:$D,MATCH(SCORE!AD$2&amp;" "&amp;SCORE!$D264,EVENTOS!$F:$F,0)),0)</f>
        <v>0</v>
      </c>
      <c r="AE264" s="3">
        <f t="shared" si="12"/>
        <v>0</v>
      </c>
      <c r="AF264" s="10" t="e">
        <f t="shared" si="13"/>
        <v>#N/A</v>
      </c>
      <c r="AG264" s="3" t="str">
        <f t="shared" si="14"/>
        <v/>
      </c>
    </row>
    <row r="265" spans="1:33" x14ac:dyDescent="0.25">
      <c r="A265" s="7"/>
      <c r="B265" s="8"/>
      <c r="C265" s="3"/>
      <c r="D265" s="3"/>
      <c r="E265" s="3" t="e">
        <f>VLOOKUP(D265,VIAJES!$D:$E,2,FALSE)</f>
        <v>#N/A</v>
      </c>
      <c r="F265" s="9" t="e">
        <f>VLOOKUP(D265,VIAJES!$D:$F,3,FALSE)</f>
        <v>#N/A</v>
      </c>
      <c r="G265" s="9" t="e">
        <f>VLOOKUP(D265,VIAJES!$D:$G,4,FALSE)</f>
        <v>#N/A</v>
      </c>
      <c r="H265" s="3" t="e">
        <f>VLOOKUP(D265,VIAJES!$D:$H,5,FALSE)</f>
        <v>#N/A</v>
      </c>
      <c r="S265" s="3">
        <f>IFERROR(INDEX(EVENTOS!$D:$D,MATCH(SCORE!S$2&amp;" "&amp;SCORE!$D265,EVENTOS!$F:$F,0)),0)</f>
        <v>0</v>
      </c>
      <c r="T265" s="3">
        <f>IFERROR(INDEX(EVENTOS!$D:$D,MATCH(SCORE!T$2&amp;" "&amp;SCORE!$D265,EVENTOS!$F:$F,0)),0)</f>
        <v>0</v>
      </c>
      <c r="U265" s="3">
        <f>IFERROR(INDEX(EVENTOS!$D:$D,MATCH(SCORE!U$2&amp;" "&amp;SCORE!$D265,EVENTOS!$F:$F,0)),0)</f>
        <v>0</v>
      </c>
      <c r="V265" s="3">
        <f>IFERROR(INDEX(EVENTOS!$D:$D,MATCH(SCORE!V$2&amp;" "&amp;SCORE!$D265,EVENTOS!$F:$F,0)),0)</f>
        <v>0</v>
      </c>
      <c r="W265" s="3">
        <f>IFERROR(INDEX(EVENTOS!$D:$D,MATCH(SCORE!W$2&amp;" "&amp;SCORE!$D265,EVENTOS!$F:$F,0)),0)</f>
        <v>0</v>
      </c>
      <c r="X265" s="3">
        <f>IFERROR(INDEX(EVENTOS!$D:$D,MATCH(SCORE!X$2&amp;" "&amp;SCORE!$D265,EVENTOS!$F:$F,0)),0)</f>
        <v>0</v>
      </c>
      <c r="Y265" s="3">
        <f>SUMIFS(EVENTOS!$D:$D, EVENTOS!$B:$B, D265, EVENTOS!$E:$E, "*GirAlto*")</f>
        <v>0</v>
      </c>
      <c r="Z265" s="3">
        <f>SUMIFS(EVENTOS!$D:$D, EVENTOS!$B:$B, D265, EVENTOS!$E:$E, "*GirMed*")</f>
        <v>0</v>
      </c>
      <c r="AA265" s="3">
        <f>SUMIFS(EVENTOS!$D:$D, EVENTOS!$B:$B, D265, EVENTOS!$E:$E, "*GirBajo*")</f>
        <v>0</v>
      </c>
      <c r="AB265" s="3">
        <f>IFERROR(INDEX(EVENTOS!$D:$D,MATCH(SCORE!AB$2&amp;" "&amp;SCORE!$D265,EVENTOS!$F:$F,0)),0)</f>
        <v>0</v>
      </c>
      <c r="AC265" s="3">
        <f>IFERROR(INDEX(EVENTOS!$D:$D,MATCH(SCORE!AC$2&amp;" "&amp;SCORE!$D265,EVENTOS!$F:$F,0)),0)</f>
        <v>0</v>
      </c>
      <c r="AD265" s="3">
        <f>IFERROR(INDEX(EVENTOS!$D:$D,MATCH(SCORE!AD$2&amp;" "&amp;SCORE!$D265,EVENTOS!$F:$F,0)),0)</f>
        <v>0</v>
      </c>
      <c r="AE265" s="3">
        <f t="shared" si="12"/>
        <v>0</v>
      </c>
      <c r="AF265" s="10" t="e">
        <f t="shared" si="13"/>
        <v>#N/A</v>
      </c>
      <c r="AG265" s="3" t="str">
        <f t="shared" si="14"/>
        <v/>
      </c>
    </row>
    <row r="266" spans="1:33" x14ac:dyDescent="0.25">
      <c r="A266" s="7"/>
      <c r="B266" s="8"/>
      <c r="C266" s="3"/>
      <c r="D266" s="3"/>
      <c r="E266" s="3" t="e">
        <f>VLOOKUP(D266,VIAJES!$D:$E,2,FALSE)</f>
        <v>#N/A</v>
      </c>
      <c r="F266" s="9" t="e">
        <f>VLOOKUP(D266,VIAJES!$D:$F,3,FALSE)</f>
        <v>#N/A</v>
      </c>
      <c r="G266" s="9" t="e">
        <f>VLOOKUP(D266,VIAJES!$D:$G,4,FALSE)</f>
        <v>#N/A</v>
      </c>
      <c r="H266" s="3" t="e">
        <f>VLOOKUP(D266,VIAJES!$D:$H,5,FALSE)</f>
        <v>#N/A</v>
      </c>
      <c r="S266" s="3">
        <f>IFERROR(INDEX(EVENTOS!$D:$D,MATCH(SCORE!S$2&amp;" "&amp;SCORE!$D266,EVENTOS!$F:$F,0)),0)</f>
        <v>0</v>
      </c>
      <c r="T266" s="3">
        <f>IFERROR(INDEX(EVENTOS!$D:$D,MATCH(SCORE!T$2&amp;" "&amp;SCORE!$D266,EVENTOS!$F:$F,0)),0)</f>
        <v>0</v>
      </c>
      <c r="U266" s="3">
        <f>IFERROR(INDEX(EVENTOS!$D:$D,MATCH(SCORE!U$2&amp;" "&amp;SCORE!$D266,EVENTOS!$F:$F,0)),0)</f>
        <v>0</v>
      </c>
      <c r="V266" s="3">
        <f>IFERROR(INDEX(EVENTOS!$D:$D,MATCH(SCORE!V$2&amp;" "&amp;SCORE!$D266,EVENTOS!$F:$F,0)),0)</f>
        <v>0</v>
      </c>
      <c r="W266" s="3">
        <f>IFERROR(INDEX(EVENTOS!$D:$D,MATCH(SCORE!W$2&amp;" "&amp;SCORE!$D266,EVENTOS!$F:$F,0)),0)</f>
        <v>0</v>
      </c>
      <c r="X266" s="3">
        <f>IFERROR(INDEX(EVENTOS!$D:$D,MATCH(SCORE!X$2&amp;" "&amp;SCORE!$D266,EVENTOS!$F:$F,0)),0)</f>
        <v>0</v>
      </c>
      <c r="Y266" s="3">
        <f>SUMIFS(EVENTOS!$D:$D, EVENTOS!$B:$B, D266, EVENTOS!$E:$E, "*GirAlto*")</f>
        <v>0</v>
      </c>
      <c r="Z266" s="3">
        <f>SUMIFS(EVENTOS!$D:$D, EVENTOS!$B:$B, D266, EVENTOS!$E:$E, "*GirMed*")</f>
        <v>0</v>
      </c>
      <c r="AA266" s="3">
        <f>SUMIFS(EVENTOS!$D:$D, EVENTOS!$B:$B, D266, EVENTOS!$E:$E, "*GirBajo*")</f>
        <v>0</v>
      </c>
      <c r="AB266" s="3">
        <f>IFERROR(INDEX(EVENTOS!$D:$D,MATCH(SCORE!AB$2&amp;" "&amp;SCORE!$D266,EVENTOS!$F:$F,0)),0)</f>
        <v>0</v>
      </c>
      <c r="AC266" s="3">
        <f>IFERROR(INDEX(EVENTOS!$D:$D,MATCH(SCORE!AC$2&amp;" "&amp;SCORE!$D266,EVENTOS!$F:$F,0)),0)</f>
        <v>0</v>
      </c>
      <c r="AD266" s="3">
        <f>IFERROR(INDEX(EVENTOS!$D:$D,MATCH(SCORE!AD$2&amp;" "&amp;SCORE!$D266,EVENTOS!$F:$F,0)),0)</f>
        <v>0</v>
      </c>
      <c r="AE266" s="3">
        <f t="shared" si="12"/>
        <v>0</v>
      </c>
      <c r="AF266" s="10" t="e">
        <f t="shared" si="13"/>
        <v>#N/A</v>
      </c>
      <c r="AG266" s="3" t="str">
        <f t="shared" si="14"/>
        <v/>
      </c>
    </row>
    <row r="267" spans="1:33" x14ac:dyDescent="0.25">
      <c r="A267" s="7"/>
      <c r="B267" s="8"/>
      <c r="C267" s="3"/>
      <c r="D267" s="3"/>
      <c r="E267" s="3" t="e">
        <f>VLOOKUP(D267,VIAJES!$D:$E,2,FALSE)</f>
        <v>#N/A</v>
      </c>
      <c r="F267" s="9" t="e">
        <f>VLOOKUP(D267,VIAJES!$D:$F,3,FALSE)</f>
        <v>#N/A</v>
      </c>
      <c r="G267" s="9" t="e">
        <f>VLOOKUP(D267,VIAJES!$D:$G,4,FALSE)</f>
        <v>#N/A</v>
      </c>
      <c r="H267" s="3" t="e">
        <f>VLOOKUP(D267,VIAJES!$D:$H,5,FALSE)</f>
        <v>#N/A</v>
      </c>
      <c r="S267" s="3">
        <f>IFERROR(INDEX(EVENTOS!$D:$D,MATCH(SCORE!S$2&amp;" "&amp;SCORE!$D267,EVENTOS!$F:$F,0)),0)</f>
        <v>0</v>
      </c>
      <c r="T267" s="3">
        <f>IFERROR(INDEX(EVENTOS!$D:$D,MATCH(SCORE!T$2&amp;" "&amp;SCORE!$D267,EVENTOS!$F:$F,0)),0)</f>
        <v>0</v>
      </c>
      <c r="U267" s="3">
        <f>IFERROR(INDEX(EVENTOS!$D:$D,MATCH(SCORE!U$2&amp;" "&amp;SCORE!$D267,EVENTOS!$F:$F,0)),0)</f>
        <v>0</v>
      </c>
      <c r="V267" s="3">
        <f>IFERROR(INDEX(EVENTOS!$D:$D,MATCH(SCORE!V$2&amp;" "&amp;SCORE!$D267,EVENTOS!$F:$F,0)),0)</f>
        <v>0</v>
      </c>
      <c r="W267" s="3">
        <f>IFERROR(INDEX(EVENTOS!$D:$D,MATCH(SCORE!W$2&amp;" "&amp;SCORE!$D267,EVENTOS!$F:$F,0)),0)</f>
        <v>0</v>
      </c>
      <c r="X267" s="3">
        <f>IFERROR(INDEX(EVENTOS!$D:$D,MATCH(SCORE!X$2&amp;" "&amp;SCORE!$D267,EVENTOS!$F:$F,0)),0)</f>
        <v>0</v>
      </c>
      <c r="Y267" s="3">
        <f>SUMIFS(EVENTOS!$D:$D, EVENTOS!$B:$B, D267, EVENTOS!$E:$E, "*GirAlto*")</f>
        <v>0</v>
      </c>
      <c r="Z267" s="3">
        <f>SUMIFS(EVENTOS!$D:$D, EVENTOS!$B:$B, D267, EVENTOS!$E:$E, "*GirMed*")</f>
        <v>0</v>
      </c>
      <c r="AA267" s="3">
        <f>SUMIFS(EVENTOS!$D:$D, EVENTOS!$B:$B, D267, EVENTOS!$E:$E, "*GirBajo*")</f>
        <v>0</v>
      </c>
      <c r="AB267" s="3">
        <f>IFERROR(INDEX(EVENTOS!$D:$D,MATCH(SCORE!AB$2&amp;" "&amp;SCORE!$D267,EVENTOS!$F:$F,0)),0)</f>
        <v>0</v>
      </c>
      <c r="AC267" s="3">
        <f>IFERROR(INDEX(EVENTOS!$D:$D,MATCH(SCORE!AC$2&amp;" "&amp;SCORE!$D267,EVENTOS!$F:$F,0)),0)</f>
        <v>0</v>
      </c>
      <c r="AD267" s="3">
        <f>IFERROR(INDEX(EVENTOS!$D:$D,MATCH(SCORE!AD$2&amp;" "&amp;SCORE!$D267,EVENTOS!$F:$F,0)),0)</f>
        <v>0</v>
      </c>
      <c r="AE267" s="3">
        <f t="shared" si="12"/>
        <v>0</v>
      </c>
      <c r="AF267" s="10" t="e">
        <f t="shared" si="13"/>
        <v>#N/A</v>
      </c>
      <c r="AG267" s="3" t="str">
        <f t="shared" si="14"/>
        <v/>
      </c>
    </row>
    <row r="268" spans="1:33" x14ac:dyDescent="0.25">
      <c r="A268" s="7"/>
      <c r="B268" s="8"/>
      <c r="C268" s="3"/>
      <c r="D268" s="3"/>
      <c r="E268" s="3" t="e">
        <f>VLOOKUP(D268,VIAJES!$D:$E,2,FALSE)</f>
        <v>#N/A</v>
      </c>
      <c r="F268" s="9" t="e">
        <f>VLOOKUP(D268,VIAJES!$D:$F,3,FALSE)</f>
        <v>#N/A</v>
      </c>
      <c r="G268" s="9" t="e">
        <f>VLOOKUP(D268,VIAJES!$D:$G,4,FALSE)</f>
        <v>#N/A</v>
      </c>
      <c r="H268" s="3" t="e">
        <f>VLOOKUP(D268,VIAJES!$D:$H,5,FALSE)</f>
        <v>#N/A</v>
      </c>
      <c r="S268" s="3">
        <f>IFERROR(INDEX(EVENTOS!$D:$D,MATCH(SCORE!S$2&amp;" "&amp;SCORE!$D268,EVENTOS!$F:$F,0)),0)</f>
        <v>0</v>
      </c>
      <c r="T268" s="3">
        <f>IFERROR(INDEX(EVENTOS!$D:$D,MATCH(SCORE!T$2&amp;" "&amp;SCORE!$D268,EVENTOS!$F:$F,0)),0)</f>
        <v>0</v>
      </c>
      <c r="U268" s="3">
        <f>IFERROR(INDEX(EVENTOS!$D:$D,MATCH(SCORE!U$2&amp;" "&amp;SCORE!$D268,EVENTOS!$F:$F,0)),0)</f>
        <v>0</v>
      </c>
      <c r="V268" s="3">
        <f>IFERROR(INDEX(EVENTOS!$D:$D,MATCH(SCORE!V$2&amp;" "&amp;SCORE!$D268,EVENTOS!$F:$F,0)),0)</f>
        <v>0</v>
      </c>
      <c r="W268" s="3">
        <f>IFERROR(INDEX(EVENTOS!$D:$D,MATCH(SCORE!W$2&amp;" "&amp;SCORE!$D268,EVENTOS!$F:$F,0)),0)</f>
        <v>0</v>
      </c>
      <c r="X268" s="3">
        <f>IFERROR(INDEX(EVENTOS!$D:$D,MATCH(SCORE!X$2&amp;" "&amp;SCORE!$D268,EVENTOS!$F:$F,0)),0)</f>
        <v>0</v>
      </c>
      <c r="Y268" s="3">
        <f>SUMIFS(EVENTOS!$D:$D, EVENTOS!$B:$B, D268, EVENTOS!$E:$E, "*GirAlto*")</f>
        <v>0</v>
      </c>
      <c r="Z268" s="3">
        <f>SUMIFS(EVENTOS!$D:$D, EVENTOS!$B:$B, D268, EVENTOS!$E:$E, "*GirMed*")</f>
        <v>0</v>
      </c>
      <c r="AA268" s="3">
        <f>SUMIFS(EVENTOS!$D:$D, EVENTOS!$B:$B, D268, EVENTOS!$E:$E, "*GirBajo*")</f>
        <v>0</v>
      </c>
      <c r="AB268" s="3">
        <f>IFERROR(INDEX(EVENTOS!$D:$D,MATCH(SCORE!AB$2&amp;" "&amp;SCORE!$D268,EVENTOS!$F:$F,0)),0)</f>
        <v>0</v>
      </c>
      <c r="AC268" s="3">
        <f>IFERROR(INDEX(EVENTOS!$D:$D,MATCH(SCORE!AC$2&amp;" "&amp;SCORE!$D268,EVENTOS!$F:$F,0)),0)</f>
        <v>0</v>
      </c>
      <c r="AD268" s="3">
        <f>IFERROR(INDEX(EVENTOS!$D:$D,MATCH(SCORE!AD$2&amp;" "&amp;SCORE!$D268,EVENTOS!$F:$F,0)),0)</f>
        <v>0</v>
      </c>
      <c r="AE268" s="3">
        <f t="shared" si="12"/>
        <v>0</v>
      </c>
      <c r="AF268" s="10" t="e">
        <f t="shared" si="13"/>
        <v>#N/A</v>
      </c>
      <c r="AG268" s="3" t="str">
        <f t="shared" si="14"/>
        <v/>
      </c>
    </row>
    <row r="269" spans="1:33" x14ac:dyDescent="0.25">
      <c r="A269" s="7"/>
      <c r="B269" s="8"/>
      <c r="C269" s="3"/>
      <c r="D269" s="3"/>
      <c r="E269" s="3" t="e">
        <f>VLOOKUP(D269,VIAJES!$D:$E,2,FALSE)</f>
        <v>#N/A</v>
      </c>
      <c r="F269" s="9" t="e">
        <f>VLOOKUP(D269,VIAJES!$D:$F,3,FALSE)</f>
        <v>#N/A</v>
      </c>
      <c r="G269" s="9" t="e">
        <f>VLOOKUP(D269,VIAJES!$D:$G,4,FALSE)</f>
        <v>#N/A</v>
      </c>
      <c r="H269" s="3" t="e">
        <f>VLOOKUP(D269,VIAJES!$D:$H,5,FALSE)</f>
        <v>#N/A</v>
      </c>
      <c r="S269" s="3">
        <f>IFERROR(INDEX(EVENTOS!$D:$D,MATCH(SCORE!S$2&amp;" "&amp;SCORE!$D269,EVENTOS!$F:$F,0)),0)</f>
        <v>0</v>
      </c>
      <c r="T269" s="3">
        <f>IFERROR(INDEX(EVENTOS!$D:$D,MATCH(SCORE!T$2&amp;" "&amp;SCORE!$D269,EVENTOS!$F:$F,0)),0)</f>
        <v>0</v>
      </c>
      <c r="U269" s="3">
        <f>IFERROR(INDEX(EVENTOS!$D:$D,MATCH(SCORE!U$2&amp;" "&amp;SCORE!$D269,EVENTOS!$F:$F,0)),0)</f>
        <v>0</v>
      </c>
      <c r="V269" s="3">
        <f>IFERROR(INDEX(EVENTOS!$D:$D,MATCH(SCORE!V$2&amp;" "&amp;SCORE!$D269,EVENTOS!$F:$F,0)),0)</f>
        <v>0</v>
      </c>
      <c r="W269" s="3">
        <f>IFERROR(INDEX(EVENTOS!$D:$D,MATCH(SCORE!W$2&amp;" "&amp;SCORE!$D269,EVENTOS!$F:$F,0)),0)</f>
        <v>0</v>
      </c>
      <c r="X269" s="3">
        <f>IFERROR(INDEX(EVENTOS!$D:$D,MATCH(SCORE!X$2&amp;" "&amp;SCORE!$D269,EVENTOS!$F:$F,0)),0)</f>
        <v>0</v>
      </c>
      <c r="Y269" s="3">
        <f>SUMIFS(EVENTOS!$D:$D, EVENTOS!$B:$B, D269, EVENTOS!$E:$E, "*GirAlto*")</f>
        <v>0</v>
      </c>
      <c r="Z269" s="3">
        <f>SUMIFS(EVENTOS!$D:$D, EVENTOS!$B:$B, D269, EVENTOS!$E:$E, "*GirMed*")</f>
        <v>0</v>
      </c>
      <c r="AA269" s="3">
        <f>SUMIFS(EVENTOS!$D:$D, EVENTOS!$B:$B, D269, EVENTOS!$E:$E, "*GirBajo*")</f>
        <v>0</v>
      </c>
      <c r="AB269" s="3">
        <f>IFERROR(INDEX(EVENTOS!$D:$D,MATCH(SCORE!AB$2&amp;" "&amp;SCORE!$D269,EVENTOS!$F:$F,0)),0)</f>
        <v>0</v>
      </c>
      <c r="AC269" s="3">
        <f>IFERROR(INDEX(EVENTOS!$D:$D,MATCH(SCORE!AC$2&amp;" "&amp;SCORE!$D269,EVENTOS!$F:$F,0)),0)</f>
        <v>0</v>
      </c>
      <c r="AD269" s="3">
        <f>IFERROR(INDEX(EVENTOS!$D:$D,MATCH(SCORE!AD$2&amp;" "&amp;SCORE!$D269,EVENTOS!$F:$F,0)),0)</f>
        <v>0</v>
      </c>
      <c r="AE269" s="3">
        <f t="shared" si="12"/>
        <v>0</v>
      </c>
      <c r="AF269" s="10" t="e">
        <f t="shared" si="13"/>
        <v>#N/A</v>
      </c>
      <c r="AG269" s="3" t="str">
        <f t="shared" si="14"/>
        <v/>
      </c>
    </row>
    <row r="270" spans="1:33" x14ac:dyDescent="0.25">
      <c r="A270" s="7"/>
      <c r="B270" s="8"/>
      <c r="C270" s="3"/>
      <c r="D270" s="3"/>
      <c r="E270" s="3" t="e">
        <f>VLOOKUP(D270,VIAJES!$D:$E,2,FALSE)</f>
        <v>#N/A</v>
      </c>
      <c r="F270" s="9" t="e">
        <f>VLOOKUP(D270,VIAJES!$D:$F,3,FALSE)</f>
        <v>#N/A</v>
      </c>
      <c r="G270" s="9" t="e">
        <f>VLOOKUP(D270,VIAJES!$D:$G,4,FALSE)</f>
        <v>#N/A</v>
      </c>
      <c r="H270" s="3" t="e">
        <f>VLOOKUP(D270,VIAJES!$D:$H,5,FALSE)</f>
        <v>#N/A</v>
      </c>
      <c r="S270" s="3">
        <f>IFERROR(INDEX(EVENTOS!$D:$D,MATCH(SCORE!S$2&amp;" "&amp;SCORE!$D270,EVENTOS!$F:$F,0)),0)</f>
        <v>0</v>
      </c>
      <c r="T270" s="3">
        <f>IFERROR(INDEX(EVENTOS!$D:$D,MATCH(SCORE!T$2&amp;" "&amp;SCORE!$D270,EVENTOS!$F:$F,0)),0)</f>
        <v>0</v>
      </c>
      <c r="U270" s="3">
        <f>IFERROR(INDEX(EVENTOS!$D:$D,MATCH(SCORE!U$2&amp;" "&amp;SCORE!$D270,EVENTOS!$F:$F,0)),0)</f>
        <v>0</v>
      </c>
      <c r="V270" s="3">
        <f>IFERROR(INDEX(EVENTOS!$D:$D,MATCH(SCORE!V$2&amp;" "&amp;SCORE!$D270,EVENTOS!$F:$F,0)),0)</f>
        <v>0</v>
      </c>
      <c r="W270" s="3">
        <f>IFERROR(INDEX(EVENTOS!$D:$D,MATCH(SCORE!W$2&amp;" "&amp;SCORE!$D270,EVENTOS!$F:$F,0)),0)</f>
        <v>0</v>
      </c>
      <c r="X270" s="3">
        <f>IFERROR(INDEX(EVENTOS!$D:$D,MATCH(SCORE!X$2&amp;" "&amp;SCORE!$D270,EVENTOS!$F:$F,0)),0)</f>
        <v>0</v>
      </c>
      <c r="Y270" s="3">
        <f>SUMIFS(EVENTOS!$D:$D, EVENTOS!$B:$B, D270, EVENTOS!$E:$E, "*GirAlto*")</f>
        <v>0</v>
      </c>
      <c r="Z270" s="3">
        <f>SUMIFS(EVENTOS!$D:$D, EVENTOS!$B:$B, D270, EVENTOS!$E:$E, "*GirMed*")</f>
        <v>0</v>
      </c>
      <c r="AA270" s="3">
        <f>SUMIFS(EVENTOS!$D:$D, EVENTOS!$B:$B, D270, EVENTOS!$E:$E, "*GirBajo*")</f>
        <v>0</v>
      </c>
      <c r="AB270" s="3">
        <f>IFERROR(INDEX(EVENTOS!$D:$D,MATCH(SCORE!AB$2&amp;" "&amp;SCORE!$D270,EVENTOS!$F:$F,0)),0)</f>
        <v>0</v>
      </c>
      <c r="AC270" s="3">
        <f>IFERROR(INDEX(EVENTOS!$D:$D,MATCH(SCORE!AC$2&amp;" "&amp;SCORE!$D270,EVENTOS!$F:$F,0)),0)</f>
        <v>0</v>
      </c>
      <c r="AD270" s="3">
        <f>IFERROR(INDEX(EVENTOS!$D:$D,MATCH(SCORE!AD$2&amp;" "&amp;SCORE!$D270,EVENTOS!$F:$F,0)),0)</f>
        <v>0</v>
      </c>
      <c r="AE270" s="3">
        <f t="shared" si="12"/>
        <v>0</v>
      </c>
      <c r="AF270" s="10" t="e">
        <f t="shared" si="13"/>
        <v>#N/A</v>
      </c>
      <c r="AG270" s="3" t="str">
        <f t="shared" si="14"/>
        <v/>
      </c>
    </row>
    <row r="271" spans="1:33" x14ac:dyDescent="0.25">
      <c r="A271" s="7"/>
      <c r="B271" s="8"/>
      <c r="C271" s="3"/>
      <c r="D271" s="3"/>
      <c r="E271" s="3" t="e">
        <f>VLOOKUP(D271,VIAJES!$D:$E,2,FALSE)</f>
        <v>#N/A</v>
      </c>
      <c r="F271" s="9" t="e">
        <f>VLOOKUP(D271,VIAJES!$D:$F,3,FALSE)</f>
        <v>#N/A</v>
      </c>
      <c r="G271" s="9" t="e">
        <f>VLOOKUP(D271,VIAJES!$D:$G,4,FALSE)</f>
        <v>#N/A</v>
      </c>
      <c r="H271" s="3" t="e">
        <f>VLOOKUP(D271,VIAJES!$D:$H,5,FALSE)</f>
        <v>#N/A</v>
      </c>
      <c r="S271" s="3">
        <f>IFERROR(INDEX(EVENTOS!$D:$D,MATCH(SCORE!S$2&amp;" "&amp;SCORE!$D271,EVENTOS!$F:$F,0)),0)</f>
        <v>0</v>
      </c>
      <c r="T271" s="3">
        <f>IFERROR(INDEX(EVENTOS!$D:$D,MATCH(SCORE!T$2&amp;" "&amp;SCORE!$D271,EVENTOS!$F:$F,0)),0)</f>
        <v>0</v>
      </c>
      <c r="U271" s="3">
        <f>IFERROR(INDEX(EVENTOS!$D:$D,MATCH(SCORE!U$2&amp;" "&amp;SCORE!$D271,EVENTOS!$F:$F,0)),0)</f>
        <v>0</v>
      </c>
      <c r="V271" s="3">
        <f>IFERROR(INDEX(EVENTOS!$D:$D,MATCH(SCORE!V$2&amp;" "&amp;SCORE!$D271,EVENTOS!$F:$F,0)),0)</f>
        <v>0</v>
      </c>
      <c r="W271" s="3">
        <f>IFERROR(INDEX(EVENTOS!$D:$D,MATCH(SCORE!W$2&amp;" "&amp;SCORE!$D271,EVENTOS!$F:$F,0)),0)</f>
        <v>0</v>
      </c>
      <c r="X271" s="3">
        <f>IFERROR(INDEX(EVENTOS!$D:$D,MATCH(SCORE!X$2&amp;" "&amp;SCORE!$D271,EVENTOS!$F:$F,0)),0)</f>
        <v>0</v>
      </c>
      <c r="Y271" s="3">
        <f>SUMIFS(EVENTOS!$D:$D, EVENTOS!$B:$B, D271, EVENTOS!$E:$E, "*GirAlto*")</f>
        <v>0</v>
      </c>
      <c r="Z271" s="3">
        <f>SUMIFS(EVENTOS!$D:$D, EVENTOS!$B:$B, D271, EVENTOS!$E:$E, "*GirMed*")</f>
        <v>0</v>
      </c>
      <c r="AA271" s="3">
        <f>SUMIFS(EVENTOS!$D:$D, EVENTOS!$B:$B, D271, EVENTOS!$E:$E, "*GirBajo*")</f>
        <v>0</v>
      </c>
      <c r="AB271" s="3">
        <f>IFERROR(INDEX(EVENTOS!$D:$D,MATCH(SCORE!AB$2&amp;" "&amp;SCORE!$D271,EVENTOS!$F:$F,0)),0)</f>
        <v>0</v>
      </c>
      <c r="AC271" s="3">
        <f>IFERROR(INDEX(EVENTOS!$D:$D,MATCH(SCORE!AC$2&amp;" "&amp;SCORE!$D271,EVENTOS!$F:$F,0)),0)</f>
        <v>0</v>
      </c>
      <c r="AD271" s="3">
        <f>IFERROR(INDEX(EVENTOS!$D:$D,MATCH(SCORE!AD$2&amp;" "&amp;SCORE!$D271,EVENTOS!$F:$F,0)),0)</f>
        <v>0</v>
      </c>
      <c r="AE271" s="3">
        <f t="shared" si="12"/>
        <v>0</v>
      </c>
      <c r="AF271" s="10" t="e">
        <f t="shared" si="13"/>
        <v>#N/A</v>
      </c>
      <c r="AG271" s="3" t="str">
        <f t="shared" si="14"/>
        <v/>
      </c>
    </row>
    <row r="272" spans="1:33" x14ac:dyDescent="0.25">
      <c r="A272" s="7"/>
      <c r="B272" s="8"/>
      <c r="C272" s="3"/>
      <c r="D272" s="3"/>
      <c r="E272" s="3" t="e">
        <f>VLOOKUP(D272,VIAJES!$D:$E,2,FALSE)</f>
        <v>#N/A</v>
      </c>
      <c r="F272" s="9" t="e">
        <f>VLOOKUP(D272,VIAJES!$D:$F,3,FALSE)</f>
        <v>#N/A</v>
      </c>
      <c r="G272" s="9" t="e">
        <f>VLOOKUP(D272,VIAJES!$D:$G,4,FALSE)</f>
        <v>#N/A</v>
      </c>
      <c r="H272" s="3" t="e">
        <f>VLOOKUP(D272,VIAJES!$D:$H,5,FALSE)</f>
        <v>#N/A</v>
      </c>
      <c r="S272" s="3">
        <f>IFERROR(INDEX(EVENTOS!$D:$D,MATCH(SCORE!S$2&amp;" "&amp;SCORE!$D272,EVENTOS!$F:$F,0)),0)</f>
        <v>0</v>
      </c>
      <c r="T272" s="3">
        <f>IFERROR(INDEX(EVENTOS!$D:$D,MATCH(SCORE!T$2&amp;" "&amp;SCORE!$D272,EVENTOS!$F:$F,0)),0)</f>
        <v>0</v>
      </c>
      <c r="U272" s="3">
        <f>IFERROR(INDEX(EVENTOS!$D:$D,MATCH(SCORE!U$2&amp;" "&amp;SCORE!$D272,EVENTOS!$F:$F,0)),0)</f>
        <v>0</v>
      </c>
      <c r="V272" s="3">
        <f>IFERROR(INDEX(EVENTOS!$D:$D,MATCH(SCORE!V$2&amp;" "&amp;SCORE!$D272,EVENTOS!$F:$F,0)),0)</f>
        <v>0</v>
      </c>
      <c r="W272" s="3">
        <f>IFERROR(INDEX(EVENTOS!$D:$D,MATCH(SCORE!W$2&amp;" "&amp;SCORE!$D272,EVENTOS!$F:$F,0)),0)</f>
        <v>0</v>
      </c>
      <c r="X272" s="3">
        <f>IFERROR(INDEX(EVENTOS!$D:$D,MATCH(SCORE!X$2&amp;" "&amp;SCORE!$D272,EVENTOS!$F:$F,0)),0)</f>
        <v>0</v>
      </c>
      <c r="Y272" s="3">
        <f>SUMIFS(EVENTOS!$D:$D, EVENTOS!$B:$B, D272, EVENTOS!$E:$E, "*GirAlto*")</f>
        <v>0</v>
      </c>
      <c r="Z272" s="3">
        <f>SUMIFS(EVENTOS!$D:$D, EVENTOS!$B:$B, D272, EVENTOS!$E:$E, "*GirMed*")</f>
        <v>0</v>
      </c>
      <c r="AA272" s="3">
        <f>SUMIFS(EVENTOS!$D:$D, EVENTOS!$B:$B, D272, EVENTOS!$E:$E, "*GirBajo*")</f>
        <v>0</v>
      </c>
      <c r="AB272" s="3">
        <f>IFERROR(INDEX(EVENTOS!$D:$D,MATCH(SCORE!AB$2&amp;" "&amp;SCORE!$D272,EVENTOS!$F:$F,0)),0)</f>
        <v>0</v>
      </c>
      <c r="AC272" s="3">
        <f>IFERROR(INDEX(EVENTOS!$D:$D,MATCH(SCORE!AC$2&amp;" "&amp;SCORE!$D272,EVENTOS!$F:$F,0)),0)</f>
        <v>0</v>
      </c>
      <c r="AD272" s="3">
        <f>IFERROR(INDEX(EVENTOS!$D:$D,MATCH(SCORE!AD$2&amp;" "&amp;SCORE!$D272,EVENTOS!$F:$F,0)),0)</f>
        <v>0</v>
      </c>
      <c r="AE272" s="3">
        <f t="shared" si="12"/>
        <v>0</v>
      </c>
      <c r="AF272" s="10" t="e">
        <f t="shared" si="13"/>
        <v>#N/A</v>
      </c>
      <c r="AG272" s="3" t="str">
        <f t="shared" si="14"/>
        <v/>
      </c>
    </row>
    <row r="273" spans="1:33" x14ac:dyDescent="0.25">
      <c r="A273" s="7"/>
      <c r="B273" s="8"/>
      <c r="C273" s="3"/>
      <c r="D273" s="3"/>
      <c r="E273" s="3" t="e">
        <f>VLOOKUP(D273,VIAJES!$D:$E,2,FALSE)</f>
        <v>#N/A</v>
      </c>
      <c r="F273" s="9" t="e">
        <f>VLOOKUP(D273,VIAJES!$D:$F,3,FALSE)</f>
        <v>#N/A</v>
      </c>
      <c r="G273" s="9" t="e">
        <f>VLOOKUP(D273,VIAJES!$D:$G,4,FALSE)</f>
        <v>#N/A</v>
      </c>
      <c r="H273" s="3" t="e">
        <f>VLOOKUP(D273,VIAJES!$D:$H,5,FALSE)</f>
        <v>#N/A</v>
      </c>
      <c r="S273" s="3">
        <f>IFERROR(INDEX(EVENTOS!$D:$D,MATCH(SCORE!S$2&amp;" "&amp;SCORE!$D273,EVENTOS!$F:$F,0)),0)</f>
        <v>0</v>
      </c>
      <c r="T273" s="3">
        <f>IFERROR(INDEX(EVENTOS!$D:$D,MATCH(SCORE!T$2&amp;" "&amp;SCORE!$D273,EVENTOS!$F:$F,0)),0)</f>
        <v>0</v>
      </c>
      <c r="U273" s="3">
        <f>IFERROR(INDEX(EVENTOS!$D:$D,MATCH(SCORE!U$2&amp;" "&amp;SCORE!$D273,EVENTOS!$F:$F,0)),0)</f>
        <v>0</v>
      </c>
      <c r="V273" s="3">
        <f>IFERROR(INDEX(EVENTOS!$D:$D,MATCH(SCORE!V$2&amp;" "&amp;SCORE!$D273,EVENTOS!$F:$F,0)),0)</f>
        <v>0</v>
      </c>
      <c r="W273" s="3">
        <f>IFERROR(INDEX(EVENTOS!$D:$D,MATCH(SCORE!W$2&amp;" "&amp;SCORE!$D273,EVENTOS!$F:$F,0)),0)</f>
        <v>0</v>
      </c>
      <c r="X273" s="3">
        <f>IFERROR(INDEX(EVENTOS!$D:$D,MATCH(SCORE!X$2&amp;" "&amp;SCORE!$D273,EVENTOS!$F:$F,0)),0)</f>
        <v>0</v>
      </c>
      <c r="Y273" s="3">
        <f>SUMIFS(EVENTOS!$D:$D, EVENTOS!$B:$B, D273, EVENTOS!$E:$E, "*GirAlto*")</f>
        <v>0</v>
      </c>
      <c r="Z273" s="3">
        <f>SUMIFS(EVENTOS!$D:$D, EVENTOS!$B:$B, D273, EVENTOS!$E:$E, "*GirMed*")</f>
        <v>0</v>
      </c>
      <c r="AA273" s="3">
        <f>SUMIFS(EVENTOS!$D:$D, EVENTOS!$B:$B, D273, EVENTOS!$E:$E, "*GirBajo*")</f>
        <v>0</v>
      </c>
      <c r="AB273" s="3">
        <f>IFERROR(INDEX(EVENTOS!$D:$D,MATCH(SCORE!AB$2&amp;" "&amp;SCORE!$D273,EVENTOS!$F:$F,0)),0)</f>
        <v>0</v>
      </c>
      <c r="AC273" s="3">
        <f>IFERROR(INDEX(EVENTOS!$D:$D,MATCH(SCORE!AC$2&amp;" "&amp;SCORE!$D273,EVENTOS!$F:$F,0)),0)</f>
        <v>0</v>
      </c>
      <c r="AD273" s="3">
        <f>IFERROR(INDEX(EVENTOS!$D:$D,MATCH(SCORE!AD$2&amp;" "&amp;SCORE!$D273,EVENTOS!$F:$F,0)),0)</f>
        <v>0</v>
      </c>
      <c r="AE273" s="3">
        <f t="shared" si="12"/>
        <v>0</v>
      </c>
      <c r="AF273" s="10" t="e">
        <f t="shared" si="13"/>
        <v>#N/A</v>
      </c>
      <c r="AG273" s="3" t="str">
        <f t="shared" si="14"/>
        <v/>
      </c>
    </row>
    <row r="274" spans="1:33" x14ac:dyDescent="0.25">
      <c r="A274" s="7"/>
      <c r="B274" s="8"/>
      <c r="C274" s="3"/>
      <c r="D274" s="3"/>
      <c r="E274" s="3" t="e">
        <f>VLOOKUP(D274,VIAJES!$D:$E,2,FALSE)</f>
        <v>#N/A</v>
      </c>
      <c r="F274" s="9" t="e">
        <f>VLOOKUP(D274,VIAJES!$D:$F,3,FALSE)</f>
        <v>#N/A</v>
      </c>
      <c r="G274" s="9" t="e">
        <f>VLOOKUP(D274,VIAJES!$D:$G,4,FALSE)</f>
        <v>#N/A</v>
      </c>
      <c r="H274" s="3" t="e">
        <f>VLOOKUP(D274,VIAJES!$D:$H,5,FALSE)</f>
        <v>#N/A</v>
      </c>
      <c r="S274" s="3">
        <f>IFERROR(INDEX(EVENTOS!$D:$D,MATCH(SCORE!S$2&amp;" "&amp;SCORE!$D274,EVENTOS!$F:$F,0)),0)</f>
        <v>0</v>
      </c>
      <c r="T274" s="3">
        <f>IFERROR(INDEX(EVENTOS!$D:$D,MATCH(SCORE!T$2&amp;" "&amp;SCORE!$D274,EVENTOS!$F:$F,0)),0)</f>
        <v>0</v>
      </c>
      <c r="U274" s="3">
        <f>IFERROR(INDEX(EVENTOS!$D:$D,MATCH(SCORE!U$2&amp;" "&amp;SCORE!$D274,EVENTOS!$F:$F,0)),0)</f>
        <v>0</v>
      </c>
      <c r="V274" s="3">
        <f>IFERROR(INDEX(EVENTOS!$D:$D,MATCH(SCORE!V$2&amp;" "&amp;SCORE!$D274,EVENTOS!$F:$F,0)),0)</f>
        <v>0</v>
      </c>
      <c r="W274" s="3">
        <f>IFERROR(INDEX(EVENTOS!$D:$D,MATCH(SCORE!W$2&amp;" "&amp;SCORE!$D274,EVENTOS!$F:$F,0)),0)</f>
        <v>0</v>
      </c>
      <c r="X274" s="3">
        <f>IFERROR(INDEX(EVENTOS!$D:$D,MATCH(SCORE!X$2&amp;" "&amp;SCORE!$D274,EVENTOS!$F:$F,0)),0)</f>
        <v>0</v>
      </c>
      <c r="Y274" s="3">
        <f>SUMIFS(EVENTOS!$D:$D, EVENTOS!$B:$B, D274, EVENTOS!$E:$E, "*GirAlto*")</f>
        <v>0</v>
      </c>
      <c r="Z274" s="3">
        <f>SUMIFS(EVENTOS!$D:$D, EVENTOS!$B:$B, D274, EVENTOS!$E:$E, "*GirMed*")</f>
        <v>0</v>
      </c>
      <c r="AA274" s="3">
        <f>SUMIFS(EVENTOS!$D:$D, EVENTOS!$B:$B, D274, EVENTOS!$E:$E, "*GirBajo*")</f>
        <v>0</v>
      </c>
      <c r="AB274" s="3">
        <f>IFERROR(INDEX(EVENTOS!$D:$D,MATCH(SCORE!AB$2&amp;" "&amp;SCORE!$D274,EVENTOS!$F:$F,0)),0)</f>
        <v>0</v>
      </c>
      <c r="AC274" s="3">
        <f>IFERROR(INDEX(EVENTOS!$D:$D,MATCH(SCORE!AC$2&amp;" "&amp;SCORE!$D274,EVENTOS!$F:$F,0)),0)</f>
        <v>0</v>
      </c>
      <c r="AD274" s="3">
        <f>IFERROR(INDEX(EVENTOS!$D:$D,MATCH(SCORE!AD$2&amp;" "&amp;SCORE!$D274,EVENTOS!$F:$F,0)),0)</f>
        <v>0</v>
      </c>
      <c r="AE274" s="3">
        <f t="shared" si="12"/>
        <v>0</v>
      </c>
      <c r="AF274" s="10" t="e">
        <f t="shared" si="13"/>
        <v>#N/A</v>
      </c>
      <c r="AG274" s="3" t="str">
        <f t="shared" si="14"/>
        <v/>
      </c>
    </row>
    <row r="275" spans="1:33" x14ac:dyDescent="0.25">
      <c r="A275" s="7"/>
      <c r="B275" s="8"/>
      <c r="C275" s="3"/>
      <c r="D275" s="3"/>
      <c r="E275" s="3" t="e">
        <f>VLOOKUP(D275,VIAJES!$D:$E,2,FALSE)</f>
        <v>#N/A</v>
      </c>
      <c r="F275" s="9" t="e">
        <f>VLOOKUP(D275,VIAJES!$D:$F,3,FALSE)</f>
        <v>#N/A</v>
      </c>
      <c r="G275" s="9" t="e">
        <f>VLOOKUP(D275,VIAJES!$D:$G,4,FALSE)</f>
        <v>#N/A</v>
      </c>
      <c r="H275" s="3" t="e">
        <f>VLOOKUP(D275,VIAJES!$D:$H,5,FALSE)</f>
        <v>#N/A</v>
      </c>
      <c r="S275" s="3">
        <f>IFERROR(INDEX(EVENTOS!$D:$D,MATCH(SCORE!S$2&amp;" "&amp;SCORE!$D275,EVENTOS!$F:$F,0)),0)</f>
        <v>0</v>
      </c>
      <c r="T275" s="3">
        <f>IFERROR(INDEX(EVENTOS!$D:$D,MATCH(SCORE!T$2&amp;" "&amp;SCORE!$D275,EVENTOS!$F:$F,0)),0)</f>
        <v>0</v>
      </c>
      <c r="U275" s="3">
        <f>IFERROR(INDEX(EVENTOS!$D:$D,MATCH(SCORE!U$2&amp;" "&amp;SCORE!$D275,EVENTOS!$F:$F,0)),0)</f>
        <v>0</v>
      </c>
      <c r="V275" s="3">
        <f>IFERROR(INDEX(EVENTOS!$D:$D,MATCH(SCORE!V$2&amp;" "&amp;SCORE!$D275,EVENTOS!$F:$F,0)),0)</f>
        <v>0</v>
      </c>
      <c r="W275" s="3">
        <f>IFERROR(INDEX(EVENTOS!$D:$D,MATCH(SCORE!W$2&amp;" "&amp;SCORE!$D275,EVENTOS!$F:$F,0)),0)</f>
        <v>0</v>
      </c>
      <c r="X275" s="3">
        <f>IFERROR(INDEX(EVENTOS!$D:$D,MATCH(SCORE!X$2&amp;" "&amp;SCORE!$D275,EVENTOS!$F:$F,0)),0)</f>
        <v>0</v>
      </c>
      <c r="Y275" s="3">
        <f>SUMIFS(EVENTOS!$D:$D, EVENTOS!$B:$B, D275, EVENTOS!$E:$E, "*GirAlto*")</f>
        <v>0</v>
      </c>
      <c r="Z275" s="3">
        <f>SUMIFS(EVENTOS!$D:$D, EVENTOS!$B:$B, D275, EVENTOS!$E:$E, "*GirMed*")</f>
        <v>0</v>
      </c>
      <c r="AA275" s="3">
        <f>SUMIFS(EVENTOS!$D:$D, EVENTOS!$B:$B, D275, EVENTOS!$E:$E, "*GirBajo*")</f>
        <v>0</v>
      </c>
      <c r="AB275" s="3">
        <f>IFERROR(INDEX(EVENTOS!$D:$D,MATCH(SCORE!AB$2&amp;" "&amp;SCORE!$D275,EVENTOS!$F:$F,0)),0)</f>
        <v>0</v>
      </c>
      <c r="AC275" s="3">
        <f>IFERROR(INDEX(EVENTOS!$D:$D,MATCH(SCORE!AC$2&amp;" "&amp;SCORE!$D275,EVENTOS!$F:$F,0)),0)</f>
        <v>0</v>
      </c>
      <c r="AD275" s="3">
        <f>IFERROR(INDEX(EVENTOS!$D:$D,MATCH(SCORE!AD$2&amp;" "&amp;SCORE!$D275,EVENTOS!$F:$F,0)),0)</f>
        <v>0</v>
      </c>
      <c r="AE275" s="3">
        <f t="shared" si="12"/>
        <v>0</v>
      </c>
      <c r="AF275" s="10" t="e">
        <f t="shared" si="13"/>
        <v>#N/A</v>
      </c>
      <c r="AG275" s="3" t="str">
        <f t="shared" si="14"/>
        <v/>
      </c>
    </row>
    <row r="276" spans="1:33" x14ac:dyDescent="0.25">
      <c r="A276" s="7"/>
      <c r="B276" s="8"/>
      <c r="C276" s="3"/>
      <c r="D276" s="3"/>
      <c r="E276" s="3" t="e">
        <f>VLOOKUP(D276,VIAJES!$D:$E,2,FALSE)</f>
        <v>#N/A</v>
      </c>
      <c r="F276" s="9" t="e">
        <f>VLOOKUP(D276,VIAJES!$D:$F,3,FALSE)</f>
        <v>#N/A</v>
      </c>
      <c r="G276" s="9" t="e">
        <f>VLOOKUP(D276,VIAJES!$D:$G,4,FALSE)</f>
        <v>#N/A</v>
      </c>
      <c r="H276" s="3" t="e">
        <f>VLOOKUP(D276,VIAJES!$D:$H,5,FALSE)</f>
        <v>#N/A</v>
      </c>
      <c r="S276" s="3">
        <f>IFERROR(INDEX(EVENTOS!$D:$D,MATCH(SCORE!S$2&amp;" "&amp;SCORE!$D276,EVENTOS!$F:$F,0)),0)</f>
        <v>0</v>
      </c>
      <c r="T276" s="3">
        <f>IFERROR(INDEX(EVENTOS!$D:$D,MATCH(SCORE!T$2&amp;" "&amp;SCORE!$D276,EVENTOS!$F:$F,0)),0)</f>
        <v>0</v>
      </c>
      <c r="U276" s="3">
        <f>IFERROR(INDEX(EVENTOS!$D:$D,MATCH(SCORE!U$2&amp;" "&amp;SCORE!$D276,EVENTOS!$F:$F,0)),0)</f>
        <v>0</v>
      </c>
      <c r="V276" s="3">
        <f>IFERROR(INDEX(EVENTOS!$D:$D,MATCH(SCORE!V$2&amp;" "&amp;SCORE!$D276,EVENTOS!$F:$F,0)),0)</f>
        <v>0</v>
      </c>
      <c r="W276" s="3">
        <f>IFERROR(INDEX(EVENTOS!$D:$D,MATCH(SCORE!W$2&amp;" "&amp;SCORE!$D276,EVENTOS!$F:$F,0)),0)</f>
        <v>0</v>
      </c>
      <c r="X276" s="3">
        <f>IFERROR(INDEX(EVENTOS!$D:$D,MATCH(SCORE!X$2&amp;" "&amp;SCORE!$D276,EVENTOS!$F:$F,0)),0)</f>
        <v>0</v>
      </c>
      <c r="Y276" s="3">
        <f>SUMIFS(EVENTOS!$D:$D, EVENTOS!$B:$B, D276, EVENTOS!$E:$E, "*GirAlto*")</f>
        <v>0</v>
      </c>
      <c r="Z276" s="3">
        <f>SUMIFS(EVENTOS!$D:$D, EVENTOS!$B:$B, D276, EVENTOS!$E:$E, "*GirMed*")</f>
        <v>0</v>
      </c>
      <c r="AA276" s="3">
        <f>SUMIFS(EVENTOS!$D:$D, EVENTOS!$B:$B, D276, EVENTOS!$E:$E, "*GirBajo*")</f>
        <v>0</v>
      </c>
      <c r="AB276" s="3">
        <f>IFERROR(INDEX(EVENTOS!$D:$D,MATCH(SCORE!AB$2&amp;" "&amp;SCORE!$D276,EVENTOS!$F:$F,0)),0)</f>
        <v>0</v>
      </c>
      <c r="AC276" s="3">
        <f>IFERROR(INDEX(EVENTOS!$D:$D,MATCH(SCORE!AC$2&amp;" "&amp;SCORE!$D276,EVENTOS!$F:$F,0)),0)</f>
        <v>0</v>
      </c>
      <c r="AD276" s="3">
        <f>IFERROR(INDEX(EVENTOS!$D:$D,MATCH(SCORE!AD$2&amp;" "&amp;SCORE!$D276,EVENTOS!$F:$F,0)),0)</f>
        <v>0</v>
      </c>
      <c r="AE276" s="3">
        <f t="shared" si="12"/>
        <v>0</v>
      </c>
      <c r="AF276" s="10" t="e">
        <f t="shared" si="13"/>
        <v>#N/A</v>
      </c>
      <c r="AG276" s="3" t="str">
        <f t="shared" si="14"/>
        <v/>
      </c>
    </row>
    <row r="277" spans="1:33" x14ac:dyDescent="0.25">
      <c r="A277" s="7"/>
      <c r="B277" s="8"/>
      <c r="C277" s="3"/>
      <c r="D277" s="3"/>
      <c r="E277" s="3" t="e">
        <f>VLOOKUP(D277,VIAJES!$D:$E,2,FALSE)</f>
        <v>#N/A</v>
      </c>
      <c r="F277" s="9" t="e">
        <f>VLOOKUP(D277,VIAJES!$D:$F,3,FALSE)</f>
        <v>#N/A</v>
      </c>
      <c r="G277" s="9" t="e">
        <f>VLOOKUP(D277,VIAJES!$D:$G,4,FALSE)</f>
        <v>#N/A</v>
      </c>
      <c r="H277" s="3" t="e">
        <f>VLOOKUP(D277,VIAJES!$D:$H,5,FALSE)</f>
        <v>#N/A</v>
      </c>
      <c r="S277" s="3">
        <f>IFERROR(INDEX(EVENTOS!$D:$D,MATCH(SCORE!S$2&amp;" "&amp;SCORE!$D277,EVENTOS!$F:$F,0)),0)</f>
        <v>0</v>
      </c>
      <c r="T277" s="3">
        <f>IFERROR(INDEX(EVENTOS!$D:$D,MATCH(SCORE!T$2&amp;" "&amp;SCORE!$D277,EVENTOS!$F:$F,0)),0)</f>
        <v>0</v>
      </c>
      <c r="U277" s="3">
        <f>IFERROR(INDEX(EVENTOS!$D:$D,MATCH(SCORE!U$2&amp;" "&amp;SCORE!$D277,EVENTOS!$F:$F,0)),0)</f>
        <v>0</v>
      </c>
      <c r="V277" s="3">
        <f>IFERROR(INDEX(EVENTOS!$D:$D,MATCH(SCORE!V$2&amp;" "&amp;SCORE!$D277,EVENTOS!$F:$F,0)),0)</f>
        <v>0</v>
      </c>
      <c r="W277" s="3">
        <f>IFERROR(INDEX(EVENTOS!$D:$D,MATCH(SCORE!W$2&amp;" "&amp;SCORE!$D277,EVENTOS!$F:$F,0)),0)</f>
        <v>0</v>
      </c>
      <c r="X277" s="3">
        <f>IFERROR(INDEX(EVENTOS!$D:$D,MATCH(SCORE!X$2&amp;" "&amp;SCORE!$D277,EVENTOS!$F:$F,0)),0)</f>
        <v>0</v>
      </c>
      <c r="Y277" s="3">
        <f>SUMIFS(EVENTOS!$D:$D, EVENTOS!$B:$B, D277, EVENTOS!$E:$E, "*GirAlto*")</f>
        <v>0</v>
      </c>
      <c r="Z277" s="3">
        <f>SUMIFS(EVENTOS!$D:$D, EVENTOS!$B:$B, D277, EVENTOS!$E:$E, "*GirMed*")</f>
        <v>0</v>
      </c>
      <c r="AA277" s="3">
        <f>SUMIFS(EVENTOS!$D:$D, EVENTOS!$B:$B, D277, EVENTOS!$E:$E, "*GirBajo*")</f>
        <v>0</v>
      </c>
      <c r="AB277" s="3">
        <f>IFERROR(INDEX(EVENTOS!$D:$D,MATCH(SCORE!AB$2&amp;" "&amp;SCORE!$D277,EVENTOS!$F:$F,0)),0)</f>
        <v>0</v>
      </c>
      <c r="AC277" s="3">
        <f>IFERROR(INDEX(EVENTOS!$D:$D,MATCH(SCORE!AC$2&amp;" "&amp;SCORE!$D277,EVENTOS!$F:$F,0)),0)</f>
        <v>0</v>
      </c>
      <c r="AD277" s="3">
        <f>IFERROR(INDEX(EVENTOS!$D:$D,MATCH(SCORE!AD$2&amp;" "&amp;SCORE!$D277,EVENTOS!$F:$F,0)),0)</f>
        <v>0</v>
      </c>
      <c r="AE277" s="3">
        <f t="shared" si="12"/>
        <v>0</v>
      </c>
      <c r="AF277" s="10" t="e">
        <f t="shared" si="13"/>
        <v>#N/A</v>
      </c>
      <c r="AG277" s="3" t="str">
        <f t="shared" si="14"/>
        <v/>
      </c>
    </row>
    <row r="278" spans="1:33" x14ac:dyDescent="0.25">
      <c r="A278" s="7"/>
      <c r="B278" s="8"/>
      <c r="C278" s="3"/>
      <c r="D278" s="3"/>
      <c r="E278" s="3" t="e">
        <f>VLOOKUP(D278,VIAJES!$D:$E,2,FALSE)</f>
        <v>#N/A</v>
      </c>
      <c r="F278" s="9" t="e">
        <f>VLOOKUP(D278,VIAJES!$D:$F,3,FALSE)</f>
        <v>#N/A</v>
      </c>
      <c r="G278" s="9" t="e">
        <f>VLOOKUP(D278,VIAJES!$D:$G,4,FALSE)</f>
        <v>#N/A</v>
      </c>
      <c r="H278" s="3" t="e">
        <f>VLOOKUP(D278,VIAJES!$D:$H,5,FALSE)</f>
        <v>#N/A</v>
      </c>
      <c r="S278" s="3">
        <f>IFERROR(INDEX(EVENTOS!$D:$D,MATCH(SCORE!S$2&amp;" "&amp;SCORE!$D278,EVENTOS!$F:$F,0)),0)</f>
        <v>0</v>
      </c>
      <c r="T278" s="3">
        <f>IFERROR(INDEX(EVENTOS!$D:$D,MATCH(SCORE!T$2&amp;" "&amp;SCORE!$D278,EVENTOS!$F:$F,0)),0)</f>
        <v>0</v>
      </c>
      <c r="U278" s="3">
        <f>IFERROR(INDEX(EVENTOS!$D:$D,MATCH(SCORE!U$2&amp;" "&amp;SCORE!$D278,EVENTOS!$F:$F,0)),0)</f>
        <v>0</v>
      </c>
      <c r="V278" s="3">
        <f>IFERROR(INDEX(EVENTOS!$D:$D,MATCH(SCORE!V$2&amp;" "&amp;SCORE!$D278,EVENTOS!$F:$F,0)),0)</f>
        <v>0</v>
      </c>
      <c r="W278" s="3">
        <f>IFERROR(INDEX(EVENTOS!$D:$D,MATCH(SCORE!W$2&amp;" "&amp;SCORE!$D278,EVENTOS!$F:$F,0)),0)</f>
        <v>0</v>
      </c>
      <c r="X278" s="3">
        <f>IFERROR(INDEX(EVENTOS!$D:$D,MATCH(SCORE!X$2&amp;" "&amp;SCORE!$D278,EVENTOS!$F:$F,0)),0)</f>
        <v>0</v>
      </c>
      <c r="Y278" s="3">
        <f>SUMIFS(EVENTOS!$D:$D, EVENTOS!$B:$B, D278, EVENTOS!$E:$E, "*GirAlto*")</f>
        <v>0</v>
      </c>
      <c r="Z278" s="3">
        <f>SUMIFS(EVENTOS!$D:$D, EVENTOS!$B:$B, D278, EVENTOS!$E:$E, "*GirMed*")</f>
        <v>0</v>
      </c>
      <c r="AA278" s="3">
        <f>SUMIFS(EVENTOS!$D:$D, EVENTOS!$B:$B, D278, EVENTOS!$E:$E, "*GirBajo*")</f>
        <v>0</v>
      </c>
      <c r="AB278" s="3">
        <f>IFERROR(INDEX(EVENTOS!$D:$D,MATCH(SCORE!AB$2&amp;" "&amp;SCORE!$D278,EVENTOS!$F:$F,0)),0)</f>
        <v>0</v>
      </c>
      <c r="AC278" s="3">
        <f>IFERROR(INDEX(EVENTOS!$D:$D,MATCH(SCORE!AC$2&amp;" "&amp;SCORE!$D278,EVENTOS!$F:$F,0)),0)</f>
        <v>0</v>
      </c>
      <c r="AD278" s="3">
        <f>IFERROR(INDEX(EVENTOS!$D:$D,MATCH(SCORE!AD$2&amp;" "&amp;SCORE!$D278,EVENTOS!$F:$F,0)),0)</f>
        <v>0</v>
      </c>
      <c r="AE278" s="3">
        <f t="shared" si="12"/>
        <v>0</v>
      </c>
      <c r="AF278" s="10" t="e">
        <f t="shared" si="13"/>
        <v>#N/A</v>
      </c>
      <c r="AG278" s="3" t="str">
        <f t="shared" si="14"/>
        <v/>
      </c>
    </row>
    <row r="279" spans="1:33" x14ac:dyDescent="0.25">
      <c r="A279" s="7"/>
      <c r="B279" s="8"/>
      <c r="C279" s="3"/>
      <c r="D279" s="3"/>
      <c r="E279" s="3" t="e">
        <f>VLOOKUP(D279,VIAJES!$D:$E,2,FALSE)</f>
        <v>#N/A</v>
      </c>
      <c r="F279" s="9" t="e">
        <f>VLOOKUP(D279,VIAJES!$D:$F,3,FALSE)</f>
        <v>#N/A</v>
      </c>
      <c r="G279" s="9" t="e">
        <f>VLOOKUP(D279,VIAJES!$D:$G,4,FALSE)</f>
        <v>#N/A</v>
      </c>
      <c r="H279" s="3" t="e">
        <f>VLOOKUP(D279,VIAJES!$D:$H,5,FALSE)</f>
        <v>#N/A</v>
      </c>
      <c r="S279" s="3">
        <f>IFERROR(INDEX(EVENTOS!$D:$D,MATCH(SCORE!S$2&amp;" "&amp;SCORE!$D279,EVENTOS!$F:$F,0)),0)</f>
        <v>0</v>
      </c>
      <c r="T279" s="3">
        <f>IFERROR(INDEX(EVENTOS!$D:$D,MATCH(SCORE!T$2&amp;" "&amp;SCORE!$D279,EVENTOS!$F:$F,0)),0)</f>
        <v>0</v>
      </c>
      <c r="U279" s="3">
        <f>IFERROR(INDEX(EVENTOS!$D:$D,MATCH(SCORE!U$2&amp;" "&amp;SCORE!$D279,EVENTOS!$F:$F,0)),0)</f>
        <v>0</v>
      </c>
      <c r="V279" s="3">
        <f>IFERROR(INDEX(EVENTOS!$D:$D,MATCH(SCORE!V$2&amp;" "&amp;SCORE!$D279,EVENTOS!$F:$F,0)),0)</f>
        <v>0</v>
      </c>
      <c r="W279" s="3">
        <f>IFERROR(INDEX(EVENTOS!$D:$D,MATCH(SCORE!W$2&amp;" "&amp;SCORE!$D279,EVENTOS!$F:$F,0)),0)</f>
        <v>0</v>
      </c>
      <c r="X279" s="3">
        <f>IFERROR(INDEX(EVENTOS!$D:$D,MATCH(SCORE!X$2&amp;" "&amp;SCORE!$D279,EVENTOS!$F:$F,0)),0)</f>
        <v>0</v>
      </c>
      <c r="Y279" s="3">
        <f>SUMIFS(EVENTOS!$D:$D, EVENTOS!$B:$B, D279, EVENTOS!$E:$E, "*GirAlto*")</f>
        <v>0</v>
      </c>
      <c r="Z279" s="3">
        <f>SUMIFS(EVENTOS!$D:$D, EVENTOS!$B:$B, D279, EVENTOS!$E:$E, "*GirMed*")</f>
        <v>0</v>
      </c>
      <c r="AA279" s="3">
        <f>SUMIFS(EVENTOS!$D:$D, EVENTOS!$B:$B, D279, EVENTOS!$E:$E, "*GirBajo*")</f>
        <v>0</v>
      </c>
      <c r="AB279" s="3">
        <f>IFERROR(INDEX(EVENTOS!$D:$D,MATCH(SCORE!AB$2&amp;" "&amp;SCORE!$D279,EVENTOS!$F:$F,0)),0)</f>
        <v>0</v>
      </c>
      <c r="AC279" s="3">
        <f>IFERROR(INDEX(EVENTOS!$D:$D,MATCH(SCORE!AC$2&amp;" "&amp;SCORE!$D279,EVENTOS!$F:$F,0)),0)</f>
        <v>0</v>
      </c>
      <c r="AD279" s="3">
        <f>IFERROR(INDEX(EVENTOS!$D:$D,MATCH(SCORE!AD$2&amp;" "&amp;SCORE!$D279,EVENTOS!$F:$F,0)),0)</f>
        <v>0</v>
      </c>
      <c r="AE279" s="3">
        <f t="shared" si="12"/>
        <v>0</v>
      </c>
      <c r="AF279" s="10" t="e">
        <f t="shared" si="13"/>
        <v>#N/A</v>
      </c>
      <c r="AG279" s="3" t="str">
        <f t="shared" si="14"/>
        <v/>
      </c>
    </row>
    <row r="280" spans="1:33" x14ac:dyDescent="0.25">
      <c r="A280" s="7"/>
      <c r="B280" s="8"/>
      <c r="C280" s="3"/>
      <c r="D280" s="3"/>
      <c r="E280" s="3" t="e">
        <f>VLOOKUP(D280,VIAJES!$D:$E,2,FALSE)</f>
        <v>#N/A</v>
      </c>
      <c r="F280" s="9" t="e">
        <f>VLOOKUP(D280,VIAJES!$D:$F,3,FALSE)</f>
        <v>#N/A</v>
      </c>
      <c r="G280" s="9" t="e">
        <f>VLOOKUP(D280,VIAJES!$D:$G,4,FALSE)</f>
        <v>#N/A</v>
      </c>
      <c r="H280" s="3" t="e">
        <f>VLOOKUP(D280,VIAJES!$D:$H,5,FALSE)</f>
        <v>#N/A</v>
      </c>
      <c r="S280" s="3">
        <f>IFERROR(INDEX(EVENTOS!$D:$D,MATCH(SCORE!S$2&amp;" "&amp;SCORE!$D280,EVENTOS!$F:$F,0)),0)</f>
        <v>0</v>
      </c>
      <c r="T280" s="3">
        <f>IFERROR(INDEX(EVENTOS!$D:$D,MATCH(SCORE!T$2&amp;" "&amp;SCORE!$D280,EVENTOS!$F:$F,0)),0)</f>
        <v>0</v>
      </c>
      <c r="U280" s="3">
        <f>IFERROR(INDEX(EVENTOS!$D:$D,MATCH(SCORE!U$2&amp;" "&amp;SCORE!$D280,EVENTOS!$F:$F,0)),0)</f>
        <v>0</v>
      </c>
      <c r="V280" s="3">
        <f>IFERROR(INDEX(EVENTOS!$D:$D,MATCH(SCORE!V$2&amp;" "&amp;SCORE!$D280,EVENTOS!$F:$F,0)),0)</f>
        <v>0</v>
      </c>
      <c r="W280" s="3">
        <f>IFERROR(INDEX(EVENTOS!$D:$D,MATCH(SCORE!W$2&amp;" "&amp;SCORE!$D280,EVENTOS!$F:$F,0)),0)</f>
        <v>0</v>
      </c>
      <c r="X280" s="3">
        <f>IFERROR(INDEX(EVENTOS!$D:$D,MATCH(SCORE!X$2&amp;" "&amp;SCORE!$D280,EVENTOS!$F:$F,0)),0)</f>
        <v>0</v>
      </c>
      <c r="Y280" s="3">
        <f>SUMIFS(EVENTOS!$D:$D, EVENTOS!$B:$B, D280, EVENTOS!$E:$E, "*GirAlto*")</f>
        <v>0</v>
      </c>
      <c r="Z280" s="3">
        <f>SUMIFS(EVENTOS!$D:$D, EVENTOS!$B:$B, D280, EVENTOS!$E:$E, "*GirMed*")</f>
        <v>0</v>
      </c>
      <c r="AA280" s="3">
        <f>SUMIFS(EVENTOS!$D:$D, EVENTOS!$B:$B, D280, EVENTOS!$E:$E, "*GirBajo*")</f>
        <v>0</v>
      </c>
      <c r="AB280" s="3">
        <f>IFERROR(INDEX(EVENTOS!$D:$D,MATCH(SCORE!AB$2&amp;" "&amp;SCORE!$D280,EVENTOS!$F:$F,0)),0)</f>
        <v>0</v>
      </c>
      <c r="AC280" s="3">
        <f>IFERROR(INDEX(EVENTOS!$D:$D,MATCH(SCORE!AC$2&amp;" "&amp;SCORE!$D280,EVENTOS!$F:$F,0)),0)</f>
        <v>0</v>
      </c>
      <c r="AD280" s="3">
        <f>IFERROR(INDEX(EVENTOS!$D:$D,MATCH(SCORE!AD$2&amp;" "&amp;SCORE!$D280,EVENTOS!$F:$F,0)),0)</f>
        <v>0</v>
      </c>
      <c r="AE280" s="3">
        <f t="shared" si="12"/>
        <v>0</v>
      </c>
      <c r="AF280" s="10" t="e">
        <f t="shared" si="13"/>
        <v>#N/A</v>
      </c>
      <c r="AG280" s="3" t="str">
        <f t="shared" si="14"/>
        <v/>
      </c>
    </row>
    <row r="281" spans="1:33" x14ac:dyDescent="0.25">
      <c r="A281" s="7"/>
      <c r="B281" s="8"/>
      <c r="C281" s="3"/>
      <c r="D281" s="3"/>
      <c r="E281" s="3" t="e">
        <f>VLOOKUP(D281,VIAJES!$D:$E,2,FALSE)</f>
        <v>#N/A</v>
      </c>
      <c r="F281" s="9" t="e">
        <f>VLOOKUP(D281,VIAJES!$D:$F,3,FALSE)</f>
        <v>#N/A</v>
      </c>
      <c r="G281" s="9" t="e">
        <f>VLOOKUP(D281,VIAJES!$D:$G,4,FALSE)</f>
        <v>#N/A</v>
      </c>
      <c r="H281" s="3" t="e">
        <f>VLOOKUP(D281,VIAJES!$D:$H,5,FALSE)</f>
        <v>#N/A</v>
      </c>
      <c r="S281" s="3">
        <f>IFERROR(INDEX(EVENTOS!$D:$D,MATCH(SCORE!S$2&amp;" "&amp;SCORE!$D281,EVENTOS!$F:$F,0)),0)</f>
        <v>0</v>
      </c>
      <c r="T281" s="3">
        <f>IFERROR(INDEX(EVENTOS!$D:$D,MATCH(SCORE!T$2&amp;" "&amp;SCORE!$D281,EVENTOS!$F:$F,0)),0)</f>
        <v>0</v>
      </c>
      <c r="U281" s="3">
        <f>IFERROR(INDEX(EVENTOS!$D:$D,MATCH(SCORE!U$2&amp;" "&amp;SCORE!$D281,EVENTOS!$F:$F,0)),0)</f>
        <v>0</v>
      </c>
      <c r="V281" s="3">
        <f>IFERROR(INDEX(EVENTOS!$D:$D,MATCH(SCORE!V$2&amp;" "&amp;SCORE!$D281,EVENTOS!$F:$F,0)),0)</f>
        <v>0</v>
      </c>
      <c r="W281" s="3">
        <f>IFERROR(INDEX(EVENTOS!$D:$D,MATCH(SCORE!W$2&amp;" "&amp;SCORE!$D281,EVENTOS!$F:$F,0)),0)</f>
        <v>0</v>
      </c>
      <c r="X281" s="3">
        <f>IFERROR(INDEX(EVENTOS!$D:$D,MATCH(SCORE!X$2&amp;" "&amp;SCORE!$D281,EVENTOS!$F:$F,0)),0)</f>
        <v>0</v>
      </c>
      <c r="Y281" s="3">
        <f>SUMIFS(EVENTOS!$D:$D, EVENTOS!$B:$B, D281, EVENTOS!$E:$E, "*GirAlto*")</f>
        <v>0</v>
      </c>
      <c r="Z281" s="3">
        <f>SUMIFS(EVENTOS!$D:$D, EVENTOS!$B:$B, D281, EVENTOS!$E:$E, "*GirMed*")</f>
        <v>0</v>
      </c>
      <c r="AA281" s="3">
        <f>SUMIFS(EVENTOS!$D:$D, EVENTOS!$B:$B, D281, EVENTOS!$E:$E, "*GirBajo*")</f>
        <v>0</v>
      </c>
      <c r="AB281" s="3">
        <f>IFERROR(INDEX(EVENTOS!$D:$D,MATCH(SCORE!AB$2&amp;" "&amp;SCORE!$D281,EVENTOS!$F:$F,0)),0)</f>
        <v>0</v>
      </c>
      <c r="AC281" s="3">
        <f>IFERROR(INDEX(EVENTOS!$D:$D,MATCH(SCORE!AC$2&amp;" "&amp;SCORE!$D281,EVENTOS!$F:$F,0)),0)</f>
        <v>0</v>
      </c>
      <c r="AD281" s="3">
        <f>IFERROR(INDEX(EVENTOS!$D:$D,MATCH(SCORE!AD$2&amp;" "&amp;SCORE!$D281,EVENTOS!$F:$F,0)),0)</f>
        <v>0</v>
      </c>
      <c r="AE281" s="3">
        <f t="shared" si="12"/>
        <v>0</v>
      </c>
      <c r="AF281" s="10" t="e">
        <f t="shared" si="13"/>
        <v>#N/A</v>
      </c>
      <c r="AG281" s="3" t="str">
        <f t="shared" si="14"/>
        <v/>
      </c>
    </row>
    <row r="282" spans="1:33" x14ac:dyDescent="0.25">
      <c r="A282" s="7"/>
      <c r="B282" s="8"/>
      <c r="C282" s="3"/>
      <c r="D282" s="3"/>
      <c r="E282" s="3" t="e">
        <f>VLOOKUP(D282,VIAJES!$D:$E,2,FALSE)</f>
        <v>#N/A</v>
      </c>
      <c r="F282" s="9" t="e">
        <f>VLOOKUP(D282,VIAJES!$D:$F,3,FALSE)</f>
        <v>#N/A</v>
      </c>
      <c r="G282" s="9" t="e">
        <f>VLOOKUP(D282,VIAJES!$D:$G,4,FALSE)</f>
        <v>#N/A</v>
      </c>
      <c r="H282" s="3" t="e">
        <f>VLOOKUP(D282,VIAJES!$D:$H,5,FALSE)</f>
        <v>#N/A</v>
      </c>
      <c r="S282" s="3">
        <f>IFERROR(INDEX(EVENTOS!$D:$D,MATCH(SCORE!S$2&amp;" "&amp;SCORE!$D282,EVENTOS!$F:$F,0)),0)</f>
        <v>0</v>
      </c>
      <c r="T282" s="3">
        <f>IFERROR(INDEX(EVENTOS!$D:$D,MATCH(SCORE!T$2&amp;" "&amp;SCORE!$D282,EVENTOS!$F:$F,0)),0)</f>
        <v>0</v>
      </c>
      <c r="U282" s="3">
        <f>IFERROR(INDEX(EVENTOS!$D:$D,MATCH(SCORE!U$2&amp;" "&amp;SCORE!$D282,EVENTOS!$F:$F,0)),0)</f>
        <v>0</v>
      </c>
      <c r="V282" s="3">
        <f>IFERROR(INDEX(EVENTOS!$D:$D,MATCH(SCORE!V$2&amp;" "&amp;SCORE!$D282,EVENTOS!$F:$F,0)),0)</f>
        <v>0</v>
      </c>
      <c r="W282" s="3">
        <f>IFERROR(INDEX(EVENTOS!$D:$D,MATCH(SCORE!W$2&amp;" "&amp;SCORE!$D282,EVENTOS!$F:$F,0)),0)</f>
        <v>0</v>
      </c>
      <c r="X282" s="3">
        <f>IFERROR(INDEX(EVENTOS!$D:$D,MATCH(SCORE!X$2&amp;" "&amp;SCORE!$D282,EVENTOS!$F:$F,0)),0)</f>
        <v>0</v>
      </c>
      <c r="Y282" s="3">
        <f>SUMIFS(EVENTOS!$D:$D, EVENTOS!$B:$B, D282, EVENTOS!$E:$E, "*GirAlto*")</f>
        <v>0</v>
      </c>
      <c r="Z282" s="3">
        <f>SUMIFS(EVENTOS!$D:$D, EVENTOS!$B:$B, D282, EVENTOS!$E:$E, "*GirMed*")</f>
        <v>0</v>
      </c>
      <c r="AA282" s="3">
        <f>SUMIFS(EVENTOS!$D:$D, EVENTOS!$B:$B, D282, EVENTOS!$E:$E, "*GirBajo*")</f>
        <v>0</v>
      </c>
      <c r="AB282" s="3">
        <f>IFERROR(INDEX(EVENTOS!$D:$D,MATCH(SCORE!AB$2&amp;" "&amp;SCORE!$D282,EVENTOS!$F:$F,0)),0)</f>
        <v>0</v>
      </c>
      <c r="AC282" s="3">
        <f>IFERROR(INDEX(EVENTOS!$D:$D,MATCH(SCORE!AC$2&amp;" "&amp;SCORE!$D282,EVENTOS!$F:$F,0)),0)</f>
        <v>0</v>
      </c>
      <c r="AD282" s="3">
        <f>IFERROR(INDEX(EVENTOS!$D:$D,MATCH(SCORE!AD$2&amp;" "&amp;SCORE!$D282,EVENTOS!$F:$F,0)),0)</f>
        <v>0</v>
      </c>
      <c r="AE282" s="3">
        <f t="shared" si="12"/>
        <v>0</v>
      </c>
      <c r="AF282" s="10" t="e">
        <f t="shared" si="13"/>
        <v>#N/A</v>
      </c>
      <c r="AG282" s="3" t="str">
        <f t="shared" si="14"/>
        <v/>
      </c>
    </row>
    <row r="283" spans="1:33" x14ac:dyDescent="0.25">
      <c r="A283" s="7"/>
      <c r="B283" s="8"/>
      <c r="C283" s="3"/>
      <c r="D283" s="3"/>
      <c r="E283" s="3" t="e">
        <f>VLOOKUP(D283,VIAJES!$D:$E,2,FALSE)</f>
        <v>#N/A</v>
      </c>
      <c r="F283" s="9" t="e">
        <f>VLOOKUP(D283,VIAJES!$D:$F,3,FALSE)</f>
        <v>#N/A</v>
      </c>
      <c r="G283" s="9" t="e">
        <f>VLOOKUP(D283,VIAJES!$D:$G,4,FALSE)</f>
        <v>#N/A</v>
      </c>
      <c r="H283" s="3" t="e">
        <f>VLOOKUP(D283,VIAJES!$D:$H,5,FALSE)</f>
        <v>#N/A</v>
      </c>
      <c r="S283" s="3">
        <f>IFERROR(INDEX(EVENTOS!$D:$D,MATCH(SCORE!S$2&amp;" "&amp;SCORE!$D283,EVENTOS!$F:$F,0)),0)</f>
        <v>0</v>
      </c>
      <c r="T283" s="3">
        <f>IFERROR(INDEX(EVENTOS!$D:$D,MATCH(SCORE!T$2&amp;" "&amp;SCORE!$D283,EVENTOS!$F:$F,0)),0)</f>
        <v>0</v>
      </c>
      <c r="U283" s="3">
        <f>IFERROR(INDEX(EVENTOS!$D:$D,MATCH(SCORE!U$2&amp;" "&amp;SCORE!$D283,EVENTOS!$F:$F,0)),0)</f>
        <v>0</v>
      </c>
      <c r="V283" s="3">
        <f>IFERROR(INDEX(EVENTOS!$D:$D,MATCH(SCORE!V$2&amp;" "&amp;SCORE!$D283,EVENTOS!$F:$F,0)),0)</f>
        <v>0</v>
      </c>
      <c r="W283" s="3">
        <f>IFERROR(INDEX(EVENTOS!$D:$D,MATCH(SCORE!W$2&amp;" "&amp;SCORE!$D283,EVENTOS!$F:$F,0)),0)</f>
        <v>0</v>
      </c>
      <c r="X283" s="3">
        <f>IFERROR(INDEX(EVENTOS!$D:$D,MATCH(SCORE!X$2&amp;" "&amp;SCORE!$D283,EVENTOS!$F:$F,0)),0)</f>
        <v>0</v>
      </c>
      <c r="Y283" s="3">
        <f>SUMIFS(EVENTOS!$D:$D, EVENTOS!$B:$B, D283, EVENTOS!$E:$E, "*GirAlto*")</f>
        <v>0</v>
      </c>
      <c r="Z283" s="3">
        <f>SUMIFS(EVENTOS!$D:$D, EVENTOS!$B:$B, D283, EVENTOS!$E:$E, "*GirMed*")</f>
        <v>0</v>
      </c>
      <c r="AA283" s="3">
        <f>SUMIFS(EVENTOS!$D:$D, EVENTOS!$B:$B, D283, EVENTOS!$E:$E, "*GirBajo*")</f>
        <v>0</v>
      </c>
      <c r="AB283" s="3">
        <f>IFERROR(INDEX(EVENTOS!$D:$D,MATCH(SCORE!AB$2&amp;" "&amp;SCORE!$D283,EVENTOS!$F:$F,0)),0)</f>
        <v>0</v>
      </c>
      <c r="AC283" s="3">
        <f>IFERROR(INDEX(EVENTOS!$D:$D,MATCH(SCORE!AC$2&amp;" "&amp;SCORE!$D283,EVENTOS!$F:$F,0)),0)</f>
        <v>0</v>
      </c>
      <c r="AD283" s="3">
        <f>IFERROR(INDEX(EVENTOS!$D:$D,MATCH(SCORE!AD$2&amp;" "&amp;SCORE!$D283,EVENTOS!$F:$F,0)),0)</f>
        <v>0</v>
      </c>
      <c r="AE283" s="3">
        <f t="shared" si="12"/>
        <v>0</v>
      </c>
      <c r="AF283" s="10" t="e">
        <f t="shared" si="13"/>
        <v>#N/A</v>
      </c>
      <c r="AG283" s="3" t="str">
        <f t="shared" si="14"/>
        <v/>
      </c>
    </row>
    <row r="284" spans="1:33" x14ac:dyDescent="0.25">
      <c r="A284" s="7"/>
      <c r="B284" s="8"/>
      <c r="C284" s="3"/>
      <c r="D284" s="3"/>
      <c r="E284" s="3" t="e">
        <f>VLOOKUP(D284,VIAJES!$D:$E,2,FALSE)</f>
        <v>#N/A</v>
      </c>
      <c r="F284" s="9" t="e">
        <f>VLOOKUP(D284,VIAJES!$D:$F,3,FALSE)</f>
        <v>#N/A</v>
      </c>
      <c r="G284" s="9" t="e">
        <f>VLOOKUP(D284,VIAJES!$D:$G,4,FALSE)</f>
        <v>#N/A</v>
      </c>
      <c r="H284" s="3" t="e">
        <f>VLOOKUP(D284,VIAJES!$D:$H,5,FALSE)</f>
        <v>#N/A</v>
      </c>
      <c r="S284" s="3">
        <f>IFERROR(INDEX(EVENTOS!$D:$D,MATCH(SCORE!S$2&amp;" "&amp;SCORE!$D284,EVENTOS!$F:$F,0)),0)</f>
        <v>0</v>
      </c>
      <c r="T284" s="3">
        <f>IFERROR(INDEX(EVENTOS!$D:$D,MATCH(SCORE!T$2&amp;" "&amp;SCORE!$D284,EVENTOS!$F:$F,0)),0)</f>
        <v>0</v>
      </c>
      <c r="U284" s="3">
        <f>IFERROR(INDEX(EVENTOS!$D:$D,MATCH(SCORE!U$2&amp;" "&amp;SCORE!$D284,EVENTOS!$F:$F,0)),0)</f>
        <v>0</v>
      </c>
      <c r="V284" s="3">
        <f>IFERROR(INDEX(EVENTOS!$D:$D,MATCH(SCORE!V$2&amp;" "&amp;SCORE!$D284,EVENTOS!$F:$F,0)),0)</f>
        <v>0</v>
      </c>
      <c r="W284" s="3">
        <f>IFERROR(INDEX(EVENTOS!$D:$D,MATCH(SCORE!W$2&amp;" "&amp;SCORE!$D284,EVENTOS!$F:$F,0)),0)</f>
        <v>0</v>
      </c>
      <c r="X284" s="3">
        <f>IFERROR(INDEX(EVENTOS!$D:$D,MATCH(SCORE!X$2&amp;" "&amp;SCORE!$D284,EVENTOS!$F:$F,0)),0)</f>
        <v>0</v>
      </c>
      <c r="Y284" s="3">
        <f>SUMIFS(EVENTOS!$D:$D, EVENTOS!$B:$B, D284, EVENTOS!$E:$E, "*GirAlto*")</f>
        <v>0</v>
      </c>
      <c r="Z284" s="3">
        <f>SUMIFS(EVENTOS!$D:$D, EVENTOS!$B:$B, D284, EVENTOS!$E:$E, "*GirMed*")</f>
        <v>0</v>
      </c>
      <c r="AA284" s="3">
        <f>SUMIFS(EVENTOS!$D:$D, EVENTOS!$B:$B, D284, EVENTOS!$E:$E, "*GirBajo*")</f>
        <v>0</v>
      </c>
      <c r="AB284" s="3">
        <f>IFERROR(INDEX(EVENTOS!$D:$D,MATCH(SCORE!AB$2&amp;" "&amp;SCORE!$D284,EVENTOS!$F:$F,0)),0)</f>
        <v>0</v>
      </c>
      <c r="AC284" s="3">
        <f>IFERROR(INDEX(EVENTOS!$D:$D,MATCH(SCORE!AC$2&amp;" "&amp;SCORE!$D284,EVENTOS!$F:$F,0)),0)</f>
        <v>0</v>
      </c>
      <c r="AD284" s="3">
        <f>IFERROR(INDEX(EVENTOS!$D:$D,MATCH(SCORE!AD$2&amp;" "&amp;SCORE!$D284,EVENTOS!$F:$F,0)),0)</f>
        <v>0</v>
      </c>
      <c r="AE284" s="3">
        <f t="shared" si="12"/>
        <v>0</v>
      </c>
      <c r="AF284" s="10" t="e">
        <f t="shared" si="13"/>
        <v>#N/A</v>
      </c>
      <c r="AG284" s="3" t="str">
        <f t="shared" si="14"/>
        <v/>
      </c>
    </row>
    <row r="285" spans="1:33" x14ac:dyDescent="0.25">
      <c r="A285" s="7"/>
      <c r="B285" s="8"/>
      <c r="C285" s="3"/>
      <c r="D285" s="3"/>
      <c r="E285" s="3" t="e">
        <f>VLOOKUP(D285,VIAJES!$D:$E,2,FALSE)</f>
        <v>#N/A</v>
      </c>
      <c r="F285" s="9" t="e">
        <f>VLOOKUP(D285,VIAJES!$D:$F,3,FALSE)</f>
        <v>#N/A</v>
      </c>
      <c r="G285" s="9" t="e">
        <f>VLOOKUP(D285,VIAJES!$D:$G,4,FALSE)</f>
        <v>#N/A</v>
      </c>
      <c r="H285" s="3" t="e">
        <f>VLOOKUP(D285,VIAJES!$D:$H,5,FALSE)</f>
        <v>#N/A</v>
      </c>
      <c r="S285" s="3">
        <f>IFERROR(INDEX(EVENTOS!$D:$D,MATCH(SCORE!S$2&amp;" "&amp;SCORE!$D285,EVENTOS!$F:$F,0)),0)</f>
        <v>0</v>
      </c>
      <c r="T285" s="3">
        <f>IFERROR(INDEX(EVENTOS!$D:$D,MATCH(SCORE!T$2&amp;" "&amp;SCORE!$D285,EVENTOS!$F:$F,0)),0)</f>
        <v>0</v>
      </c>
      <c r="U285" s="3">
        <f>IFERROR(INDEX(EVENTOS!$D:$D,MATCH(SCORE!U$2&amp;" "&amp;SCORE!$D285,EVENTOS!$F:$F,0)),0)</f>
        <v>0</v>
      </c>
      <c r="V285" s="3">
        <f>IFERROR(INDEX(EVENTOS!$D:$D,MATCH(SCORE!V$2&amp;" "&amp;SCORE!$D285,EVENTOS!$F:$F,0)),0)</f>
        <v>0</v>
      </c>
      <c r="W285" s="3">
        <f>IFERROR(INDEX(EVENTOS!$D:$D,MATCH(SCORE!W$2&amp;" "&amp;SCORE!$D285,EVENTOS!$F:$F,0)),0)</f>
        <v>0</v>
      </c>
      <c r="X285" s="3">
        <f>IFERROR(INDEX(EVENTOS!$D:$D,MATCH(SCORE!X$2&amp;" "&amp;SCORE!$D285,EVENTOS!$F:$F,0)),0)</f>
        <v>0</v>
      </c>
      <c r="Y285" s="3">
        <f>SUMIFS(EVENTOS!$D:$D, EVENTOS!$B:$B, D285, EVENTOS!$E:$E, "*GirAlto*")</f>
        <v>0</v>
      </c>
      <c r="Z285" s="3">
        <f>SUMIFS(EVENTOS!$D:$D, EVENTOS!$B:$B, D285, EVENTOS!$E:$E, "*GirMed*")</f>
        <v>0</v>
      </c>
      <c r="AA285" s="3">
        <f>SUMIFS(EVENTOS!$D:$D, EVENTOS!$B:$B, D285, EVENTOS!$E:$E, "*GirBajo*")</f>
        <v>0</v>
      </c>
      <c r="AB285" s="3">
        <f>IFERROR(INDEX(EVENTOS!$D:$D,MATCH(SCORE!AB$2&amp;" "&amp;SCORE!$D285,EVENTOS!$F:$F,0)),0)</f>
        <v>0</v>
      </c>
      <c r="AC285" s="3">
        <f>IFERROR(INDEX(EVENTOS!$D:$D,MATCH(SCORE!AC$2&amp;" "&amp;SCORE!$D285,EVENTOS!$F:$F,0)),0)</f>
        <v>0</v>
      </c>
      <c r="AD285" s="3">
        <f>IFERROR(INDEX(EVENTOS!$D:$D,MATCH(SCORE!AD$2&amp;" "&amp;SCORE!$D285,EVENTOS!$F:$F,0)),0)</f>
        <v>0</v>
      </c>
      <c r="AE285" s="3">
        <f t="shared" si="12"/>
        <v>0</v>
      </c>
      <c r="AF285" s="10" t="e">
        <f t="shared" si="13"/>
        <v>#N/A</v>
      </c>
      <c r="AG285" s="3" t="str">
        <f t="shared" si="14"/>
        <v/>
      </c>
    </row>
    <row r="286" spans="1:33" x14ac:dyDescent="0.25">
      <c r="A286" s="7"/>
      <c r="B286" s="8"/>
      <c r="C286" s="3"/>
      <c r="D286" s="3"/>
      <c r="E286" s="3" t="e">
        <f>VLOOKUP(D286,VIAJES!$D:$E,2,FALSE)</f>
        <v>#N/A</v>
      </c>
      <c r="F286" s="9" t="e">
        <f>VLOOKUP(D286,VIAJES!$D:$F,3,FALSE)</f>
        <v>#N/A</v>
      </c>
      <c r="G286" s="9" t="e">
        <f>VLOOKUP(D286,VIAJES!$D:$G,4,FALSE)</f>
        <v>#N/A</v>
      </c>
      <c r="H286" s="3" t="e">
        <f>VLOOKUP(D286,VIAJES!$D:$H,5,FALSE)</f>
        <v>#N/A</v>
      </c>
      <c r="S286" s="3">
        <f>IFERROR(INDEX(EVENTOS!$D:$D,MATCH(SCORE!S$2&amp;" "&amp;SCORE!$D286,EVENTOS!$F:$F,0)),0)</f>
        <v>0</v>
      </c>
      <c r="T286" s="3">
        <f>IFERROR(INDEX(EVENTOS!$D:$D,MATCH(SCORE!T$2&amp;" "&amp;SCORE!$D286,EVENTOS!$F:$F,0)),0)</f>
        <v>0</v>
      </c>
      <c r="U286" s="3">
        <f>IFERROR(INDEX(EVENTOS!$D:$D,MATCH(SCORE!U$2&amp;" "&amp;SCORE!$D286,EVENTOS!$F:$F,0)),0)</f>
        <v>0</v>
      </c>
      <c r="V286" s="3">
        <f>IFERROR(INDEX(EVENTOS!$D:$D,MATCH(SCORE!V$2&amp;" "&amp;SCORE!$D286,EVENTOS!$F:$F,0)),0)</f>
        <v>0</v>
      </c>
      <c r="W286" s="3">
        <f>IFERROR(INDEX(EVENTOS!$D:$D,MATCH(SCORE!W$2&amp;" "&amp;SCORE!$D286,EVENTOS!$F:$F,0)),0)</f>
        <v>0</v>
      </c>
      <c r="X286" s="3">
        <f>IFERROR(INDEX(EVENTOS!$D:$D,MATCH(SCORE!X$2&amp;" "&amp;SCORE!$D286,EVENTOS!$F:$F,0)),0)</f>
        <v>0</v>
      </c>
      <c r="Y286" s="3">
        <f>SUMIFS(EVENTOS!$D:$D, EVENTOS!$B:$B, D286, EVENTOS!$E:$E, "*GirAlto*")</f>
        <v>0</v>
      </c>
      <c r="Z286" s="3">
        <f>SUMIFS(EVENTOS!$D:$D, EVENTOS!$B:$B, D286, EVENTOS!$E:$E, "*GirMed*")</f>
        <v>0</v>
      </c>
      <c r="AA286" s="3">
        <f>SUMIFS(EVENTOS!$D:$D, EVENTOS!$B:$B, D286, EVENTOS!$E:$E, "*GirBajo*")</f>
        <v>0</v>
      </c>
      <c r="AB286" s="3">
        <f>IFERROR(INDEX(EVENTOS!$D:$D,MATCH(SCORE!AB$2&amp;" "&amp;SCORE!$D286,EVENTOS!$F:$F,0)),0)</f>
        <v>0</v>
      </c>
      <c r="AC286" s="3">
        <f>IFERROR(INDEX(EVENTOS!$D:$D,MATCH(SCORE!AC$2&amp;" "&amp;SCORE!$D286,EVENTOS!$F:$F,0)),0)</f>
        <v>0</v>
      </c>
      <c r="AD286" s="3">
        <f>IFERROR(INDEX(EVENTOS!$D:$D,MATCH(SCORE!AD$2&amp;" "&amp;SCORE!$D286,EVENTOS!$F:$F,0)),0)</f>
        <v>0</v>
      </c>
      <c r="AE286" s="3">
        <f t="shared" si="12"/>
        <v>0</v>
      </c>
      <c r="AF286" s="10" t="e">
        <f t="shared" si="13"/>
        <v>#N/A</v>
      </c>
      <c r="AG286" s="3" t="str">
        <f t="shared" si="14"/>
        <v/>
      </c>
    </row>
    <row r="287" spans="1:33" x14ac:dyDescent="0.25">
      <c r="A287" s="7"/>
      <c r="B287" s="8"/>
      <c r="C287" s="3"/>
      <c r="D287" s="3"/>
      <c r="E287" s="3" t="e">
        <f>VLOOKUP(D287,VIAJES!$D:$E,2,FALSE)</f>
        <v>#N/A</v>
      </c>
      <c r="F287" s="9" t="e">
        <f>VLOOKUP(D287,VIAJES!$D:$F,3,FALSE)</f>
        <v>#N/A</v>
      </c>
      <c r="G287" s="9" t="e">
        <f>VLOOKUP(D287,VIAJES!$D:$G,4,FALSE)</f>
        <v>#N/A</v>
      </c>
      <c r="H287" s="3" t="e">
        <f>VLOOKUP(D287,VIAJES!$D:$H,5,FALSE)</f>
        <v>#N/A</v>
      </c>
      <c r="S287" s="3">
        <f>IFERROR(INDEX(EVENTOS!$D:$D,MATCH(SCORE!S$2&amp;" "&amp;SCORE!$D287,EVENTOS!$F:$F,0)),0)</f>
        <v>0</v>
      </c>
      <c r="T287" s="3">
        <f>IFERROR(INDEX(EVENTOS!$D:$D,MATCH(SCORE!T$2&amp;" "&amp;SCORE!$D287,EVENTOS!$F:$F,0)),0)</f>
        <v>0</v>
      </c>
      <c r="U287" s="3">
        <f>IFERROR(INDEX(EVENTOS!$D:$D,MATCH(SCORE!U$2&amp;" "&amp;SCORE!$D287,EVENTOS!$F:$F,0)),0)</f>
        <v>0</v>
      </c>
      <c r="V287" s="3">
        <f>IFERROR(INDEX(EVENTOS!$D:$D,MATCH(SCORE!V$2&amp;" "&amp;SCORE!$D287,EVENTOS!$F:$F,0)),0)</f>
        <v>0</v>
      </c>
      <c r="W287" s="3">
        <f>IFERROR(INDEX(EVENTOS!$D:$D,MATCH(SCORE!W$2&amp;" "&amp;SCORE!$D287,EVENTOS!$F:$F,0)),0)</f>
        <v>0</v>
      </c>
      <c r="X287" s="3">
        <f>IFERROR(INDEX(EVENTOS!$D:$D,MATCH(SCORE!X$2&amp;" "&amp;SCORE!$D287,EVENTOS!$F:$F,0)),0)</f>
        <v>0</v>
      </c>
      <c r="Y287" s="3">
        <f>SUMIFS(EVENTOS!$D:$D, EVENTOS!$B:$B, D287, EVENTOS!$E:$E, "*GirAlto*")</f>
        <v>0</v>
      </c>
      <c r="Z287" s="3">
        <f>SUMIFS(EVENTOS!$D:$D, EVENTOS!$B:$B, D287, EVENTOS!$E:$E, "*GirMed*")</f>
        <v>0</v>
      </c>
      <c r="AA287" s="3">
        <f>SUMIFS(EVENTOS!$D:$D, EVENTOS!$B:$B, D287, EVENTOS!$E:$E, "*GirBajo*")</f>
        <v>0</v>
      </c>
      <c r="AB287" s="3">
        <f>IFERROR(INDEX(EVENTOS!$D:$D,MATCH(SCORE!AB$2&amp;" "&amp;SCORE!$D287,EVENTOS!$F:$F,0)),0)</f>
        <v>0</v>
      </c>
      <c r="AC287" s="3">
        <f>IFERROR(INDEX(EVENTOS!$D:$D,MATCH(SCORE!AC$2&amp;" "&amp;SCORE!$D287,EVENTOS!$F:$F,0)),0)</f>
        <v>0</v>
      </c>
      <c r="AD287" s="3">
        <f>IFERROR(INDEX(EVENTOS!$D:$D,MATCH(SCORE!AD$2&amp;" "&amp;SCORE!$D287,EVENTOS!$F:$F,0)),0)</f>
        <v>0</v>
      </c>
      <c r="AE287" s="3">
        <f t="shared" si="12"/>
        <v>0</v>
      </c>
      <c r="AF287" s="10" t="e">
        <f t="shared" si="13"/>
        <v>#N/A</v>
      </c>
      <c r="AG287" s="3" t="str">
        <f t="shared" si="14"/>
        <v/>
      </c>
    </row>
    <row r="288" spans="1:33" x14ac:dyDescent="0.25">
      <c r="A288" s="7"/>
      <c r="B288" s="8"/>
      <c r="C288" s="3"/>
      <c r="D288" s="3"/>
      <c r="E288" s="3" t="e">
        <f>VLOOKUP(D288,VIAJES!$D:$E,2,FALSE)</f>
        <v>#N/A</v>
      </c>
      <c r="F288" s="9" t="e">
        <f>VLOOKUP(D288,VIAJES!$D:$F,3,FALSE)</f>
        <v>#N/A</v>
      </c>
      <c r="G288" s="9" t="e">
        <f>VLOOKUP(D288,VIAJES!$D:$G,4,FALSE)</f>
        <v>#N/A</v>
      </c>
      <c r="H288" s="3" t="e">
        <f>VLOOKUP(D288,VIAJES!$D:$H,5,FALSE)</f>
        <v>#N/A</v>
      </c>
      <c r="S288" s="3">
        <f>IFERROR(INDEX(EVENTOS!$D:$D,MATCH(SCORE!S$2&amp;" "&amp;SCORE!$D288,EVENTOS!$F:$F,0)),0)</f>
        <v>0</v>
      </c>
      <c r="T288" s="3">
        <f>IFERROR(INDEX(EVENTOS!$D:$D,MATCH(SCORE!T$2&amp;" "&amp;SCORE!$D288,EVENTOS!$F:$F,0)),0)</f>
        <v>0</v>
      </c>
      <c r="U288" s="3">
        <f>IFERROR(INDEX(EVENTOS!$D:$D,MATCH(SCORE!U$2&amp;" "&amp;SCORE!$D288,EVENTOS!$F:$F,0)),0)</f>
        <v>0</v>
      </c>
      <c r="V288" s="3">
        <f>IFERROR(INDEX(EVENTOS!$D:$D,MATCH(SCORE!V$2&amp;" "&amp;SCORE!$D288,EVENTOS!$F:$F,0)),0)</f>
        <v>0</v>
      </c>
      <c r="W288" s="3">
        <f>IFERROR(INDEX(EVENTOS!$D:$D,MATCH(SCORE!W$2&amp;" "&amp;SCORE!$D288,EVENTOS!$F:$F,0)),0)</f>
        <v>0</v>
      </c>
      <c r="X288" s="3">
        <f>IFERROR(INDEX(EVENTOS!$D:$D,MATCH(SCORE!X$2&amp;" "&amp;SCORE!$D288,EVENTOS!$F:$F,0)),0)</f>
        <v>0</v>
      </c>
      <c r="Y288" s="3">
        <f>SUMIFS(EVENTOS!$D:$D, EVENTOS!$B:$B, D288, EVENTOS!$E:$E, "*GirAlto*")</f>
        <v>0</v>
      </c>
      <c r="Z288" s="3">
        <f>SUMIFS(EVENTOS!$D:$D, EVENTOS!$B:$B, D288, EVENTOS!$E:$E, "*GirMed*")</f>
        <v>0</v>
      </c>
      <c r="AA288" s="3">
        <f>SUMIFS(EVENTOS!$D:$D, EVENTOS!$B:$B, D288, EVENTOS!$E:$E, "*GirBajo*")</f>
        <v>0</v>
      </c>
      <c r="AB288" s="3">
        <f>IFERROR(INDEX(EVENTOS!$D:$D,MATCH(SCORE!AB$2&amp;" "&amp;SCORE!$D288,EVENTOS!$F:$F,0)),0)</f>
        <v>0</v>
      </c>
      <c r="AC288" s="3">
        <f>IFERROR(INDEX(EVENTOS!$D:$D,MATCH(SCORE!AC$2&amp;" "&amp;SCORE!$D288,EVENTOS!$F:$F,0)),0)</f>
        <v>0</v>
      </c>
      <c r="AD288" s="3">
        <f>IFERROR(INDEX(EVENTOS!$D:$D,MATCH(SCORE!AD$2&amp;" "&amp;SCORE!$D288,EVENTOS!$F:$F,0)),0)</f>
        <v>0</v>
      </c>
      <c r="AE288" s="3">
        <f t="shared" si="12"/>
        <v>0</v>
      </c>
      <c r="AF288" s="10" t="e">
        <f t="shared" si="13"/>
        <v>#N/A</v>
      </c>
      <c r="AG288" s="3" t="str">
        <f t="shared" si="14"/>
        <v/>
      </c>
    </row>
    <row r="289" spans="1:33" x14ac:dyDescent="0.25">
      <c r="A289" s="7"/>
      <c r="B289" s="8"/>
      <c r="C289" s="3"/>
      <c r="D289" s="3"/>
      <c r="E289" s="3" t="e">
        <f>VLOOKUP(D289,VIAJES!$D:$E,2,FALSE)</f>
        <v>#N/A</v>
      </c>
      <c r="F289" s="9" t="e">
        <f>VLOOKUP(D289,VIAJES!$D:$F,3,FALSE)</f>
        <v>#N/A</v>
      </c>
      <c r="G289" s="9" t="e">
        <f>VLOOKUP(D289,VIAJES!$D:$G,4,FALSE)</f>
        <v>#N/A</v>
      </c>
      <c r="H289" s="3" t="e">
        <f>VLOOKUP(D289,VIAJES!$D:$H,5,FALSE)</f>
        <v>#N/A</v>
      </c>
      <c r="S289" s="3">
        <f>IFERROR(INDEX(EVENTOS!$D:$D,MATCH(SCORE!S$2&amp;" "&amp;SCORE!$D289,EVENTOS!$F:$F,0)),0)</f>
        <v>0</v>
      </c>
      <c r="T289" s="3">
        <f>IFERROR(INDEX(EVENTOS!$D:$D,MATCH(SCORE!T$2&amp;" "&amp;SCORE!$D289,EVENTOS!$F:$F,0)),0)</f>
        <v>0</v>
      </c>
      <c r="U289" s="3">
        <f>IFERROR(INDEX(EVENTOS!$D:$D,MATCH(SCORE!U$2&amp;" "&amp;SCORE!$D289,EVENTOS!$F:$F,0)),0)</f>
        <v>0</v>
      </c>
      <c r="V289" s="3">
        <f>IFERROR(INDEX(EVENTOS!$D:$D,MATCH(SCORE!V$2&amp;" "&amp;SCORE!$D289,EVENTOS!$F:$F,0)),0)</f>
        <v>0</v>
      </c>
      <c r="W289" s="3">
        <f>IFERROR(INDEX(EVENTOS!$D:$D,MATCH(SCORE!W$2&amp;" "&amp;SCORE!$D289,EVENTOS!$F:$F,0)),0)</f>
        <v>0</v>
      </c>
      <c r="X289" s="3">
        <f>IFERROR(INDEX(EVENTOS!$D:$D,MATCH(SCORE!X$2&amp;" "&amp;SCORE!$D289,EVENTOS!$F:$F,0)),0)</f>
        <v>0</v>
      </c>
      <c r="Y289" s="3">
        <f>SUMIFS(EVENTOS!$D:$D, EVENTOS!$B:$B, D289, EVENTOS!$E:$E, "*GirAlto*")</f>
        <v>0</v>
      </c>
      <c r="Z289" s="3">
        <f>SUMIFS(EVENTOS!$D:$D, EVENTOS!$B:$B, D289, EVENTOS!$E:$E, "*GirMed*")</f>
        <v>0</v>
      </c>
      <c r="AA289" s="3">
        <f>SUMIFS(EVENTOS!$D:$D, EVENTOS!$B:$B, D289, EVENTOS!$E:$E, "*GirBajo*")</f>
        <v>0</v>
      </c>
      <c r="AB289" s="3">
        <f>IFERROR(INDEX(EVENTOS!$D:$D,MATCH(SCORE!AB$2&amp;" "&amp;SCORE!$D289,EVENTOS!$F:$F,0)),0)</f>
        <v>0</v>
      </c>
      <c r="AC289" s="3">
        <f>IFERROR(INDEX(EVENTOS!$D:$D,MATCH(SCORE!AC$2&amp;" "&amp;SCORE!$D289,EVENTOS!$F:$F,0)),0)</f>
        <v>0</v>
      </c>
      <c r="AD289" s="3">
        <f>IFERROR(INDEX(EVENTOS!$D:$D,MATCH(SCORE!AD$2&amp;" "&amp;SCORE!$D289,EVENTOS!$F:$F,0)),0)</f>
        <v>0</v>
      </c>
      <c r="AE289" s="3">
        <f t="shared" si="12"/>
        <v>0</v>
      </c>
      <c r="AF289" s="10" t="e">
        <f t="shared" si="13"/>
        <v>#N/A</v>
      </c>
      <c r="AG289" s="3" t="str">
        <f t="shared" si="14"/>
        <v/>
      </c>
    </row>
    <row r="290" spans="1:33" x14ac:dyDescent="0.25">
      <c r="A290" s="7"/>
      <c r="B290" s="8"/>
      <c r="C290" s="3"/>
      <c r="D290" s="3"/>
      <c r="E290" s="3" t="e">
        <f>VLOOKUP(D290,VIAJES!$D:$E,2,FALSE)</f>
        <v>#N/A</v>
      </c>
      <c r="F290" s="9" t="e">
        <f>VLOOKUP(D290,VIAJES!$D:$F,3,FALSE)</f>
        <v>#N/A</v>
      </c>
      <c r="G290" s="9" t="e">
        <f>VLOOKUP(D290,VIAJES!$D:$G,4,FALSE)</f>
        <v>#N/A</v>
      </c>
      <c r="H290" s="3" t="e">
        <f>VLOOKUP(D290,VIAJES!$D:$H,5,FALSE)</f>
        <v>#N/A</v>
      </c>
      <c r="S290" s="3">
        <f>IFERROR(INDEX(EVENTOS!$D:$D,MATCH(SCORE!S$2&amp;" "&amp;SCORE!$D290,EVENTOS!$F:$F,0)),0)</f>
        <v>0</v>
      </c>
      <c r="T290" s="3">
        <f>IFERROR(INDEX(EVENTOS!$D:$D,MATCH(SCORE!T$2&amp;" "&amp;SCORE!$D290,EVENTOS!$F:$F,0)),0)</f>
        <v>0</v>
      </c>
      <c r="U290" s="3">
        <f>IFERROR(INDEX(EVENTOS!$D:$D,MATCH(SCORE!U$2&amp;" "&amp;SCORE!$D290,EVENTOS!$F:$F,0)),0)</f>
        <v>0</v>
      </c>
      <c r="V290" s="3">
        <f>IFERROR(INDEX(EVENTOS!$D:$D,MATCH(SCORE!V$2&amp;" "&amp;SCORE!$D290,EVENTOS!$F:$F,0)),0)</f>
        <v>0</v>
      </c>
      <c r="W290" s="3">
        <f>IFERROR(INDEX(EVENTOS!$D:$D,MATCH(SCORE!W$2&amp;" "&amp;SCORE!$D290,EVENTOS!$F:$F,0)),0)</f>
        <v>0</v>
      </c>
      <c r="X290" s="3">
        <f>IFERROR(INDEX(EVENTOS!$D:$D,MATCH(SCORE!X$2&amp;" "&amp;SCORE!$D290,EVENTOS!$F:$F,0)),0)</f>
        <v>0</v>
      </c>
      <c r="Y290" s="3">
        <f>SUMIFS(EVENTOS!$D:$D, EVENTOS!$B:$B, D290, EVENTOS!$E:$E, "*GirAlto*")</f>
        <v>0</v>
      </c>
      <c r="Z290" s="3">
        <f>SUMIFS(EVENTOS!$D:$D, EVENTOS!$B:$B, D290, EVENTOS!$E:$E, "*GirMed*")</f>
        <v>0</v>
      </c>
      <c r="AA290" s="3">
        <f>SUMIFS(EVENTOS!$D:$D, EVENTOS!$B:$B, D290, EVENTOS!$E:$E, "*GirBajo*")</f>
        <v>0</v>
      </c>
      <c r="AB290" s="3">
        <f>IFERROR(INDEX(EVENTOS!$D:$D,MATCH(SCORE!AB$2&amp;" "&amp;SCORE!$D290,EVENTOS!$F:$F,0)),0)</f>
        <v>0</v>
      </c>
      <c r="AC290" s="3">
        <f>IFERROR(INDEX(EVENTOS!$D:$D,MATCH(SCORE!AC$2&amp;" "&amp;SCORE!$D290,EVENTOS!$F:$F,0)),0)</f>
        <v>0</v>
      </c>
      <c r="AD290" s="3">
        <f>IFERROR(INDEX(EVENTOS!$D:$D,MATCH(SCORE!AD$2&amp;" "&amp;SCORE!$D290,EVENTOS!$F:$F,0)),0)</f>
        <v>0</v>
      </c>
      <c r="AE290" s="3">
        <f t="shared" si="12"/>
        <v>0</v>
      </c>
      <c r="AF290" s="10" t="e">
        <f t="shared" si="13"/>
        <v>#N/A</v>
      </c>
      <c r="AG290" s="3" t="str">
        <f t="shared" si="14"/>
        <v/>
      </c>
    </row>
    <row r="291" spans="1:33" x14ac:dyDescent="0.25">
      <c r="A291" s="7"/>
      <c r="B291" s="8"/>
      <c r="C291" s="3"/>
      <c r="D291" s="3"/>
      <c r="E291" s="3" t="e">
        <f>VLOOKUP(D291,VIAJES!$D:$E,2,FALSE)</f>
        <v>#N/A</v>
      </c>
      <c r="F291" s="9" t="e">
        <f>VLOOKUP(D291,VIAJES!$D:$F,3,FALSE)</f>
        <v>#N/A</v>
      </c>
      <c r="G291" s="9" t="e">
        <f>VLOOKUP(D291,VIAJES!$D:$G,4,FALSE)</f>
        <v>#N/A</v>
      </c>
      <c r="H291" s="3" t="e">
        <f>VLOOKUP(D291,VIAJES!$D:$H,5,FALSE)</f>
        <v>#N/A</v>
      </c>
      <c r="S291" s="3">
        <f>IFERROR(INDEX(EVENTOS!$D:$D,MATCH(SCORE!S$2&amp;" "&amp;SCORE!$D291,EVENTOS!$F:$F,0)),0)</f>
        <v>0</v>
      </c>
      <c r="T291" s="3">
        <f>IFERROR(INDEX(EVENTOS!$D:$D,MATCH(SCORE!T$2&amp;" "&amp;SCORE!$D291,EVENTOS!$F:$F,0)),0)</f>
        <v>0</v>
      </c>
      <c r="U291" s="3">
        <f>IFERROR(INDEX(EVENTOS!$D:$D,MATCH(SCORE!U$2&amp;" "&amp;SCORE!$D291,EVENTOS!$F:$F,0)),0)</f>
        <v>0</v>
      </c>
      <c r="V291" s="3">
        <f>IFERROR(INDEX(EVENTOS!$D:$D,MATCH(SCORE!V$2&amp;" "&amp;SCORE!$D291,EVENTOS!$F:$F,0)),0)</f>
        <v>0</v>
      </c>
      <c r="W291" s="3">
        <f>IFERROR(INDEX(EVENTOS!$D:$D,MATCH(SCORE!W$2&amp;" "&amp;SCORE!$D291,EVENTOS!$F:$F,0)),0)</f>
        <v>0</v>
      </c>
      <c r="X291" s="3">
        <f>IFERROR(INDEX(EVENTOS!$D:$D,MATCH(SCORE!X$2&amp;" "&amp;SCORE!$D291,EVENTOS!$F:$F,0)),0)</f>
        <v>0</v>
      </c>
      <c r="Y291" s="3">
        <f>SUMIFS(EVENTOS!$D:$D, EVENTOS!$B:$B, D291, EVENTOS!$E:$E, "*GirAlto*")</f>
        <v>0</v>
      </c>
      <c r="Z291" s="3">
        <f>SUMIFS(EVENTOS!$D:$D, EVENTOS!$B:$B, D291, EVENTOS!$E:$E, "*GirMed*")</f>
        <v>0</v>
      </c>
      <c r="AA291" s="3">
        <f>SUMIFS(EVENTOS!$D:$D, EVENTOS!$B:$B, D291, EVENTOS!$E:$E, "*GirBajo*")</f>
        <v>0</v>
      </c>
      <c r="AB291" s="3">
        <f>IFERROR(INDEX(EVENTOS!$D:$D,MATCH(SCORE!AB$2&amp;" "&amp;SCORE!$D291,EVENTOS!$F:$F,0)),0)</f>
        <v>0</v>
      </c>
      <c r="AC291" s="3">
        <f>IFERROR(INDEX(EVENTOS!$D:$D,MATCH(SCORE!AC$2&amp;" "&amp;SCORE!$D291,EVENTOS!$F:$F,0)),0)</f>
        <v>0</v>
      </c>
      <c r="AD291" s="3">
        <f>IFERROR(INDEX(EVENTOS!$D:$D,MATCH(SCORE!AD$2&amp;" "&amp;SCORE!$D291,EVENTOS!$F:$F,0)),0)</f>
        <v>0</v>
      </c>
      <c r="AE291" s="3">
        <f t="shared" si="12"/>
        <v>0</v>
      </c>
      <c r="AF291" s="10" t="e">
        <f t="shared" si="13"/>
        <v>#N/A</v>
      </c>
      <c r="AG291" s="3" t="str">
        <f t="shared" si="14"/>
        <v/>
      </c>
    </row>
    <row r="292" spans="1:33" x14ac:dyDescent="0.25">
      <c r="A292" s="7"/>
      <c r="B292" s="8"/>
      <c r="C292" s="3"/>
      <c r="D292" s="3"/>
      <c r="E292" s="3" t="e">
        <f>VLOOKUP(D292,VIAJES!$D:$E,2,FALSE)</f>
        <v>#N/A</v>
      </c>
      <c r="F292" s="9" t="e">
        <f>VLOOKUP(D292,VIAJES!$D:$F,3,FALSE)</f>
        <v>#N/A</v>
      </c>
      <c r="G292" s="9" t="e">
        <f>VLOOKUP(D292,VIAJES!$D:$G,4,FALSE)</f>
        <v>#N/A</v>
      </c>
      <c r="H292" s="3" t="e">
        <f>VLOOKUP(D292,VIAJES!$D:$H,5,FALSE)</f>
        <v>#N/A</v>
      </c>
      <c r="S292" s="3">
        <f>IFERROR(INDEX(EVENTOS!$D:$D,MATCH(SCORE!S$2&amp;" "&amp;SCORE!$D292,EVENTOS!$F:$F,0)),0)</f>
        <v>0</v>
      </c>
      <c r="T292" s="3">
        <f>IFERROR(INDEX(EVENTOS!$D:$D,MATCH(SCORE!T$2&amp;" "&amp;SCORE!$D292,EVENTOS!$F:$F,0)),0)</f>
        <v>0</v>
      </c>
      <c r="U292" s="3">
        <f>IFERROR(INDEX(EVENTOS!$D:$D,MATCH(SCORE!U$2&amp;" "&amp;SCORE!$D292,EVENTOS!$F:$F,0)),0)</f>
        <v>0</v>
      </c>
      <c r="V292" s="3">
        <f>IFERROR(INDEX(EVENTOS!$D:$D,MATCH(SCORE!V$2&amp;" "&amp;SCORE!$D292,EVENTOS!$F:$F,0)),0)</f>
        <v>0</v>
      </c>
      <c r="W292" s="3">
        <f>IFERROR(INDEX(EVENTOS!$D:$D,MATCH(SCORE!W$2&amp;" "&amp;SCORE!$D292,EVENTOS!$F:$F,0)),0)</f>
        <v>0</v>
      </c>
      <c r="X292" s="3">
        <f>IFERROR(INDEX(EVENTOS!$D:$D,MATCH(SCORE!X$2&amp;" "&amp;SCORE!$D292,EVENTOS!$F:$F,0)),0)</f>
        <v>0</v>
      </c>
      <c r="Y292" s="3">
        <f>SUMIFS(EVENTOS!$D:$D, EVENTOS!$B:$B, D292, EVENTOS!$E:$E, "*GirAlto*")</f>
        <v>0</v>
      </c>
      <c r="Z292" s="3">
        <f>SUMIFS(EVENTOS!$D:$D, EVENTOS!$B:$B, D292, EVENTOS!$E:$E, "*GirMed*")</f>
        <v>0</v>
      </c>
      <c r="AA292" s="3">
        <f>SUMIFS(EVENTOS!$D:$D, EVENTOS!$B:$B, D292, EVENTOS!$E:$E, "*GirBajo*")</f>
        <v>0</v>
      </c>
      <c r="AB292" s="3">
        <f>IFERROR(INDEX(EVENTOS!$D:$D,MATCH(SCORE!AB$2&amp;" "&amp;SCORE!$D292,EVENTOS!$F:$F,0)),0)</f>
        <v>0</v>
      </c>
      <c r="AC292" s="3">
        <f>IFERROR(INDEX(EVENTOS!$D:$D,MATCH(SCORE!AC$2&amp;" "&amp;SCORE!$D292,EVENTOS!$F:$F,0)),0)</f>
        <v>0</v>
      </c>
      <c r="AD292" s="3">
        <f>IFERROR(INDEX(EVENTOS!$D:$D,MATCH(SCORE!AD$2&amp;" "&amp;SCORE!$D292,EVENTOS!$F:$F,0)),0)</f>
        <v>0</v>
      </c>
      <c r="AE292" s="3">
        <f t="shared" si="12"/>
        <v>0</v>
      </c>
      <c r="AF292" s="10" t="e">
        <f t="shared" si="13"/>
        <v>#N/A</v>
      </c>
      <c r="AG292" s="3" t="str">
        <f t="shared" si="14"/>
        <v/>
      </c>
    </row>
    <row r="293" spans="1:33" x14ac:dyDescent="0.25">
      <c r="A293" s="7"/>
      <c r="B293" s="8"/>
      <c r="C293" s="3"/>
      <c r="D293" s="3"/>
      <c r="E293" s="3" t="e">
        <f>VLOOKUP(D293,VIAJES!$D:$E,2,FALSE)</f>
        <v>#N/A</v>
      </c>
      <c r="F293" s="9" t="e">
        <f>VLOOKUP(D293,VIAJES!$D:$F,3,FALSE)</f>
        <v>#N/A</v>
      </c>
      <c r="G293" s="9" t="e">
        <f>VLOOKUP(D293,VIAJES!$D:$G,4,FALSE)</f>
        <v>#N/A</v>
      </c>
      <c r="H293" s="3" t="e">
        <f>VLOOKUP(D293,VIAJES!$D:$H,5,FALSE)</f>
        <v>#N/A</v>
      </c>
      <c r="S293" s="3">
        <f>IFERROR(INDEX(EVENTOS!$D:$D,MATCH(SCORE!S$2&amp;" "&amp;SCORE!$D293,EVENTOS!$F:$F,0)),0)</f>
        <v>0</v>
      </c>
      <c r="T293" s="3">
        <f>IFERROR(INDEX(EVENTOS!$D:$D,MATCH(SCORE!T$2&amp;" "&amp;SCORE!$D293,EVENTOS!$F:$F,0)),0)</f>
        <v>0</v>
      </c>
      <c r="U293" s="3">
        <f>IFERROR(INDEX(EVENTOS!$D:$D,MATCH(SCORE!U$2&amp;" "&amp;SCORE!$D293,EVENTOS!$F:$F,0)),0)</f>
        <v>0</v>
      </c>
      <c r="V293" s="3">
        <f>IFERROR(INDEX(EVENTOS!$D:$D,MATCH(SCORE!V$2&amp;" "&amp;SCORE!$D293,EVENTOS!$F:$F,0)),0)</f>
        <v>0</v>
      </c>
      <c r="W293" s="3">
        <f>IFERROR(INDEX(EVENTOS!$D:$D,MATCH(SCORE!W$2&amp;" "&amp;SCORE!$D293,EVENTOS!$F:$F,0)),0)</f>
        <v>0</v>
      </c>
      <c r="X293" s="3">
        <f>IFERROR(INDEX(EVENTOS!$D:$D,MATCH(SCORE!X$2&amp;" "&amp;SCORE!$D293,EVENTOS!$F:$F,0)),0)</f>
        <v>0</v>
      </c>
      <c r="Y293" s="3">
        <f>SUMIFS(EVENTOS!$D:$D, EVENTOS!$B:$B, D293, EVENTOS!$E:$E, "*GirAlto*")</f>
        <v>0</v>
      </c>
      <c r="Z293" s="3">
        <f>SUMIFS(EVENTOS!$D:$D, EVENTOS!$B:$B, D293, EVENTOS!$E:$E, "*GirMed*")</f>
        <v>0</v>
      </c>
      <c r="AA293" s="3">
        <f>SUMIFS(EVENTOS!$D:$D, EVENTOS!$B:$B, D293, EVENTOS!$E:$E, "*GirBajo*")</f>
        <v>0</v>
      </c>
      <c r="AB293" s="3">
        <f>IFERROR(INDEX(EVENTOS!$D:$D,MATCH(SCORE!AB$2&amp;" "&amp;SCORE!$D293,EVENTOS!$F:$F,0)),0)</f>
        <v>0</v>
      </c>
      <c r="AC293" s="3">
        <f>IFERROR(INDEX(EVENTOS!$D:$D,MATCH(SCORE!AC$2&amp;" "&amp;SCORE!$D293,EVENTOS!$F:$F,0)),0)</f>
        <v>0</v>
      </c>
      <c r="AD293" s="3">
        <f>IFERROR(INDEX(EVENTOS!$D:$D,MATCH(SCORE!AD$2&amp;" "&amp;SCORE!$D293,EVENTOS!$F:$F,0)),0)</f>
        <v>0</v>
      </c>
      <c r="AE293" s="3">
        <f t="shared" si="12"/>
        <v>0</v>
      </c>
      <c r="AF293" s="10" t="e">
        <f t="shared" si="13"/>
        <v>#N/A</v>
      </c>
      <c r="AG293" s="3" t="str">
        <f t="shared" si="14"/>
        <v/>
      </c>
    </row>
    <row r="294" spans="1:33" x14ac:dyDescent="0.25">
      <c r="A294" s="7"/>
      <c r="B294" s="8"/>
      <c r="C294" s="3"/>
      <c r="D294" s="3"/>
      <c r="E294" s="3" t="e">
        <f>VLOOKUP(D294,VIAJES!$D:$E,2,FALSE)</f>
        <v>#N/A</v>
      </c>
      <c r="F294" s="9" t="e">
        <f>VLOOKUP(D294,VIAJES!$D:$F,3,FALSE)</f>
        <v>#N/A</v>
      </c>
      <c r="G294" s="9" t="e">
        <f>VLOOKUP(D294,VIAJES!$D:$G,4,FALSE)</f>
        <v>#N/A</v>
      </c>
      <c r="H294" s="3" t="e">
        <f>VLOOKUP(D294,VIAJES!$D:$H,5,FALSE)</f>
        <v>#N/A</v>
      </c>
      <c r="S294" s="3">
        <f>IFERROR(INDEX(EVENTOS!$D:$D,MATCH(SCORE!S$2&amp;" "&amp;SCORE!$D294,EVENTOS!$F:$F,0)),0)</f>
        <v>0</v>
      </c>
      <c r="T294" s="3">
        <f>IFERROR(INDEX(EVENTOS!$D:$D,MATCH(SCORE!T$2&amp;" "&amp;SCORE!$D294,EVENTOS!$F:$F,0)),0)</f>
        <v>0</v>
      </c>
      <c r="U294" s="3">
        <f>IFERROR(INDEX(EVENTOS!$D:$D,MATCH(SCORE!U$2&amp;" "&amp;SCORE!$D294,EVENTOS!$F:$F,0)),0)</f>
        <v>0</v>
      </c>
      <c r="V294" s="3">
        <f>IFERROR(INDEX(EVENTOS!$D:$D,MATCH(SCORE!V$2&amp;" "&amp;SCORE!$D294,EVENTOS!$F:$F,0)),0)</f>
        <v>0</v>
      </c>
      <c r="W294" s="3">
        <f>IFERROR(INDEX(EVENTOS!$D:$D,MATCH(SCORE!W$2&amp;" "&amp;SCORE!$D294,EVENTOS!$F:$F,0)),0)</f>
        <v>0</v>
      </c>
      <c r="X294" s="3">
        <f>IFERROR(INDEX(EVENTOS!$D:$D,MATCH(SCORE!X$2&amp;" "&amp;SCORE!$D294,EVENTOS!$F:$F,0)),0)</f>
        <v>0</v>
      </c>
      <c r="Y294" s="3">
        <f>SUMIFS(EVENTOS!$D:$D, EVENTOS!$B:$B, D294, EVENTOS!$E:$E, "*GirAlto*")</f>
        <v>0</v>
      </c>
      <c r="Z294" s="3">
        <f>SUMIFS(EVENTOS!$D:$D, EVENTOS!$B:$B, D294, EVENTOS!$E:$E, "*GirMed*")</f>
        <v>0</v>
      </c>
      <c r="AA294" s="3">
        <f>SUMIFS(EVENTOS!$D:$D, EVENTOS!$B:$B, D294, EVENTOS!$E:$E, "*GirBajo*")</f>
        <v>0</v>
      </c>
      <c r="AB294" s="3">
        <f>IFERROR(INDEX(EVENTOS!$D:$D,MATCH(SCORE!AB$2&amp;" "&amp;SCORE!$D294,EVENTOS!$F:$F,0)),0)</f>
        <v>0</v>
      </c>
      <c r="AC294" s="3">
        <f>IFERROR(INDEX(EVENTOS!$D:$D,MATCH(SCORE!AC$2&amp;" "&amp;SCORE!$D294,EVENTOS!$F:$F,0)),0)</f>
        <v>0</v>
      </c>
      <c r="AD294" s="3">
        <f>IFERROR(INDEX(EVENTOS!$D:$D,MATCH(SCORE!AD$2&amp;" "&amp;SCORE!$D294,EVENTOS!$F:$F,0)),0)</f>
        <v>0</v>
      </c>
      <c r="AE294" s="3">
        <f t="shared" si="12"/>
        <v>0</v>
      </c>
      <c r="AF294" s="10" t="e">
        <f t="shared" si="13"/>
        <v>#N/A</v>
      </c>
      <c r="AG294" s="3" t="str">
        <f t="shared" si="14"/>
        <v/>
      </c>
    </row>
    <row r="295" spans="1:33" x14ac:dyDescent="0.25">
      <c r="A295" s="7"/>
      <c r="B295" s="8"/>
      <c r="C295" s="3"/>
      <c r="D295" s="3"/>
      <c r="E295" s="3" t="e">
        <f>VLOOKUP(D295,VIAJES!$D:$E,2,FALSE)</f>
        <v>#N/A</v>
      </c>
      <c r="F295" s="9" t="e">
        <f>VLOOKUP(D295,VIAJES!$D:$F,3,FALSE)</f>
        <v>#N/A</v>
      </c>
      <c r="G295" s="9" t="e">
        <f>VLOOKUP(D295,VIAJES!$D:$G,4,FALSE)</f>
        <v>#N/A</v>
      </c>
      <c r="H295" s="3" t="e">
        <f>VLOOKUP(D295,VIAJES!$D:$H,5,FALSE)</f>
        <v>#N/A</v>
      </c>
      <c r="S295" s="3">
        <f>IFERROR(INDEX(EVENTOS!$D:$D,MATCH(SCORE!S$2&amp;" "&amp;SCORE!$D295,EVENTOS!$F:$F,0)),0)</f>
        <v>0</v>
      </c>
      <c r="T295" s="3">
        <f>IFERROR(INDEX(EVENTOS!$D:$D,MATCH(SCORE!T$2&amp;" "&amp;SCORE!$D295,EVENTOS!$F:$F,0)),0)</f>
        <v>0</v>
      </c>
      <c r="U295" s="3">
        <f>IFERROR(INDEX(EVENTOS!$D:$D,MATCH(SCORE!U$2&amp;" "&amp;SCORE!$D295,EVENTOS!$F:$F,0)),0)</f>
        <v>0</v>
      </c>
      <c r="V295" s="3">
        <f>IFERROR(INDEX(EVENTOS!$D:$D,MATCH(SCORE!V$2&amp;" "&amp;SCORE!$D295,EVENTOS!$F:$F,0)),0)</f>
        <v>0</v>
      </c>
      <c r="W295" s="3">
        <f>IFERROR(INDEX(EVENTOS!$D:$D,MATCH(SCORE!W$2&amp;" "&amp;SCORE!$D295,EVENTOS!$F:$F,0)),0)</f>
        <v>0</v>
      </c>
      <c r="X295" s="3">
        <f>IFERROR(INDEX(EVENTOS!$D:$D,MATCH(SCORE!X$2&amp;" "&amp;SCORE!$D295,EVENTOS!$F:$F,0)),0)</f>
        <v>0</v>
      </c>
      <c r="Y295" s="3">
        <f>SUMIFS(EVENTOS!$D:$D, EVENTOS!$B:$B, D295, EVENTOS!$E:$E, "*GirAlto*")</f>
        <v>0</v>
      </c>
      <c r="Z295" s="3">
        <f>SUMIFS(EVENTOS!$D:$D, EVENTOS!$B:$B, D295, EVENTOS!$E:$E, "*GirMed*")</f>
        <v>0</v>
      </c>
      <c r="AA295" s="3">
        <f>SUMIFS(EVENTOS!$D:$D, EVENTOS!$B:$B, D295, EVENTOS!$E:$E, "*GirBajo*")</f>
        <v>0</v>
      </c>
      <c r="AB295" s="3">
        <f>IFERROR(INDEX(EVENTOS!$D:$D,MATCH(SCORE!AB$2&amp;" "&amp;SCORE!$D295,EVENTOS!$F:$F,0)),0)</f>
        <v>0</v>
      </c>
      <c r="AC295" s="3">
        <f>IFERROR(INDEX(EVENTOS!$D:$D,MATCH(SCORE!AC$2&amp;" "&amp;SCORE!$D295,EVENTOS!$F:$F,0)),0)</f>
        <v>0</v>
      </c>
      <c r="AD295" s="3">
        <f>IFERROR(INDEX(EVENTOS!$D:$D,MATCH(SCORE!AD$2&amp;" "&amp;SCORE!$D295,EVENTOS!$F:$F,0)),0)</f>
        <v>0</v>
      </c>
      <c r="AE295" s="3">
        <f t="shared" si="12"/>
        <v>0</v>
      </c>
      <c r="AF295" s="10" t="e">
        <f t="shared" si="13"/>
        <v>#N/A</v>
      </c>
      <c r="AG295" s="3" t="str">
        <f t="shared" si="14"/>
        <v/>
      </c>
    </row>
    <row r="296" spans="1:33" x14ac:dyDescent="0.25">
      <c r="A296" s="7"/>
      <c r="B296" s="8"/>
      <c r="C296" s="3"/>
      <c r="D296" s="3"/>
      <c r="E296" s="3" t="e">
        <f>VLOOKUP(D296,VIAJES!$D:$E,2,FALSE)</f>
        <v>#N/A</v>
      </c>
      <c r="F296" s="9" t="e">
        <f>VLOOKUP(D296,VIAJES!$D:$F,3,FALSE)</f>
        <v>#N/A</v>
      </c>
      <c r="G296" s="9" t="e">
        <f>VLOOKUP(D296,VIAJES!$D:$G,4,FALSE)</f>
        <v>#N/A</v>
      </c>
      <c r="H296" s="3" t="e">
        <f>VLOOKUP(D296,VIAJES!$D:$H,5,FALSE)</f>
        <v>#N/A</v>
      </c>
      <c r="S296" s="3">
        <f>IFERROR(INDEX(EVENTOS!$D:$D,MATCH(SCORE!S$2&amp;" "&amp;SCORE!$D296,EVENTOS!$F:$F,0)),0)</f>
        <v>0</v>
      </c>
      <c r="T296" s="3">
        <f>IFERROR(INDEX(EVENTOS!$D:$D,MATCH(SCORE!T$2&amp;" "&amp;SCORE!$D296,EVENTOS!$F:$F,0)),0)</f>
        <v>0</v>
      </c>
      <c r="U296" s="3">
        <f>IFERROR(INDEX(EVENTOS!$D:$D,MATCH(SCORE!U$2&amp;" "&amp;SCORE!$D296,EVENTOS!$F:$F,0)),0)</f>
        <v>0</v>
      </c>
      <c r="V296" s="3">
        <f>IFERROR(INDEX(EVENTOS!$D:$D,MATCH(SCORE!V$2&amp;" "&amp;SCORE!$D296,EVENTOS!$F:$F,0)),0)</f>
        <v>0</v>
      </c>
      <c r="W296" s="3">
        <f>IFERROR(INDEX(EVENTOS!$D:$D,MATCH(SCORE!W$2&amp;" "&amp;SCORE!$D296,EVENTOS!$F:$F,0)),0)</f>
        <v>0</v>
      </c>
      <c r="X296" s="3">
        <f>IFERROR(INDEX(EVENTOS!$D:$D,MATCH(SCORE!X$2&amp;" "&amp;SCORE!$D296,EVENTOS!$F:$F,0)),0)</f>
        <v>0</v>
      </c>
      <c r="Y296" s="3">
        <f>SUMIFS(EVENTOS!$D:$D, EVENTOS!$B:$B, D296, EVENTOS!$E:$E, "*GirAlto*")</f>
        <v>0</v>
      </c>
      <c r="Z296" s="3">
        <f>SUMIFS(EVENTOS!$D:$D, EVENTOS!$B:$B, D296, EVENTOS!$E:$E, "*GirMed*")</f>
        <v>0</v>
      </c>
      <c r="AA296" s="3">
        <f>SUMIFS(EVENTOS!$D:$D, EVENTOS!$B:$B, D296, EVENTOS!$E:$E, "*GirBajo*")</f>
        <v>0</v>
      </c>
      <c r="AB296" s="3">
        <f>IFERROR(INDEX(EVENTOS!$D:$D,MATCH(SCORE!AB$2&amp;" "&amp;SCORE!$D296,EVENTOS!$F:$F,0)),0)</f>
        <v>0</v>
      </c>
      <c r="AC296" s="3">
        <f>IFERROR(INDEX(EVENTOS!$D:$D,MATCH(SCORE!AC$2&amp;" "&amp;SCORE!$D296,EVENTOS!$F:$F,0)),0)</f>
        <v>0</v>
      </c>
      <c r="AD296" s="3">
        <f>IFERROR(INDEX(EVENTOS!$D:$D,MATCH(SCORE!AD$2&amp;" "&amp;SCORE!$D296,EVENTOS!$F:$F,0)),0)</f>
        <v>0</v>
      </c>
      <c r="AE296" s="3">
        <f t="shared" si="12"/>
        <v>0</v>
      </c>
      <c r="AF296" s="10" t="e">
        <f t="shared" si="13"/>
        <v>#N/A</v>
      </c>
      <c r="AG296" s="3" t="str">
        <f t="shared" si="14"/>
        <v/>
      </c>
    </row>
    <row r="297" spans="1:33" x14ac:dyDescent="0.25">
      <c r="A297" s="7"/>
      <c r="B297" s="8"/>
      <c r="C297" s="3"/>
      <c r="D297" s="3"/>
      <c r="E297" s="3" t="e">
        <f>VLOOKUP(D297,VIAJES!$D:$E,2,FALSE)</f>
        <v>#N/A</v>
      </c>
      <c r="F297" s="9" t="e">
        <f>VLOOKUP(D297,VIAJES!$D:$F,3,FALSE)</f>
        <v>#N/A</v>
      </c>
      <c r="G297" s="9" t="e">
        <f>VLOOKUP(D297,VIAJES!$D:$G,4,FALSE)</f>
        <v>#N/A</v>
      </c>
      <c r="H297" s="3" t="e">
        <f>VLOOKUP(D297,VIAJES!$D:$H,5,FALSE)</f>
        <v>#N/A</v>
      </c>
      <c r="S297" s="3">
        <f>IFERROR(INDEX(EVENTOS!$D:$D,MATCH(SCORE!S$2&amp;" "&amp;SCORE!$D297,EVENTOS!$F:$F,0)),0)</f>
        <v>0</v>
      </c>
      <c r="T297" s="3">
        <f>IFERROR(INDEX(EVENTOS!$D:$D,MATCH(SCORE!T$2&amp;" "&amp;SCORE!$D297,EVENTOS!$F:$F,0)),0)</f>
        <v>0</v>
      </c>
      <c r="U297" s="3">
        <f>IFERROR(INDEX(EVENTOS!$D:$D,MATCH(SCORE!U$2&amp;" "&amp;SCORE!$D297,EVENTOS!$F:$F,0)),0)</f>
        <v>0</v>
      </c>
      <c r="V297" s="3">
        <f>IFERROR(INDEX(EVENTOS!$D:$D,MATCH(SCORE!V$2&amp;" "&amp;SCORE!$D297,EVENTOS!$F:$F,0)),0)</f>
        <v>0</v>
      </c>
      <c r="W297" s="3">
        <f>IFERROR(INDEX(EVENTOS!$D:$D,MATCH(SCORE!W$2&amp;" "&amp;SCORE!$D297,EVENTOS!$F:$F,0)),0)</f>
        <v>0</v>
      </c>
      <c r="X297" s="3">
        <f>IFERROR(INDEX(EVENTOS!$D:$D,MATCH(SCORE!X$2&amp;" "&amp;SCORE!$D297,EVENTOS!$F:$F,0)),0)</f>
        <v>0</v>
      </c>
      <c r="Y297" s="3">
        <f>SUMIFS(EVENTOS!$D:$D, EVENTOS!$B:$B, D297, EVENTOS!$E:$E, "*GirAlto*")</f>
        <v>0</v>
      </c>
      <c r="Z297" s="3">
        <f>SUMIFS(EVENTOS!$D:$D, EVENTOS!$B:$B, D297, EVENTOS!$E:$E, "*GirMed*")</f>
        <v>0</v>
      </c>
      <c r="AA297" s="3">
        <f>SUMIFS(EVENTOS!$D:$D, EVENTOS!$B:$B, D297, EVENTOS!$E:$E, "*GirBajo*")</f>
        <v>0</v>
      </c>
      <c r="AB297" s="3">
        <f>IFERROR(INDEX(EVENTOS!$D:$D,MATCH(SCORE!AB$2&amp;" "&amp;SCORE!$D297,EVENTOS!$F:$F,0)),0)</f>
        <v>0</v>
      </c>
      <c r="AC297" s="3">
        <f>IFERROR(INDEX(EVENTOS!$D:$D,MATCH(SCORE!AC$2&amp;" "&amp;SCORE!$D297,EVENTOS!$F:$F,0)),0)</f>
        <v>0</v>
      </c>
      <c r="AD297" s="3">
        <f>IFERROR(INDEX(EVENTOS!$D:$D,MATCH(SCORE!AD$2&amp;" "&amp;SCORE!$D297,EVENTOS!$F:$F,0)),0)</f>
        <v>0</v>
      </c>
      <c r="AE297" s="3">
        <f t="shared" si="12"/>
        <v>0</v>
      </c>
      <c r="AF297" s="10" t="e">
        <f t="shared" si="13"/>
        <v>#N/A</v>
      </c>
      <c r="AG297" s="3" t="str">
        <f t="shared" si="14"/>
        <v/>
      </c>
    </row>
    <row r="298" spans="1:33" x14ac:dyDescent="0.25">
      <c r="A298" s="7"/>
      <c r="B298" s="8"/>
      <c r="C298" s="3"/>
      <c r="D298" s="3"/>
      <c r="E298" s="3" t="e">
        <f>VLOOKUP(D298,VIAJES!$D:$E,2,FALSE)</f>
        <v>#N/A</v>
      </c>
      <c r="F298" s="9" t="e">
        <f>VLOOKUP(D298,VIAJES!$D:$F,3,FALSE)</f>
        <v>#N/A</v>
      </c>
      <c r="G298" s="9" t="e">
        <f>VLOOKUP(D298,VIAJES!$D:$G,4,FALSE)</f>
        <v>#N/A</v>
      </c>
      <c r="H298" s="3" t="e">
        <f>VLOOKUP(D298,VIAJES!$D:$H,5,FALSE)</f>
        <v>#N/A</v>
      </c>
      <c r="S298" s="3">
        <f>IFERROR(INDEX(EVENTOS!$D:$D,MATCH(SCORE!S$2&amp;" "&amp;SCORE!$D298,EVENTOS!$F:$F,0)),0)</f>
        <v>0</v>
      </c>
      <c r="T298" s="3">
        <f>IFERROR(INDEX(EVENTOS!$D:$D,MATCH(SCORE!T$2&amp;" "&amp;SCORE!$D298,EVENTOS!$F:$F,0)),0)</f>
        <v>0</v>
      </c>
      <c r="U298" s="3">
        <f>IFERROR(INDEX(EVENTOS!$D:$D,MATCH(SCORE!U$2&amp;" "&amp;SCORE!$D298,EVENTOS!$F:$F,0)),0)</f>
        <v>0</v>
      </c>
      <c r="V298" s="3">
        <f>IFERROR(INDEX(EVENTOS!$D:$D,MATCH(SCORE!V$2&amp;" "&amp;SCORE!$D298,EVENTOS!$F:$F,0)),0)</f>
        <v>0</v>
      </c>
      <c r="W298" s="3">
        <f>IFERROR(INDEX(EVENTOS!$D:$D,MATCH(SCORE!W$2&amp;" "&amp;SCORE!$D298,EVENTOS!$F:$F,0)),0)</f>
        <v>0</v>
      </c>
      <c r="X298" s="3">
        <f>IFERROR(INDEX(EVENTOS!$D:$D,MATCH(SCORE!X$2&amp;" "&amp;SCORE!$D298,EVENTOS!$F:$F,0)),0)</f>
        <v>0</v>
      </c>
      <c r="Y298" s="3">
        <f>SUMIFS(EVENTOS!$D:$D, EVENTOS!$B:$B, D298, EVENTOS!$E:$E, "*GirAlto*")</f>
        <v>0</v>
      </c>
      <c r="Z298" s="3">
        <f>SUMIFS(EVENTOS!$D:$D, EVENTOS!$B:$B, D298, EVENTOS!$E:$E, "*GirMed*")</f>
        <v>0</v>
      </c>
      <c r="AA298" s="3">
        <f>SUMIFS(EVENTOS!$D:$D, EVENTOS!$B:$B, D298, EVENTOS!$E:$E, "*GirBajo*")</f>
        <v>0</v>
      </c>
      <c r="AB298" s="3">
        <f>IFERROR(INDEX(EVENTOS!$D:$D,MATCH(SCORE!AB$2&amp;" "&amp;SCORE!$D298,EVENTOS!$F:$F,0)),0)</f>
        <v>0</v>
      </c>
      <c r="AC298" s="3">
        <f>IFERROR(INDEX(EVENTOS!$D:$D,MATCH(SCORE!AC$2&amp;" "&amp;SCORE!$D298,EVENTOS!$F:$F,0)),0)</f>
        <v>0</v>
      </c>
      <c r="AD298" s="3">
        <f>IFERROR(INDEX(EVENTOS!$D:$D,MATCH(SCORE!AD$2&amp;" "&amp;SCORE!$D298,EVENTOS!$F:$F,0)),0)</f>
        <v>0</v>
      </c>
      <c r="AE298" s="3">
        <f t="shared" si="12"/>
        <v>0</v>
      </c>
      <c r="AF298" s="10" t="e">
        <f t="shared" si="13"/>
        <v>#N/A</v>
      </c>
      <c r="AG298" s="3" t="str">
        <f t="shared" si="14"/>
        <v/>
      </c>
    </row>
    <row r="299" spans="1:33" x14ac:dyDescent="0.25">
      <c r="A299" s="7"/>
      <c r="B299" s="8"/>
      <c r="C299" s="3"/>
      <c r="D299" s="3"/>
      <c r="E299" s="3" t="e">
        <f>VLOOKUP(D299,VIAJES!$D:$E,2,FALSE)</f>
        <v>#N/A</v>
      </c>
      <c r="F299" s="9" t="e">
        <f>VLOOKUP(D299,VIAJES!$D:$F,3,FALSE)</f>
        <v>#N/A</v>
      </c>
      <c r="G299" s="9" t="e">
        <f>VLOOKUP(D299,VIAJES!$D:$G,4,FALSE)</f>
        <v>#N/A</v>
      </c>
      <c r="H299" s="3" t="e">
        <f>VLOOKUP(D299,VIAJES!$D:$H,5,FALSE)</f>
        <v>#N/A</v>
      </c>
      <c r="S299" s="3">
        <f>IFERROR(INDEX(EVENTOS!$D:$D,MATCH(SCORE!S$2&amp;" "&amp;SCORE!$D299,EVENTOS!$F:$F,0)),0)</f>
        <v>0</v>
      </c>
      <c r="T299" s="3">
        <f>IFERROR(INDEX(EVENTOS!$D:$D,MATCH(SCORE!T$2&amp;" "&amp;SCORE!$D299,EVENTOS!$F:$F,0)),0)</f>
        <v>0</v>
      </c>
      <c r="U299" s="3">
        <f>IFERROR(INDEX(EVENTOS!$D:$D,MATCH(SCORE!U$2&amp;" "&amp;SCORE!$D299,EVENTOS!$F:$F,0)),0)</f>
        <v>0</v>
      </c>
      <c r="V299" s="3">
        <f>IFERROR(INDEX(EVENTOS!$D:$D,MATCH(SCORE!V$2&amp;" "&amp;SCORE!$D299,EVENTOS!$F:$F,0)),0)</f>
        <v>0</v>
      </c>
      <c r="W299" s="3">
        <f>IFERROR(INDEX(EVENTOS!$D:$D,MATCH(SCORE!W$2&amp;" "&amp;SCORE!$D299,EVENTOS!$F:$F,0)),0)</f>
        <v>0</v>
      </c>
      <c r="X299" s="3">
        <f>IFERROR(INDEX(EVENTOS!$D:$D,MATCH(SCORE!X$2&amp;" "&amp;SCORE!$D299,EVENTOS!$F:$F,0)),0)</f>
        <v>0</v>
      </c>
      <c r="Y299" s="3">
        <f>SUMIFS(EVENTOS!$D:$D, EVENTOS!$B:$B, D299, EVENTOS!$E:$E, "*GirAlto*")</f>
        <v>0</v>
      </c>
      <c r="Z299" s="3">
        <f>SUMIFS(EVENTOS!$D:$D, EVENTOS!$B:$B, D299, EVENTOS!$E:$E, "*GirMed*")</f>
        <v>0</v>
      </c>
      <c r="AA299" s="3">
        <f>SUMIFS(EVENTOS!$D:$D, EVENTOS!$B:$B, D299, EVENTOS!$E:$E, "*GirBajo*")</f>
        <v>0</v>
      </c>
      <c r="AB299" s="3">
        <f>IFERROR(INDEX(EVENTOS!$D:$D,MATCH(SCORE!AB$2&amp;" "&amp;SCORE!$D299,EVENTOS!$F:$F,0)),0)</f>
        <v>0</v>
      </c>
      <c r="AC299" s="3">
        <f>IFERROR(INDEX(EVENTOS!$D:$D,MATCH(SCORE!AC$2&amp;" "&amp;SCORE!$D299,EVENTOS!$F:$F,0)),0)</f>
        <v>0</v>
      </c>
      <c r="AD299" s="3">
        <f>IFERROR(INDEX(EVENTOS!$D:$D,MATCH(SCORE!AD$2&amp;" "&amp;SCORE!$D299,EVENTOS!$F:$F,0)),0)</f>
        <v>0</v>
      </c>
      <c r="AE299" s="3">
        <f t="shared" si="12"/>
        <v>0</v>
      </c>
      <c r="AF299" s="10" t="e">
        <f t="shared" si="13"/>
        <v>#N/A</v>
      </c>
      <c r="AG299" s="3" t="str">
        <f t="shared" si="14"/>
        <v/>
      </c>
    </row>
    <row r="300" spans="1:33" x14ac:dyDescent="0.25">
      <c r="A300" s="7"/>
      <c r="B300" s="8"/>
      <c r="C300" s="3"/>
      <c r="D300" s="3"/>
      <c r="E300" s="3" t="e">
        <f>VLOOKUP(D300,VIAJES!$D:$E,2,FALSE)</f>
        <v>#N/A</v>
      </c>
      <c r="F300" s="9" t="e">
        <f>VLOOKUP(D300,VIAJES!$D:$F,3,FALSE)</f>
        <v>#N/A</v>
      </c>
      <c r="G300" s="9" t="e">
        <f>VLOOKUP(D300,VIAJES!$D:$G,4,FALSE)</f>
        <v>#N/A</v>
      </c>
      <c r="H300" s="3" t="e">
        <f>VLOOKUP(D300,VIAJES!$D:$H,5,FALSE)</f>
        <v>#N/A</v>
      </c>
      <c r="S300" s="3">
        <f>IFERROR(INDEX(EVENTOS!$D:$D,MATCH(SCORE!S$2&amp;" "&amp;SCORE!$D300,EVENTOS!$F:$F,0)),0)</f>
        <v>0</v>
      </c>
      <c r="T300" s="3">
        <f>IFERROR(INDEX(EVENTOS!$D:$D,MATCH(SCORE!T$2&amp;" "&amp;SCORE!$D300,EVENTOS!$F:$F,0)),0)</f>
        <v>0</v>
      </c>
      <c r="U300" s="3">
        <f>IFERROR(INDEX(EVENTOS!$D:$D,MATCH(SCORE!U$2&amp;" "&amp;SCORE!$D300,EVENTOS!$F:$F,0)),0)</f>
        <v>0</v>
      </c>
      <c r="V300" s="3">
        <f>IFERROR(INDEX(EVENTOS!$D:$D,MATCH(SCORE!V$2&amp;" "&amp;SCORE!$D300,EVENTOS!$F:$F,0)),0)</f>
        <v>0</v>
      </c>
      <c r="W300" s="3">
        <f>IFERROR(INDEX(EVENTOS!$D:$D,MATCH(SCORE!W$2&amp;" "&amp;SCORE!$D300,EVENTOS!$F:$F,0)),0)</f>
        <v>0</v>
      </c>
      <c r="X300" s="3">
        <f>IFERROR(INDEX(EVENTOS!$D:$D,MATCH(SCORE!X$2&amp;" "&amp;SCORE!$D300,EVENTOS!$F:$F,0)),0)</f>
        <v>0</v>
      </c>
      <c r="Y300" s="3">
        <f>SUMIFS(EVENTOS!$D:$D, EVENTOS!$B:$B, D300, EVENTOS!$E:$E, "*GirAlto*")</f>
        <v>0</v>
      </c>
      <c r="Z300" s="3">
        <f>SUMIFS(EVENTOS!$D:$D, EVENTOS!$B:$B, D300, EVENTOS!$E:$E, "*GirMed*")</f>
        <v>0</v>
      </c>
      <c r="AA300" s="3">
        <f>SUMIFS(EVENTOS!$D:$D, EVENTOS!$B:$B, D300, EVENTOS!$E:$E, "*GirBajo*")</f>
        <v>0</v>
      </c>
      <c r="AB300" s="3">
        <f>IFERROR(INDEX(EVENTOS!$D:$D,MATCH(SCORE!AB$2&amp;" "&amp;SCORE!$D300,EVENTOS!$F:$F,0)),0)</f>
        <v>0</v>
      </c>
      <c r="AC300" s="3">
        <f>IFERROR(INDEX(EVENTOS!$D:$D,MATCH(SCORE!AC$2&amp;" "&amp;SCORE!$D300,EVENTOS!$F:$F,0)),0)</f>
        <v>0</v>
      </c>
      <c r="AD300" s="3">
        <f>IFERROR(INDEX(EVENTOS!$D:$D,MATCH(SCORE!AD$2&amp;" "&amp;SCORE!$D300,EVENTOS!$F:$F,0)),0)</f>
        <v>0</v>
      </c>
      <c r="AE300" s="3">
        <f t="shared" si="12"/>
        <v>0</v>
      </c>
      <c r="AF300" s="10" t="e">
        <f t="shared" si="13"/>
        <v>#N/A</v>
      </c>
      <c r="AG300" s="3" t="str">
        <f t="shared" si="14"/>
        <v/>
      </c>
    </row>
    <row r="301" spans="1:33" x14ac:dyDescent="0.25">
      <c r="A301" s="7"/>
      <c r="B301" s="8"/>
      <c r="C301" s="3"/>
      <c r="D301" s="3"/>
      <c r="E301" s="3" t="e">
        <f>VLOOKUP(D301,VIAJES!$D:$E,2,FALSE)</f>
        <v>#N/A</v>
      </c>
      <c r="F301" s="9" t="e">
        <f>VLOOKUP(D301,VIAJES!$D:$F,3,FALSE)</f>
        <v>#N/A</v>
      </c>
      <c r="G301" s="9" t="e">
        <f>VLOOKUP(D301,VIAJES!$D:$G,4,FALSE)</f>
        <v>#N/A</v>
      </c>
      <c r="H301" s="3" t="e">
        <f>VLOOKUP(D301,VIAJES!$D:$H,5,FALSE)</f>
        <v>#N/A</v>
      </c>
      <c r="S301" s="3">
        <f>IFERROR(INDEX(EVENTOS!$D:$D,MATCH(SCORE!S$2&amp;" "&amp;SCORE!$D301,EVENTOS!$F:$F,0)),0)</f>
        <v>0</v>
      </c>
      <c r="T301" s="3">
        <f>IFERROR(INDEX(EVENTOS!$D:$D,MATCH(SCORE!T$2&amp;" "&amp;SCORE!$D301,EVENTOS!$F:$F,0)),0)</f>
        <v>0</v>
      </c>
      <c r="U301" s="3">
        <f>IFERROR(INDEX(EVENTOS!$D:$D,MATCH(SCORE!U$2&amp;" "&amp;SCORE!$D301,EVENTOS!$F:$F,0)),0)</f>
        <v>0</v>
      </c>
      <c r="V301" s="3">
        <f>IFERROR(INDEX(EVENTOS!$D:$D,MATCH(SCORE!V$2&amp;" "&amp;SCORE!$D301,EVENTOS!$F:$F,0)),0)</f>
        <v>0</v>
      </c>
      <c r="W301" s="3">
        <f>IFERROR(INDEX(EVENTOS!$D:$D,MATCH(SCORE!W$2&amp;" "&amp;SCORE!$D301,EVENTOS!$F:$F,0)),0)</f>
        <v>0</v>
      </c>
      <c r="X301" s="3">
        <f>IFERROR(INDEX(EVENTOS!$D:$D,MATCH(SCORE!X$2&amp;" "&amp;SCORE!$D301,EVENTOS!$F:$F,0)),0)</f>
        <v>0</v>
      </c>
      <c r="Y301" s="3">
        <f>SUMIFS(EVENTOS!$D:$D, EVENTOS!$B:$B, D301, EVENTOS!$E:$E, "*GirAlto*")</f>
        <v>0</v>
      </c>
      <c r="Z301" s="3">
        <f>SUMIFS(EVENTOS!$D:$D, EVENTOS!$B:$B, D301, EVENTOS!$E:$E, "*GirMed*")</f>
        <v>0</v>
      </c>
      <c r="AA301" s="3">
        <f>SUMIFS(EVENTOS!$D:$D, EVENTOS!$B:$B, D301, EVENTOS!$E:$E, "*GirBajo*")</f>
        <v>0</v>
      </c>
      <c r="AB301" s="3">
        <f>IFERROR(INDEX(EVENTOS!$D:$D,MATCH(SCORE!AB$2&amp;" "&amp;SCORE!$D301,EVENTOS!$F:$F,0)),0)</f>
        <v>0</v>
      </c>
      <c r="AC301" s="3">
        <f>IFERROR(INDEX(EVENTOS!$D:$D,MATCH(SCORE!AC$2&amp;" "&amp;SCORE!$D301,EVENTOS!$F:$F,0)),0)</f>
        <v>0</v>
      </c>
      <c r="AD301" s="3">
        <f>IFERROR(INDEX(EVENTOS!$D:$D,MATCH(SCORE!AD$2&amp;" "&amp;SCORE!$D301,EVENTOS!$F:$F,0)),0)</f>
        <v>0</v>
      </c>
      <c r="AE301" s="3">
        <f t="shared" si="12"/>
        <v>0</v>
      </c>
      <c r="AF301" s="10" t="e">
        <f t="shared" si="13"/>
        <v>#N/A</v>
      </c>
      <c r="AG301" s="3" t="str">
        <f t="shared" si="14"/>
        <v/>
      </c>
    </row>
    <row r="302" spans="1:33" x14ac:dyDescent="0.25">
      <c r="A302" s="7"/>
      <c r="B302" s="8"/>
      <c r="C302" s="3"/>
      <c r="D302" s="3"/>
      <c r="E302" s="3" t="e">
        <f>VLOOKUP(D302,VIAJES!$D:$E,2,FALSE)</f>
        <v>#N/A</v>
      </c>
      <c r="F302" s="9" t="e">
        <f>VLOOKUP(D302,VIAJES!$D:$F,3,FALSE)</f>
        <v>#N/A</v>
      </c>
      <c r="G302" s="9" t="e">
        <f>VLOOKUP(D302,VIAJES!$D:$G,4,FALSE)</f>
        <v>#N/A</v>
      </c>
      <c r="H302" s="3" t="e">
        <f>VLOOKUP(D302,VIAJES!$D:$H,5,FALSE)</f>
        <v>#N/A</v>
      </c>
      <c r="S302" s="3">
        <f>IFERROR(INDEX(EVENTOS!$D:$D,MATCH(SCORE!S$2&amp;" "&amp;SCORE!$D302,EVENTOS!$F:$F,0)),0)</f>
        <v>0</v>
      </c>
      <c r="T302" s="3">
        <f>IFERROR(INDEX(EVENTOS!$D:$D,MATCH(SCORE!T$2&amp;" "&amp;SCORE!$D302,EVENTOS!$F:$F,0)),0)</f>
        <v>0</v>
      </c>
      <c r="U302" s="3">
        <f>IFERROR(INDEX(EVENTOS!$D:$D,MATCH(SCORE!U$2&amp;" "&amp;SCORE!$D302,EVENTOS!$F:$F,0)),0)</f>
        <v>0</v>
      </c>
      <c r="V302" s="3">
        <f>IFERROR(INDEX(EVENTOS!$D:$D,MATCH(SCORE!V$2&amp;" "&amp;SCORE!$D302,EVENTOS!$F:$F,0)),0)</f>
        <v>0</v>
      </c>
      <c r="W302" s="3">
        <f>IFERROR(INDEX(EVENTOS!$D:$D,MATCH(SCORE!W$2&amp;" "&amp;SCORE!$D302,EVENTOS!$F:$F,0)),0)</f>
        <v>0</v>
      </c>
      <c r="X302" s="3">
        <f>IFERROR(INDEX(EVENTOS!$D:$D,MATCH(SCORE!X$2&amp;" "&amp;SCORE!$D302,EVENTOS!$F:$F,0)),0)</f>
        <v>0</v>
      </c>
      <c r="Y302" s="3">
        <f>SUMIFS(EVENTOS!$D:$D, EVENTOS!$B:$B, D302, EVENTOS!$E:$E, "*GirAlto*")</f>
        <v>0</v>
      </c>
      <c r="Z302" s="3">
        <f>SUMIFS(EVENTOS!$D:$D, EVENTOS!$B:$B, D302, EVENTOS!$E:$E, "*GirMed*")</f>
        <v>0</v>
      </c>
      <c r="AA302" s="3">
        <f>SUMIFS(EVENTOS!$D:$D, EVENTOS!$B:$B, D302, EVENTOS!$E:$E, "*GirBajo*")</f>
        <v>0</v>
      </c>
      <c r="AB302" s="3">
        <f>IFERROR(INDEX(EVENTOS!$D:$D,MATCH(SCORE!AB$2&amp;" "&amp;SCORE!$D302,EVENTOS!$F:$F,0)),0)</f>
        <v>0</v>
      </c>
      <c r="AC302" s="3">
        <f>IFERROR(INDEX(EVENTOS!$D:$D,MATCH(SCORE!AC$2&amp;" "&amp;SCORE!$D302,EVENTOS!$F:$F,0)),0)</f>
        <v>0</v>
      </c>
      <c r="AD302" s="3">
        <f>IFERROR(INDEX(EVENTOS!$D:$D,MATCH(SCORE!AD$2&amp;" "&amp;SCORE!$D302,EVENTOS!$F:$F,0)),0)</f>
        <v>0</v>
      </c>
      <c r="AE302" s="3">
        <f t="shared" si="12"/>
        <v>0</v>
      </c>
      <c r="AF302" s="10" t="e">
        <f t="shared" si="13"/>
        <v>#N/A</v>
      </c>
      <c r="AG302" s="3" t="str">
        <f t="shared" si="14"/>
        <v/>
      </c>
    </row>
    <row r="303" spans="1:33" x14ac:dyDescent="0.25">
      <c r="A303" s="7"/>
      <c r="B303" s="8"/>
      <c r="C303" s="3"/>
      <c r="D303" s="3"/>
      <c r="E303" s="3" t="e">
        <f>VLOOKUP(D303,VIAJES!$D:$E,2,FALSE)</f>
        <v>#N/A</v>
      </c>
      <c r="F303" s="9" t="e">
        <f>VLOOKUP(D303,VIAJES!$D:$F,3,FALSE)</f>
        <v>#N/A</v>
      </c>
      <c r="G303" s="9" t="e">
        <f>VLOOKUP(D303,VIAJES!$D:$G,4,FALSE)</f>
        <v>#N/A</v>
      </c>
      <c r="H303" s="3" t="e">
        <f>VLOOKUP(D303,VIAJES!$D:$H,5,FALSE)</f>
        <v>#N/A</v>
      </c>
      <c r="S303" s="3">
        <f>IFERROR(INDEX(EVENTOS!$D:$D,MATCH(SCORE!S$2&amp;" "&amp;SCORE!$D303,EVENTOS!$F:$F,0)),0)</f>
        <v>0</v>
      </c>
      <c r="T303" s="3">
        <f>IFERROR(INDEX(EVENTOS!$D:$D,MATCH(SCORE!T$2&amp;" "&amp;SCORE!$D303,EVENTOS!$F:$F,0)),0)</f>
        <v>0</v>
      </c>
      <c r="U303" s="3">
        <f>IFERROR(INDEX(EVENTOS!$D:$D,MATCH(SCORE!U$2&amp;" "&amp;SCORE!$D303,EVENTOS!$F:$F,0)),0)</f>
        <v>0</v>
      </c>
      <c r="V303" s="3">
        <f>IFERROR(INDEX(EVENTOS!$D:$D,MATCH(SCORE!V$2&amp;" "&amp;SCORE!$D303,EVENTOS!$F:$F,0)),0)</f>
        <v>0</v>
      </c>
      <c r="W303" s="3">
        <f>IFERROR(INDEX(EVENTOS!$D:$D,MATCH(SCORE!W$2&amp;" "&amp;SCORE!$D303,EVENTOS!$F:$F,0)),0)</f>
        <v>0</v>
      </c>
      <c r="X303" s="3">
        <f>IFERROR(INDEX(EVENTOS!$D:$D,MATCH(SCORE!X$2&amp;" "&amp;SCORE!$D303,EVENTOS!$F:$F,0)),0)</f>
        <v>0</v>
      </c>
      <c r="Y303" s="3">
        <f>SUMIFS(EVENTOS!$D:$D, EVENTOS!$B:$B, D303, EVENTOS!$E:$E, "*GirAlto*")</f>
        <v>0</v>
      </c>
      <c r="Z303" s="3">
        <f>SUMIFS(EVENTOS!$D:$D, EVENTOS!$B:$B, D303, EVENTOS!$E:$E, "*GirMed*")</f>
        <v>0</v>
      </c>
      <c r="AA303" s="3">
        <f>SUMIFS(EVENTOS!$D:$D, EVENTOS!$B:$B, D303, EVENTOS!$E:$E, "*GirBajo*")</f>
        <v>0</v>
      </c>
      <c r="AB303" s="3">
        <f>IFERROR(INDEX(EVENTOS!$D:$D,MATCH(SCORE!AB$2&amp;" "&amp;SCORE!$D303,EVENTOS!$F:$F,0)),0)</f>
        <v>0</v>
      </c>
      <c r="AC303" s="3">
        <f>IFERROR(INDEX(EVENTOS!$D:$D,MATCH(SCORE!AC$2&amp;" "&amp;SCORE!$D303,EVENTOS!$F:$F,0)),0)</f>
        <v>0</v>
      </c>
      <c r="AD303" s="3">
        <f>IFERROR(INDEX(EVENTOS!$D:$D,MATCH(SCORE!AD$2&amp;" "&amp;SCORE!$D303,EVENTOS!$F:$F,0)),0)</f>
        <v>0</v>
      </c>
      <c r="AE303" s="3">
        <f t="shared" si="12"/>
        <v>0</v>
      </c>
      <c r="AF303" s="10" t="e">
        <f t="shared" si="13"/>
        <v>#N/A</v>
      </c>
      <c r="AG303" s="3" t="str">
        <f t="shared" si="14"/>
        <v/>
      </c>
    </row>
    <row r="304" spans="1:33" x14ac:dyDescent="0.25">
      <c r="A304" s="7"/>
      <c r="B304" s="8"/>
      <c r="C304" s="3"/>
      <c r="D304" s="3"/>
      <c r="E304" s="3" t="e">
        <f>VLOOKUP(D304,VIAJES!$D:$E,2,FALSE)</f>
        <v>#N/A</v>
      </c>
      <c r="F304" s="9" t="e">
        <f>VLOOKUP(D304,VIAJES!$D:$F,3,FALSE)</f>
        <v>#N/A</v>
      </c>
      <c r="G304" s="9" t="e">
        <f>VLOOKUP(D304,VIAJES!$D:$G,4,FALSE)</f>
        <v>#N/A</v>
      </c>
      <c r="H304" s="3" t="e">
        <f>VLOOKUP(D304,VIAJES!$D:$H,5,FALSE)</f>
        <v>#N/A</v>
      </c>
      <c r="S304" s="3">
        <f>IFERROR(INDEX(EVENTOS!$D:$D,MATCH(SCORE!S$2&amp;" "&amp;SCORE!$D304,EVENTOS!$F:$F,0)),0)</f>
        <v>0</v>
      </c>
      <c r="T304" s="3">
        <f>IFERROR(INDEX(EVENTOS!$D:$D,MATCH(SCORE!T$2&amp;" "&amp;SCORE!$D304,EVENTOS!$F:$F,0)),0)</f>
        <v>0</v>
      </c>
      <c r="U304" s="3">
        <f>IFERROR(INDEX(EVENTOS!$D:$D,MATCH(SCORE!U$2&amp;" "&amp;SCORE!$D304,EVENTOS!$F:$F,0)),0)</f>
        <v>0</v>
      </c>
      <c r="V304" s="3">
        <f>IFERROR(INDEX(EVENTOS!$D:$D,MATCH(SCORE!V$2&amp;" "&amp;SCORE!$D304,EVENTOS!$F:$F,0)),0)</f>
        <v>0</v>
      </c>
      <c r="W304" s="3">
        <f>IFERROR(INDEX(EVENTOS!$D:$D,MATCH(SCORE!W$2&amp;" "&amp;SCORE!$D304,EVENTOS!$F:$F,0)),0)</f>
        <v>0</v>
      </c>
      <c r="X304" s="3">
        <f>IFERROR(INDEX(EVENTOS!$D:$D,MATCH(SCORE!X$2&amp;" "&amp;SCORE!$D304,EVENTOS!$F:$F,0)),0)</f>
        <v>0</v>
      </c>
      <c r="Y304" s="3">
        <f>SUMIFS(EVENTOS!$D:$D, EVENTOS!$B:$B, D304, EVENTOS!$E:$E, "*GirAlto*")</f>
        <v>0</v>
      </c>
      <c r="Z304" s="3">
        <f>SUMIFS(EVENTOS!$D:$D, EVENTOS!$B:$B, D304, EVENTOS!$E:$E, "*GirMed*")</f>
        <v>0</v>
      </c>
      <c r="AA304" s="3">
        <f>SUMIFS(EVENTOS!$D:$D, EVENTOS!$B:$B, D304, EVENTOS!$E:$E, "*GirBajo*")</f>
        <v>0</v>
      </c>
      <c r="AB304" s="3">
        <f>IFERROR(INDEX(EVENTOS!$D:$D,MATCH(SCORE!AB$2&amp;" "&amp;SCORE!$D304,EVENTOS!$F:$F,0)),0)</f>
        <v>0</v>
      </c>
      <c r="AC304" s="3">
        <f>IFERROR(INDEX(EVENTOS!$D:$D,MATCH(SCORE!AC$2&amp;" "&amp;SCORE!$D304,EVENTOS!$F:$F,0)),0)</f>
        <v>0</v>
      </c>
      <c r="AD304" s="3">
        <f>IFERROR(INDEX(EVENTOS!$D:$D,MATCH(SCORE!AD$2&amp;" "&amp;SCORE!$D304,EVENTOS!$F:$F,0)),0)</f>
        <v>0</v>
      </c>
      <c r="AE304" s="3">
        <f t="shared" si="12"/>
        <v>0</v>
      </c>
      <c r="AF304" s="10" t="e">
        <f t="shared" si="13"/>
        <v>#N/A</v>
      </c>
      <c r="AG304" s="3" t="str">
        <f t="shared" si="14"/>
        <v/>
      </c>
    </row>
    <row r="305" spans="1:33" x14ac:dyDescent="0.25">
      <c r="A305" s="7"/>
      <c r="B305" s="8"/>
      <c r="C305" s="3"/>
      <c r="D305" s="3"/>
      <c r="E305" s="3" t="e">
        <f>VLOOKUP(D305,VIAJES!$D:$E,2,FALSE)</f>
        <v>#N/A</v>
      </c>
      <c r="F305" s="9" t="e">
        <f>VLOOKUP(D305,VIAJES!$D:$F,3,FALSE)</f>
        <v>#N/A</v>
      </c>
      <c r="G305" s="9" t="e">
        <f>VLOOKUP(D305,VIAJES!$D:$G,4,FALSE)</f>
        <v>#N/A</v>
      </c>
      <c r="H305" s="3" t="e">
        <f>VLOOKUP(D305,VIAJES!$D:$H,5,FALSE)</f>
        <v>#N/A</v>
      </c>
      <c r="S305" s="3">
        <f>IFERROR(INDEX(EVENTOS!$D:$D,MATCH(SCORE!S$2&amp;" "&amp;SCORE!$D305,EVENTOS!$F:$F,0)),0)</f>
        <v>0</v>
      </c>
      <c r="T305" s="3">
        <f>IFERROR(INDEX(EVENTOS!$D:$D,MATCH(SCORE!T$2&amp;" "&amp;SCORE!$D305,EVENTOS!$F:$F,0)),0)</f>
        <v>0</v>
      </c>
      <c r="U305" s="3">
        <f>IFERROR(INDEX(EVENTOS!$D:$D,MATCH(SCORE!U$2&amp;" "&amp;SCORE!$D305,EVENTOS!$F:$F,0)),0)</f>
        <v>0</v>
      </c>
      <c r="V305" s="3">
        <f>IFERROR(INDEX(EVENTOS!$D:$D,MATCH(SCORE!V$2&amp;" "&amp;SCORE!$D305,EVENTOS!$F:$F,0)),0)</f>
        <v>0</v>
      </c>
      <c r="W305" s="3">
        <f>IFERROR(INDEX(EVENTOS!$D:$D,MATCH(SCORE!W$2&amp;" "&amp;SCORE!$D305,EVENTOS!$F:$F,0)),0)</f>
        <v>0</v>
      </c>
      <c r="X305" s="3">
        <f>IFERROR(INDEX(EVENTOS!$D:$D,MATCH(SCORE!X$2&amp;" "&amp;SCORE!$D305,EVENTOS!$F:$F,0)),0)</f>
        <v>0</v>
      </c>
      <c r="Y305" s="3">
        <f>SUMIFS(EVENTOS!$D:$D, EVENTOS!$B:$B, D305, EVENTOS!$E:$E, "*GirAlto*")</f>
        <v>0</v>
      </c>
      <c r="Z305" s="3">
        <f>SUMIFS(EVENTOS!$D:$D, EVENTOS!$B:$B, D305, EVENTOS!$E:$E, "*GirMed*")</f>
        <v>0</v>
      </c>
      <c r="AA305" s="3">
        <f>SUMIFS(EVENTOS!$D:$D, EVENTOS!$B:$B, D305, EVENTOS!$E:$E, "*GirBajo*")</f>
        <v>0</v>
      </c>
      <c r="AB305" s="3">
        <f>IFERROR(INDEX(EVENTOS!$D:$D,MATCH(SCORE!AB$2&amp;" "&amp;SCORE!$D305,EVENTOS!$F:$F,0)),0)</f>
        <v>0</v>
      </c>
      <c r="AC305" s="3">
        <f>IFERROR(INDEX(EVENTOS!$D:$D,MATCH(SCORE!AC$2&amp;" "&amp;SCORE!$D305,EVENTOS!$F:$F,0)),0)</f>
        <v>0</v>
      </c>
      <c r="AD305" s="3">
        <f>IFERROR(INDEX(EVENTOS!$D:$D,MATCH(SCORE!AD$2&amp;" "&amp;SCORE!$D305,EVENTOS!$F:$F,0)),0)</f>
        <v>0</v>
      </c>
      <c r="AE305" s="3">
        <f t="shared" si="12"/>
        <v>0</v>
      </c>
      <c r="AF305" s="10" t="e">
        <f t="shared" si="13"/>
        <v>#N/A</v>
      </c>
      <c r="AG305" s="3" t="str">
        <f t="shared" si="14"/>
        <v/>
      </c>
    </row>
    <row r="306" spans="1:33" x14ac:dyDescent="0.25">
      <c r="A306" s="7"/>
      <c r="B306" s="8"/>
      <c r="C306" s="3"/>
      <c r="D306" s="3"/>
      <c r="E306" s="3" t="e">
        <f>VLOOKUP(D306,VIAJES!$D:$E,2,FALSE)</f>
        <v>#N/A</v>
      </c>
      <c r="F306" s="9" t="e">
        <f>VLOOKUP(D306,VIAJES!$D:$F,3,FALSE)</f>
        <v>#N/A</v>
      </c>
      <c r="G306" s="9" t="e">
        <f>VLOOKUP(D306,VIAJES!$D:$G,4,FALSE)</f>
        <v>#N/A</v>
      </c>
      <c r="H306" s="3" t="e">
        <f>VLOOKUP(D306,VIAJES!$D:$H,5,FALSE)</f>
        <v>#N/A</v>
      </c>
      <c r="S306" s="3">
        <f>IFERROR(INDEX(EVENTOS!$D:$D,MATCH(SCORE!S$2&amp;" "&amp;SCORE!$D306,EVENTOS!$F:$F,0)),0)</f>
        <v>0</v>
      </c>
      <c r="T306" s="3">
        <f>IFERROR(INDEX(EVENTOS!$D:$D,MATCH(SCORE!T$2&amp;" "&amp;SCORE!$D306,EVENTOS!$F:$F,0)),0)</f>
        <v>0</v>
      </c>
      <c r="U306" s="3">
        <f>IFERROR(INDEX(EVENTOS!$D:$D,MATCH(SCORE!U$2&amp;" "&amp;SCORE!$D306,EVENTOS!$F:$F,0)),0)</f>
        <v>0</v>
      </c>
      <c r="V306" s="3">
        <f>IFERROR(INDEX(EVENTOS!$D:$D,MATCH(SCORE!V$2&amp;" "&amp;SCORE!$D306,EVENTOS!$F:$F,0)),0)</f>
        <v>0</v>
      </c>
      <c r="W306" s="3">
        <f>IFERROR(INDEX(EVENTOS!$D:$D,MATCH(SCORE!W$2&amp;" "&amp;SCORE!$D306,EVENTOS!$F:$F,0)),0)</f>
        <v>0</v>
      </c>
      <c r="X306" s="3">
        <f>IFERROR(INDEX(EVENTOS!$D:$D,MATCH(SCORE!X$2&amp;" "&amp;SCORE!$D306,EVENTOS!$F:$F,0)),0)</f>
        <v>0</v>
      </c>
      <c r="Y306" s="3">
        <f>SUMIFS(EVENTOS!$D:$D, EVENTOS!$B:$B, D306, EVENTOS!$E:$E, "*GirAlto*")</f>
        <v>0</v>
      </c>
      <c r="Z306" s="3">
        <f>SUMIFS(EVENTOS!$D:$D, EVENTOS!$B:$B, D306, EVENTOS!$E:$E, "*GirMed*")</f>
        <v>0</v>
      </c>
      <c r="AA306" s="3">
        <f>SUMIFS(EVENTOS!$D:$D, EVENTOS!$B:$B, D306, EVENTOS!$E:$E, "*GirBajo*")</f>
        <v>0</v>
      </c>
      <c r="AB306" s="3">
        <f>IFERROR(INDEX(EVENTOS!$D:$D,MATCH(SCORE!AB$2&amp;" "&amp;SCORE!$D306,EVENTOS!$F:$F,0)),0)</f>
        <v>0</v>
      </c>
      <c r="AC306" s="3">
        <f>IFERROR(INDEX(EVENTOS!$D:$D,MATCH(SCORE!AC$2&amp;" "&amp;SCORE!$D306,EVENTOS!$F:$F,0)),0)</f>
        <v>0</v>
      </c>
      <c r="AD306" s="3">
        <f>IFERROR(INDEX(EVENTOS!$D:$D,MATCH(SCORE!AD$2&amp;" "&amp;SCORE!$D306,EVENTOS!$F:$F,0)),0)</f>
        <v>0</v>
      </c>
      <c r="AE306" s="3">
        <f t="shared" si="12"/>
        <v>0</v>
      </c>
      <c r="AF306" s="10" t="e">
        <f t="shared" si="13"/>
        <v>#N/A</v>
      </c>
      <c r="AG306" s="3" t="str">
        <f t="shared" si="14"/>
        <v/>
      </c>
    </row>
    <row r="307" spans="1:33" x14ac:dyDescent="0.25">
      <c r="A307" s="7"/>
      <c r="B307" s="8"/>
      <c r="C307" s="3"/>
      <c r="D307" s="3"/>
      <c r="E307" s="3" t="e">
        <f>VLOOKUP(D307,VIAJES!$D:$E,2,FALSE)</f>
        <v>#N/A</v>
      </c>
      <c r="F307" s="9" t="e">
        <f>VLOOKUP(D307,VIAJES!$D:$F,3,FALSE)</f>
        <v>#N/A</v>
      </c>
      <c r="G307" s="9" t="e">
        <f>VLOOKUP(D307,VIAJES!$D:$G,4,FALSE)</f>
        <v>#N/A</v>
      </c>
      <c r="H307" s="3" t="e">
        <f>VLOOKUP(D307,VIAJES!$D:$H,5,FALSE)</f>
        <v>#N/A</v>
      </c>
      <c r="S307" s="3">
        <f>IFERROR(INDEX(EVENTOS!$D:$D,MATCH(SCORE!S$2&amp;" "&amp;SCORE!$D307,EVENTOS!$F:$F,0)),0)</f>
        <v>0</v>
      </c>
      <c r="T307" s="3">
        <f>IFERROR(INDEX(EVENTOS!$D:$D,MATCH(SCORE!T$2&amp;" "&amp;SCORE!$D307,EVENTOS!$F:$F,0)),0)</f>
        <v>0</v>
      </c>
      <c r="U307" s="3">
        <f>IFERROR(INDEX(EVENTOS!$D:$D,MATCH(SCORE!U$2&amp;" "&amp;SCORE!$D307,EVENTOS!$F:$F,0)),0)</f>
        <v>0</v>
      </c>
      <c r="V307" s="3">
        <f>IFERROR(INDEX(EVENTOS!$D:$D,MATCH(SCORE!V$2&amp;" "&amp;SCORE!$D307,EVENTOS!$F:$F,0)),0)</f>
        <v>0</v>
      </c>
      <c r="W307" s="3">
        <f>IFERROR(INDEX(EVENTOS!$D:$D,MATCH(SCORE!W$2&amp;" "&amp;SCORE!$D307,EVENTOS!$F:$F,0)),0)</f>
        <v>0</v>
      </c>
      <c r="X307" s="3">
        <f>IFERROR(INDEX(EVENTOS!$D:$D,MATCH(SCORE!X$2&amp;" "&amp;SCORE!$D307,EVENTOS!$F:$F,0)),0)</f>
        <v>0</v>
      </c>
      <c r="Y307" s="3">
        <f>SUMIFS(EVENTOS!$D:$D, EVENTOS!$B:$B, D307, EVENTOS!$E:$E, "*GirAlto*")</f>
        <v>0</v>
      </c>
      <c r="Z307" s="3">
        <f>SUMIFS(EVENTOS!$D:$D, EVENTOS!$B:$B, D307, EVENTOS!$E:$E, "*GirMed*")</f>
        <v>0</v>
      </c>
      <c r="AA307" s="3">
        <f>SUMIFS(EVENTOS!$D:$D, EVENTOS!$B:$B, D307, EVENTOS!$E:$E, "*GirBajo*")</f>
        <v>0</v>
      </c>
      <c r="AB307" s="3">
        <f>IFERROR(INDEX(EVENTOS!$D:$D,MATCH(SCORE!AB$2&amp;" "&amp;SCORE!$D307,EVENTOS!$F:$F,0)),0)</f>
        <v>0</v>
      </c>
      <c r="AC307" s="3">
        <f>IFERROR(INDEX(EVENTOS!$D:$D,MATCH(SCORE!AC$2&amp;" "&amp;SCORE!$D307,EVENTOS!$F:$F,0)),0)</f>
        <v>0</v>
      </c>
      <c r="AD307" s="3">
        <f>IFERROR(INDEX(EVENTOS!$D:$D,MATCH(SCORE!AD$2&amp;" "&amp;SCORE!$D307,EVENTOS!$F:$F,0)),0)</f>
        <v>0</v>
      </c>
      <c r="AE307" s="3">
        <f t="shared" si="12"/>
        <v>0</v>
      </c>
      <c r="AF307" s="10" t="e">
        <f t="shared" si="13"/>
        <v>#N/A</v>
      </c>
      <c r="AG307" s="3" t="str">
        <f t="shared" si="14"/>
        <v/>
      </c>
    </row>
    <row r="308" spans="1:33" x14ac:dyDescent="0.25">
      <c r="A308" s="7"/>
      <c r="B308" s="8"/>
      <c r="C308" s="3"/>
      <c r="D308" s="3"/>
      <c r="E308" s="3" t="e">
        <f>VLOOKUP(D308,VIAJES!$D:$E,2,FALSE)</f>
        <v>#N/A</v>
      </c>
      <c r="F308" s="9" t="e">
        <f>VLOOKUP(D308,VIAJES!$D:$F,3,FALSE)</f>
        <v>#N/A</v>
      </c>
      <c r="G308" s="9" t="e">
        <f>VLOOKUP(D308,VIAJES!$D:$G,4,FALSE)</f>
        <v>#N/A</v>
      </c>
      <c r="H308" s="3" t="e">
        <f>VLOOKUP(D308,VIAJES!$D:$H,5,FALSE)</f>
        <v>#N/A</v>
      </c>
      <c r="S308" s="3">
        <f>IFERROR(INDEX(EVENTOS!$D:$D,MATCH(SCORE!S$2&amp;" "&amp;SCORE!$D308,EVENTOS!$F:$F,0)),0)</f>
        <v>0</v>
      </c>
      <c r="T308" s="3">
        <f>IFERROR(INDEX(EVENTOS!$D:$D,MATCH(SCORE!T$2&amp;" "&amp;SCORE!$D308,EVENTOS!$F:$F,0)),0)</f>
        <v>0</v>
      </c>
      <c r="U308" s="3">
        <f>IFERROR(INDEX(EVENTOS!$D:$D,MATCH(SCORE!U$2&amp;" "&amp;SCORE!$D308,EVENTOS!$F:$F,0)),0)</f>
        <v>0</v>
      </c>
      <c r="V308" s="3">
        <f>IFERROR(INDEX(EVENTOS!$D:$D,MATCH(SCORE!V$2&amp;" "&amp;SCORE!$D308,EVENTOS!$F:$F,0)),0)</f>
        <v>0</v>
      </c>
      <c r="W308" s="3">
        <f>IFERROR(INDEX(EVENTOS!$D:$D,MATCH(SCORE!W$2&amp;" "&amp;SCORE!$D308,EVENTOS!$F:$F,0)),0)</f>
        <v>0</v>
      </c>
      <c r="X308" s="3">
        <f>IFERROR(INDEX(EVENTOS!$D:$D,MATCH(SCORE!X$2&amp;" "&amp;SCORE!$D308,EVENTOS!$F:$F,0)),0)</f>
        <v>0</v>
      </c>
      <c r="Y308" s="3">
        <f>SUMIFS(EVENTOS!$D:$D, EVENTOS!$B:$B, D308, EVENTOS!$E:$E, "*GirAlto*")</f>
        <v>0</v>
      </c>
      <c r="Z308" s="3">
        <f>SUMIFS(EVENTOS!$D:$D, EVENTOS!$B:$B, D308, EVENTOS!$E:$E, "*GirMed*")</f>
        <v>0</v>
      </c>
      <c r="AA308" s="3">
        <f>SUMIFS(EVENTOS!$D:$D, EVENTOS!$B:$B, D308, EVENTOS!$E:$E, "*GirBajo*")</f>
        <v>0</v>
      </c>
      <c r="AB308" s="3">
        <f>IFERROR(INDEX(EVENTOS!$D:$D,MATCH(SCORE!AB$2&amp;" "&amp;SCORE!$D308,EVENTOS!$F:$F,0)),0)</f>
        <v>0</v>
      </c>
      <c r="AC308" s="3">
        <f>IFERROR(INDEX(EVENTOS!$D:$D,MATCH(SCORE!AC$2&amp;" "&amp;SCORE!$D308,EVENTOS!$F:$F,0)),0)</f>
        <v>0</v>
      </c>
      <c r="AD308" s="3">
        <f>IFERROR(INDEX(EVENTOS!$D:$D,MATCH(SCORE!AD$2&amp;" "&amp;SCORE!$D308,EVENTOS!$F:$F,0)),0)</f>
        <v>0</v>
      </c>
      <c r="AE308" s="3">
        <f t="shared" si="12"/>
        <v>0</v>
      </c>
      <c r="AF308" s="10" t="e">
        <f t="shared" si="13"/>
        <v>#N/A</v>
      </c>
      <c r="AG308" s="3" t="str">
        <f t="shared" si="14"/>
        <v/>
      </c>
    </row>
    <row r="309" spans="1:33" x14ac:dyDescent="0.25">
      <c r="A309" s="7"/>
      <c r="B309" s="8"/>
      <c r="C309" s="3"/>
      <c r="D309" s="3"/>
      <c r="E309" s="3" t="e">
        <f>VLOOKUP(D309,VIAJES!$D:$E,2,FALSE)</f>
        <v>#N/A</v>
      </c>
      <c r="F309" s="9" t="e">
        <f>VLOOKUP(D309,VIAJES!$D:$F,3,FALSE)</f>
        <v>#N/A</v>
      </c>
      <c r="G309" s="9" t="e">
        <f>VLOOKUP(D309,VIAJES!$D:$G,4,FALSE)</f>
        <v>#N/A</v>
      </c>
      <c r="H309" s="3" t="e">
        <f>VLOOKUP(D309,VIAJES!$D:$H,5,FALSE)</f>
        <v>#N/A</v>
      </c>
      <c r="S309" s="3">
        <f>IFERROR(INDEX(EVENTOS!$D:$D,MATCH(SCORE!S$2&amp;" "&amp;SCORE!$D309,EVENTOS!$F:$F,0)),0)</f>
        <v>0</v>
      </c>
      <c r="T309" s="3">
        <f>IFERROR(INDEX(EVENTOS!$D:$D,MATCH(SCORE!T$2&amp;" "&amp;SCORE!$D309,EVENTOS!$F:$F,0)),0)</f>
        <v>0</v>
      </c>
      <c r="U309" s="3">
        <f>IFERROR(INDEX(EVENTOS!$D:$D,MATCH(SCORE!U$2&amp;" "&amp;SCORE!$D309,EVENTOS!$F:$F,0)),0)</f>
        <v>0</v>
      </c>
      <c r="V309" s="3">
        <f>IFERROR(INDEX(EVENTOS!$D:$D,MATCH(SCORE!V$2&amp;" "&amp;SCORE!$D309,EVENTOS!$F:$F,0)),0)</f>
        <v>0</v>
      </c>
      <c r="W309" s="3">
        <f>IFERROR(INDEX(EVENTOS!$D:$D,MATCH(SCORE!W$2&amp;" "&amp;SCORE!$D309,EVENTOS!$F:$F,0)),0)</f>
        <v>0</v>
      </c>
      <c r="X309" s="3">
        <f>IFERROR(INDEX(EVENTOS!$D:$D,MATCH(SCORE!X$2&amp;" "&amp;SCORE!$D309,EVENTOS!$F:$F,0)),0)</f>
        <v>0</v>
      </c>
      <c r="Y309" s="3">
        <f>SUMIFS(EVENTOS!$D:$D, EVENTOS!$B:$B, D309, EVENTOS!$E:$E, "*GirAlto*")</f>
        <v>0</v>
      </c>
      <c r="Z309" s="3">
        <f>SUMIFS(EVENTOS!$D:$D, EVENTOS!$B:$B, D309, EVENTOS!$E:$E, "*GirMed*")</f>
        <v>0</v>
      </c>
      <c r="AA309" s="3">
        <f>SUMIFS(EVENTOS!$D:$D, EVENTOS!$B:$B, D309, EVENTOS!$E:$E, "*GirBajo*")</f>
        <v>0</v>
      </c>
      <c r="AB309" s="3">
        <f>IFERROR(INDEX(EVENTOS!$D:$D,MATCH(SCORE!AB$2&amp;" "&amp;SCORE!$D309,EVENTOS!$F:$F,0)),0)</f>
        <v>0</v>
      </c>
      <c r="AC309" s="3">
        <f>IFERROR(INDEX(EVENTOS!$D:$D,MATCH(SCORE!AC$2&amp;" "&amp;SCORE!$D309,EVENTOS!$F:$F,0)),0)</f>
        <v>0</v>
      </c>
      <c r="AD309" s="3">
        <f>IFERROR(INDEX(EVENTOS!$D:$D,MATCH(SCORE!AD$2&amp;" "&amp;SCORE!$D309,EVENTOS!$F:$F,0)),0)</f>
        <v>0</v>
      </c>
      <c r="AE309" s="3">
        <f t="shared" si="12"/>
        <v>0</v>
      </c>
      <c r="AF309" s="10" t="e">
        <f t="shared" si="13"/>
        <v>#N/A</v>
      </c>
      <c r="AG309" s="3" t="str">
        <f t="shared" si="14"/>
        <v/>
      </c>
    </row>
    <row r="310" spans="1:33" x14ac:dyDescent="0.25">
      <c r="A310" s="7"/>
      <c r="B310" s="8"/>
      <c r="C310" s="3"/>
      <c r="D310" s="3"/>
      <c r="E310" s="3" t="e">
        <f>VLOOKUP(D310,VIAJES!$D:$E,2,FALSE)</f>
        <v>#N/A</v>
      </c>
      <c r="F310" s="9" t="e">
        <f>VLOOKUP(D310,VIAJES!$D:$F,3,FALSE)</f>
        <v>#N/A</v>
      </c>
      <c r="G310" s="9" t="e">
        <f>VLOOKUP(D310,VIAJES!$D:$G,4,FALSE)</f>
        <v>#N/A</v>
      </c>
      <c r="H310" s="3" t="e">
        <f>VLOOKUP(D310,VIAJES!$D:$H,5,FALSE)</f>
        <v>#N/A</v>
      </c>
      <c r="S310" s="3">
        <f>IFERROR(INDEX(EVENTOS!$D:$D,MATCH(SCORE!S$2&amp;" "&amp;SCORE!$D310,EVENTOS!$F:$F,0)),0)</f>
        <v>0</v>
      </c>
      <c r="T310" s="3">
        <f>IFERROR(INDEX(EVENTOS!$D:$D,MATCH(SCORE!T$2&amp;" "&amp;SCORE!$D310,EVENTOS!$F:$F,0)),0)</f>
        <v>0</v>
      </c>
      <c r="U310" s="3">
        <f>IFERROR(INDEX(EVENTOS!$D:$D,MATCH(SCORE!U$2&amp;" "&amp;SCORE!$D310,EVENTOS!$F:$F,0)),0)</f>
        <v>0</v>
      </c>
      <c r="V310" s="3">
        <f>IFERROR(INDEX(EVENTOS!$D:$D,MATCH(SCORE!V$2&amp;" "&amp;SCORE!$D310,EVENTOS!$F:$F,0)),0)</f>
        <v>0</v>
      </c>
      <c r="W310" s="3">
        <f>IFERROR(INDEX(EVENTOS!$D:$D,MATCH(SCORE!W$2&amp;" "&amp;SCORE!$D310,EVENTOS!$F:$F,0)),0)</f>
        <v>0</v>
      </c>
      <c r="X310" s="3">
        <f>IFERROR(INDEX(EVENTOS!$D:$D,MATCH(SCORE!X$2&amp;" "&amp;SCORE!$D310,EVENTOS!$F:$F,0)),0)</f>
        <v>0</v>
      </c>
      <c r="Y310" s="3">
        <f>SUMIFS(EVENTOS!$D:$D, EVENTOS!$B:$B, D310, EVENTOS!$E:$E, "*GirAlto*")</f>
        <v>0</v>
      </c>
      <c r="Z310" s="3">
        <f>SUMIFS(EVENTOS!$D:$D, EVENTOS!$B:$B, D310, EVENTOS!$E:$E, "*GirMed*")</f>
        <v>0</v>
      </c>
      <c r="AA310" s="3">
        <f>SUMIFS(EVENTOS!$D:$D, EVENTOS!$B:$B, D310, EVENTOS!$E:$E, "*GirBajo*")</f>
        <v>0</v>
      </c>
      <c r="AB310" s="3">
        <f>IFERROR(INDEX(EVENTOS!$D:$D,MATCH(SCORE!AB$2&amp;" "&amp;SCORE!$D310,EVENTOS!$F:$F,0)),0)</f>
        <v>0</v>
      </c>
      <c r="AC310" s="3">
        <f>IFERROR(INDEX(EVENTOS!$D:$D,MATCH(SCORE!AC$2&amp;" "&amp;SCORE!$D310,EVENTOS!$F:$F,0)),0)</f>
        <v>0</v>
      </c>
      <c r="AD310" s="3">
        <f>IFERROR(INDEX(EVENTOS!$D:$D,MATCH(SCORE!AD$2&amp;" "&amp;SCORE!$D310,EVENTOS!$F:$F,0)),0)</f>
        <v>0</v>
      </c>
      <c r="AE310" s="3">
        <f t="shared" si="12"/>
        <v>0</v>
      </c>
      <c r="AF310" s="10" t="e">
        <f t="shared" si="13"/>
        <v>#N/A</v>
      </c>
      <c r="AG310" s="3" t="str">
        <f t="shared" si="14"/>
        <v/>
      </c>
    </row>
    <row r="311" spans="1:33" x14ac:dyDescent="0.25">
      <c r="A311" s="7"/>
      <c r="B311" s="8"/>
      <c r="C311" s="3"/>
      <c r="D311" s="3"/>
      <c r="E311" s="3" t="e">
        <f>VLOOKUP(D311,VIAJES!$D:$E,2,FALSE)</f>
        <v>#N/A</v>
      </c>
      <c r="F311" s="9" t="e">
        <f>VLOOKUP(D311,VIAJES!$D:$F,3,FALSE)</f>
        <v>#N/A</v>
      </c>
      <c r="G311" s="9" t="e">
        <f>VLOOKUP(D311,VIAJES!$D:$G,4,FALSE)</f>
        <v>#N/A</v>
      </c>
      <c r="H311" s="3" t="e">
        <f>VLOOKUP(D311,VIAJES!$D:$H,5,FALSE)</f>
        <v>#N/A</v>
      </c>
      <c r="S311" s="3">
        <f>IFERROR(INDEX(EVENTOS!$D:$D,MATCH(SCORE!S$2&amp;" "&amp;SCORE!$D311,EVENTOS!$F:$F,0)),0)</f>
        <v>0</v>
      </c>
      <c r="T311" s="3">
        <f>IFERROR(INDEX(EVENTOS!$D:$D,MATCH(SCORE!T$2&amp;" "&amp;SCORE!$D311,EVENTOS!$F:$F,0)),0)</f>
        <v>0</v>
      </c>
      <c r="U311" s="3">
        <f>IFERROR(INDEX(EVENTOS!$D:$D,MATCH(SCORE!U$2&amp;" "&amp;SCORE!$D311,EVENTOS!$F:$F,0)),0)</f>
        <v>0</v>
      </c>
      <c r="V311" s="3">
        <f>IFERROR(INDEX(EVENTOS!$D:$D,MATCH(SCORE!V$2&amp;" "&amp;SCORE!$D311,EVENTOS!$F:$F,0)),0)</f>
        <v>0</v>
      </c>
      <c r="W311" s="3">
        <f>IFERROR(INDEX(EVENTOS!$D:$D,MATCH(SCORE!W$2&amp;" "&amp;SCORE!$D311,EVENTOS!$F:$F,0)),0)</f>
        <v>0</v>
      </c>
      <c r="X311" s="3">
        <f>IFERROR(INDEX(EVENTOS!$D:$D,MATCH(SCORE!X$2&amp;" "&amp;SCORE!$D311,EVENTOS!$F:$F,0)),0)</f>
        <v>0</v>
      </c>
      <c r="Y311" s="3">
        <f>SUMIFS(EVENTOS!$D:$D, EVENTOS!$B:$B, D311, EVENTOS!$E:$E, "*GirAlto*")</f>
        <v>0</v>
      </c>
      <c r="Z311" s="3">
        <f>SUMIFS(EVENTOS!$D:$D, EVENTOS!$B:$B, D311, EVENTOS!$E:$E, "*GirMed*")</f>
        <v>0</v>
      </c>
      <c r="AA311" s="3">
        <f>SUMIFS(EVENTOS!$D:$D, EVENTOS!$B:$B, D311, EVENTOS!$E:$E, "*GirBajo*")</f>
        <v>0</v>
      </c>
      <c r="AB311" s="3">
        <f>IFERROR(INDEX(EVENTOS!$D:$D,MATCH(SCORE!AB$2&amp;" "&amp;SCORE!$D311,EVENTOS!$F:$F,0)),0)</f>
        <v>0</v>
      </c>
      <c r="AC311" s="3">
        <f>IFERROR(INDEX(EVENTOS!$D:$D,MATCH(SCORE!AC$2&amp;" "&amp;SCORE!$D311,EVENTOS!$F:$F,0)),0)</f>
        <v>0</v>
      </c>
      <c r="AD311" s="3">
        <f>IFERROR(INDEX(EVENTOS!$D:$D,MATCH(SCORE!AD$2&amp;" "&amp;SCORE!$D311,EVENTOS!$F:$F,0)),0)</f>
        <v>0</v>
      </c>
      <c r="AE311" s="3">
        <f t="shared" si="12"/>
        <v>0</v>
      </c>
      <c r="AF311" s="10" t="e">
        <f t="shared" si="13"/>
        <v>#N/A</v>
      </c>
      <c r="AG311" s="3" t="str">
        <f t="shared" si="14"/>
        <v/>
      </c>
    </row>
    <row r="312" spans="1:33" x14ac:dyDescent="0.25">
      <c r="A312" s="7"/>
      <c r="B312" s="8"/>
      <c r="C312" s="3"/>
      <c r="D312" s="3"/>
      <c r="E312" s="3" t="e">
        <f>VLOOKUP(D312,VIAJES!$D:$E,2,FALSE)</f>
        <v>#N/A</v>
      </c>
      <c r="F312" s="9" t="e">
        <f>VLOOKUP(D312,VIAJES!$D:$F,3,FALSE)</f>
        <v>#N/A</v>
      </c>
      <c r="G312" s="9" t="e">
        <f>VLOOKUP(D312,VIAJES!$D:$G,4,FALSE)</f>
        <v>#N/A</v>
      </c>
      <c r="H312" s="3" t="e">
        <f>VLOOKUP(D312,VIAJES!$D:$H,5,FALSE)</f>
        <v>#N/A</v>
      </c>
      <c r="S312" s="3">
        <f>IFERROR(INDEX(EVENTOS!$D:$D,MATCH(SCORE!S$2&amp;" "&amp;SCORE!$D312,EVENTOS!$F:$F,0)),0)</f>
        <v>0</v>
      </c>
      <c r="T312" s="3">
        <f>IFERROR(INDEX(EVENTOS!$D:$D,MATCH(SCORE!T$2&amp;" "&amp;SCORE!$D312,EVENTOS!$F:$F,0)),0)</f>
        <v>0</v>
      </c>
      <c r="U312" s="3">
        <f>IFERROR(INDEX(EVENTOS!$D:$D,MATCH(SCORE!U$2&amp;" "&amp;SCORE!$D312,EVENTOS!$F:$F,0)),0)</f>
        <v>0</v>
      </c>
      <c r="V312" s="3">
        <f>IFERROR(INDEX(EVENTOS!$D:$D,MATCH(SCORE!V$2&amp;" "&amp;SCORE!$D312,EVENTOS!$F:$F,0)),0)</f>
        <v>0</v>
      </c>
      <c r="W312" s="3">
        <f>IFERROR(INDEX(EVENTOS!$D:$D,MATCH(SCORE!W$2&amp;" "&amp;SCORE!$D312,EVENTOS!$F:$F,0)),0)</f>
        <v>0</v>
      </c>
      <c r="X312" s="3">
        <f>IFERROR(INDEX(EVENTOS!$D:$D,MATCH(SCORE!X$2&amp;" "&amp;SCORE!$D312,EVENTOS!$F:$F,0)),0)</f>
        <v>0</v>
      </c>
      <c r="Y312" s="3">
        <f>SUMIFS(EVENTOS!$D:$D, EVENTOS!$B:$B, D312, EVENTOS!$E:$E, "*GirAlto*")</f>
        <v>0</v>
      </c>
      <c r="Z312" s="3">
        <f>SUMIFS(EVENTOS!$D:$D, EVENTOS!$B:$B, D312, EVENTOS!$E:$E, "*GirMed*")</f>
        <v>0</v>
      </c>
      <c r="AA312" s="3">
        <f>SUMIFS(EVENTOS!$D:$D, EVENTOS!$B:$B, D312, EVENTOS!$E:$E, "*GirBajo*")</f>
        <v>0</v>
      </c>
      <c r="AB312" s="3">
        <f>IFERROR(INDEX(EVENTOS!$D:$D,MATCH(SCORE!AB$2&amp;" "&amp;SCORE!$D312,EVENTOS!$F:$F,0)),0)</f>
        <v>0</v>
      </c>
      <c r="AC312" s="3">
        <f>IFERROR(INDEX(EVENTOS!$D:$D,MATCH(SCORE!AC$2&amp;" "&amp;SCORE!$D312,EVENTOS!$F:$F,0)),0)</f>
        <v>0</v>
      </c>
      <c r="AD312" s="3">
        <f>IFERROR(INDEX(EVENTOS!$D:$D,MATCH(SCORE!AD$2&amp;" "&amp;SCORE!$D312,EVENTOS!$F:$F,0)),0)</f>
        <v>0</v>
      </c>
      <c r="AE312" s="3">
        <f t="shared" si="12"/>
        <v>0</v>
      </c>
      <c r="AF312" s="10" t="e">
        <f t="shared" si="13"/>
        <v>#N/A</v>
      </c>
      <c r="AG312" s="3" t="str">
        <f t="shared" si="14"/>
        <v/>
      </c>
    </row>
    <row r="313" spans="1:33" x14ac:dyDescent="0.25">
      <c r="A313" s="7"/>
      <c r="B313" s="8"/>
      <c r="C313" s="3"/>
      <c r="D313" s="3"/>
      <c r="E313" s="3" t="e">
        <f>VLOOKUP(D313,VIAJES!$D:$E,2,FALSE)</f>
        <v>#N/A</v>
      </c>
      <c r="F313" s="9" t="e">
        <f>VLOOKUP(D313,VIAJES!$D:$F,3,FALSE)</f>
        <v>#N/A</v>
      </c>
      <c r="G313" s="9" t="e">
        <f>VLOOKUP(D313,VIAJES!$D:$G,4,FALSE)</f>
        <v>#N/A</v>
      </c>
      <c r="H313" s="3" t="e">
        <f>VLOOKUP(D313,VIAJES!$D:$H,5,FALSE)</f>
        <v>#N/A</v>
      </c>
      <c r="S313" s="3">
        <f>IFERROR(INDEX(EVENTOS!$D:$D,MATCH(SCORE!S$2&amp;" "&amp;SCORE!$D313,EVENTOS!$F:$F,0)),0)</f>
        <v>0</v>
      </c>
      <c r="T313" s="3">
        <f>IFERROR(INDEX(EVENTOS!$D:$D,MATCH(SCORE!T$2&amp;" "&amp;SCORE!$D313,EVENTOS!$F:$F,0)),0)</f>
        <v>0</v>
      </c>
      <c r="U313" s="3">
        <f>IFERROR(INDEX(EVENTOS!$D:$D,MATCH(SCORE!U$2&amp;" "&amp;SCORE!$D313,EVENTOS!$F:$F,0)),0)</f>
        <v>0</v>
      </c>
      <c r="V313" s="3">
        <f>IFERROR(INDEX(EVENTOS!$D:$D,MATCH(SCORE!V$2&amp;" "&amp;SCORE!$D313,EVENTOS!$F:$F,0)),0)</f>
        <v>0</v>
      </c>
      <c r="W313" s="3">
        <f>IFERROR(INDEX(EVENTOS!$D:$D,MATCH(SCORE!W$2&amp;" "&amp;SCORE!$D313,EVENTOS!$F:$F,0)),0)</f>
        <v>0</v>
      </c>
      <c r="X313" s="3">
        <f>IFERROR(INDEX(EVENTOS!$D:$D,MATCH(SCORE!X$2&amp;" "&amp;SCORE!$D313,EVENTOS!$F:$F,0)),0)</f>
        <v>0</v>
      </c>
      <c r="Y313" s="3">
        <f>SUMIFS(EVENTOS!$D:$D, EVENTOS!$B:$B, D313, EVENTOS!$E:$E, "*GirAlto*")</f>
        <v>0</v>
      </c>
      <c r="Z313" s="3">
        <f>SUMIFS(EVENTOS!$D:$D, EVENTOS!$B:$B, D313, EVENTOS!$E:$E, "*GirMed*")</f>
        <v>0</v>
      </c>
      <c r="AA313" s="3">
        <f>SUMIFS(EVENTOS!$D:$D, EVENTOS!$B:$B, D313, EVENTOS!$E:$E, "*GirBajo*")</f>
        <v>0</v>
      </c>
      <c r="AB313" s="3">
        <f>IFERROR(INDEX(EVENTOS!$D:$D,MATCH(SCORE!AB$2&amp;" "&amp;SCORE!$D313,EVENTOS!$F:$F,0)),0)</f>
        <v>0</v>
      </c>
      <c r="AC313" s="3">
        <f>IFERROR(INDEX(EVENTOS!$D:$D,MATCH(SCORE!AC$2&amp;" "&amp;SCORE!$D313,EVENTOS!$F:$F,0)),0)</f>
        <v>0</v>
      </c>
      <c r="AD313" s="3">
        <f>IFERROR(INDEX(EVENTOS!$D:$D,MATCH(SCORE!AD$2&amp;" "&amp;SCORE!$D313,EVENTOS!$F:$F,0)),0)</f>
        <v>0</v>
      </c>
      <c r="AE313" s="3">
        <f t="shared" si="12"/>
        <v>0</v>
      </c>
      <c r="AF313" s="10" t="e">
        <f t="shared" si="13"/>
        <v>#N/A</v>
      </c>
      <c r="AG313" s="3" t="str">
        <f t="shared" si="14"/>
        <v/>
      </c>
    </row>
    <row r="314" spans="1:33" x14ac:dyDescent="0.25">
      <c r="A314" s="7"/>
      <c r="B314" s="8"/>
      <c r="C314" s="3"/>
      <c r="D314" s="3"/>
      <c r="E314" s="3" t="e">
        <f>VLOOKUP(D314,VIAJES!$D:$E,2,FALSE)</f>
        <v>#N/A</v>
      </c>
      <c r="F314" s="9" t="e">
        <f>VLOOKUP(D314,VIAJES!$D:$F,3,FALSE)</f>
        <v>#N/A</v>
      </c>
      <c r="G314" s="9" t="e">
        <f>VLOOKUP(D314,VIAJES!$D:$G,4,FALSE)</f>
        <v>#N/A</v>
      </c>
      <c r="H314" s="3" t="e">
        <f>VLOOKUP(D314,VIAJES!$D:$H,5,FALSE)</f>
        <v>#N/A</v>
      </c>
      <c r="S314" s="3">
        <f>IFERROR(INDEX(EVENTOS!$D:$D,MATCH(SCORE!S$2&amp;" "&amp;SCORE!$D314,EVENTOS!$F:$F,0)),0)</f>
        <v>0</v>
      </c>
      <c r="T314" s="3">
        <f>IFERROR(INDEX(EVENTOS!$D:$D,MATCH(SCORE!T$2&amp;" "&amp;SCORE!$D314,EVENTOS!$F:$F,0)),0)</f>
        <v>0</v>
      </c>
      <c r="U314" s="3">
        <f>IFERROR(INDEX(EVENTOS!$D:$D,MATCH(SCORE!U$2&amp;" "&amp;SCORE!$D314,EVENTOS!$F:$F,0)),0)</f>
        <v>0</v>
      </c>
      <c r="V314" s="3">
        <f>IFERROR(INDEX(EVENTOS!$D:$D,MATCH(SCORE!V$2&amp;" "&amp;SCORE!$D314,EVENTOS!$F:$F,0)),0)</f>
        <v>0</v>
      </c>
      <c r="W314" s="3">
        <f>IFERROR(INDEX(EVENTOS!$D:$D,MATCH(SCORE!W$2&amp;" "&amp;SCORE!$D314,EVENTOS!$F:$F,0)),0)</f>
        <v>0</v>
      </c>
      <c r="X314" s="3">
        <f>IFERROR(INDEX(EVENTOS!$D:$D,MATCH(SCORE!X$2&amp;" "&amp;SCORE!$D314,EVENTOS!$F:$F,0)),0)</f>
        <v>0</v>
      </c>
      <c r="Y314" s="3">
        <f>SUMIFS(EVENTOS!$D:$D, EVENTOS!$B:$B, D314, EVENTOS!$E:$E, "*GirAlto*")</f>
        <v>0</v>
      </c>
      <c r="Z314" s="3">
        <f>SUMIFS(EVENTOS!$D:$D, EVENTOS!$B:$B, D314, EVENTOS!$E:$E, "*GirMed*")</f>
        <v>0</v>
      </c>
      <c r="AA314" s="3">
        <f>SUMIFS(EVENTOS!$D:$D, EVENTOS!$B:$B, D314, EVENTOS!$E:$E, "*GirBajo*")</f>
        <v>0</v>
      </c>
      <c r="AB314" s="3">
        <f>IFERROR(INDEX(EVENTOS!$D:$D,MATCH(SCORE!AB$2&amp;" "&amp;SCORE!$D314,EVENTOS!$F:$F,0)),0)</f>
        <v>0</v>
      </c>
      <c r="AC314" s="3">
        <f>IFERROR(INDEX(EVENTOS!$D:$D,MATCH(SCORE!AC$2&amp;" "&amp;SCORE!$D314,EVENTOS!$F:$F,0)),0)</f>
        <v>0</v>
      </c>
      <c r="AD314" s="3">
        <f>IFERROR(INDEX(EVENTOS!$D:$D,MATCH(SCORE!AD$2&amp;" "&amp;SCORE!$D314,EVENTOS!$F:$F,0)),0)</f>
        <v>0</v>
      </c>
      <c r="AE314" s="3">
        <f t="shared" si="12"/>
        <v>0</v>
      </c>
      <c r="AF314" s="10" t="e">
        <f t="shared" si="13"/>
        <v>#N/A</v>
      </c>
      <c r="AG314" s="3" t="str">
        <f t="shared" si="14"/>
        <v/>
      </c>
    </row>
    <row r="315" spans="1:33" x14ac:dyDescent="0.25">
      <c r="A315" s="7"/>
      <c r="B315" s="8"/>
      <c r="C315" s="3"/>
      <c r="D315" s="3"/>
      <c r="E315" s="3" t="e">
        <f>VLOOKUP(D315,VIAJES!$D:$E,2,FALSE)</f>
        <v>#N/A</v>
      </c>
      <c r="F315" s="9" t="e">
        <f>VLOOKUP(D315,VIAJES!$D:$F,3,FALSE)</f>
        <v>#N/A</v>
      </c>
      <c r="G315" s="9" t="e">
        <f>VLOOKUP(D315,VIAJES!$D:$G,4,FALSE)</f>
        <v>#N/A</v>
      </c>
      <c r="H315" s="3" t="e">
        <f>VLOOKUP(D315,VIAJES!$D:$H,5,FALSE)</f>
        <v>#N/A</v>
      </c>
      <c r="S315" s="3">
        <f>IFERROR(INDEX(EVENTOS!$D:$D,MATCH(SCORE!S$2&amp;" "&amp;SCORE!$D315,EVENTOS!$F:$F,0)),0)</f>
        <v>0</v>
      </c>
      <c r="T315" s="3">
        <f>IFERROR(INDEX(EVENTOS!$D:$D,MATCH(SCORE!T$2&amp;" "&amp;SCORE!$D315,EVENTOS!$F:$F,0)),0)</f>
        <v>0</v>
      </c>
      <c r="U315" s="3">
        <f>IFERROR(INDEX(EVENTOS!$D:$D,MATCH(SCORE!U$2&amp;" "&amp;SCORE!$D315,EVENTOS!$F:$F,0)),0)</f>
        <v>0</v>
      </c>
      <c r="V315" s="3">
        <f>IFERROR(INDEX(EVENTOS!$D:$D,MATCH(SCORE!V$2&amp;" "&amp;SCORE!$D315,EVENTOS!$F:$F,0)),0)</f>
        <v>0</v>
      </c>
      <c r="W315" s="3">
        <f>IFERROR(INDEX(EVENTOS!$D:$D,MATCH(SCORE!W$2&amp;" "&amp;SCORE!$D315,EVENTOS!$F:$F,0)),0)</f>
        <v>0</v>
      </c>
      <c r="X315" s="3">
        <f>IFERROR(INDEX(EVENTOS!$D:$D,MATCH(SCORE!X$2&amp;" "&amp;SCORE!$D315,EVENTOS!$F:$F,0)),0)</f>
        <v>0</v>
      </c>
      <c r="Y315" s="3">
        <f>SUMIFS(EVENTOS!$D:$D, EVENTOS!$B:$B, D315, EVENTOS!$E:$E, "*GirAlto*")</f>
        <v>0</v>
      </c>
      <c r="Z315" s="3">
        <f>SUMIFS(EVENTOS!$D:$D, EVENTOS!$B:$B, D315, EVENTOS!$E:$E, "*GirMed*")</f>
        <v>0</v>
      </c>
      <c r="AA315" s="3">
        <f>SUMIFS(EVENTOS!$D:$D, EVENTOS!$B:$B, D315, EVENTOS!$E:$E, "*GirBajo*")</f>
        <v>0</v>
      </c>
      <c r="AB315" s="3">
        <f>IFERROR(INDEX(EVENTOS!$D:$D,MATCH(SCORE!AB$2&amp;" "&amp;SCORE!$D315,EVENTOS!$F:$F,0)),0)</f>
        <v>0</v>
      </c>
      <c r="AC315" s="3">
        <f>IFERROR(INDEX(EVENTOS!$D:$D,MATCH(SCORE!AC$2&amp;" "&amp;SCORE!$D315,EVENTOS!$F:$F,0)),0)</f>
        <v>0</v>
      </c>
      <c r="AD315" s="3">
        <f>IFERROR(INDEX(EVENTOS!$D:$D,MATCH(SCORE!AD$2&amp;" "&amp;SCORE!$D315,EVENTOS!$F:$F,0)),0)</f>
        <v>0</v>
      </c>
      <c r="AE315" s="3">
        <f t="shared" si="12"/>
        <v>0</v>
      </c>
      <c r="AF315" s="10" t="e">
        <f t="shared" si="13"/>
        <v>#N/A</v>
      </c>
      <c r="AG315" s="3" t="str">
        <f t="shared" si="14"/>
        <v/>
      </c>
    </row>
    <row r="316" spans="1:33" x14ac:dyDescent="0.25">
      <c r="A316" s="7"/>
      <c r="B316" s="8"/>
      <c r="C316" s="3"/>
      <c r="D316" s="3"/>
      <c r="E316" s="3" t="e">
        <f>VLOOKUP(D316,VIAJES!$D:$E,2,FALSE)</f>
        <v>#N/A</v>
      </c>
      <c r="F316" s="9" t="e">
        <f>VLOOKUP(D316,VIAJES!$D:$F,3,FALSE)</f>
        <v>#N/A</v>
      </c>
      <c r="G316" s="9" t="e">
        <f>VLOOKUP(D316,VIAJES!$D:$G,4,FALSE)</f>
        <v>#N/A</v>
      </c>
      <c r="H316" s="3" t="e">
        <f>VLOOKUP(D316,VIAJES!$D:$H,5,FALSE)</f>
        <v>#N/A</v>
      </c>
      <c r="S316" s="3">
        <f>IFERROR(INDEX(EVENTOS!$D:$D,MATCH(SCORE!S$2&amp;" "&amp;SCORE!$D316,EVENTOS!$F:$F,0)),0)</f>
        <v>0</v>
      </c>
      <c r="T316" s="3">
        <f>IFERROR(INDEX(EVENTOS!$D:$D,MATCH(SCORE!T$2&amp;" "&amp;SCORE!$D316,EVENTOS!$F:$F,0)),0)</f>
        <v>0</v>
      </c>
      <c r="U316" s="3">
        <f>IFERROR(INDEX(EVENTOS!$D:$D,MATCH(SCORE!U$2&amp;" "&amp;SCORE!$D316,EVENTOS!$F:$F,0)),0)</f>
        <v>0</v>
      </c>
      <c r="V316" s="3">
        <f>IFERROR(INDEX(EVENTOS!$D:$D,MATCH(SCORE!V$2&amp;" "&amp;SCORE!$D316,EVENTOS!$F:$F,0)),0)</f>
        <v>0</v>
      </c>
      <c r="W316" s="3">
        <f>IFERROR(INDEX(EVENTOS!$D:$D,MATCH(SCORE!W$2&amp;" "&amp;SCORE!$D316,EVENTOS!$F:$F,0)),0)</f>
        <v>0</v>
      </c>
      <c r="X316" s="3">
        <f>IFERROR(INDEX(EVENTOS!$D:$D,MATCH(SCORE!X$2&amp;" "&amp;SCORE!$D316,EVENTOS!$F:$F,0)),0)</f>
        <v>0</v>
      </c>
      <c r="Y316" s="3">
        <f>SUMIFS(EVENTOS!$D:$D, EVENTOS!$B:$B, D316, EVENTOS!$E:$E, "*GirAlto*")</f>
        <v>0</v>
      </c>
      <c r="Z316" s="3">
        <f>SUMIFS(EVENTOS!$D:$D, EVENTOS!$B:$B, D316, EVENTOS!$E:$E, "*GirMed*")</f>
        <v>0</v>
      </c>
      <c r="AA316" s="3">
        <f>SUMIFS(EVENTOS!$D:$D, EVENTOS!$B:$B, D316, EVENTOS!$E:$E, "*GirBajo*")</f>
        <v>0</v>
      </c>
      <c r="AB316" s="3">
        <f>IFERROR(INDEX(EVENTOS!$D:$D,MATCH(SCORE!AB$2&amp;" "&amp;SCORE!$D316,EVENTOS!$F:$F,0)),0)</f>
        <v>0</v>
      </c>
      <c r="AC316" s="3">
        <f>IFERROR(INDEX(EVENTOS!$D:$D,MATCH(SCORE!AC$2&amp;" "&amp;SCORE!$D316,EVENTOS!$F:$F,0)),0)</f>
        <v>0</v>
      </c>
      <c r="AD316" s="3">
        <f>IFERROR(INDEX(EVENTOS!$D:$D,MATCH(SCORE!AD$2&amp;" "&amp;SCORE!$D316,EVENTOS!$F:$F,0)),0)</f>
        <v>0</v>
      </c>
      <c r="AE316" s="3">
        <f t="shared" si="12"/>
        <v>0</v>
      </c>
      <c r="AF316" s="10" t="e">
        <f t="shared" si="13"/>
        <v>#N/A</v>
      </c>
      <c r="AG316" s="3" t="str">
        <f t="shared" si="14"/>
        <v/>
      </c>
    </row>
    <row r="317" spans="1:33" x14ac:dyDescent="0.25">
      <c r="A317" s="7"/>
      <c r="B317" s="8"/>
      <c r="C317" s="3"/>
      <c r="D317" s="3"/>
      <c r="E317" s="3" t="e">
        <f>VLOOKUP(D317,VIAJES!$D:$E,2,FALSE)</f>
        <v>#N/A</v>
      </c>
      <c r="F317" s="9" t="e">
        <f>VLOOKUP(D317,VIAJES!$D:$F,3,FALSE)</f>
        <v>#N/A</v>
      </c>
      <c r="G317" s="9" t="e">
        <f>VLOOKUP(D317,VIAJES!$D:$G,4,FALSE)</f>
        <v>#N/A</v>
      </c>
      <c r="H317" s="3" t="e">
        <f>VLOOKUP(D317,VIAJES!$D:$H,5,FALSE)</f>
        <v>#N/A</v>
      </c>
      <c r="S317" s="3">
        <f>IFERROR(INDEX(EVENTOS!$D:$D,MATCH(SCORE!S$2&amp;" "&amp;SCORE!$D317,EVENTOS!$F:$F,0)),0)</f>
        <v>0</v>
      </c>
      <c r="T317" s="3">
        <f>IFERROR(INDEX(EVENTOS!$D:$D,MATCH(SCORE!T$2&amp;" "&amp;SCORE!$D317,EVENTOS!$F:$F,0)),0)</f>
        <v>0</v>
      </c>
      <c r="U317" s="3">
        <f>IFERROR(INDEX(EVENTOS!$D:$D,MATCH(SCORE!U$2&amp;" "&amp;SCORE!$D317,EVENTOS!$F:$F,0)),0)</f>
        <v>0</v>
      </c>
      <c r="V317" s="3">
        <f>IFERROR(INDEX(EVENTOS!$D:$D,MATCH(SCORE!V$2&amp;" "&amp;SCORE!$D317,EVENTOS!$F:$F,0)),0)</f>
        <v>0</v>
      </c>
      <c r="W317" s="3">
        <f>IFERROR(INDEX(EVENTOS!$D:$D,MATCH(SCORE!W$2&amp;" "&amp;SCORE!$D317,EVENTOS!$F:$F,0)),0)</f>
        <v>0</v>
      </c>
      <c r="X317" s="3">
        <f>IFERROR(INDEX(EVENTOS!$D:$D,MATCH(SCORE!X$2&amp;" "&amp;SCORE!$D317,EVENTOS!$F:$F,0)),0)</f>
        <v>0</v>
      </c>
      <c r="Y317" s="3">
        <f>SUMIFS(EVENTOS!$D:$D, EVENTOS!$B:$B, D317, EVENTOS!$E:$E, "*GirAlto*")</f>
        <v>0</v>
      </c>
      <c r="Z317" s="3">
        <f>SUMIFS(EVENTOS!$D:$D, EVENTOS!$B:$B, D317, EVENTOS!$E:$E, "*GirMed*")</f>
        <v>0</v>
      </c>
      <c r="AA317" s="3">
        <f>SUMIFS(EVENTOS!$D:$D, EVENTOS!$B:$B, D317, EVENTOS!$E:$E, "*GirBajo*")</f>
        <v>0</v>
      </c>
      <c r="AB317" s="3">
        <f>IFERROR(INDEX(EVENTOS!$D:$D,MATCH(SCORE!AB$2&amp;" "&amp;SCORE!$D317,EVENTOS!$F:$F,0)),0)</f>
        <v>0</v>
      </c>
      <c r="AC317" s="3">
        <f>IFERROR(INDEX(EVENTOS!$D:$D,MATCH(SCORE!AC$2&amp;" "&amp;SCORE!$D317,EVENTOS!$F:$F,0)),0)</f>
        <v>0</v>
      </c>
      <c r="AD317" s="3">
        <f>IFERROR(INDEX(EVENTOS!$D:$D,MATCH(SCORE!AD$2&amp;" "&amp;SCORE!$D317,EVENTOS!$F:$F,0)),0)</f>
        <v>0</v>
      </c>
      <c r="AE317" s="3">
        <f t="shared" si="12"/>
        <v>0</v>
      </c>
      <c r="AF317" s="10" t="e">
        <f t="shared" si="13"/>
        <v>#N/A</v>
      </c>
      <c r="AG317" s="3" t="str">
        <f t="shared" si="14"/>
        <v/>
      </c>
    </row>
    <row r="318" spans="1:33" x14ac:dyDescent="0.25">
      <c r="A318" s="7"/>
      <c r="B318" s="8"/>
      <c r="C318" s="3"/>
      <c r="D318" s="3"/>
      <c r="E318" s="3" t="e">
        <f>VLOOKUP(D318,VIAJES!$D:$E,2,FALSE)</f>
        <v>#N/A</v>
      </c>
      <c r="F318" s="9" t="e">
        <f>VLOOKUP(D318,VIAJES!$D:$F,3,FALSE)</f>
        <v>#N/A</v>
      </c>
      <c r="G318" s="9" t="e">
        <f>VLOOKUP(D318,VIAJES!$D:$G,4,FALSE)</f>
        <v>#N/A</v>
      </c>
      <c r="H318" s="3" t="e">
        <f>VLOOKUP(D318,VIAJES!$D:$H,5,FALSE)</f>
        <v>#N/A</v>
      </c>
      <c r="S318" s="3">
        <f>IFERROR(INDEX(EVENTOS!$D:$D,MATCH(SCORE!S$2&amp;" "&amp;SCORE!$D318,EVENTOS!$F:$F,0)),0)</f>
        <v>0</v>
      </c>
      <c r="T318" s="3">
        <f>IFERROR(INDEX(EVENTOS!$D:$D,MATCH(SCORE!T$2&amp;" "&amp;SCORE!$D318,EVENTOS!$F:$F,0)),0)</f>
        <v>0</v>
      </c>
      <c r="U318" s="3">
        <f>IFERROR(INDEX(EVENTOS!$D:$D,MATCH(SCORE!U$2&amp;" "&amp;SCORE!$D318,EVENTOS!$F:$F,0)),0)</f>
        <v>0</v>
      </c>
      <c r="V318" s="3">
        <f>IFERROR(INDEX(EVENTOS!$D:$D,MATCH(SCORE!V$2&amp;" "&amp;SCORE!$D318,EVENTOS!$F:$F,0)),0)</f>
        <v>0</v>
      </c>
      <c r="W318" s="3">
        <f>IFERROR(INDEX(EVENTOS!$D:$D,MATCH(SCORE!W$2&amp;" "&amp;SCORE!$D318,EVENTOS!$F:$F,0)),0)</f>
        <v>0</v>
      </c>
      <c r="X318" s="3">
        <f>IFERROR(INDEX(EVENTOS!$D:$D,MATCH(SCORE!X$2&amp;" "&amp;SCORE!$D318,EVENTOS!$F:$F,0)),0)</f>
        <v>0</v>
      </c>
      <c r="Y318" s="3">
        <f>SUMIFS(EVENTOS!$D:$D, EVENTOS!$B:$B, D318, EVENTOS!$E:$E, "*GirAlto*")</f>
        <v>0</v>
      </c>
      <c r="Z318" s="3">
        <f>SUMIFS(EVENTOS!$D:$D, EVENTOS!$B:$B, D318, EVENTOS!$E:$E, "*GirMed*")</f>
        <v>0</v>
      </c>
      <c r="AA318" s="3">
        <f>SUMIFS(EVENTOS!$D:$D, EVENTOS!$B:$B, D318, EVENTOS!$E:$E, "*GirBajo*")</f>
        <v>0</v>
      </c>
      <c r="AB318" s="3">
        <f>IFERROR(INDEX(EVENTOS!$D:$D,MATCH(SCORE!AB$2&amp;" "&amp;SCORE!$D318,EVENTOS!$F:$F,0)),0)</f>
        <v>0</v>
      </c>
      <c r="AC318" s="3">
        <f>IFERROR(INDEX(EVENTOS!$D:$D,MATCH(SCORE!AC$2&amp;" "&amp;SCORE!$D318,EVENTOS!$F:$F,0)),0)</f>
        <v>0</v>
      </c>
      <c r="AD318" s="3">
        <f>IFERROR(INDEX(EVENTOS!$D:$D,MATCH(SCORE!AD$2&amp;" "&amp;SCORE!$D318,EVENTOS!$F:$F,0)),0)</f>
        <v>0</v>
      </c>
      <c r="AE318" s="3">
        <f t="shared" si="12"/>
        <v>0</v>
      </c>
      <c r="AF318" s="10" t="e">
        <f t="shared" si="13"/>
        <v>#N/A</v>
      </c>
      <c r="AG318" s="3" t="str">
        <f t="shared" si="14"/>
        <v/>
      </c>
    </row>
    <row r="319" spans="1:33" x14ac:dyDescent="0.25">
      <c r="A319" s="7"/>
      <c r="B319" s="8"/>
      <c r="C319" s="3"/>
      <c r="D319" s="3"/>
      <c r="E319" s="3" t="e">
        <f>VLOOKUP(D319,VIAJES!$D:$E,2,FALSE)</f>
        <v>#N/A</v>
      </c>
      <c r="F319" s="9" t="e">
        <f>VLOOKUP(D319,VIAJES!$D:$F,3,FALSE)</f>
        <v>#N/A</v>
      </c>
      <c r="G319" s="9" t="e">
        <f>VLOOKUP(D319,VIAJES!$D:$G,4,FALSE)</f>
        <v>#N/A</v>
      </c>
      <c r="H319" s="3" t="e">
        <f>VLOOKUP(D319,VIAJES!$D:$H,5,FALSE)</f>
        <v>#N/A</v>
      </c>
      <c r="S319" s="3">
        <f>IFERROR(INDEX(EVENTOS!$D:$D,MATCH(SCORE!S$2&amp;" "&amp;SCORE!$D319,EVENTOS!$F:$F,0)),0)</f>
        <v>0</v>
      </c>
      <c r="T319" s="3">
        <f>IFERROR(INDEX(EVENTOS!$D:$D,MATCH(SCORE!T$2&amp;" "&amp;SCORE!$D319,EVENTOS!$F:$F,0)),0)</f>
        <v>0</v>
      </c>
      <c r="U319" s="3">
        <f>IFERROR(INDEX(EVENTOS!$D:$D,MATCH(SCORE!U$2&amp;" "&amp;SCORE!$D319,EVENTOS!$F:$F,0)),0)</f>
        <v>0</v>
      </c>
      <c r="V319" s="3">
        <f>IFERROR(INDEX(EVENTOS!$D:$D,MATCH(SCORE!V$2&amp;" "&amp;SCORE!$D319,EVENTOS!$F:$F,0)),0)</f>
        <v>0</v>
      </c>
      <c r="W319" s="3">
        <f>IFERROR(INDEX(EVENTOS!$D:$D,MATCH(SCORE!W$2&amp;" "&amp;SCORE!$D319,EVENTOS!$F:$F,0)),0)</f>
        <v>0</v>
      </c>
      <c r="X319" s="3">
        <f>IFERROR(INDEX(EVENTOS!$D:$D,MATCH(SCORE!X$2&amp;" "&amp;SCORE!$D319,EVENTOS!$F:$F,0)),0)</f>
        <v>0</v>
      </c>
      <c r="Y319" s="3">
        <f>SUMIFS(EVENTOS!$D:$D, EVENTOS!$B:$B, D319, EVENTOS!$E:$E, "*GirAlto*")</f>
        <v>0</v>
      </c>
      <c r="Z319" s="3">
        <f>SUMIFS(EVENTOS!$D:$D, EVENTOS!$B:$B, D319, EVENTOS!$E:$E, "*GirMed*")</f>
        <v>0</v>
      </c>
      <c r="AA319" s="3">
        <f>SUMIFS(EVENTOS!$D:$D, EVENTOS!$B:$B, D319, EVENTOS!$E:$E, "*GirBajo*")</f>
        <v>0</v>
      </c>
      <c r="AB319" s="3">
        <f>IFERROR(INDEX(EVENTOS!$D:$D,MATCH(SCORE!AB$2&amp;" "&amp;SCORE!$D319,EVENTOS!$F:$F,0)),0)</f>
        <v>0</v>
      </c>
      <c r="AC319" s="3">
        <f>IFERROR(INDEX(EVENTOS!$D:$D,MATCH(SCORE!AC$2&amp;" "&amp;SCORE!$D319,EVENTOS!$F:$F,0)),0)</f>
        <v>0</v>
      </c>
      <c r="AD319" s="3">
        <f>IFERROR(INDEX(EVENTOS!$D:$D,MATCH(SCORE!AD$2&amp;" "&amp;SCORE!$D319,EVENTOS!$F:$F,0)),0)</f>
        <v>0</v>
      </c>
      <c r="AE319" s="3">
        <f t="shared" si="12"/>
        <v>0</v>
      </c>
      <c r="AF319" s="10" t="e">
        <f t="shared" si="13"/>
        <v>#N/A</v>
      </c>
      <c r="AG319" s="3" t="str">
        <f t="shared" si="14"/>
        <v/>
      </c>
    </row>
    <row r="320" spans="1:33" x14ac:dyDescent="0.25">
      <c r="A320" s="7"/>
      <c r="B320" s="8"/>
      <c r="C320" s="3"/>
      <c r="D320" s="3"/>
      <c r="E320" s="3" t="e">
        <f>VLOOKUP(D320,VIAJES!$D:$E,2,FALSE)</f>
        <v>#N/A</v>
      </c>
      <c r="F320" s="9" t="e">
        <f>VLOOKUP(D320,VIAJES!$D:$F,3,FALSE)</f>
        <v>#N/A</v>
      </c>
      <c r="G320" s="9" t="e">
        <f>VLOOKUP(D320,VIAJES!$D:$G,4,FALSE)</f>
        <v>#N/A</v>
      </c>
      <c r="H320" s="3" t="e">
        <f>VLOOKUP(D320,VIAJES!$D:$H,5,FALSE)</f>
        <v>#N/A</v>
      </c>
      <c r="S320" s="3">
        <f>IFERROR(INDEX(EVENTOS!$D:$D,MATCH(SCORE!S$2&amp;" "&amp;SCORE!$D320,EVENTOS!$F:$F,0)),0)</f>
        <v>0</v>
      </c>
      <c r="T320" s="3">
        <f>IFERROR(INDEX(EVENTOS!$D:$D,MATCH(SCORE!T$2&amp;" "&amp;SCORE!$D320,EVENTOS!$F:$F,0)),0)</f>
        <v>0</v>
      </c>
      <c r="U320" s="3">
        <f>IFERROR(INDEX(EVENTOS!$D:$D,MATCH(SCORE!U$2&amp;" "&amp;SCORE!$D320,EVENTOS!$F:$F,0)),0)</f>
        <v>0</v>
      </c>
      <c r="V320" s="3">
        <f>IFERROR(INDEX(EVENTOS!$D:$D,MATCH(SCORE!V$2&amp;" "&amp;SCORE!$D320,EVENTOS!$F:$F,0)),0)</f>
        <v>0</v>
      </c>
      <c r="W320" s="3">
        <f>IFERROR(INDEX(EVENTOS!$D:$D,MATCH(SCORE!W$2&amp;" "&amp;SCORE!$D320,EVENTOS!$F:$F,0)),0)</f>
        <v>0</v>
      </c>
      <c r="X320" s="3">
        <f>IFERROR(INDEX(EVENTOS!$D:$D,MATCH(SCORE!X$2&amp;" "&amp;SCORE!$D320,EVENTOS!$F:$F,0)),0)</f>
        <v>0</v>
      </c>
      <c r="Y320" s="3">
        <f>SUMIFS(EVENTOS!$D:$D, EVENTOS!$B:$B, D320, EVENTOS!$E:$E, "*GirAlto*")</f>
        <v>0</v>
      </c>
      <c r="Z320" s="3">
        <f>SUMIFS(EVENTOS!$D:$D, EVENTOS!$B:$B, D320, EVENTOS!$E:$E, "*GirMed*")</f>
        <v>0</v>
      </c>
      <c r="AA320" s="3">
        <f>SUMIFS(EVENTOS!$D:$D, EVENTOS!$B:$B, D320, EVENTOS!$E:$E, "*GirBajo*")</f>
        <v>0</v>
      </c>
      <c r="AB320" s="3">
        <f>IFERROR(INDEX(EVENTOS!$D:$D,MATCH(SCORE!AB$2&amp;" "&amp;SCORE!$D320,EVENTOS!$F:$F,0)),0)</f>
        <v>0</v>
      </c>
      <c r="AC320" s="3">
        <f>IFERROR(INDEX(EVENTOS!$D:$D,MATCH(SCORE!AC$2&amp;" "&amp;SCORE!$D320,EVENTOS!$F:$F,0)),0)</f>
        <v>0</v>
      </c>
      <c r="AD320" s="3">
        <f>IFERROR(INDEX(EVENTOS!$D:$D,MATCH(SCORE!AD$2&amp;" "&amp;SCORE!$D320,EVENTOS!$F:$F,0)),0)</f>
        <v>0</v>
      </c>
      <c r="AE320" s="3">
        <f t="shared" si="12"/>
        <v>0</v>
      </c>
      <c r="AF320" s="10" t="e">
        <f t="shared" si="13"/>
        <v>#N/A</v>
      </c>
      <c r="AG320" s="3" t="str">
        <f t="shared" si="14"/>
        <v/>
      </c>
    </row>
    <row r="321" spans="1:33" x14ac:dyDescent="0.25">
      <c r="A321" s="7"/>
      <c r="B321" s="8"/>
      <c r="C321" s="3"/>
      <c r="D321" s="3"/>
      <c r="E321" s="3" t="e">
        <f>VLOOKUP(D321,VIAJES!$D:$E,2,FALSE)</f>
        <v>#N/A</v>
      </c>
      <c r="F321" s="9" t="e">
        <f>VLOOKUP(D321,VIAJES!$D:$F,3,FALSE)</f>
        <v>#N/A</v>
      </c>
      <c r="G321" s="9" t="e">
        <f>VLOOKUP(D321,VIAJES!$D:$G,4,FALSE)</f>
        <v>#N/A</v>
      </c>
      <c r="H321" s="3" t="e">
        <f>VLOOKUP(D321,VIAJES!$D:$H,5,FALSE)</f>
        <v>#N/A</v>
      </c>
      <c r="S321" s="3">
        <f>IFERROR(INDEX(EVENTOS!$D:$D,MATCH(SCORE!S$2&amp;" "&amp;SCORE!$D321,EVENTOS!$F:$F,0)),0)</f>
        <v>0</v>
      </c>
      <c r="T321" s="3">
        <f>IFERROR(INDEX(EVENTOS!$D:$D,MATCH(SCORE!T$2&amp;" "&amp;SCORE!$D321,EVENTOS!$F:$F,0)),0)</f>
        <v>0</v>
      </c>
      <c r="U321" s="3">
        <f>IFERROR(INDEX(EVENTOS!$D:$D,MATCH(SCORE!U$2&amp;" "&amp;SCORE!$D321,EVENTOS!$F:$F,0)),0)</f>
        <v>0</v>
      </c>
      <c r="V321" s="3">
        <f>IFERROR(INDEX(EVENTOS!$D:$D,MATCH(SCORE!V$2&amp;" "&amp;SCORE!$D321,EVENTOS!$F:$F,0)),0)</f>
        <v>0</v>
      </c>
      <c r="W321" s="3">
        <f>IFERROR(INDEX(EVENTOS!$D:$D,MATCH(SCORE!W$2&amp;" "&amp;SCORE!$D321,EVENTOS!$F:$F,0)),0)</f>
        <v>0</v>
      </c>
      <c r="X321" s="3">
        <f>IFERROR(INDEX(EVENTOS!$D:$D,MATCH(SCORE!X$2&amp;" "&amp;SCORE!$D321,EVENTOS!$F:$F,0)),0)</f>
        <v>0</v>
      </c>
      <c r="Y321" s="3">
        <f>SUMIFS(EVENTOS!$D:$D, EVENTOS!$B:$B, D321, EVENTOS!$E:$E, "*GirAlto*")</f>
        <v>0</v>
      </c>
      <c r="Z321" s="3">
        <f>SUMIFS(EVENTOS!$D:$D, EVENTOS!$B:$B, D321, EVENTOS!$E:$E, "*GirMed*")</f>
        <v>0</v>
      </c>
      <c r="AA321" s="3">
        <f>SUMIFS(EVENTOS!$D:$D, EVENTOS!$B:$B, D321, EVENTOS!$E:$E, "*GirBajo*")</f>
        <v>0</v>
      </c>
      <c r="AB321" s="3">
        <f>IFERROR(INDEX(EVENTOS!$D:$D,MATCH(SCORE!AB$2&amp;" "&amp;SCORE!$D321,EVENTOS!$F:$F,0)),0)</f>
        <v>0</v>
      </c>
      <c r="AC321" s="3">
        <f>IFERROR(INDEX(EVENTOS!$D:$D,MATCH(SCORE!AC$2&amp;" "&amp;SCORE!$D321,EVENTOS!$F:$F,0)),0)</f>
        <v>0</v>
      </c>
      <c r="AD321" s="3">
        <f>IFERROR(INDEX(EVENTOS!$D:$D,MATCH(SCORE!AD$2&amp;" "&amp;SCORE!$D321,EVENTOS!$F:$F,0)),0)</f>
        <v>0</v>
      </c>
      <c r="AE321" s="3">
        <f t="shared" si="12"/>
        <v>0</v>
      </c>
      <c r="AF321" s="10" t="e">
        <f t="shared" si="13"/>
        <v>#N/A</v>
      </c>
      <c r="AG321" s="3" t="str">
        <f t="shared" si="14"/>
        <v/>
      </c>
    </row>
    <row r="322" spans="1:33" x14ac:dyDescent="0.25">
      <c r="A322" s="7"/>
      <c r="B322" s="8"/>
      <c r="C322" s="3"/>
      <c r="D322" s="3"/>
      <c r="E322" s="3" t="e">
        <f>VLOOKUP(D322,VIAJES!$D:$E,2,FALSE)</f>
        <v>#N/A</v>
      </c>
      <c r="F322" s="9" t="e">
        <f>VLOOKUP(D322,VIAJES!$D:$F,3,FALSE)</f>
        <v>#N/A</v>
      </c>
      <c r="G322" s="9" t="e">
        <f>VLOOKUP(D322,VIAJES!$D:$G,4,FALSE)</f>
        <v>#N/A</v>
      </c>
      <c r="H322" s="3" t="e">
        <f>VLOOKUP(D322,VIAJES!$D:$H,5,FALSE)</f>
        <v>#N/A</v>
      </c>
      <c r="S322" s="3">
        <f>IFERROR(INDEX(EVENTOS!$D:$D,MATCH(SCORE!S$2&amp;" "&amp;SCORE!$D322,EVENTOS!$F:$F,0)),0)</f>
        <v>0</v>
      </c>
      <c r="T322" s="3">
        <f>IFERROR(INDEX(EVENTOS!$D:$D,MATCH(SCORE!T$2&amp;" "&amp;SCORE!$D322,EVENTOS!$F:$F,0)),0)</f>
        <v>0</v>
      </c>
      <c r="U322" s="3">
        <f>IFERROR(INDEX(EVENTOS!$D:$D,MATCH(SCORE!U$2&amp;" "&amp;SCORE!$D322,EVENTOS!$F:$F,0)),0)</f>
        <v>0</v>
      </c>
      <c r="V322" s="3">
        <f>IFERROR(INDEX(EVENTOS!$D:$D,MATCH(SCORE!V$2&amp;" "&amp;SCORE!$D322,EVENTOS!$F:$F,0)),0)</f>
        <v>0</v>
      </c>
      <c r="W322" s="3">
        <f>IFERROR(INDEX(EVENTOS!$D:$D,MATCH(SCORE!W$2&amp;" "&amp;SCORE!$D322,EVENTOS!$F:$F,0)),0)</f>
        <v>0</v>
      </c>
      <c r="X322" s="3">
        <f>IFERROR(INDEX(EVENTOS!$D:$D,MATCH(SCORE!X$2&amp;" "&amp;SCORE!$D322,EVENTOS!$F:$F,0)),0)</f>
        <v>0</v>
      </c>
      <c r="Y322" s="3">
        <f>SUMIFS(EVENTOS!$D:$D, EVENTOS!$B:$B, D322, EVENTOS!$E:$E, "*GirAlto*")</f>
        <v>0</v>
      </c>
      <c r="Z322" s="3">
        <f>SUMIFS(EVENTOS!$D:$D, EVENTOS!$B:$B, D322, EVENTOS!$E:$E, "*GirMed*")</f>
        <v>0</v>
      </c>
      <c r="AA322" s="3">
        <f>SUMIFS(EVENTOS!$D:$D, EVENTOS!$B:$B, D322, EVENTOS!$E:$E, "*GirBajo*")</f>
        <v>0</v>
      </c>
      <c r="AB322" s="3">
        <f>IFERROR(INDEX(EVENTOS!$D:$D,MATCH(SCORE!AB$2&amp;" "&amp;SCORE!$D322,EVENTOS!$F:$F,0)),0)</f>
        <v>0</v>
      </c>
      <c r="AC322" s="3">
        <f>IFERROR(INDEX(EVENTOS!$D:$D,MATCH(SCORE!AC$2&amp;" "&amp;SCORE!$D322,EVENTOS!$F:$F,0)),0)</f>
        <v>0</v>
      </c>
      <c r="AD322" s="3">
        <f>IFERROR(INDEX(EVENTOS!$D:$D,MATCH(SCORE!AD$2&amp;" "&amp;SCORE!$D322,EVENTOS!$F:$F,0)),0)</f>
        <v>0</v>
      </c>
      <c r="AE322" s="3">
        <f t="shared" si="12"/>
        <v>0</v>
      </c>
      <c r="AF322" s="10" t="e">
        <f t="shared" si="13"/>
        <v>#N/A</v>
      </c>
      <c r="AG322" s="3" t="str">
        <f t="shared" si="14"/>
        <v/>
      </c>
    </row>
    <row r="323" spans="1:33" x14ac:dyDescent="0.25">
      <c r="A323" s="7"/>
      <c r="B323" s="8"/>
      <c r="C323" s="3"/>
      <c r="D323" s="3"/>
      <c r="E323" s="3" t="e">
        <f>VLOOKUP(D323,VIAJES!$D:$E,2,FALSE)</f>
        <v>#N/A</v>
      </c>
      <c r="F323" s="9" t="e">
        <f>VLOOKUP(D323,VIAJES!$D:$F,3,FALSE)</f>
        <v>#N/A</v>
      </c>
      <c r="G323" s="9" t="e">
        <f>VLOOKUP(D323,VIAJES!$D:$G,4,FALSE)</f>
        <v>#N/A</v>
      </c>
      <c r="H323" s="3" t="e">
        <f>VLOOKUP(D323,VIAJES!$D:$H,5,FALSE)</f>
        <v>#N/A</v>
      </c>
      <c r="S323" s="3">
        <f>IFERROR(INDEX(EVENTOS!$D:$D,MATCH(SCORE!S$2&amp;" "&amp;SCORE!$D323,EVENTOS!$F:$F,0)),0)</f>
        <v>0</v>
      </c>
      <c r="T323" s="3">
        <f>IFERROR(INDEX(EVENTOS!$D:$D,MATCH(SCORE!T$2&amp;" "&amp;SCORE!$D323,EVENTOS!$F:$F,0)),0)</f>
        <v>0</v>
      </c>
      <c r="U323" s="3">
        <f>IFERROR(INDEX(EVENTOS!$D:$D,MATCH(SCORE!U$2&amp;" "&amp;SCORE!$D323,EVENTOS!$F:$F,0)),0)</f>
        <v>0</v>
      </c>
      <c r="V323" s="3">
        <f>IFERROR(INDEX(EVENTOS!$D:$D,MATCH(SCORE!V$2&amp;" "&amp;SCORE!$D323,EVENTOS!$F:$F,0)),0)</f>
        <v>0</v>
      </c>
      <c r="W323" s="3">
        <f>IFERROR(INDEX(EVENTOS!$D:$D,MATCH(SCORE!W$2&amp;" "&amp;SCORE!$D323,EVENTOS!$F:$F,0)),0)</f>
        <v>0</v>
      </c>
      <c r="X323" s="3">
        <f>IFERROR(INDEX(EVENTOS!$D:$D,MATCH(SCORE!X$2&amp;" "&amp;SCORE!$D323,EVENTOS!$F:$F,0)),0)</f>
        <v>0</v>
      </c>
      <c r="Y323" s="3">
        <f>SUMIFS(EVENTOS!$D:$D, EVENTOS!$B:$B, D323, EVENTOS!$E:$E, "*GirAlto*")</f>
        <v>0</v>
      </c>
      <c r="Z323" s="3">
        <f>SUMIFS(EVENTOS!$D:$D, EVENTOS!$B:$B, D323, EVENTOS!$E:$E, "*GirMed*")</f>
        <v>0</v>
      </c>
      <c r="AA323" s="3">
        <f>SUMIFS(EVENTOS!$D:$D, EVENTOS!$B:$B, D323, EVENTOS!$E:$E, "*GirBajo*")</f>
        <v>0</v>
      </c>
      <c r="AB323" s="3">
        <f>IFERROR(INDEX(EVENTOS!$D:$D,MATCH(SCORE!AB$2&amp;" "&amp;SCORE!$D323,EVENTOS!$F:$F,0)),0)</f>
        <v>0</v>
      </c>
      <c r="AC323" s="3">
        <f>IFERROR(INDEX(EVENTOS!$D:$D,MATCH(SCORE!AC$2&amp;" "&amp;SCORE!$D323,EVENTOS!$F:$F,0)),0)</f>
        <v>0</v>
      </c>
      <c r="AD323" s="3">
        <f>IFERROR(INDEX(EVENTOS!$D:$D,MATCH(SCORE!AD$2&amp;" "&amp;SCORE!$D323,EVENTOS!$F:$F,0)),0)</f>
        <v>0</v>
      </c>
      <c r="AE323" s="3">
        <f t="shared" ref="AE323:AE386" si="15">((S323+V323+Y323+AB323)*50)+((T323+W323+Z323+AC323)*25)+((U323+X323+AA323+AD323)*5)</f>
        <v>0</v>
      </c>
      <c r="AF323" s="10" t="e">
        <f t="shared" ref="AF323:AF386" si="16">AE323/(G323*24)*100</f>
        <v>#N/A</v>
      </c>
      <c r="AG323" s="3" t="str">
        <f t="shared" ref="AG323:AG386" si="17">IF(D323&lt;&gt;"",IF(AF323&gt;=30000,5,ROUNDDOWN((((5-95)*(AF323-0))/(30000-0))+95,0)),"")</f>
        <v/>
      </c>
    </row>
    <row r="324" spans="1:33" x14ac:dyDescent="0.25">
      <c r="A324" s="7"/>
      <c r="B324" s="8"/>
      <c r="C324" s="3"/>
      <c r="D324" s="3"/>
      <c r="E324" s="3" t="e">
        <f>VLOOKUP(D324,VIAJES!$D:$E,2,FALSE)</f>
        <v>#N/A</v>
      </c>
      <c r="F324" s="9" t="e">
        <f>VLOOKUP(D324,VIAJES!$D:$F,3,FALSE)</f>
        <v>#N/A</v>
      </c>
      <c r="G324" s="9" t="e">
        <f>VLOOKUP(D324,VIAJES!$D:$G,4,FALSE)</f>
        <v>#N/A</v>
      </c>
      <c r="H324" s="3" t="e">
        <f>VLOOKUP(D324,VIAJES!$D:$H,5,FALSE)</f>
        <v>#N/A</v>
      </c>
      <c r="S324" s="3">
        <f>IFERROR(INDEX(EVENTOS!$D:$D,MATCH(SCORE!S$2&amp;" "&amp;SCORE!$D324,EVENTOS!$F:$F,0)),0)</f>
        <v>0</v>
      </c>
      <c r="T324" s="3">
        <f>IFERROR(INDEX(EVENTOS!$D:$D,MATCH(SCORE!T$2&amp;" "&amp;SCORE!$D324,EVENTOS!$F:$F,0)),0)</f>
        <v>0</v>
      </c>
      <c r="U324" s="3">
        <f>IFERROR(INDEX(EVENTOS!$D:$D,MATCH(SCORE!U$2&amp;" "&amp;SCORE!$D324,EVENTOS!$F:$F,0)),0)</f>
        <v>0</v>
      </c>
      <c r="V324" s="3">
        <f>IFERROR(INDEX(EVENTOS!$D:$D,MATCH(SCORE!V$2&amp;" "&amp;SCORE!$D324,EVENTOS!$F:$F,0)),0)</f>
        <v>0</v>
      </c>
      <c r="W324" s="3">
        <f>IFERROR(INDEX(EVENTOS!$D:$D,MATCH(SCORE!W$2&amp;" "&amp;SCORE!$D324,EVENTOS!$F:$F,0)),0)</f>
        <v>0</v>
      </c>
      <c r="X324" s="3">
        <f>IFERROR(INDEX(EVENTOS!$D:$D,MATCH(SCORE!X$2&amp;" "&amp;SCORE!$D324,EVENTOS!$F:$F,0)),0)</f>
        <v>0</v>
      </c>
      <c r="Y324" s="3">
        <f>SUMIFS(EVENTOS!$D:$D, EVENTOS!$B:$B, D324, EVENTOS!$E:$E, "*GirAlto*")</f>
        <v>0</v>
      </c>
      <c r="Z324" s="3">
        <f>SUMIFS(EVENTOS!$D:$D, EVENTOS!$B:$B, D324, EVENTOS!$E:$E, "*GirMed*")</f>
        <v>0</v>
      </c>
      <c r="AA324" s="3">
        <f>SUMIFS(EVENTOS!$D:$D, EVENTOS!$B:$B, D324, EVENTOS!$E:$E, "*GirBajo*")</f>
        <v>0</v>
      </c>
      <c r="AB324" s="3">
        <f>IFERROR(INDEX(EVENTOS!$D:$D,MATCH(SCORE!AB$2&amp;" "&amp;SCORE!$D324,EVENTOS!$F:$F,0)),0)</f>
        <v>0</v>
      </c>
      <c r="AC324" s="3">
        <f>IFERROR(INDEX(EVENTOS!$D:$D,MATCH(SCORE!AC$2&amp;" "&amp;SCORE!$D324,EVENTOS!$F:$F,0)),0)</f>
        <v>0</v>
      </c>
      <c r="AD324" s="3">
        <f>IFERROR(INDEX(EVENTOS!$D:$D,MATCH(SCORE!AD$2&amp;" "&amp;SCORE!$D324,EVENTOS!$F:$F,0)),0)</f>
        <v>0</v>
      </c>
      <c r="AE324" s="3">
        <f t="shared" si="15"/>
        <v>0</v>
      </c>
      <c r="AF324" s="10" t="e">
        <f t="shared" si="16"/>
        <v>#N/A</v>
      </c>
      <c r="AG324" s="3" t="str">
        <f t="shared" si="17"/>
        <v/>
      </c>
    </row>
    <row r="325" spans="1:33" x14ac:dyDescent="0.25">
      <c r="A325" s="7"/>
      <c r="B325" s="8"/>
      <c r="C325" s="3"/>
      <c r="D325" s="3"/>
      <c r="E325" s="3" t="e">
        <f>VLOOKUP(D325,VIAJES!$D:$E,2,FALSE)</f>
        <v>#N/A</v>
      </c>
      <c r="F325" s="9" t="e">
        <f>VLOOKUP(D325,VIAJES!$D:$F,3,FALSE)</f>
        <v>#N/A</v>
      </c>
      <c r="G325" s="9" t="e">
        <f>VLOOKUP(D325,VIAJES!$D:$G,4,FALSE)</f>
        <v>#N/A</v>
      </c>
      <c r="H325" s="3" t="e">
        <f>VLOOKUP(D325,VIAJES!$D:$H,5,FALSE)</f>
        <v>#N/A</v>
      </c>
      <c r="S325" s="3">
        <f>IFERROR(INDEX(EVENTOS!$D:$D,MATCH(SCORE!S$2&amp;" "&amp;SCORE!$D325,EVENTOS!$F:$F,0)),0)</f>
        <v>0</v>
      </c>
      <c r="T325" s="3">
        <f>IFERROR(INDEX(EVENTOS!$D:$D,MATCH(SCORE!T$2&amp;" "&amp;SCORE!$D325,EVENTOS!$F:$F,0)),0)</f>
        <v>0</v>
      </c>
      <c r="U325" s="3">
        <f>IFERROR(INDEX(EVENTOS!$D:$D,MATCH(SCORE!U$2&amp;" "&amp;SCORE!$D325,EVENTOS!$F:$F,0)),0)</f>
        <v>0</v>
      </c>
      <c r="V325" s="3">
        <f>IFERROR(INDEX(EVENTOS!$D:$D,MATCH(SCORE!V$2&amp;" "&amp;SCORE!$D325,EVENTOS!$F:$F,0)),0)</f>
        <v>0</v>
      </c>
      <c r="W325" s="3">
        <f>IFERROR(INDEX(EVENTOS!$D:$D,MATCH(SCORE!W$2&amp;" "&amp;SCORE!$D325,EVENTOS!$F:$F,0)),0)</f>
        <v>0</v>
      </c>
      <c r="X325" s="3">
        <f>IFERROR(INDEX(EVENTOS!$D:$D,MATCH(SCORE!X$2&amp;" "&amp;SCORE!$D325,EVENTOS!$F:$F,0)),0)</f>
        <v>0</v>
      </c>
      <c r="Y325" s="3">
        <f>SUMIFS(EVENTOS!$D:$D, EVENTOS!$B:$B, D325, EVENTOS!$E:$E, "*GirAlto*")</f>
        <v>0</v>
      </c>
      <c r="Z325" s="3">
        <f>SUMIFS(EVENTOS!$D:$D, EVENTOS!$B:$B, D325, EVENTOS!$E:$E, "*GirMed*")</f>
        <v>0</v>
      </c>
      <c r="AA325" s="3">
        <f>SUMIFS(EVENTOS!$D:$D, EVENTOS!$B:$B, D325, EVENTOS!$E:$E, "*GirBajo*")</f>
        <v>0</v>
      </c>
      <c r="AB325" s="3">
        <f>IFERROR(INDEX(EVENTOS!$D:$D,MATCH(SCORE!AB$2&amp;" "&amp;SCORE!$D325,EVENTOS!$F:$F,0)),0)</f>
        <v>0</v>
      </c>
      <c r="AC325" s="3">
        <f>IFERROR(INDEX(EVENTOS!$D:$D,MATCH(SCORE!AC$2&amp;" "&amp;SCORE!$D325,EVENTOS!$F:$F,0)),0)</f>
        <v>0</v>
      </c>
      <c r="AD325" s="3">
        <f>IFERROR(INDEX(EVENTOS!$D:$D,MATCH(SCORE!AD$2&amp;" "&amp;SCORE!$D325,EVENTOS!$F:$F,0)),0)</f>
        <v>0</v>
      </c>
      <c r="AE325" s="3">
        <f t="shared" si="15"/>
        <v>0</v>
      </c>
      <c r="AF325" s="10" t="e">
        <f t="shared" si="16"/>
        <v>#N/A</v>
      </c>
      <c r="AG325" s="3" t="str">
        <f t="shared" si="17"/>
        <v/>
      </c>
    </row>
    <row r="326" spans="1:33" x14ac:dyDescent="0.25">
      <c r="A326" s="7"/>
      <c r="B326" s="8"/>
      <c r="C326" s="3"/>
      <c r="D326" s="3"/>
      <c r="E326" s="3" t="e">
        <f>VLOOKUP(D326,VIAJES!$D:$E,2,FALSE)</f>
        <v>#N/A</v>
      </c>
      <c r="F326" s="9" t="e">
        <f>VLOOKUP(D326,VIAJES!$D:$F,3,FALSE)</f>
        <v>#N/A</v>
      </c>
      <c r="G326" s="9" t="e">
        <f>VLOOKUP(D326,VIAJES!$D:$G,4,FALSE)</f>
        <v>#N/A</v>
      </c>
      <c r="H326" s="3" t="e">
        <f>VLOOKUP(D326,VIAJES!$D:$H,5,FALSE)</f>
        <v>#N/A</v>
      </c>
      <c r="S326" s="3">
        <f>IFERROR(INDEX(EVENTOS!$D:$D,MATCH(SCORE!S$2&amp;" "&amp;SCORE!$D326,EVENTOS!$F:$F,0)),0)</f>
        <v>0</v>
      </c>
      <c r="T326" s="3">
        <f>IFERROR(INDEX(EVENTOS!$D:$D,MATCH(SCORE!T$2&amp;" "&amp;SCORE!$D326,EVENTOS!$F:$F,0)),0)</f>
        <v>0</v>
      </c>
      <c r="U326" s="3">
        <f>IFERROR(INDEX(EVENTOS!$D:$D,MATCH(SCORE!U$2&amp;" "&amp;SCORE!$D326,EVENTOS!$F:$F,0)),0)</f>
        <v>0</v>
      </c>
      <c r="V326" s="3">
        <f>IFERROR(INDEX(EVENTOS!$D:$D,MATCH(SCORE!V$2&amp;" "&amp;SCORE!$D326,EVENTOS!$F:$F,0)),0)</f>
        <v>0</v>
      </c>
      <c r="W326" s="3">
        <f>IFERROR(INDEX(EVENTOS!$D:$D,MATCH(SCORE!W$2&amp;" "&amp;SCORE!$D326,EVENTOS!$F:$F,0)),0)</f>
        <v>0</v>
      </c>
      <c r="X326" s="3">
        <f>IFERROR(INDEX(EVENTOS!$D:$D,MATCH(SCORE!X$2&amp;" "&amp;SCORE!$D326,EVENTOS!$F:$F,0)),0)</f>
        <v>0</v>
      </c>
      <c r="Y326" s="3">
        <f>SUMIFS(EVENTOS!$D:$D, EVENTOS!$B:$B, D326, EVENTOS!$E:$E, "*GirAlto*")</f>
        <v>0</v>
      </c>
      <c r="Z326" s="3">
        <f>SUMIFS(EVENTOS!$D:$D, EVENTOS!$B:$B, D326, EVENTOS!$E:$E, "*GirMed*")</f>
        <v>0</v>
      </c>
      <c r="AA326" s="3">
        <f>SUMIFS(EVENTOS!$D:$D, EVENTOS!$B:$B, D326, EVENTOS!$E:$E, "*GirBajo*")</f>
        <v>0</v>
      </c>
      <c r="AB326" s="3">
        <f>IFERROR(INDEX(EVENTOS!$D:$D,MATCH(SCORE!AB$2&amp;" "&amp;SCORE!$D326,EVENTOS!$F:$F,0)),0)</f>
        <v>0</v>
      </c>
      <c r="AC326" s="3">
        <f>IFERROR(INDEX(EVENTOS!$D:$D,MATCH(SCORE!AC$2&amp;" "&amp;SCORE!$D326,EVENTOS!$F:$F,0)),0)</f>
        <v>0</v>
      </c>
      <c r="AD326" s="3">
        <f>IFERROR(INDEX(EVENTOS!$D:$D,MATCH(SCORE!AD$2&amp;" "&amp;SCORE!$D326,EVENTOS!$F:$F,0)),0)</f>
        <v>0</v>
      </c>
      <c r="AE326" s="3">
        <f t="shared" si="15"/>
        <v>0</v>
      </c>
      <c r="AF326" s="10" t="e">
        <f t="shared" si="16"/>
        <v>#N/A</v>
      </c>
      <c r="AG326" s="3" t="str">
        <f t="shared" si="17"/>
        <v/>
      </c>
    </row>
    <row r="327" spans="1:33" x14ac:dyDescent="0.25">
      <c r="A327" s="7"/>
      <c r="B327" s="8"/>
      <c r="C327" s="3"/>
      <c r="D327" s="3"/>
      <c r="E327" s="3" t="e">
        <f>VLOOKUP(D327,VIAJES!$D:$E,2,FALSE)</f>
        <v>#N/A</v>
      </c>
      <c r="F327" s="9" t="e">
        <f>VLOOKUP(D327,VIAJES!$D:$F,3,FALSE)</f>
        <v>#N/A</v>
      </c>
      <c r="G327" s="9" t="e">
        <f>VLOOKUP(D327,VIAJES!$D:$G,4,FALSE)</f>
        <v>#N/A</v>
      </c>
      <c r="H327" s="3" t="e">
        <f>VLOOKUP(D327,VIAJES!$D:$H,5,FALSE)</f>
        <v>#N/A</v>
      </c>
      <c r="S327" s="3">
        <f>IFERROR(INDEX(EVENTOS!$D:$D,MATCH(SCORE!S$2&amp;" "&amp;SCORE!$D327,EVENTOS!$F:$F,0)),0)</f>
        <v>0</v>
      </c>
      <c r="T327" s="3">
        <f>IFERROR(INDEX(EVENTOS!$D:$D,MATCH(SCORE!T$2&amp;" "&amp;SCORE!$D327,EVENTOS!$F:$F,0)),0)</f>
        <v>0</v>
      </c>
      <c r="U327" s="3">
        <f>IFERROR(INDEX(EVENTOS!$D:$D,MATCH(SCORE!U$2&amp;" "&amp;SCORE!$D327,EVENTOS!$F:$F,0)),0)</f>
        <v>0</v>
      </c>
      <c r="V327" s="3">
        <f>IFERROR(INDEX(EVENTOS!$D:$D,MATCH(SCORE!V$2&amp;" "&amp;SCORE!$D327,EVENTOS!$F:$F,0)),0)</f>
        <v>0</v>
      </c>
      <c r="W327" s="3">
        <f>IFERROR(INDEX(EVENTOS!$D:$D,MATCH(SCORE!W$2&amp;" "&amp;SCORE!$D327,EVENTOS!$F:$F,0)),0)</f>
        <v>0</v>
      </c>
      <c r="X327" s="3">
        <f>IFERROR(INDEX(EVENTOS!$D:$D,MATCH(SCORE!X$2&amp;" "&amp;SCORE!$D327,EVENTOS!$F:$F,0)),0)</f>
        <v>0</v>
      </c>
      <c r="Y327" s="3">
        <f>SUMIFS(EVENTOS!$D:$D, EVENTOS!$B:$B, D327, EVENTOS!$E:$E, "*GirAlto*")</f>
        <v>0</v>
      </c>
      <c r="Z327" s="3">
        <f>SUMIFS(EVENTOS!$D:$D, EVENTOS!$B:$B, D327, EVENTOS!$E:$E, "*GirMed*")</f>
        <v>0</v>
      </c>
      <c r="AA327" s="3">
        <f>SUMIFS(EVENTOS!$D:$D, EVENTOS!$B:$B, D327, EVENTOS!$E:$E, "*GirBajo*")</f>
        <v>0</v>
      </c>
      <c r="AB327" s="3">
        <f>IFERROR(INDEX(EVENTOS!$D:$D,MATCH(SCORE!AB$2&amp;" "&amp;SCORE!$D327,EVENTOS!$F:$F,0)),0)</f>
        <v>0</v>
      </c>
      <c r="AC327" s="3">
        <f>IFERROR(INDEX(EVENTOS!$D:$D,MATCH(SCORE!AC$2&amp;" "&amp;SCORE!$D327,EVENTOS!$F:$F,0)),0)</f>
        <v>0</v>
      </c>
      <c r="AD327" s="3">
        <f>IFERROR(INDEX(EVENTOS!$D:$D,MATCH(SCORE!AD$2&amp;" "&amp;SCORE!$D327,EVENTOS!$F:$F,0)),0)</f>
        <v>0</v>
      </c>
      <c r="AE327" s="3">
        <f t="shared" si="15"/>
        <v>0</v>
      </c>
      <c r="AF327" s="10" t="e">
        <f t="shared" si="16"/>
        <v>#N/A</v>
      </c>
      <c r="AG327" s="3" t="str">
        <f t="shared" si="17"/>
        <v/>
      </c>
    </row>
    <row r="328" spans="1:33" x14ac:dyDescent="0.25">
      <c r="A328" s="7"/>
      <c r="B328" s="8"/>
      <c r="C328" s="3"/>
      <c r="D328" s="3"/>
      <c r="E328" s="3" t="e">
        <f>VLOOKUP(D328,VIAJES!$D:$E,2,FALSE)</f>
        <v>#N/A</v>
      </c>
      <c r="F328" s="9" t="e">
        <f>VLOOKUP(D328,VIAJES!$D:$F,3,FALSE)</f>
        <v>#N/A</v>
      </c>
      <c r="G328" s="9" t="e">
        <f>VLOOKUP(D328,VIAJES!$D:$G,4,FALSE)</f>
        <v>#N/A</v>
      </c>
      <c r="H328" s="3" t="e">
        <f>VLOOKUP(D328,VIAJES!$D:$H,5,FALSE)</f>
        <v>#N/A</v>
      </c>
      <c r="S328" s="3">
        <f>IFERROR(INDEX(EVENTOS!$D:$D,MATCH(SCORE!S$2&amp;" "&amp;SCORE!$D328,EVENTOS!$F:$F,0)),0)</f>
        <v>0</v>
      </c>
      <c r="T328" s="3">
        <f>IFERROR(INDEX(EVENTOS!$D:$D,MATCH(SCORE!T$2&amp;" "&amp;SCORE!$D328,EVENTOS!$F:$F,0)),0)</f>
        <v>0</v>
      </c>
      <c r="U328" s="3">
        <f>IFERROR(INDEX(EVENTOS!$D:$D,MATCH(SCORE!U$2&amp;" "&amp;SCORE!$D328,EVENTOS!$F:$F,0)),0)</f>
        <v>0</v>
      </c>
      <c r="V328" s="3">
        <f>IFERROR(INDEX(EVENTOS!$D:$D,MATCH(SCORE!V$2&amp;" "&amp;SCORE!$D328,EVENTOS!$F:$F,0)),0)</f>
        <v>0</v>
      </c>
      <c r="W328" s="3">
        <f>IFERROR(INDEX(EVENTOS!$D:$D,MATCH(SCORE!W$2&amp;" "&amp;SCORE!$D328,EVENTOS!$F:$F,0)),0)</f>
        <v>0</v>
      </c>
      <c r="X328" s="3">
        <f>IFERROR(INDEX(EVENTOS!$D:$D,MATCH(SCORE!X$2&amp;" "&amp;SCORE!$D328,EVENTOS!$F:$F,0)),0)</f>
        <v>0</v>
      </c>
      <c r="Y328" s="3">
        <f>SUMIFS(EVENTOS!$D:$D, EVENTOS!$B:$B, D328, EVENTOS!$E:$E, "*GirAlto*")</f>
        <v>0</v>
      </c>
      <c r="Z328" s="3">
        <f>SUMIFS(EVENTOS!$D:$D, EVENTOS!$B:$B, D328, EVENTOS!$E:$E, "*GirMed*")</f>
        <v>0</v>
      </c>
      <c r="AA328" s="3">
        <f>SUMIFS(EVENTOS!$D:$D, EVENTOS!$B:$B, D328, EVENTOS!$E:$E, "*GirBajo*")</f>
        <v>0</v>
      </c>
      <c r="AB328" s="3">
        <f>IFERROR(INDEX(EVENTOS!$D:$D,MATCH(SCORE!AB$2&amp;" "&amp;SCORE!$D328,EVENTOS!$F:$F,0)),0)</f>
        <v>0</v>
      </c>
      <c r="AC328" s="3">
        <f>IFERROR(INDEX(EVENTOS!$D:$D,MATCH(SCORE!AC$2&amp;" "&amp;SCORE!$D328,EVENTOS!$F:$F,0)),0)</f>
        <v>0</v>
      </c>
      <c r="AD328" s="3">
        <f>IFERROR(INDEX(EVENTOS!$D:$D,MATCH(SCORE!AD$2&amp;" "&amp;SCORE!$D328,EVENTOS!$F:$F,0)),0)</f>
        <v>0</v>
      </c>
      <c r="AE328" s="3">
        <f t="shared" si="15"/>
        <v>0</v>
      </c>
      <c r="AF328" s="10" t="e">
        <f t="shared" si="16"/>
        <v>#N/A</v>
      </c>
      <c r="AG328" s="3" t="str">
        <f t="shared" si="17"/>
        <v/>
      </c>
    </row>
    <row r="329" spans="1:33" x14ac:dyDescent="0.25">
      <c r="A329" s="7"/>
      <c r="B329" s="8"/>
      <c r="C329" s="3"/>
      <c r="D329" s="3"/>
      <c r="E329" s="3" t="e">
        <f>VLOOKUP(D329,VIAJES!$D:$E,2,FALSE)</f>
        <v>#N/A</v>
      </c>
      <c r="F329" s="9" t="e">
        <f>VLOOKUP(D329,VIAJES!$D:$F,3,FALSE)</f>
        <v>#N/A</v>
      </c>
      <c r="G329" s="9" t="e">
        <f>VLOOKUP(D329,VIAJES!$D:$G,4,FALSE)</f>
        <v>#N/A</v>
      </c>
      <c r="H329" s="3" t="e">
        <f>VLOOKUP(D329,VIAJES!$D:$H,5,FALSE)</f>
        <v>#N/A</v>
      </c>
      <c r="S329" s="3">
        <f>IFERROR(INDEX(EVENTOS!$D:$D,MATCH(SCORE!S$2&amp;" "&amp;SCORE!$D329,EVENTOS!$F:$F,0)),0)</f>
        <v>0</v>
      </c>
      <c r="T329" s="3">
        <f>IFERROR(INDEX(EVENTOS!$D:$D,MATCH(SCORE!T$2&amp;" "&amp;SCORE!$D329,EVENTOS!$F:$F,0)),0)</f>
        <v>0</v>
      </c>
      <c r="U329" s="3">
        <f>IFERROR(INDEX(EVENTOS!$D:$D,MATCH(SCORE!U$2&amp;" "&amp;SCORE!$D329,EVENTOS!$F:$F,0)),0)</f>
        <v>0</v>
      </c>
      <c r="V329" s="3">
        <f>IFERROR(INDEX(EVENTOS!$D:$D,MATCH(SCORE!V$2&amp;" "&amp;SCORE!$D329,EVENTOS!$F:$F,0)),0)</f>
        <v>0</v>
      </c>
      <c r="W329" s="3">
        <f>IFERROR(INDEX(EVENTOS!$D:$D,MATCH(SCORE!W$2&amp;" "&amp;SCORE!$D329,EVENTOS!$F:$F,0)),0)</f>
        <v>0</v>
      </c>
      <c r="X329" s="3">
        <f>IFERROR(INDEX(EVENTOS!$D:$D,MATCH(SCORE!X$2&amp;" "&amp;SCORE!$D329,EVENTOS!$F:$F,0)),0)</f>
        <v>0</v>
      </c>
      <c r="Y329" s="3">
        <f>SUMIFS(EVENTOS!$D:$D, EVENTOS!$B:$B, D329, EVENTOS!$E:$E, "*GirAlto*")</f>
        <v>0</v>
      </c>
      <c r="Z329" s="3">
        <f>SUMIFS(EVENTOS!$D:$D, EVENTOS!$B:$B, D329, EVENTOS!$E:$E, "*GirMed*")</f>
        <v>0</v>
      </c>
      <c r="AA329" s="3">
        <f>SUMIFS(EVENTOS!$D:$D, EVENTOS!$B:$B, D329, EVENTOS!$E:$E, "*GirBajo*")</f>
        <v>0</v>
      </c>
      <c r="AB329" s="3">
        <f>IFERROR(INDEX(EVENTOS!$D:$D,MATCH(SCORE!AB$2&amp;" "&amp;SCORE!$D329,EVENTOS!$F:$F,0)),0)</f>
        <v>0</v>
      </c>
      <c r="AC329" s="3">
        <f>IFERROR(INDEX(EVENTOS!$D:$D,MATCH(SCORE!AC$2&amp;" "&amp;SCORE!$D329,EVENTOS!$F:$F,0)),0)</f>
        <v>0</v>
      </c>
      <c r="AD329" s="3">
        <f>IFERROR(INDEX(EVENTOS!$D:$D,MATCH(SCORE!AD$2&amp;" "&amp;SCORE!$D329,EVENTOS!$F:$F,0)),0)</f>
        <v>0</v>
      </c>
      <c r="AE329" s="3">
        <f t="shared" si="15"/>
        <v>0</v>
      </c>
      <c r="AF329" s="10" t="e">
        <f t="shared" si="16"/>
        <v>#N/A</v>
      </c>
      <c r="AG329" s="3" t="str">
        <f t="shared" si="17"/>
        <v/>
      </c>
    </row>
    <row r="330" spans="1:33" x14ac:dyDescent="0.25">
      <c r="A330" s="7"/>
      <c r="B330" s="8"/>
      <c r="C330" s="3"/>
      <c r="D330" s="3"/>
      <c r="E330" s="3" t="e">
        <f>VLOOKUP(D330,VIAJES!$D:$E,2,FALSE)</f>
        <v>#N/A</v>
      </c>
      <c r="F330" s="9" t="e">
        <f>VLOOKUP(D330,VIAJES!$D:$F,3,FALSE)</f>
        <v>#N/A</v>
      </c>
      <c r="G330" s="9" t="e">
        <f>VLOOKUP(D330,VIAJES!$D:$G,4,FALSE)</f>
        <v>#N/A</v>
      </c>
      <c r="H330" s="3" t="e">
        <f>VLOOKUP(D330,VIAJES!$D:$H,5,FALSE)</f>
        <v>#N/A</v>
      </c>
      <c r="S330" s="3">
        <f>IFERROR(INDEX(EVENTOS!$D:$D,MATCH(SCORE!S$2&amp;" "&amp;SCORE!$D330,EVENTOS!$F:$F,0)),0)</f>
        <v>0</v>
      </c>
      <c r="T330" s="3">
        <f>IFERROR(INDEX(EVENTOS!$D:$D,MATCH(SCORE!T$2&amp;" "&amp;SCORE!$D330,EVENTOS!$F:$F,0)),0)</f>
        <v>0</v>
      </c>
      <c r="U330" s="3">
        <f>IFERROR(INDEX(EVENTOS!$D:$D,MATCH(SCORE!U$2&amp;" "&amp;SCORE!$D330,EVENTOS!$F:$F,0)),0)</f>
        <v>0</v>
      </c>
      <c r="V330" s="3">
        <f>IFERROR(INDEX(EVENTOS!$D:$D,MATCH(SCORE!V$2&amp;" "&amp;SCORE!$D330,EVENTOS!$F:$F,0)),0)</f>
        <v>0</v>
      </c>
      <c r="W330" s="3">
        <f>IFERROR(INDEX(EVENTOS!$D:$D,MATCH(SCORE!W$2&amp;" "&amp;SCORE!$D330,EVENTOS!$F:$F,0)),0)</f>
        <v>0</v>
      </c>
      <c r="X330" s="3">
        <f>IFERROR(INDEX(EVENTOS!$D:$D,MATCH(SCORE!X$2&amp;" "&amp;SCORE!$D330,EVENTOS!$F:$F,0)),0)</f>
        <v>0</v>
      </c>
      <c r="Y330" s="3">
        <f>SUMIFS(EVENTOS!$D:$D, EVENTOS!$B:$B, D330, EVENTOS!$E:$E, "*GirAlto*")</f>
        <v>0</v>
      </c>
      <c r="Z330" s="3">
        <f>SUMIFS(EVENTOS!$D:$D, EVENTOS!$B:$B, D330, EVENTOS!$E:$E, "*GirMed*")</f>
        <v>0</v>
      </c>
      <c r="AA330" s="3">
        <f>SUMIFS(EVENTOS!$D:$D, EVENTOS!$B:$B, D330, EVENTOS!$E:$E, "*GirBajo*")</f>
        <v>0</v>
      </c>
      <c r="AB330" s="3">
        <f>IFERROR(INDEX(EVENTOS!$D:$D,MATCH(SCORE!AB$2&amp;" "&amp;SCORE!$D330,EVENTOS!$F:$F,0)),0)</f>
        <v>0</v>
      </c>
      <c r="AC330" s="3">
        <f>IFERROR(INDEX(EVENTOS!$D:$D,MATCH(SCORE!AC$2&amp;" "&amp;SCORE!$D330,EVENTOS!$F:$F,0)),0)</f>
        <v>0</v>
      </c>
      <c r="AD330" s="3">
        <f>IFERROR(INDEX(EVENTOS!$D:$D,MATCH(SCORE!AD$2&amp;" "&amp;SCORE!$D330,EVENTOS!$F:$F,0)),0)</f>
        <v>0</v>
      </c>
      <c r="AE330" s="3">
        <f t="shared" si="15"/>
        <v>0</v>
      </c>
      <c r="AF330" s="10" t="e">
        <f t="shared" si="16"/>
        <v>#N/A</v>
      </c>
      <c r="AG330" s="3" t="str">
        <f t="shared" si="17"/>
        <v/>
      </c>
    </row>
    <row r="331" spans="1:33" x14ac:dyDescent="0.25">
      <c r="A331" s="7"/>
      <c r="B331" s="8"/>
      <c r="C331" s="3"/>
      <c r="D331" s="3"/>
      <c r="E331" s="3" t="e">
        <f>VLOOKUP(D331,VIAJES!$D:$E,2,FALSE)</f>
        <v>#N/A</v>
      </c>
      <c r="F331" s="9" t="e">
        <f>VLOOKUP(D331,VIAJES!$D:$F,3,FALSE)</f>
        <v>#N/A</v>
      </c>
      <c r="G331" s="9" t="e">
        <f>VLOOKUP(D331,VIAJES!$D:$G,4,FALSE)</f>
        <v>#N/A</v>
      </c>
      <c r="H331" s="3" t="e">
        <f>VLOOKUP(D331,VIAJES!$D:$H,5,FALSE)</f>
        <v>#N/A</v>
      </c>
      <c r="S331" s="3">
        <f>IFERROR(INDEX(EVENTOS!$D:$D,MATCH(SCORE!S$2&amp;" "&amp;SCORE!$D331,EVENTOS!$F:$F,0)),0)</f>
        <v>0</v>
      </c>
      <c r="T331" s="3">
        <f>IFERROR(INDEX(EVENTOS!$D:$D,MATCH(SCORE!T$2&amp;" "&amp;SCORE!$D331,EVENTOS!$F:$F,0)),0)</f>
        <v>0</v>
      </c>
      <c r="U331" s="3">
        <f>IFERROR(INDEX(EVENTOS!$D:$D,MATCH(SCORE!U$2&amp;" "&amp;SCORE!$D331,EVENTOS!$F:$F,0)),0)</f>
        <v>0</v>
      </c>
      <c r="V331" s="3">
        <f>IFERROR(INDEX(EVENTOS!$D:$D,MATCH(SCORE!V$2&amp;" "&amp;SCORE!$D331,EVENTOS!$F:$F,0)),0)</f>
        <v>0</v>
      </c>
      <c r="W331" s="3">
        <f>IFERROR(INDEX(EVENTOS!$D:$D,MATCH(SCORE!W$2&amp;" "&amp;SCORE!$D331,EVENTOS!$F:$F,0)),0)</f>
        <v>0</v>
      </c>
      <c r="X331" s="3">
        <f>IFERROR(INDEX(EVENTOS!$D:$D,MATCH(SCORE!X$2&amp;" "&amp;SCORE!$D331,EVENTOS!$F:$F,0)),0)</f>
        <v>0</v>
      </c>
      <c r="Y331" s="3">
        <f>SUMIFS(EVENTOS!$D:$D, EVENTOS!$B:$B, D331, EVENTOS!$E:$E, "*GirAlto*")</f>
        <v>0</v>
      </c>
      <c r="Z331" s="3">
        <f>SUMIFS(EVENTOS!$D:$D, EVENTOS!$B:$B, D331, EVENTOS!$E:$E, "*GirMed*")</f>
        <v>0</v>
      </c>
      <c r="AA331" s="3">
        <f>SUMIFS(EVENTOS!$D:$D, EVENTOS!$B:$B, D331, EVENTOS!$E:$E, "*GirBajo*")</f>
        <v>0</v>
      </c>
      <c r="AB331" s="3">
        <f>IFERROR(INDEX(EVENTOS!$D:$D,MATCH(SCORE!AB$2&amp;" "&amp;SCORE!$D331,EVENTOS!$F:$F,0)),0)</f>
        <v>0</v>
      </c>
      <c r="AC331" s="3">
        <f>IFERROR(INDEX(EVENTOS!$D:$D,MATCH(SCORE!AC$2&amp;" "&amp;SCORE!$D331,EVENTOS!$F:$F,0)),0)</f>
        <v>0</v>
      </c>
      <c r="AD331" s="3">
        <f>IFERROR(INDEX(EVENTOS!$D:$D,MATCH(SCORE!AD$2&amp;" "&amp;SCORE!$D331,EVENTOS!$F:$F,0)),0)</f>
        <v>0</v>
      </c>
      <c r="AE331" s="3">
        <f t="shared" si="15"/>
        <v>0</v>
      </c>
      <c r="AF331" s="10" t="e">
        <f t="shared" si="16"/>
        <v>#N/A</v>
      </c>
      <c r="AG331" s="3" t="str">
        <f t="shared" si="17"/>
        <v/>
      </c>
    </row>
    <row r="332" spans="1:33" x14ac:dyDescent="0.25">
      <c r="A332" s="7"/>
      <c r="B332" s="8"/>
      <c r="C332" s="3"/>
      <c r="D332" s="3"/>
      <c r="E332" s="3" t="e">
        <f>VLOOKUP(D332,VIAJES!$D:$E,2,FALSE)</f>
        <v>#N/A</v>
      </c>
      <c r="F332" s="9" t="e">
        <f>VLOOKUP(D332,VIAJES!$D:$F,3,FALSE)</f>
        <v>#N/A</v>
      </c>
      <c r="G332" s="9" t="e">
        <f>VLOOKUP(D332,VIAJES!$D:$G,4,FALSE)</f>
        <v>#N/A</v>
      </c>
      <c r="H332" s="3" t="e">
        <f>VLOOKUP(D332,VIAJES!$D:$H,5,FALSE)</f>
        <v>#N/A</v>
      </c>
      <c r="S332" s="3">
        <f>IFERROR(INDEX(EVENTOS!$D:$D,MATCH(SCORE!S$2&amp;" "&amp;SCORE!$D332,EVENTOS!$F:$F,0)),0)</f>
        <v>0</v>
      </c>
      <c r="T332" s="3">
        <f>IFERROR(INDEX(EVENTOS!$D:$D,MATCH(SCORE!T$2&amp;" "&amp;SCORE!$D332,EVENTOS!$F:$F,0)),0)</f>
        <v>0</v>
      </c>
      <c r="U332" s="3">
        <f>IFERROR(INDEX(EVENTOS!$D:$D,MATCH(SCORE!U$2&amp;" "&amp;SCORE!$D332,EVENTOS!$F:$F,0)),0)</f>
        <v>0</v>
      </c>
      <c r="V332" s="3">
        <f>IFERROR(INDEX(EVENTOS!$D:$D,MATCH(SCORE!V$2&amp;" "&amp;SCORE!$D332,EVENTOS!$F:$F,0)),0)</f>
        <v>0</v>
      </c>
      <c r="W332" s="3">
        <f>IFERROR(INDEX(EVENTOS!$D:$D,MATCH(SCORE!W$2&amp;" "&amp;SCORE!$D332,EVENTOS!$F:$F,0)),0)</f>
        <v>0</v>
      </c>
      <c r="X332" s="3">
        <f>IFERROR(INDEX(EVENTOS!$D:$D,MATCH(SCORE!X$2&amp;" "&amp;SCORE!$D332,EVENTOS!$F:$F,0)),0)</f>
        <v>0</v>
      </c>
      <c r="Y332" s="3">
        <f>SUMIFS(EVENTOS!$D:$D, EVENTOS!$B:$B, D332, EVENTOS!$E:$E, "*GirAlto*")</f>
        <v>0</v>
      </c>
      <c r="Z332" s="3">
        <f>SUMIFS(EVENTOS!$D:$D, EVENTOS!$B:$B, D332, EVENTOS!$E:$E, "*GirMed*")</f>
        <v>0</v>
      </c>
      <c r="AA332" s="3">
        <f>SUMIFS(EVENTOS!$D:$D, EVENTOS!$B:$B, D332, EVENTOS!$E:$E, "*GirBajo*")</f>
        <v>0</v>
      </c>
      <c r="AB332" s="3">
        <f>IFERROR(INDEX(EVENTOS!$D:$D,MATCH(SCORE!AB$2&amp;" "&amp;SCORE!$D332,EVENTOS!$F:$F,0)),0)</f>
        <v>0</v>
      </c>
      <c r="AC332" s="3">
        <f>IFERROR(INDEX(EVENTOS!$D:$D,MATCH(SCORE!AC$2&amp;" "&amp;SCORE!$D332,EVENTOS!$F:$F,0)),0)</f>
        <v>0</v>
      </c>
      <c r="AD332" s="3">
        <f>IFERROR(INDEX(EVENTOS!$D:$D,MATCH(SCORE!AD$2&amp;" "&amp;SCORE!$D332,EVENTOS!$F:$F,0)),0)</f>
        <v>0</v>
      </c>
      <c r="AE332" s="3">
        <f t="shared" si="15"/>
        <v>0</v>
      </c>
      <c r="AF332" s="10" t="e">
        <f t="shared" si="16"/>
        <v>#N/A</v>
      </c>
      <c r="AG332" s="3" t="str">
        <f t="shared" si="17"/>
        <v/>
      </c>
    </row>
    <row r="333" spans="1:33" x14ac:dyDescent="0.25">
      <c r="A333" s="7"/>
      <c r="B333" s="8"/>
      <c r="C333" s="3"/>
      <c r="D333" s="3"/>
      <c r="E333" s="3" t="e">
        <f>VLOOKUP(D333,VIAJES!$D:$E,2,FALSE)</f>
        <v>#N/A</v>
      </c>
      <c r="F333" s="9" t="e">
        <f>VLOOKUP(D333,VIAJES!$D:$F,3,FALSE)</f>
        <v>#N/A</v>
      </c>
      <c r="G333" s="9" t="e">
        <f>VLOOKUP(D333,VIAJES!$D:$G,4,FALSE)</f>
        <v>#N/A</v>
      </c>
      <c r="H333" s="3" t="e">
        <f>VLOOKUP(D333,VIAJES!$D:$H,5,FALSE)</f>
        <v>#N/A</v>
      </c>
      <c r="S333" s="3">
        <f>IFERROR(INDEX(EVENTOS!$D:$D,MATCH(SCORE!S$2&amp;" "&amp;SCORE!$D333,EVENTOS!$F:$F,0)),0)</f>
        <v>0</v>
      </c>
      <c r="T333" s="3">
        <f>IFERROR(INDEX(EVENTOS!$D:$D,MATCH(SCORE!T$2&amp;" "&amp;SCORE!$D333,EVENTOS!$F:$F,0)),0)</f>
        <v>0</v>
      </c>
      <c r="U333" s="3">
        <f>IFERROR(INDEX(EVENTOS!$D:$D,MATCH(SCORE!U$2&amp;" "&amp;SCORE!$D333,EVENTOS!$F:$F,0)),0)</f>
        <v>0</v>
      </c>
      <c r="V333" s="3">
        <f>IFERROR(INDEX(EVENTOS!$D:$D,MATCH(SCORE!V$2&amp;" "&amp;SCORE!$D333,EVENTOS!$F:$F,0)),0)</f>
        <v>0</v>
      </c>
      <c r="W333" s="3">
        <f>IFERROR(INDEX(EVENTOS!$D:$D,MATCH(SCORE!W$2&amp;" "&amp;SCORE!$D333,EVENTOS!$F:$F,0)),0)</f>
        <v>0</v>
      </c>
      <c r="X333" s="3">
        <f>IFERROR(INDEX(EVENTOS!$D:$D,MATCH(SCORE!X$2&amp;" "&amp;SCORE!$D333,EVENTOS!$F:$F,0)),0)</f>
        <v>0</v>
      </c>
      <c r="Y333" s="3">
        <f>SUMIFS(EVENTOS!$D:$D, EVENTOS!$B:$B, D333, EVENTOS!$E:$E, "*GirAlto*")</f>
        <v>0</v>
      </c>
      <c r="Z333" s="3">
        <f>SUMIFS(EVENTOS!$D:$D, EVENTOS!$B:$B, D333, EVENTOS!$E:$E, "*GirMed*")</f>
        <v>0</v>
      </c>
      <c r="AA333" s="3">
        <f>SUMIFS(EVENTOS!$D:$D, EVENTOS!$B:$B, D333, EVENTOS!$E:$E, "*GirBajo*")</f>
        <v>0</v>
      </c>
      <c r="AB333" s="3">
        <f>IFERROR(INDEX(EVENTOS!$D:$D,MATCH(SCORE!AB$2&amp;" "&amp;SCORE!$D333,EVENTOS!$F:$F,0)),0)</f>
        <v>0</v>
      </c>
      <c r="AC333" s="3">
        <f>IFERROR(INDEX(EVENTOS!$D:$D,MATCH(SCORE!AC$2&amp;" "&amp;SCORE!$D333,EVENTOS!$F:$F,0)),0)</f>
        <v>0</v>
      </c>
      <c r="AD333" s="3">
        <f>IFERROR(INDEX(EVENTOS!$D:$D,MATCH(SCORE!AD$2&amp;" "&amp;SCORE!$D333,EVENTOS!$F:$F,0)),0)</f>
        <v>0</v>
      </c>
      <c r="AE333" s="3">
        <f t="shared" si="15"/>
        <v>0</v>
      </c>
      <c r="AF333" s="10" t="e">
        <f t="shared" si="16"/>
        <v>#N/A</v>
      </c>
      <c r="AG333" s="3" t="str">
        <f t="shared" si="17"/>
        <v/>
      </c>
    </row>
    <row r="334" spans="1:33" x14ac:dyDescent="0.25">
      <c r="A334" s="7"/>
      <c r="B334" s="8"/>
      <c r="C334" s="3"/>
      <c r="D334" s="3"/>
      <c r="E334" s="3" t="e">
        <f>VLOOKUP(D334,VIAJES!$D:$E,2,FALSE)</f>
        <v>#N/A</v>
      </c>
      <c r="F334" s="9" t="e">
        <f>VLOOKUP(D334,VIAJES!$D:$F,3,FALSE)</f>
        <v>#N/A</v>
      </c>
      <c r="G334" s="9" t="e">
        <f>VLOOKUP(D334,VIAJES!$D:$G,4,FALSE)</f>
        <v>#N/A</v>
      </c>
      <c r="H334" s="3" t="e">
        <f>VLOOKUP(D334,VIAJES!$D:$H,5,FALSE)</f>
        <v>#N/A</v>
      </c>
      <c r="S334" s="3">
        <f>IFERROR(INDEX(EVENTOS!$D:$D,MATCH(SCORE!S$2&amp;" "&amp;SCORE!$D334,EVENTOS!$F:$F,0)),0)</f>
        <v>0</v>
      </c>
      <c r="T334" s="3">
        <f>IFERROR(INDEX(EVENTOS!$D:$D,MATCH(SCORE!T$2&amp;" "&amp;SCORE!$D334,EVENTOS!$F:$F,0)),0)</f>
        <v>0</v>
      </c>
      <c r="U334" s="3">
        <f>IFERROR(INDEX(EVENTOS!$D:$D,MATCH(SCORE!U$2&amp;" "&amp;SCORE!$D334,EVENTOS!$F:$F,0)),0)</f>
        <v>0</v>
      </c>
      <c r="V334" s="3">
        <f>IFERROR(INDEX(EVENTOS!$D:$D,MATCH(SCORE!V$2&amp;" "&amp;SCORE!$D334,EVENTOS!$F:$F,0)),0)</f>
        <v>0</v>
      </c>
      <c r="W334" s="3">
        <f>IFERROR(INDEX(EVENTOS!$D:$D,MATCH(SCORE!W$2&amp;" "&amp;SCORE!$D334,EVENTOS!$F:$F,0)),0)</f>
        <v>0</v>
      </c>
      <c r="X334" s="3">
        <f>IFERROR(INDEX(EVENTOS!$D:$D,MATCH(SCORE!X$2&amp;" "&amp;SCORE!$D334,EVENTOS!$F:$F,0)),0)</f>
        <v>0</v>
      </c>
      <c r="Y334" s="3">
        <f>SUMIFS(EVENTOS!$D:$D, EVENTOS!$B:$B, D334, EVENTOS!$E:$E, "*GirAlto*")</f>
        <v>0</v>
      </c>
      <c r="Z334" s="3">
        <f>SUMIFS(EVENTOS!$D:$D, EVENTOS!$B:$B, D334, EVENTOS!$E:$E, "*GirMed*")</f>
        <v>0</v>
      </c>
      <c r="AA334" s="3">
        <f>SUMIFS(EVENTOS!$D:$D, EVENTOS!$B:$B, D334, EVENTOS!$E:$E, "*GirBajo*")</f>
        <v>0</v>
      </c>
      <c r="AB334" s="3">
        <f>IFERROR(INDEX(EVENTOS!$D:$D,MATCH(SCORE!AB$2&amp;" "&amp;SCORE!$D334,EVENTOS!$F:$F,0)),0)</f>
        <v>0</v>
      </c>
      <c r="AC334" s="3">
        <f>IFERROR(INDEX(EVENTOS!$D:$D,MATCH(SCORE!AC$2&amp;" "&amp;SCORE!$D334,EVENTOS!$F:$F,0)),0)</f>
        <v>0</v>
      </c>
      <c r="AD334" s="3">
        <f>IFERROR(INDEX(EVENTOS!$D:$D,MATCH(SCORE!AD$2&amp;" "&amp;SCORE!$D334,EVENTOS!$F:$F,0)),0)</f>
        <v>0</v>
      </c>
      <c r="AE334" s="3">
        <f t="shared" si="15"/>
        <v>0</v>
      </c>
      <c r="AF334" s="10" t="e">
        <f t="shared" si="16"/>
        <v>#N/A</v>
      </c>
      <c r="AG334" s="3" t="str">
        <f t="shared" si="17"/>
        <v/>
      </c>
    </row>
    <row r="335" spans="1:33" x14ac:dyDescent="0.25">
      <c r="A335" s="7"/>
      <c r="B335" s="8"/>
      <c r="C335" s="3"/>
      <c r="D335" s="3"/>
      <c r="E335" s="3" t="e">
        <f>VLOOKUP(D335,VIAJES!$D:$E,2,FALSE)</f>
        <v>#N/A</v>
      </c>
      <c r="F335" s="9" t="e">
        <f>VLOOKUP(D335,VIAJES!$D:$F,3,FALSE)</f>
        <v>#N/A</v>
      </c>
      <c r="G335" s="9" t="e">
        <f>VLOOKUP(D335,VIAJES!$D:$G,4,FALSE)</f>
        <v>#N/A</v>
      </c>
      <c r="H335" s="3" t="e">
        <f>VLOOKUP(D335,VIAJES!$D:$H,5,FALSE)</f>
        <v>#N/A</v>
      </c>
      <c r="S335" s="3">
        <f>IFERROR(INDEX(EVENTOS!$D:$D,MATCH(SCORE!S$2&amp;" "&amp;SCORE!$D335,EVENTOS!$F:$F,0)),0)</f>
        <v>0</v>
      </c>
      <c r="T335" s="3">
        <f>IFERROR(INDEX(EVENTOS!$D:$D,MATCH(SCORE!T$2&amp;" "&amp;SCORE!$D335,EVENTOS!$F:$F,0)),0)</f>
        <v>0</v>
      </c>
      <c r="U335" s="3">
        <f>IFERROR(INDEX(EVENTOS!$D:$D,MATCH(SCORE!U$2&amp;" "&amp;SCORE!$D335,EVENTOS!$F:$F,0)),0)</f>
        <v>0</v>
      </c>
      <c r="V335" s="3">
        <f>IFERROR(INDEX(EVENTOS!$D:$D,MATCH(SCORE!V$2&amp;" "&amp;SCORE!$D335,EVENTOS!$F:$F,0)),0)</f>
        <v>0</v>
      </c>
      <c r="W335" s="3">
        <f>IFERROR(INDEX(EVENTOS!$D:$D,MATCH(SCORE!W$2&amp;" "&amp;SCORE!$D335,EVENTOS!$F:$F,0)),0)</f>
        <v>0</v>
      </c>
      <c r="X335" s="3">
        <f>IFERROR(INDEX(EVENTOS!$D:$D,MATCH(SCORE!X$2&amp;" "&amp;SCORE!$D335,EVENTOS!$F:$F,0)),0)</f>
        <v>0</v>
      </c>
      <c r="Y335" s="3">
        <f>SUMIFS(EVENTOS!$D:$D, EVENTOS!$B:$B, D335, EVENTOS!$E:$E, "*GirAlto*")</f>
        <v>0</v>
      </c>
      <c r="Z335" s="3">
        <f>SUMIFS(EVENTOS!$D:$D, EVENTOS!$B:$B, D335, EVENTOS!$E:$E, "*GirMed*")</f>
        <v>0</v>
      </c>
      <c r="AA335" s="3">
        <f>SUMIFS(EVENTOS!$D:$D, EVENTOS!$B:$B, D335, EVENTOS!$E:$E, "*GirBajo*")</f>
        <v>0</v>
      </c>
      <c r="AB335" s="3">
        <f>IFERROR(INDEX(EVENTOS!$D:$D,MATCH(SCORE!AB$2&amp;" "&amp;SCORE!$D335,EVENTOS!$F:$F,0)),0)</f>
        <v>0</v>
      </c>
      <c r="AC335" s="3">
        <f>IFERROR(INDEX(EVENTOS!$D:$D,MATCH(SCORE!AC$2&amp;" "&amp;SCORE!$D335,EVENTOS!$F:$F,0)),0)</f>
        <v>0</v>
      </c>
      <c r="AD335" s="3">
        <f>IFERROR(INDEX(EVENTOS!$D:$D,MATCH(SCORE!AD$2&amp;" "&amp;SCORE!$D335,EVENTOS!$F:$F,0)),0)</f>
        <v>0</v>
      </c>
      <c r="AE335" s="3">
        <f t="shared" si="15"/>
        <v>0</v>
      </c>
      <c r="AF335" s="10" t="e">
        <f t="shared" si="16"/>
        <v>#N/A</v>
      </c>
      <c r="AG335" s="3" t="str">
        <f t="shared" si="17"/>
        <v/>
      </c>
    </row>
    <row r="336" spans="1:33" x14ac:dyDescent="0.25">
      <c r="A336" s="7"/>
      <c r="B336" s="8"/>
      <c r="C336" s="3"/>
      <c r="D336" s="3"/>
      <c r="E336" s="3" t="e">
        <f>VLOOKUP(D336,VIAJES!$D:$E,2,FALSE)</f>
        <v>#N/A</v>
      </c>
      <c r="F336" s="9" t="e">
        <f>VLOOKUP(D336,VIAJES!$D:$F,3,FALSE)</f>
        <v>#N/A</v>
      </c>
      <c r="G336" s="9" t="e">
        <f>VLOOKUP(D336,VIAJES!$D:$G,4,FALSE)</f>
        <v>#N/A</v>
      </c>
      <c r="H336" s="3" t="e">
        <f>VLOOKUP(D336,VIAJES!$D:$H,5,FALSE)</f>
        <v>#N/A</v>
      </c>
      <c r="S336" s="3">
        <f>IFERROR(INDEX(EVENTOS!$D:$D,MATCH(SCORE!S$2&amp;" "&amp;SCORE!$D336,EVENTOS!$F:$F,0)),0)</f>
        <v>0</v>
      </c>
      <c r="T336" s="3">
        <f>IFERROR(INDEX(EVENTOS!$D:$D,MATCH(SCORE!T$2&amp;" "&amp;SCORE!$D336,EVENTOS!$F:$F,0)),0)</f>
        <v>0</v>
      </c>
      <c r="U336" s="3">
        <f>IFERROR(INDEX(EVENTOS!$D:$D,MATCH(SCORE!U$2&amp;" "&amp;SCORE!$D336,EVENTOS!$F:$F,0)),0)</f>
        <v>0</v>
      </c>
      <c r="V336" s="3">
        <f>IFERROR(INDEX(EVENTOS!$D:$D,MATCH(SCORE!V$2&amp;" "&amp;SCORE!$D336,EVENTOS!$F:$F,0)),0)</f>
        <v>0</v>
      </c>
      <c r="W336" s="3">
        <f>IFERROR(INDEX(EVENTOS!$D:$D,MATCH(SCORE!W$2&amp;" "&amp;SCORE!$D336,EVENTOS!$F:$F,0)),0)</f>
        <v>0</v>
      </c>
      <c r="X336" s="3">
        <f>IFERROR(INDEX(EVENTOS!$D:$D,MATCH(SCORE!X$2&amp;" "&amp;SCORE!$D336,EVENTOS!$F:$F,0)),0)</f>
        <v>0</v>
      </c>
      <c r="Y336" s="3">
        <f>SUMIFS(EVENTOS!$D:$D, EVENTOS!$B:$B, D336, EVENTOS!$E:$E, "*GirAlto*")</f>
        <v>0</v>
      </c>
      <c r="Z336" s="3">
        <f>SUMIFS(EVENTOS!$D:$D, EVENTOS!$B:$B, D336, EVENTOS!$E:$E, "*GirMed*")</f>
        <v>0</v>
      </c>
      <c r="AA336" s="3">
        <f>SUMIFS(EVENTOS!$D:$D, EVENTOS!$B:$B, D336, EVENTOS!$E:$E, "*GirBajo*")</f>
        <v>0</v>
      </c>
      <c r="AB336" s="3">
        <f>IFERROR(INDEX(EVENTOS!$D:$D,MATCH(SCORE!AB$2&amp;" "&amp;SCORE!$D336,EVENTOS!$F:$F,0)),0)</f>
        <v>0</v>
      </c>
      <c r="AC336" s="3">
        <f>IFERROR(INDEX(EVENTOS!$D:$D,MATCH(SCORE!AC$2&amp;" "&amp;SCORE!$D336,EVENTOS!$F:$F,0)),0)</f>
        <v>0</v>
      </c>
      <c r="AD336" s="3">
        <f>IFERROR(INDEX(EVENTOS!$D:$D,MATCH(SCORE!AD$2&amp;" "&amp;SCORE!$D336,EVENTOS!$F:$F,0)),0)</f>
        <v>0</v>
      </c>
      <c r="AE336" s="3">
        <f t="shared" si="15"/>
        <v>0</v>
      </c>
      <c r="AF336" s="10" t="e">
        <f t="shared" si="16"/>
        <v>#N/A</v>
      </c>
      <c r="AG336" s="3" t="str">
        <f t="shared" si="17"/>
        <v/>
      </c>
    </row>
    <row r="337" spans="1:33" x14ac:dyDescent="0.25">
      <c r="A337" s="7"/>
      <c r="B337" s="8"/>
      <c r="C337" s="3"/>
      <c r="D337" s="3"/>
      <c r="E337" s="3" t="e">
        <f>VLOOKUP(D337,VIAJES!$D:$E,2,FALSE)</f>
        <v>#N/A</v>
      </c>
      <c r="F337" s="9" t="e">
        <f>VLOOKUP(D337,VIAJES!$D:$F,3,FALSE)</f>
        <v>#N/A</v>
      </c>
      <c r="G337" s="9" t="e">
        <f>VLOOKUP(D337,VIAJES!$D:$G,4,FALSE)</f>
        <v>#N/A</v>
      </c>
      <c r="H337" s="3" t="e">
        <f>VLOOKUP(D337,VIAJES!$D:$H,5,FALSE)</f>
        <v>#N/A</v>
      </c>
      <c r="S337" s="3">
        <f>IFERROR(INDEX(EVENTOS!$D:$D,MATCH(SCORE!S$2&amp;" "&amp;SCORE!$D337,EVENTOS!$F:$F,0)),0)</f>
        <v>0</v>
      </c>
      <c r="T337" s="3">
        <f>IFERROR(INDEX(EVENTOS!$D:$D,MATCH(SCORE!T$2&amp;" "&amp;SCORE!$D337,EVENTOS!$F:$F,0)),0)</f>
        <v>0</v>
      </c>
      <c r="U337" s="3">
        <f>IFERROR(INDEX(EVENTOS!$D:$D,MATCH(SCORE!U$2&amp;" "&amp;SCORE!$D337,EVENTOS!$F:$F,0)),0)</f>
        <v>0</v>
      </c>
      <c r="V337" s="3">
        <f>IFERROR(INDEX(EVENTOS!$D:$D,MATCH(SCORE!V$2&amp;" "&amp;SCORE!$D337,EVENTOS!$F:$F,0)),0)</f>
        <v>0</v>
      </c>
      <c r="W337" s="3">
        <f>IFERROR(INDEX(EVENTOS!$D:$D,MATCH(SCORE!W$2&amp;" "&amp;SCORE!$D337,EVENTOS!$F:$F,0)),0)</f>
        <v>0</v>
      </c>
      <c r="X337" s="3">
        <f>IFERROR(INDEX(EVENTOS!$D:$D,MATCH(SCORE!X$2&amp;" "&amp;SCORE!$D337,EVENTOS!$F:$F,0)),0)</f>
        <v>0</v>
      </c>
      <c r="Y337" s="3">
        <f>SUMIFS(EVENTOS!$D:$D, EVENTOS!$B:$B, D337, EVENTOS!$E:$E, "*GirAlto*")</f>
        <v>0</v>
      </c>
      <c r="Z337" s="3">
        <f>SUMIFS(EVENTOS!$D:$D, EVENTOS!$B:$B, D337, EVENTOS!$E:$E, "*GirMed*")</f>
        <v>0</v>
      </c>
      <c r="AA337" s="3">
        <f>SUMIFS(EVENTOS!$D:$D, EVENTOS!$B:$B, D337, EVENTOS!$E:$E, "*GirBajo*")</f>
        <v>0</v>
      </c>
      <c r="AB337" s="3">
        <f>IFERROR(INDEX(EVENTOS!$D:$D,MATCH(SCORE!AB$2&amp;" "&amp;SCORE!$D337,EVENTOS!$F:$F,0)),0)</f>
        <v>0</v>
      </c>
      <c r="AC337" s="3">
        <f>IFERROR(INDEX(EVENTOS!$D:$D,MATCH(SCORE!AC$2&amp;" "&amp;SCORE!$D337,EVENTOS!$F:$F,0)),0)</f>
        <v>0</v>
      </c>
      <c r="AD337" s="3">
        <f>IFERROR(INDEX(EVENTOS!$D:$D,MATCH(SCORE!AD$2&amp;" "&amp;SCORE!$D337,EVENTOS!$F:$F,0)),0)</f>
        <v>0</v>
      </c>
      <c r="AE337" s="3">
        <f t="shared" si="15"/>
        <v>0</v>
      </c>
      <c r="AF337" s="10" t="e">
        <f t="shared" si="16"/>
        <v>#N/A</v>
      </c>
      <c r="AG337" s="3" t="str">
        <f t="shared" si="17"/>
        <v/>
      </c>
    </row>
    <row r="338" spans="1:33" x14ac:dyDescent="0.25">
      <c r="A338" s="7"/>
      <c r="B338" s="8"/>
      <c r="C338" s="3"/>
      <c r="D338" s="3"/>
      <c r="E338" s="3" t="e">
        <f>VLOOKUP(D338,VIAJES!$D:$E,2,FALSE)</f>
        <v>#N/A</v>
      </c>
      <c r="F338" s="9" t="e">
        <f>VLOOKUP(D338,VIAJES!$D:$F,3,FALSE)</f>
        <v>#N/A</v>
      </c>
      <c r="G338" s="9" t="e">
        <f>VLOOKUP(D338,VIAJES!$D:$G,4,FALSE)</f>
        <v>#N/A</v>
      </c>
      <c r="H338" s="3" t="e">
        <f>VLOOKUP(D338,VIAJES!$D:$H,5,FALSE)</f>
        <v>#N/A</v>
      </c>
      <c r="S338" s="3">
        <f>IFERROR(INDEX(EVENTOS!$D:$D,MATCH(SCORE!S$2&amp;" "&amp;SCORE!$D338,EVENTOS!$F:$F,0)),0)</f>
        <v>0</v>
      </c>
      <c r="T338" s="3">
        <f>IFERROR(INDEX(EVENTOS!$D:$D,MATCH(SCORE!T$2&amp;" "&amp;SCORE!$D338,EVENTOS!$F:$F,0)),0)</f>
        <v>0</v>
      </c>
      <c r="U338" s="3">
        <f>IFERROR(INDEX(EVENTOS!$D:$D,MATCH(SCORE!U$2&amp;" "&amp;SCORE!$D338,EVENTOS!$F:$F,0)),0)</f>
        <v>0</v>
      </c>
      <c r="V338" s="3">
        <f>IFERROR(INDEX(EVENTOS!$D:$D,MATCH(SCORE!V$2&amp;" "&amp;SCORE!$D338,EVENTOS!$F:$F,0)),0)</f>
        <v>0</v>
      </c>
      <c r="W338" s="3">
        <f>IFERROR(INDEX(EVENTOS!$D:$D,MATCH(SCORE!W$2&amp;" "&amp;SCORE!$D338,EVENTOS!$F:$F,0)),0)</f>
        <v>0</v>
      </c>
      <c r="X338" s="3">
        <f>IFERROR(INDEX(EVENTOS!$D:$D,MATCH(SCORE!X$2&amp;" "&amp;SCORE!$D338,EVENTOS!$F:$F,0)),0)</f>
        <v>0</v>
      </c>
      <c r="Y338" s="3">
        <f>SUMIFS(EVENTOS!$D:$D, EVENTOS!$B:$B, D338, EVENTOS!$E:$E, "*GirAlto*")</f>
        <v>0</v>
      </c>
      <c r="Z338" s="3">
        <f>SUMIFS(EVENTOS!$D:$D, EVENTOS!$B:$B, D338, EVENTOS!$E:$E, "*GirMed*")</f>
        <v>0</v>
      </c>
      <c r="AA338" s="3">
        <f>SUMIFS(EVENTOS!$D:$D, EVENTOS!$B:$B, D338, EVENTOS!$E:$E, "*GirBajo*")</f>
        <v>0</v>
      </c>
      <c r="AB338" s="3">
        <f>IFERROR(INDEX(EVENTOS!$D:$D,MATCH(SCORE!AB$2&amp;" "&amp;SCORE!$D338,EVENTOS!$F:$F,0)),0)</f>
        <v>0</v>
      </c>
      <c r="AC338" s="3">
        <f>IFERROR(INDEX(EVENTOS!$D:$D,MATCH(SCORE!AC$2&amp;" "&amp;SCORE!$D338,EVENTOS!$F:$F,0)),0)</f>
        <v>0</v>
      </c>
      <c r="AD338" s="3">
        <f>IFERROR(INDEX(EVENTOS!$D:$D,MATCH(SCORE!AD$2&amp;" "&amp;SCORE!$D338,EVENTOS!$F:$F,0)),0)</f>
        <v>0</v>
      </c>
      <c r="AE338" s="3">
        <f t="shared" si="15"/>
        <v>0</v>
      </c>
      <c r="AF338" s="10" t="e">
        <f t="shared" si="16"/>
        <v>#N/A</v>
      </c>
      <c r="AG338" s="3" t="str">
        <f t="shared" si="17"/>
        <v/>
      </c>
    </row>
    <row r="339" spans="1:33" x14ac:dyDescent="0.25">
      <c r="A339" s="7"/>
      <c r="B339" s="8"/>
      <c r="C339" s="3"/>
      <c r="D339" s="3"/>
      <c r="E339" s="3" t="e">
        <f>VLOOKUP(D339,VIAJES!$D:$E,2,FALSE)</f>
        <v>#N/A</v>
      </c>
      <c r="F339" s="9" t="e">
        <f>VLOOKUP(D339,VIAJES!$D:$F,3,FALSE)</f>
        <v>#N/A</v>
      </c>
      <c r="G339" s="9" t="e">
        <f>VLOOKUP(D339,VIAJES!$D:$G,4,FALSE)</f>
        <v>#N/A</v>
      </c>
      <c r="H339" s="3" t="e">
        <f>VLOOKUP(D339,VIAJES!$D:$H,5,FALSE)</f>
        <v>#N/A</v>
      </c>
      <c r="S339" s="3">
        <f>IFERROR(INDEX(EVENTOS!$D:$D,MATCH(SCORE!S$2&amp;" "&amp;SCORE!$D339,EVENTOS!$F:$F,0)),0)</f>
        <v>0</v>
      </c>
      <c r="T339" s="3">
        <f>IFERROR(INDEX(EVENTOS!$D:$D,MATCH(SCORE!T$2&amp;" "&amp;SCORE!$D339,EVENTOS!$F:$F,0)),0)</f>
        <v>0</v>
      </c>
      <c r="U339" s="3">
        <f>IFERROR(INDEX(EVENTOS!$D:$D,MATCH(SCORE!U$2&amp;" "&amp;SCORE!$D339,EVENTOS!$F:$F,0)),0)</f>
        <v>0</v>
      </c>
      <c r="V339" s="3">
        <f>IFERROR(INDEX(EVENTOS!$D:$D,MATCH(SCORE!V$2&amp;" "&amp;SCORE!$D339,EVENTOS!$F:$F,0)),0)</f>
        <v>0</v>
      </c>
      <c r="W339" s="3">
        <f>IFERROR(INDEX(EVENTOS!$D:$D,MATCH(SCORE!W$2&amp;" "&amp;SCORE!$D339,EVENTOS!$F:$F,0)),0)</f>
        <v>0</v>
      </c>
      <c r="X339" s="3">
        <f>IFERROR(INDEX(EVENTOS!$D:$D,MATCH(SCORE!X$2&amp;" "&amp;SCORE!$D339,EVENTOS!$F:$F,0)),0)</f>
        <v>0</v>
      </c>
      <c r="Y339" s="3">
        <f>SUMIFS(EVENTOS!$D:$D, EVENTOS!$B:$B, D339, EVENTOS!$E:$E, "*GirAlto*")</f>
        <v>0</v>
      </c>
      <c r="Z339" s="3">
        <f>SUMIFS(EVENTOS!$D:$D, EVENTOS!$B:$B, D339, EVENTOS!$E:$E, "*GirMed*")</f>
        <v>0</v>
      </c>
      <c r="AA339" s="3">
        <f>SUMIFS(EVENTOS!$D:$D, EVENTOS!$B:$B, D339, EVENTOS!$E:$E, "*GirBajo*")</f>
        <v>0</v>
      </c>
      <c r="AB339" s="3">
        <f>IFERROR(INDEX(EVENTOS!$D:$D,MATCH(SCORE!AB$2&amp;" "&amp;SCORE!$D339,EVENTOS!$F:$F,0)),0)</f>
        <v>0</v>
      </c>
      <c r="AC339" s="3">
        <f>IFERROR(INDEX(EVENTOS!$D:$D,MATCH(SCORE!AC$2&amp;" "&amp;SCORE!$D339,EVENTOS!$F:$F,0)),0)</f>
        <v>0</v>
      </c>
      <c r="AD339" s="3">
        <f>IFERROR(INDEX(EVENTOS!$D:$D,MATCH(SCORE!AD$2&amp;" "&amp;SCORE!$D339,EVENTOS!$F:$F,0)),0)</f>
        <v>0</v>
      </c>
      <c r="AE339" s="3">
        <f t="shared" si="15"/>
        <v>0</v>
      </c>
      <c r="AF339" s="10" t="e">
        <f t="shared" si="16"/>
        <v>#N/A</v>
      </c>
      <c r="AG339" s="3" t="str">
        <f t="shared" si="17"/>
        <v/>
      </c>
    </row>
    <row r="340" spans="1:33" x14ac:dyDescent="0.25">
      <c r="A340" s="7"/>
      <c r="B340" s="8"/>
      <c r="C340" s="3"/>
      <c r="D340" s="3"/>
      <c r="E340" s="3" t="e">
        <f>VLOOKUP(D340,VIAJES!$D:$E,2,FALSE)</f>
        <v>#N/A</v>
      </c>
      <c r="F340" s="9" t="e">
        <f>VLOOKUP(D340,VIAJES!$D:$F,3,FALSE)</f>
        <v>#N/A</v>
      </c>
      <c r="G340" s="9" t="e">
        <f>VLOOKUP(D340,VIAJES!$D:$G,4,FALSE)</f>
        <v>#N/A</v>
      </c>
      <c r="H340" s="3" t="e">
        <f>VLOOKUP(D340,VIAJES!$D:$H,5,FALSE)</f>
        <v>#N/A</v>
      </c>
      <c r="S340" s="3">
        <f>IFERROR(INDEX(EVENTOS!$D:$D,MATCH(SCORE!S$2&amp;" "&amp;SCORE!$D340,EVENTOS!$F:$F,0)),0)</f>
        <v>0</v>
      </c>
      <c r="T340" s="3">
        <f>IFERROR(INDEX(EVENTOS!$D:$D,MATCH(SCORE!T$2&amp;" "&amp;SCORE!$D340,EVENTOS!$F:$F,0)),0)</f>
        <v>0</v>
      </c>
      <c r="U340" s="3">
        <f>IFERROR(INDEX(EVENTOS!$D:$D,MATCH(SCORE!U$2&amp;" "&amp;SCORE!$D340,EVENTOS!$F:$F,0)),0)</f>
        <v>0</v>
      </c>
      <c r="V340" s="3">
        <f>IFERROR(INDEX(EVENTOS!$D:$D,MATCH(SCORE!V$2&amp;" "&amp;SCORE!$D340,EVENTOS!$F:$F,0)),0)</f>
        <v>0</v>
      </c>
      <c r="W340" s="3">
        <f>IFERROR(INDEX(EVENTOS!$D:$D,MATCH(SCORE!W$2&amp;" "&amp;SCORE!$D340,EVENTOS!$F:$F,0)),0)</f>
        <v>0</v>
      </c>
      <c r="X340" s="3">
        <f>IFERROR(INDEX(EVENTOS!$D:$D,MATCH(SCORE!X$2&amp;" "&amp;SCORE!$D340,EVENTOS!$F:$F,0)),0)</f>
        <v>0</v>
      </c>
      <c r="Y340" s="3">
        <f>SUMIFS(EVENTOS!$D:$D, EVENTOS!$B:$B, D340, EVENTOS!$E:$E, "*GirAlto*")</f>
        <v>0</v>
      </c>
      <c r="Z340" s="3">
        <f>SUMIFS(EVENTOS!$D:$D, EVENTOS!$B:$B, D340, EVENTOS!$E:$E, "*GirMed*")</f>
        <v>0</v>
      </c>
      <c r="AA340" s="3">
        <f>SUMIFS(EVENTOS!$D:$D, EVENTOS!$B:$B, D340, EVENTOS!$E:$E, "*GirBajo*")</f>
        <v>0</v>
      </c>
      <c r="AB340" s="3">
        <f>IFERROR(INDEX(EVENTOS!$D:$D,MATCH(SCORE!AB$2&amp;" "&amp;SCORE!$D340,EVENTOS!$F:$F,0)),0)</f>
        <v>0</v>
      </c>
      <c r="AC340" s="3">
        <f>IFERROR(INDEX(EVENTOS!$D:$D,MATCH(SCORE!AC$2&amp;" "&amp;SCORE!$D340,EVENTOS!$F:$F,0)),0)</f>
        <v>0</v>
      </c>
      <c r="AD340" s="3">
        <f>IFERROR(INDEX(EVENTOS!$D:$D,MATCH(SCORE!AD$2&amp;" "&amp;SCORE!$D340,EVENTOS!$F:$F,0)),0)</f>
        <v>0</v>
      </c>
      <c r="AE340" s="3">
        <f t="shared" si="15"/>
        <v>0</v>
      </c>
      <c r="AF340" s="10" t="e">
        <f t="shared" si="16"/>
        <v>#N/A</v>
      </c>
      <c r="AG340" s="3" t="str">
        <f t="shared" si="17"/>
        <v/>
      </c>
    </row>
    <row r="341" spans="1:33" x14ac:dyDescent="0.25">
      <c r="A341" s="7"/>
      <c r="B341" s="8"/>
      <c r="C341" s="3"/>
      <c r="D341" s="3"/>
      <c r="E341" s="3" t="e">
        <f>VLOOKUP(D341,VIAJES!$D:$E,2,FALSE)</f>
        <v>#N/A</v>
      </c>
      <c r="F341" s="9" t="e">
        <f>VLOOKUP(D341,VIAJES!$D:$F,3,FALSE)</f>
        <v>#N/A</v>
      </c>
      <c r="G341" s="9" t="e">
        <f>VLOOKUP(D341,VIAJES!$D:$G,4,FALSE)</f>
        <v>#N/A</v>
      </c>
      <c r="H341" s="3" t="e">
        <f>VLOOKUP(D341,VIAJES!$D:$H,5,FALSE)</f>
        <v>#N/A</v>
      </c>
      <c r="S341" s="3">
        <f>IFERROR(INDEX(EVENTOS!$D:$D,MATCH(SCORE!S$2&amp;" "&amp;SCORE!$D341,EVENTOS!$F:$F,0)),0)</f>
        <v>0</v>
      </c>
      <c r="T341" s="3">
        <f>IFERROR(INDEX(EVENTOS!$D:$D,MATCH(SCORE!T$2&amp;" "&amp;SCORE!$D341,EVENTOS!$F:$F,0)),0)</f>
        <v>0</v>
      </c>
      <c r="U341" s="3">
        <f>IFERROR(INDEX(EVENTOS!$D:$D,MATCH(SCORE!U$2&amp;" "&amp;SCORE!$D341,EVENTOS!$F:$F,0)),0)</f>
        <v>0</v>
      </c>
      <c r="V341" s="3">
        <f>IFERROR(INDEX(EVENTOS!$D:$D,MATCH(SCORE!V$2&amp;" "&amp;SCORE!$D341,EVENTOS!$F:$F,0)),0)</f>
        <v>0</v>
      </c>
      <c r="W341" s="3">
        <f>IFERROR(INDEX(EVENTOS!$D:$D,MATCH(SCORE!W$2&amp;" "&amp;SCORE!$D341,EVENTOS!$F:$F,0)),0)</f>
        <v>0</v>
      </c>
      <c r="X341" s="3">
        <f>IFERROR(INDEX(EVENTOS!$D:$D,MATCH(SCORE!X$2&amp;" "&amp;SCORE!$D341,EVENTOS!$F:$F,0)),0)</f>
        <v>0</v>
      </c>
      <c r="Y341" s="3">
        <f>SUMIFS(EVENTOS!$D:$D, EVENTOS!$B:$B, D341, EVENTOS!$E:$E, "*GirAlto*")</f>
        <v>0</v>
      </c>
      <c r="Z341" s="3">
        <f>SUMIFS(EVENTOS!$D:$D, EVENTOS!$B:$B, D341, EVENTOS!$E:$E, "*GirMed*")</f>
        <v>0</v>
      </c>
      <c r="AA341" s="3">
        <f>SUMIFS(EVENTOS!$D:$D, EVENTOS!$B:$B, D341, EVENTOS!$E:$E, "*GirBajo*")</f>
        <v>0</v>
      </c>
      <c r="AB341" s="3">
        <f>IFERROR(INDEX(EVENTOS!$D:$D,MATCH(SCORE!AB$2&amp;" "&amp;SCORE!$D341,EVENTOS!$F:$F,0)),0)</f>
        <v>0</v>
      </c>
      <c r="AC341" s="3">
        <f>IFERROR(INDEX(EVENTOS!$D:$D,MATCH(SCORE!AC$2&amp;" "&amp;SCORE!$D341,EVENTOS!$F:$F,0)),0)</f>
        <v>0</v>
      </c>
      <c r="AD341" s="3">
        <f>IFERROR(INDEX(EVENTOS!$D:$D,MATCH(SCORE!AD$2&amp;" "&amp;SCORE!$D341,EVENTOS!$F:$F,0)),0)</f>
        <v>0</v>
      </c>
      <c r="AE341" s="3">
        <f t="shared" si="15"/>
        <v>0</v>
      </c>
      <c r="AF341" s="10" t="e">
        <f t="shared" si="16"/>
        <v>#N/A</v>
      </c>
      <c r="AG341" s="3" t="str">
        <f t="shared" si="17"/>
        <v/>
      </c>
    </row>
    <row r="342" spans="1:33" x14ac:dyDescent="0.25">
      <c r="A342" s="7"/>
      <c r="B342" s="8"/>
      <c r="C342" s="3"/>
      <c r="D342" s="3"/>
      <c r="E342" s="3" t="e">
        <f>VLOOKUP(D342,VIAJES!$D:$E,2,FALSE)</f>
        <v>#N/A</v>
      </c>
      <c r="F342" s="9" t="e">
        <f>VLOOKUP(D342,VIAJES!$D:$F,3,FALSE)</f>
        <v>#N/A</v>
      </c>
      <c r="G342" s="9" t="e">
        <f>VLOOKUP(D342,VIAJES!$D:$G,4,FALSE)</f>
        <v>#N/A</v>
      </c>
      <c r="H342" s="3" t="e">
        <f>VLOOKUP(D342,VIAJES!$D:$H,5,FALSE)</f>
        <v>#N/A</v>
      </c>
      <c r="S342" s="3">
        <f>IFERROR(INDEX(EVENTOS!$D:$D,MATCH(SCORE!S$2&amp;" "&amp;SCORE!$D342,EVENTOS!$F:$F,0)),0)</f>
        <v>0</v>
      </c>
      <c r="T342" s="3">
        <f>IFERROR(INDEX(EVENTOS!$D:$D,MATCH(SCORE!T$2&amp;" "&amp;SCORE!$D342,EVENTOS!$F:$F,0)),0)</f>
        <v>0</v>
      </c>
      <c r="U342" s="3">
        <f>IFERROR(INDEX(EVENTOS!$D:$D,MATCH(SCORE!U$2&amp;" "&amp;SCORE!$D342,EVENTOS!$F:$F,0)),0)</f>
        <v>0</v>
      </c>
      <c r="V342" s="3">
        <f>IFERROR(INDEX(EVENTOS!$D:$D,MATCH(SCORE!V$2&amp;" "&amp;SCORE!$D342,EVENTOS!$F:$F,0)),0)</f>
        <v>0</v>
      </c>
      <c r="W342" s="3">
        <f>IFERROR(INDEX(EVENTOS!$D:$D,MATCH(SCORE!W$2&amp;" "&amp;SCORE!$D342,EVENTOS!$F:$F,0)),0)</f>
        <v>0</v>
      </c>
      <c r="X342" s="3">
        <f>IFERROR(INDEX(EVENTOS!$D:$D,MATCH(SCORE!X$2&amp;" "&amp;SCORE!$D342,EVENTOS!$F:$F,0)),0)</f>
        <v>0</v>
      </c>
      <c r="Y342" s="3">
        <f>SUMIFS(EVENTOS!$D:$D, EVENTOS!$B:$B, D342, EVENTOS!$E:$E, "*GirAlto*")</f>
        <v>0</v>
      </c>
      <c r="Z342" s="3">
        <f>SUMIFS(EVENTOS!$D:$D, EVENTOS!$B:$B, D342, EVENTOS!$E:$E, "*GirMed*")</f>
        <v>0</v>
      </c>
      <c r="AA342" s="3">
        <f>SUMIFS(EVENTOS!$D:$D, EVENTOS!$B:$B, D342, EVENTOS!$E:$E, "*GirBajo*")</f>
        <v>0</v>
      </c>
      <c r="AB342" s="3">
        <f>IFERROR(INDEX(EVENTOS!$D:$D,MATCH(SCORE!AB$2&amp;" "&amp;SCORE!$D342,EVENTOS!$F:$F,0)),0)</f>
        <v>0</v>
      </c>
      <c r="AC342" s="3">
        <f>IFERROR(INDEX(EVENTOS!$D:$D,MATCH(SCORE!AC$2&amp;" "&amp;SCORE!$D342,EVENTOS!$F:$F,0)),0)</f>
        <v>0</v>
      </c>
      <c r="AD342" s="3">
        <f>IFERROR(INDEX(EVENTOS!$D:$D,MATCH(SCORE!AD$2&amp;" "&amp;SCORE!$D342,EVENTOS!$F:$F,0)),0)</f>
        <v>0</v>
      </c>
      <c r="AE342" s="3">
        <f t="shared" si="15"/>
        <v>0</v>
      </c>
      <c r="AF342" s="10" t="e">
        <f t="shared" si="16"/>
        <v>#N/A</v>
      </c>
      <c r="AG342" s="3" t="str">
        <f t="shared" si="17"/>
        <v/>
      </c>
    </row>
    <row r="343" spans="1:33" x14ac:dyDescent="0.25">
      <c r="A343" s="7"/>
      <c r="B343" s="8"/>
      <c r="C343" s="3"/>
      <c r="D343" s="3"/>
      <c r="E343" s="3" t="e">
        <f>VLOOKUP(D343,VIAJES!$D:$E,2,FALSE)</f>
        <v>#N/A</v>
      </c>
      <c r="F343" s="9" t="e">
        <f>VLOOKUP(D343,VIAJES!$D:$F,3,FALSE)</f>
        <v>#N/A</v>
      </c>
      <c r="G343" s="9" t="e">
        <f>VLOOKUP(D343,VIAJES!$D:$G,4,FALSE)</f>
        <v>#N/A</v>
      </c>
      <c r="H343" s="3" t="e">
        <f>VLOOKUP(D343,VIAJES!$D:$H,5,FALSE)</f>
        <v>#N/A</v>
      </c>
      <c r="S343" s="3">
        <f>IFERROR(INDEX(EVENTOS!$D:$D,MATCH(SCORE!S$2&amp;" "&amp;SCORE!$D343,EVENTOS!$F:$F,0)),0)</f>
        <v>0</v>
      </c>
      <c r="T343" s="3">
        <f>IFERROR(INDEX(EVENTOS!$D:$D,MATCH(SCORE!T$2&amp;" "&amp;SCORE!$D343,EVENTOS!$F:$F,0)),0)</f>
        <v>0</v>
      </c>
      <c r="U343" s="3">
        <f>IFERROR(INDEX(EVENTOS!$D:$D,MATCH(SCORE!U$2&amp;" "&amp;SCORE!$D343,EVENTOS!$F:$F,0)),0)</f>
        <v>0</v>
      </c>
      <c r="V343" s="3">
        <f>IFERROR(INDEX(EVENTOS!$D:$D,MATCH(SCORE!V$2&amp;" "&amp;SCORE!$D343,EVENTOS!$F:$F,0)),0)</f>
        <v>0</v>
      </c>
      <c r="W343" s="3">
        <f>IFERROR(INDEX(EVENTOS!$D:$D,MATCH(SCORE!W$2&amp;" "&amp;SCORE!$D343,EVENTOS!$F:$F,0)),0)</f>
        <v>0</v>
      </c>
      <c r="X343" s="3">
        <f>IFERROR(INDEX(EVENTOS!$D:$D,MATCH(SCORE!X$2&amp;" "&amp;SCORE!$D343,EVENTOS!$F:$F,0)),0)</f>
        <v>0</v>
      </c>
      <c r="Y343" s="3">
        <f>SUMIFS(EVENTOS!$D:$D, EVENTOS!$B:$B, D343, EVENTOS!$E:$E, "*GirAlto*")</f>
        <v>0</v>
      </c>
      <c r="Z343" s="3">
        <f>SUMIFS(EVENTOS!$D:$D, EVENTOS!$B:$B, D343, EVENTOS!$E:$E, "*GirMed*")</f>
        <v>0</v>
      </c>
      <c r="AA343" s="3">
        <f>SUMIFS(EVENTOS!$D:$D, EVENTOS!$B:$B, D343, EVENTOS!$E:$E, "*GirBajo*")</f>
        <v>0</v>
      </c>
      <c r="AB343" s="3">
        <f>IFERROR(INDEX(EVENTOS!$D:$D,MATCH(SCORE!AB$2&amp;" "&amp;SCORE!$D343,EVENTOS!$F:$F,0)),0)</f>
        <v>0</v>
      </c>
      <c r="AC343" s="3">
        <f>IFERROR(INDEX(EVENTOS!$D:$D,MATCH(SCORE!AC$2&amp;" "&amp;SCORE!$D343,EVENTOS!$F:$F,0)),0)</f>
        <v>0</v>
      </c>
      <c r="AD343" s="3">
        <f>IFERROR(INDEX(EVENTOS!$D:$D,MATCH(SCORE!AD$2&amp;" "&amp;SCORE!$D343,EVENTOS!$F:$F,0)),0)</f>
        <v>0</v>
      </c>
      <c r="AE343" s="3">
        <f t="shared" si="15"/>
        <v>0</v>
      </c>
      <c r="AF343" s="10" t="e">
        <f t="shared" si="16"/>
        <v>#N/A</v>
      </c>
      <c r="AG343" s="3" t="str">
        <f t="shared" si="17"/>
        <v/>
      </c>
    </row>
    <row r="344" spans="1:33" x14ac:dyDescent="0.25">
      <c r="A344" s="7"/>
      <c r="B344" s="8"/>
      <c r="C344" s="3"/>
      <c r="D344" s="3"/>
      <c r="E344" s="3" t="e">
        <f>VLOOKUP(D344,VIAJES!$D:$E,2,FALSE)</f>
        <v>#N/A</v>
      </c>
      <c r="F344" s="9" t="e">
        <f>VLOOKUP(D344,VIAJES!$D:$F,3,FALSE)</f>
        <v>#N/A</v>
      </c>
      <c r="G344" s="9" t="e">
        <f>VLOOKUP(D344,VIAJES!$D:$G,4,FALSE)</f>
        <v>#N/A</v>
      </c>
      <c r="H344" s="3" t="e">
        <f>VLOOKUP(D344,VIAJES!$D:$H,5,FALSE)</f>
        <v>#N/A</v>
      </c>
      <c r="S344" s="3">
        <f>IFERROR(INDEX(EVENTOS!$D:$D,MATCH(SCORE!S$2&amp;" "&amp;SCORE!$D344,EVENTOS!$F:$F,0)),0)</f>
        <v>0</v>
      </c>
      <c r="T344" s="3">
        <f>IFERROR(INDEX(EVENTOS!$D:$D,MATCH(SCORE!T$2&amp;" "&amp;SCORE!$D344,EVENTOS!$F:$F,0)),0)</f>
        <v>0</v>
      </c>
      <c r="U344" s="3">
        <f>IFERROR(INDEX(EVENTOS!$D:$D,MATCH(SCORE!U$2&amp;" "&amp;SCORE!$D344,EVENTOS!$F:$F,0)),0)</f>
        <v>0</v>
      </c>
      <c r="V344" s="3">
        <f>IFERROR(INDEX(EVENTOS!$D:$D,MATCH(SCORE!V$2&amp;" "&amp;SCORE!$D344,EVENTOS!$F:$F,0)),0)</f>
        <v>0</v>
      </c>
      <c r="W344" s="3">
        <f>IFERROR(INDEX(EVENTOS!$D:$D,MATCH(SCORE!W$2&amp;" "&amp;SCORE!$D344,EVENTOS!$F:$F,0)),0)</f>
        <v>0</v>
      </c>
      <c r="X344" s="3">
        <f>IFERROR(INDEX(EVENTOS!$D:$D,MATCH(SCORE!X$2&amp;" "&amp;SCORE!$D344,EVENTOS!$F:$F,0)),0)</f>
        <v>0</v>
      </c>
      <c r="Y344" s="3">
        <f>SUMIFS(EVENTOS!$D:$D, EVENTOS!$B:$B, D344, EVENTOS!$E:$E, "*GirAlto*")</f>
        <v>0</v>
      </c>
      <c r="Z344" s="3">
        <f>SUMIFS(EVENTOS!$D:$D, EVENTOS!$B:$B, D344, EVENTOS!$E:$E, "*GirMed*")</f>
        <v>0</v>
      </c>
      <c r="AA344" s="3">
        <f>SUMIFS(EVENTOS!$D:$D, EVENTOS!$B:$B, D344, EVENTOS!$E:$E, "*GirBajo*")</f>
        <v>0</v>
      </c>
      <c r="AB344" s="3">
        <f>IFERROR(INDEX(EVENTOS!$D:$D,MATCH(SCORE!AB$2&amp;" "&amp;SCORE!$D344,EVENTOS!$F:$F,0)),0)</f>
        <v>0</v>
      </c>
      <c r="AC344" s="3">
        <f>IFERROR(INDEX(EVENTOS!$D:$D,MATCH(SCORE!AC$2&amp;" "&amp;SCORE!$D344,EVENTOS!$F:$F,0)),0)</f>
        <v>0</v>
      </c>
      <c r="AD344" s="3">
        <f>IFERROR(INDEX(EVENTOS!$D:$D,MATCH(SCORE!AD$2&amp;" "&amp;SCORE!$D344,EVENTOS!$F:$F,0)),0)</f>
        <v>0</v>
      </c>
      <c r="AE344" s="3">
        <f t="shared" si="15"/>
        <v>0</v>
      </c>
      <c r="AF344" s="10" t="e">
        <f t="shared" si="16"/>
        <v>#N/A</v>
      </c>
      <c r="AG344" s="3" t="str">
        <f t="shared" si="17"/>
        <v/>
      </c>
    </row>
    <row r="345" spans="1:33" x14ac:dyDescent="0.25">
      <c r="A345" s="7"/>
      <c r="B345" s="8"/>
      <c r="C345" s="3"/>
      <c r="D345" s="3"/>
      <c r="E345" s="3" t="e">
        <f>VLOOKUP(D345,VIAJES!$D:$E,2,FALSE)</f>
        <v>#N/A</v>
      </c>
      <c r="F345" s="9" t="e">
        <f>VLOOKUP(D345,VIAJES!$D:$F,3,FALSE)</f>
        <v>#N/A</v>
      </c>
      <c r="G345" s="9" t="e">
        <f>VLOOKUP(D345,VIAJES!$D:$G,4,FALSE)</f>
        <v>#N/A</v>
      </c>
      <c r="H345" s="3" t="e">
        <f>VLOOKUP(D345,VIAJES!$D:$H,5,FALSE)</f>
        <v>#N/A</v>
      </c>
      <c r="S345" s="3">
        <f>IFERROR(INDEX(EVENTOS!$D:$D,MATCH(SCORE!S$2&amp;" "&amp;SCORE!$D345,EVENTOS!$F:$F,0)),0)</f>
        <v>0</v>
      </c>
      <c r="T345" s="3">
        <f>IFERROR(INDEX(EVENTOS!$D:$D,MATCH(SCORE!T$2&amp;" "&amp;SCORE!$D345,EVENTOS!$F:$F,0)),0)</f>
        <v>0</v>
      </c>
      <c r="U345" s="3">
        <f>IFERROR(INDEX(EVENTOS!$D:$D,MATCH(SCORE!U$2&amp;" "&amp;SCORE!$D345,EVENTOS!$F:$F,0)),0)</f>
        <v>0</v>
      </c>
      <c r="V345" s="3">
        <f>IFERROR(INDEX(EVENTOS!$D:$D,MATCH(SCORE!V$2&amp;" "&amp;SCORE!$D345,EVENTOS!$F:$F,0)),0)</f>
        <v>0</v>
      </c>
      <c r="W345" s="3">
        <f>IFERROR(INDEX(EVENTOS!$D:$D,MATCH(SCORE!W$2&amp;" "&amp;SCORE!$D345,EVENTOS!$F:$F,0)),0)</f>
        <v>0</v>
      </c>
      <c r="X345" s="3">
        <f>IFERROR(INDEX(EVENTOS!$D:$D,MATCH(SCORE!X$2&amp;" "&amp;SCORE!$D345,EVENTOS!$F:$F,0)),0)</f>
        <v>0</v>
      </c>
      <c r="Y345" s="3">
        <f>SUMIFS(EVENTOS!$D:$D, EVENTOS!$B:$B, D345, EVENTOS!$E:$E, "*GirAlto*")</f>
        <v>0</v>
      </c>
      <c r="Z345" s="3">
        <f>SUMIFS(EVENTOS!$D:$D, EVENTOS!$B:$B, D345, EVENTOS!$E:$E, "*GirMed*")</f>
        <v>0</v>
      </c>
      <c r="AA345" s="3">
        <f>SUMIFS(EVENTOS!$D:$D, EVENTOS!$B:$B, D345, EVENTOS!$E:$E, "*GirBajo*")</f>
        <v>0</v>
      </c>
      <c r="AB345" s="3">
        <f>IFERROR(INDEX(EVENTOS!$D:$D,MATCH(SCORE!AB$2&amp;" "&amp;SCORE!$D345,EVENTOS!$F:$F,0)),0)</f>
        <v>0</v>
      </c>
      <c r="AC345" s="3">
        <f>IFERROR(INDEX(EVENTOS!$D:$D,MATCH(SCORE!AC$2&amp;" "&amp;SCORE!$D345,EVENTOS!$F:$F,0)),0)</f>
        <v>0</v>
      </c>
      <c r="AD345" s="3">
        <f>IFERROR(INDEX(EVENTOS!$D:$D,MATCH(SCORE!AD$2&amp;" "&amp;SCORE!$D345,EVENTOS!$F:$F,0)),0)</f>
        <v>0</v>
      </c>
      <c r="AE345" s="3">
        <f t="shared" si="15"/>
        <v>0</v>
      </c>
      <c r="AF345" s="10" t="e">
        <f t="shared" si="16"/>
        <v>#N/A</v>
      </c>
      <c r="AG345" s="3" t="str">
        <f t="shared" si="17"/>
        <v/>
      </c>
    </row>
    <row r="346" spans="1:33" x14ac:dyDescent="0.25">
      <c r="A346" s="7"/>
      <c r="B346" s="8"/>
      <c r="C346" s="3"/>
      <c r="D346" s="3"/>
      <c r="E346" s="3" t="e">
        <f>VLOOKUP(D346,VIAJES!$D:$E,2,FALSE)</f>
        <v>#N/A</v>
      </c>
      <c r="F346" s="9" t="e">
        <f>VLOOKUP(D346,VIAJES!$D:$F,3,FALSE)</f>
        <v>#N/A</v>
      </c>
      <c r="G346" s="9" t="e">
        <f>VLOOKUP(D346,VIAJES!$D:$G,4,FALSE)</f>
        <v>#N/A</v>
      </c>
      <c r="H346" s="3" t="e">
        <f>VLOOKUP(D346,VIAJES!$D:$H,5,FALSE)</f>
        <v>#N/A</v>
      </c>
      <c r="S346" s="3">
        <f>IFERROR(INDEX(EVENTOS!$D:$D,MATCH(SCORE!S$2&amp;" "&amp;SCORE!$D346,EVENTOS!$F:$F,0)),0)</f>
        <v>0</v>
      </c>
      <c r="T346" s="3">
        <f>IFERROR(INDEX(EVENTOS!$D:$D,MATCH(SCORE!T$2&amp;" "&amp;SCORE!$D346,EVENTOS!$F:$F,0)),0)</f>
        <v>0</v>
      </c>
      <c r="U346" s="3">
        <f>IFERROR(INDEX(EVENTOS!$D:$D,MATCH(SCORE!U$2&amp;" "&amp;SCORE!$D346,EVENTOS!$F:$F,0)),0)</f>
        <v>0</v>
      </c>
      <c r="V346" s="3">
        <f>IFERROR(INDEX(EVENTOS!$D:$D,MATCH(SCORE!V$2&amp;" "&amp;SCORE!$D346,EVENTOS!$F:$F,0)),0)</f>
        <v>0</v>
      </c>
      <c r="W346" s="3">
        <f>IFERROR(INDEX(EVENTOS!$D:$D,MATCH(SCORE!W$2&amp;" "&amp;SCORE!$D346,EVENTOS!$F:$F,0)),0)</f>
        <v>0</v>
      </c>
      <c r="X346" s="3">
        <f>IFERROR(INDEX(EVENTOS!$D:$D,MATCH(SCORE!X$2&amp;" "&amp;SCORE!$D346,EVENTOS!$F:$F,0)),0)</f>
        <v>0</v>
      </c>
      <c r="Y346" s="3">
        <f>SUMIFS(EVENTOS!$D:$D, EVENTOS!$B:$B, D346, EVENTOS!$E:$E, "*GirAlto*")</f>
        <v>0</v>
      </c>
      <c r="Z346" s="3">
        <f>SUMIFS(EVENTOS!$D:$D, EVENTOS!$B:$B, D346, EVENTOS!$E:$E, "*GirMed*")</f>
        <v>0</v>
      </c>
      <c r="AA346" s="3">
        <f>SUMIFS(EVENTOS!$D:$D, EVENTOS!$B:$B, D346, EVENTOS!$E:$E, "*GirBajo*")</f>
        <v>0</v>
      </c>
      <c r="AB346" s="3">
        <f>IFERROR(INDEX(EVENTOS!$D:$D,MATCH(SCORE!AB$2&amp;" "&amp;SCORE!$D346,EVENTOS!$F:$F,0)),0)</f>
        <v>0</v>
      </c>
      <c r="AC346" s="3">
        <f>IFERROR(INDEX(EVENTOS!$D:$D,MATCH(SCORE!AC$2&amp;" "&amp;SCORE!$D346,EVENTOS!$F:$F,0)),0)</f>
        <v>0</v>
      </c>
      <c r="AD346" s="3">
        <f>IFERROR(INDEX(EVENTOS!$D:$D,MATCH(SCORE!AD$2&amp;" "&amp;SCORE!$D346,EVENTOS!$F:$F,0)),0)</f>
        <v>0</v>
      </c>
      <c r="AE346" s="3">
        <f t="shared" si="15"/>
        <v>0</v>
      </c>
      <c r="AF346" s="10" t="e">
        <f t="shared" si="16"/>
        <v>#N/A</v>
      </c>
      <c r="AG346" s="3" t="str">
        <f t="shared" si="17"/>
        <v/>
      </c>
    </row>
    <row r="347" spans="1:33" x14ac:dyDescent="0.25">
      <c r="A347" s="7"/>
      <c r="B347" s="8"/>
      <c r="C347" s="3"/>
      <c r="D347" s="3"/>
      <c r="E347" s="3" t="e">
        <f>VLOOKUP(D347,VIAJES!$D:$E,2,FALSE)</f>
        <v>#N/A</v>
      </c>
      <c r="F347" s="9" t="e">
        <f>VLOOKUP(D347,VIAJES!$D:$F,3,FALSE)</f>
        <v>#N/A</v>
      </c>
      <c r="G347" s="9" t="e">
        <f>VLOOKUP(D347,VIAJES!$D:$G,4,FALSE)</f>
        <v>#N/A</v>
      </c>
      <c r="H347" s="3" t="e">
        <f>VLOOKUP(D347,VIAJES!$D:$H,5,FALSE)</f>
        <v>#N/A</v>
      </c>
      <c r="S347" s="3">
        <f>IFERROR(INDEX(EVENTOS!$D:$D,MATCH(SCORE!S$2&amp;" "&amp;SCORE!$D347,EVENTOS!$F:$F,0)),0)</f>
        <v>0</v>
      </c>
      <c r="T347" s="3">
        <f>IFERROR(INDEX(EVENTOS!$D:$D,MATCH(SCORE!T$2&amp;" "&amp;SCORE!$D347,EVENTOS!$F:$F,0)),0)</f>
        <v>0</v>
      </c>
      <c r="U347" s="3">
        <f>IFERROR(INDEX(EVENTOS!$D:$D,MATCH(SCORE!U$2&amp;" "&amp;SCORE!$D347,EVENTOS!$F:$F,0)),0)</f>
        <v>0</v>
      </c>
      <c r="V347" s="3">
        <f>IFERROR(INDEX(EVENTOS!$D:$D,MATCH(SCORE!V$2&amp;" "&amp;SCORE!$D347,EVENTOS!$F:$F,0)),0)</f>
        <v>0</v>
      </c>
      <c r="W347" s="3">
        <f>IFERROR(INDEX(EVENTOS!$D:$D,MATCH(SCORE!W$2&amp;" "&amp;SCORE!$D347,EVENTOS!$F:$F,0)),0)</f>
        <v>0</v>
      </c>
      <c r="X347" s="3">
        <f>IFERROR(INDEX(EVENTOS!$D:$D,MATCH(SCORE!X$2&amp;" "&amp;SCORE!$D347,EVENTOS!$F:$F,0)),0)</f>
        <v>0</v>
      </c>
      <c r="Y347" s="3">
        <f>SUMIFS(EVENTOS!$D:$D, EVENTOS!$B:$B, D347, EVENTOS!$E:$E, "*GirAlto*")</f>
        <v>0</v>
      </c>
      <c r="Z347" s="3">
        <f>SUMIFS(EVENTOS!$D:$D, EVENTOS!$B:$B, D347, EVENTOS!$E:$E, "*GirMed*")</f>
        <v>0</v>
      </c>
      <c r="AA347" s="3">
        <f>SUMIFS(EVENTOS!$D:$D, EVENTOS!$B:$B, D347, EVENTOS!$E:$E, "*GirBajo*")</f>
        <v>0</v>
      </c>
      <c r="AB347" s="3">
        <f>IFERROR(INDEX(EVENTOS!$D:$D,MATCH(SCORE!AB$2&amp;" "&amp;SCORE!$D347,EVENTOS!$F:$F,0)),0)</f>
        <v>0</v>
      </c>
      <c r="AC347" s="3">
        <f>IFERROR(INDEX(EVENTOS!$D:$D,MATCH(SCORE!AC$2&amp;" "&amp;SCORE!$D347,EVENTOS!$F:$F,0)),0)</f>
        <v>0</v>
      </c>
      <c r="AD347" s="3">
        <f>IFERROR(INDEX(EVENTOS!$D:$D,MATCH(SCORE!AD$2&amp;" "&amp;SCORE!$D347,EVENTOS!$F:$F,0)),0)</f>
        <v>0</v>
      </c>
      <c r="AE347" s="3">
        <f t="shared" si="15"/>
        <v>0</v>
      </c>
      <c r="AF347" s="10" t="e">
        <f t="shared" si="16"/>
        <v>#N/A</v>
      </c>
      <c r="AG347" s="3" t="str">
        <f t="shared" si="17"/>
        <v/>
      </c>
    </row>
    <row r="348" spans="1:33" x14ac:dyDescent="0.25">
      <c r="A348" s="7"/>
      <c r="B348" s="8"/>
      <c r="C348" s="3"/>
      <c r="D348" s="3"/>
      <c r="E348" s="3" t="e">
        <f>VLOOKUP(D348,VIAJES!$D:$E,2,FALSE)</f>
        <v>#N/A</v>
      </c>
      <c r="F348" s="9" t="e">
        <f>VLOOKUP(D348,VIAJES!$D:$F,3,FALSE)</f>
        <v>#N/A</v>
      </c>
      <c r="G348" s="9" t="e">
        <f>VLOOKUP(D348,VIAJES!$D:$G,4,FALSE)</f>
        <v>#N/A</v>
      </c>
      <c r="H348" s="3" t="e">
        <f>VLOOKUP(D348,VIAJES!$D:$H,5,FALSE)</f>
        <v>#N/A</v>
      </c>
      <c r="S348" s="3">
        <f>IFERROR(INDEX(EVENTOS!$D:$D,MATCH(SCORE!S$2&amp;" "&amp;SCORE!$D348,EVENTOS!$F:$F,0)),0)</f>
        <v>0</v>
      </c>
      <c r="T348" s="3">
        <f>IFERROR(INDEX(EVENTOS!$D:$D,MATCH(SCORE!T$2&amp;" "&amp;SCORE!$D348,EVENTOS!$F:$F,0)),0)</f>
        <v>0</v>
      </c>
      <c r="U348" s="3">
        <f>IFERROR(INDEX(EVENTOS!$D:$D,MATCH(SCORE!U$2&amp;" "&amp;SCORE!$D348,EVENTOS!$F:$F,0)),0)</f>
        <v>0</v>
      </c>
      <c r="V348" s="3">
        <f>IFERROR(INDEX(EVENTOS!$D:$D,MATCH(SCORE!V$2&amp;" "&amp;SCORE!$D348,EVENTOS!$F:$F,0)),0)</f>
        <v>0</v>
      </c>
      <c r="W348" s="3">
        <f>IFERROR(INDEX(EVENTOS!$D:$D,MATCH(SCORE!W$2&amp;" "&amp;SCORE!$D348,EVENTOS!$F:$F,0)),0)</f>
        <v>0</v>
      </c>
      <c r="X348" s="3">
        <f>IFERROR(INDEX(EVENTOS!$D:$D,MATCH(SCORE!X$2&amp;" "&amp;SCORE!$D348,EVENTOS!$F:$F,0)),0)</f>
        <v>0</v>
      </c>
      <c r="Y348" s="3">
        <f>SUMIFS(EVENTOS!$D:$D, EVENTOS!$B:$B, D348, EVENTOS!$E:$E, "*GirAlto*")</f>
        <v>0</v>
      </c>
      <c r="Z348" s="3">
        <f>SUMIFS(EVENTOS!$D:$D, EVENTOS!$B:$B, D348, EVENTOS!$E:$E, "*GirMed*")</f>
        <v>0</v>
      </c>
      <c r="AA348" s="3">
        <f>SUMIFS(EVENTOS!$D:$D, EVENTOS!$B:$B, D348, EVENTOS!$E:$E, "*GirBajo*")</f>
        <v>0</v>
      </c>
      <c r="AB348" s="3">
        <f>IFERROR(INDEX(EVENTOS!$D:$D,MATCH(SCORE!AB$2&amp;" "&amp;SCORE!$D348,EVENTOS!$F:$F,0)),0)</f>
        <v>0</v>
      </c>
      <c r="AC348" s="3">
        <f>IFERROR(INDEX(EVENTOS!$D:$D,MATCH(SCORE!AC$2&amp;" "&amp;SCORE!$D348,EVENTOS!$F:$F,0)),0)</f>
        <v>0</v>
      </c>
      <c r="AD348" s="3">
        <f>IFERROR(INDEX(EVENTOS!$D:$D,MATCH(SCORE!AD$2&amp;" "&amp;SCORE!$D348,EVENTOS!$F:$F,0)),0)</f>
        <v>0</v>
      </c>
      <c r="AE348" s="3">
        <f t="shared" si="15"/>
        <v>0</v>
      </c>
      <c r="AF348" s="10" t="e">
        <f t="shared" si="16"/>
        <v>#N/A</v>
      </c>
      <c r="AG348" s="3" t="str">
        <f t="shared" si="17"/>
        <v/>
      </c>
    </row>
    <row r="349" spans="1:33" x14ac:dyDescent="0.25">
      <c r="A349" s="7"/>
      <c r="B349" s="8"/>
      <c r="C349" s="3"/>
      <c r="D349" s="3"/>
      <c r="E349" s="3" t="e">
        <f>VLOOKUP(D349,VIAJES!$D:$E,2,FALSE)</f>
        <v>#N/A</v>
      </c>
      <c r="F349" s="9" t="e">
        <f>VLOOKUP(D349,VIAJES!$D:$F,3,FALSE)</f>
        <v>#N/A</v>
      </c>
      <c r="G349" s="9" t="e">
        <f>VLOOKUP(D349,VIAJES!$D:$G,4,FALSE)</f>
        <v>#N/A</v>
      </c>
      <c r="H349" s="3" t="e">
        <f>VLOOKUP(D349,VIAJES!$D:$H,5,FALSE)</f>
        <v>#N/A</v>
      </c>
      <c r="S349" s="3">
        <f>IFERROR(INDEX(EVENTOS!$D:$D,MATCH(SCORE!S$2&amp;" "&amp;SCORE!$D349,EVENTOS!$F:$F,0)),0)</f>
        <v>0</v>
      </c>
      <c r="T349" s="3">
        <f>IFERROR(INDEX(EVENTOS!$D:$D,MATCH(SCORE!T$2&amp;" "&amp;SCORE!$D349,EVENTOS!$F:$F,0)),0)</f>
        <v>0</v>
      </c>
      <c r="U349" s="3">
        <f>IFERROR(INDEX(EVENTOS!$D:$D,MATCH(SCORE!U$2&amp;" "&amp;SCORE!$D349,EVENTOS!$F:$F,0)),0)</f>
        <v>0</v>
      </c>
      <c r="V349" s="3">
        <f>IFERROR(INDEX(EVENTOS!$D:$D,MATCH(SCORE!V$2&amp;" "&amp;SCORE!$D349,EVENTOS!$F:$F,0)),0)</f>
        <v>0</v>
      </c>
      <c r="W349" s="3">
        <f>IFERROR(INDEX(EVENTOS!$D:$D,MATCH(SCORE!W$2&amp;" "&amp;SCORE!$D349,EVENTOS!$F:$F,0)),0)</f>
        <v>0</v>
      </c>
      <c r="X349" s="3">
        <f>IFERROR(INDEX(EVENTOS!$D:$D,MATCH(SCORE!X$2&amp;" "&amp;SCORE!$D349,EVENTOS!$F:$F,0)),0)</f>
        <v>0</v>
      </c>
      <c r="Y349" s="3">
        <f>SUMIFS(EVENTOS!$D:$D, EVENTOS!$B:$B, D349, EVENTOS!$E:$E, "*GirAlto*")</f>
        <v>0</v>
      </c>
      <c r="Z349" s="3">
        <f>SUMIFS(EVENTOS!$D:$D, EVENTOS!$B:$B, D349, EVENTOS!$E:$E, "*GirMed*")</f>
        <v>0</v>
      </c>
      <c r="AA349" s="3">
        <f>SUMIFS(EVENTOS!$D:$D, EVENTOS!$B:$B, D349, EVENTOS!$E:$E, "*GirBajo*")</f>
        <v>0</v>
      </c>
      <c r="AB349" s="3">
        <f>IFERROR(INDEX(EVENTOS!$D:$D,MATCH(SCORE!AB$2&amp;" "&amp;SCORE!$D349,EVENTOS!$F:$F,0)),0)</f>
        <v>0</v>
      </c>
      <c r="AC349" s="3">
        <f>IFERROR(INDEX(EVENTOS!$D:$D,MATCH(SCORE!AC$2&amp;" "&amp;SCORE!$D349,EVENTOS!$F:$F,0)),0)</f>
        <v>0</v>
      </c>
      <c r="AD349" s="3">
        <f>IFERROR(INDEX(EVENTOS!$D:$D,MATCH(SCORE!AD$2&amp;" "&amp;SCORE!$D349,EVENTOS!$F:$F,0)),0)</f>
        <v>0</v>
      </c>
      <c r="AE349" s="3">
        <f t="shared" si="15"/>
        <v>0</v>
      </c>
      <c r="AF349" s="10" t="e">
        <f t="shared" si="16"/>
        <v>#N/A</v>
      </c>
      <c r="AG349" s="3" t="str">
        <f t="shared" si="17"/>
        <v/>
      </c>
    </row>
    <row r="350" spans="1:33" x14ac:dyDescent="0.25">
      <c r="A350" s="7"/>
      <c r="B350" s="8"/>
      <c r="C350" s="3"/>
      <c r="D350" s="3"/>
      <c r="E350" s="3" t="e">
        <f>VLOOKUP(D350,VIAJES!$D:$E,2,FALSE)</f>
        <v>#N/A</v>
      </c>
      <c r="F350" s="9" t="e">
        <f>VLOOKUP(D350,VIAJES!$D:$F,3,FALSE)</f>
        <v>#N/A</v>
      </c>
      <c r="G350" s="9" t="e">
        <f>VLOOKUP(D350,VIAJES!$D:$G,4,FALSE)</f>
        <v>#N/A</v>
      </c>
      <c r="H350" s="3" t="e">
        <f>VLOOKUP(D350,VIAJES!$D:$H,5,FALSE)</f>
        <v>#N/A</v>
      </c>
      <c r="S350" s="3">
        <f>IFERROR(INDEX(EVENTOS!$D:$D,MATCH(SCORE!S$2&amp;" "&amp;SCORE!$D350,EVENTOS!$F:$F,0)),0)</f>
        <v>0</v>
      </c>
      <c r="T350" s="3">
        <f>IFERROR(INDEX(EVENTOS!$D:$D,MATCH(SCORE!T$2&amp;" "&amp;SCORE!$D350,EVENTOS!$F:$F,0)),0)</f>
        <v>0</v>
      </c>
      <c r="U350" s="3">
        <f>IFERROR(INDEX(EVENTOS!$D:$D,MATCH(SCORE!U$2&amp;" "&amp;SCORE!$D350,EVENTOS!$F:$F,0)),0)</f>
        <v>0</v>
      </c>
      <c r="V350" s="3">
        <f>IFERROR(INDEX(EVENTOS!$D:$D,MATCH(SCORE!V$2&amp;" "&amp;SCORE!$D350,EVENTOS!$F:$F,0)),0)</f>
        <v>0</v>
      </c>
      <c r="W350" s="3">
        <f>IFERROR(INDEX(EVENTOS!$D:$D,MATCH(SCORE!W$2&amp;" "&amp;SCORE!$D350,EVENTOS!$F:$F,0)),0)</f>
        <v>0</v>
      </c>
      <c r="X350" s="3">
        <f>IFERROR(INDEX(EVENTOS!$D:$D,MATCH(SCORE!X$2&amp;" "&amp;SCORE!$D350,EVENTOS!$F:$F,0)),0)</f>
        <v>0</v>
      </c>
      <c r="Y350" s="3">
        <f>SUMIFS(EVENTOS!$D:$D, EVENTOS!$B:$B, D350, EVENTOS!$E:$E, "*GirAlto*")</f>
        <v>0</v>
      </c>
      <c r="Z350" s="3">
        <f>SUMIFS(EVENTOS!$D:$D, EVENTOS!$B:$B, D350, EVENTOS!$E:$E, "*GirMed*")</f>
        <v>0</v>
      </c>
      <c r="AA350" s="3">
        <f>SUMIFS(EVENTOS!$D:$D, EVENTOS!$B:$B, D350, EVENTOS!$E:$E, "*GirBajo*")</f>
        <v>0</v>
      </c>
      <c r="AB350" s="3">
        <f>IFERROR(INDEX(EVENTOS!$D:$D,MATCH(SCORE!AB$2&amp;" "&amp;SCORE!$D350,EVENTOS!$F:$F,0)),0)</f>
        <v>0</v>
      </c>
      <c r="AC350" s="3">
        <f>IFERROR(INDEX(EVENTOS!$D:$D,MATCH(SCORE!AC$2&amp;" "&amp;SCORE!$D350,EVENTOS!$F:$F,0)),0)</f>
        <v>0</v>
      </c>
      <c r="AD350" s="3">
        <f>IFERROR(INDEX(EVENTOS!$D:$D,MATCH(SCORE!AD$2&amp;" "&amp;SCORE!$D350,EVENTOS!$F:$F,0)),0)</f>
        <v>0</v>
      </c>
      <c r="AE350" s="3">
        <f t="shared" si="15"/>
        <v>0</v>
      </c>
      <c r="AF350" s="10" t="e">
        <f t="shared" si="16"/>
        <v>#N/A</v>
      </c>
      <c r="AG350" s="3" t="str">
        <f t="shared" si="17"/>
        <v/>
      </c>
    </row>
    <row r="351" spans="1:33" x14ac:dyDescent="0.25">
      <c r="A351" s="7"/>
      <c r="B351" s="8"/>
      <c r="C351" s="3"/>
      <c r="D351" s="3"/>
      <c r="E351" s="3" t="e">
        <f>VLOOKUP(D351,VIAJES!$D:$E,2,FALSE)</f>
        <v>#N/A</v>
      </c>
      <c r="F351" s="9" t="e">
        <f>VLOOKUP(D351,VIAJES!$D:$F,3,FALSE)</f>
        <v>#N/A</v>
      </c>
      <c r="G351" s="9" t="e">
        <f>VLOOKUP(D351,VIAJES!$D:$G,4,FALSE)</f>
        <v>#N/A</v>
      </c>
      <c r="H351" s="3" t="e">
        <f>VLOOKUP(D351,VIAJES!$D:$H,5,FALSE)</f>
        <v>#N/A</v>
      </c>
      <c r="S351" s="3">
        <f>IFERROR(INDEX(EVENTOS!$D:$D,MATCH(SCORE!S$2&amp;" "&amp;SCORE!$D351,EVENTOS!$F:$F,0)),0)</f>
        <v>0</v>
      </c>
      <c r="T351" s="3">
        <f>IFERROR(INDEX(EVENTOS!$D:$D,MATCH(SCORE!T$2&amp;" "&amp;SCORE!$D351,EVENTOS!$F:$F,0)),0)</f>
        <v>0</v>
      </c>
      <c r="U351" s="3">
        <f>IFERROR(INDEX(EVENTOS!$D:$D,MATCH(SCORE!U$2&amp;" "&amp;SCORE!$D351,EVENTOS!$F:$F,0)),0)</f>
        <v>0</v>
      </c>
      <c r="V351" s="3">
        <f>IFERROR(INDEX(EVENTOS!$D:$D,MATCH(SCORE!V$2&amp;" "&amp;SCORE!$D351,EVENTOS!$F:$F,0)),0)</f>
        <v>0</v>
      </c>
      <c r="W351" s="3">
        <f>IFERROR(INDEX(EVENTOS!$D:$D,MATCH(SCORE!W$2&amp;" "&amp;SCORE!$D351,EVENTOS!$F:$F,0)),0)</f>
        <v>0</v>
      </c>
      <c r="X351" s="3">
        <f>IFERROR(INDEX(EVENTOS!$D:$D,MATCH(SCORE!X$2&amp;" "&amp;SCORE!$D351,EVENTOS!$F:$F,0)),0)</f>
        <v>0</v>
      </c>
      <c r="Y351" s="3">
        <f>SUMIFS(EVENTOS!$D:$D, EVENTOS!$B:$B, D351, EVENTOS!$E:$E, "*GirAlto*")</f>
        <v>0</v>
      </c>
      <c r="Z351" s="3">
        <f>SUMIFS(EVENTOS!$D:$D, EVENTOS!$B:$B, D351, EVENTOS!$E:$E, "*GirMed*")</f>
        <v>0</v>
      </c>
      <c r="AA351" s="3">
        <f>SUMIFS(EVENTOS!$D:$D, EVENTOS!$B:$B, D351, EVENTOS!$E:$E, "*GirBajo*")</f>
        <v>0</v>
      </c>
      <c r="AB351" s="3">
        <f>IFERROR(INDEX(EVENTOS!$D:$D,MATCH(SCORE!AB$2&amp;" "&amp;SCORE!$D351,EVENTOS!$F:$F,0)),0)</f>
        <v>0</v>
      </c>
      <c r="AC351" s="3">
        <f>IFERROR(INDEX(EVENTOS!$D:$D,MATCH(SCORE!AC$2&amp;" "&amp;SCORE!$D351,EVENTOS!$F:$F,0)),0)</f>
        <v>0</v>
      </c>
      <c r="AD351" s="3">
        <f>IFERROR(INDEX(EVENTOS!$D:$D,MATCH(SCORE!AD$2&amp;" "&amp;SCORE!$D351,EVENTOS!$F:$F,0)),0)</f>
        <v>0</v>
      </c>
      <c r="AE351" s="3">
        <f t="shared" si="15"/>
        <v>0</v>
      </c>
      <c r="AF351" s="10" t="e">
        <f t="shared" si="16"/>
        <v>#N/A</v>
      </c>
      <c r="AG351" s="3" t="str">
        <f t="shared" si="17"/>
        <v/>
      </c>
    </row>
    <row r="352" spans="1:33" x14ac:dyDescent="0.25">
      <c r="A352" s="7"/>
      <c r="B352" s="8"/>
      <c r="C352" s="3"/>
      <c r="D352" s="3"/>
      <c r="E352" s="3" t="e">
        <f>VLOOKUP(D352,VIAJES!$D:$E,2,FALSE)</f>
        <v>#N/A</v>
      </c>
      <c r="F352" s="9" t="e">
        <f>VLOOKUP(D352,VIAJES!$D:$F,3,FALSE)</f>
        <v>#N/A</v>
      </c>
      <c r="G352" s="9" t="e">
        <f>VLOOKUP(D352,VIAJES!$D:$G,4,FALSE)</f>
        <v>#N/A</v>
      </c>
      <c r="H352" s="3" t="e">
        <f>VLOOKUP(D352,VIAJES!$D:$H,5,FALSE)</f>
        <v>#N/A</v>
      </c>
      <c r="S352" s="3">
        <f>IFERROR(INDEX(EVENTOS!$D:$D,MATCH(SCORE!S$2&amp;" "&amp;SCORE!$D352,EVENTOS!$F:$F,0)),0)</f>
        <v>0</v>
      </c>
      <c r="T352" s="3">
        <f>IFERROR(INDEX(EVENTOS!$D:$D,MATCH(SCORE!T$2&amp;" "&amp;SCORE!$D352,EVENTOS!$F:$F,0)),0)</f>
        <v>0</v>
      </c>
      <c r="U352" s="3">
        <f>IFERROR(INDEX(EVENTOS!$D:$D,MATCH(SCORE!U$2&amp;" "&amp;SCORE!$D352,EVENTOS!$F:$F,0)),0)</f>
        <v>0</v>
      </c>
      <c r="V352" s="3">
        <f>IFERROR(INDEX(EVENTOS!$D:$D,MATCH(SCORE!V$2&amp;" "&amp;SCORE!$D352,EVENTOS!$F:$F,0)),0)</f>
        <v>0</v>
      </c>
      <c r="W352" s="3">
        <f>IFERROR(INDEX(EVENTOS!$D:$D,MATCH(SCORE!W$2&amp;" "&amp;SCORE!$D352,EVENTOS!$F:$F,0)),0)</f>
        <v>0</v>
      </c>
      <c r="X352" s="3">
        <f>IFERROR(INDEX(EVENTOS!$D:$D,MATCH(SCORE!X$2&amp;" "&amp;SCORE!$D352,EVENTOS!$F:$F,0)),0)</f>
        <v>0</v>
      </c>
      <c r="Y352" s="3">
        <f>SUMIFS(EVENTOS!$D:$D, EVENTOS!$B:$B, D352, EVENTOS!$E:$E, "*GirAlto*")</f>
        <v>0</v>
      </c>
      <c r="Z352" s="3">
        <f>SUMIFS(EVENTOS!$D:$D, EVENTOS!$B:$B, D352, EVENTOS!$E:$E, "*GirMed*")</f>
        <v>0</v>
      </c>
      <c r="AA352" s="3">
        <f>SUMIFS(EVENTOS!$D:$D, EVENTOS!$B:$B, D352, EVENTOS!$E:$E, "*GirBajo*")</f>
        <v>0</v>
      </c>
      <c r="AB352" s="3">
        <f>IFERROR(INDEX(EVENTOS!$D:$D,MATCH(SCORE!AB$2&amp;" "&amp;SCORE!$D352,EVENTOS!$F:$F,0)),0)</f>
        <v>0</v>
      </c>
      <c r="AC352" s="3">
        <f>IFERROR(INDEX(EVENTOS!$D:$D,MATCH(SCORE!AC$2&amp;" "&amp;SCORE!$D352,EVENTOS!$F:$F,0)),0)</f>
        <v>0</v>
      </c>
      <c r="AD352" s="3">
        <f>IFERROR(INDEX(EVENTOS!$D:$D,MATCH(SCORE!AD$2&amp;" "&amp;SCORE!$D352,EVENTOS!$F:$F,0)),0)</f>
        <v>0</v>
      </c>
      <c r="AE352" s="3">
        <f t="shared" si="15"/>
        <v>0</v>
      </c>
      <c r="AF352" s="10" t="e">
        <f t="shared" si="16"/>
        <v>#N/A</v>
      </c>
      <c r="AG352" s="3" t="str">
        <f t="shared" si="17"/>
        <v/>
      </c>
    </row>
    <row r="353" spans="1:33" x14ac:dyDescent="0.25">
      <c r="A353" s="7"/>
      <c r="B353" s="8"/>
      <c r="C353" s="3"/>
      <c r="D353" s="3"/>
      <c r="E353" s="3" t="e">
        <f>VLOOKUP(D353,VIAJES!$D:$E,2,FALSE)</f>
        <v>#N/A</v>
      </c>
      <c r="F353" s="9" t="e">
        <f>VLOOKUP(D353,VIAJES!$D:$F,3,FALSE)</f>
        <v>#N/A</v>
      </c>
      <c r="G353" s="9" t="e">
        <f>VLOOKUP(D353,VIAJES!$D:$G,4,FALSE)</f>
        <v>#N/A</v>
      </c>
      <c r="H353" s="3" t="e">
        <f>VLOOKUP(D353,VIAJES!$D:$H,5,FALSE)</f>
        <v>#N/A</v>
      </c>
      <c r="S353" s="3">
        <f>IFERROR(INDEX(EVENTOS!$D:$D,MATCH(SCORE!S$2&amp;" "&amp;SCORE!$D353,EVENTOS!$F:$F,0)),0)</f>
        <v>0</v>
      </c>
      <c r="T353" s="3">
        <f>IFERROR(INDEX(EVENTOS!$D:$D,MATCH(SCORE!T$2&amp;" "&amp;SCORE!$D353,EVENTOS!$F:$F,0)),0)</f>
        <v>0</v>
      </c>
      <c r="U353" s="3">
        <f>IFERROR(INDEX(EVENTOS!$D:$D,MATCH(SCORE!U$2&amp;" "&amp;SCORE!$D353,EVENTOS!$F:$F,0)),0)</f>
        <v>0</v>
      </c>
      <c r="V353" s="3">
        <f>IFERROR(INDEX(EVENTOS!$D:$D,MATCH(SCORE!V$2&amp;" "&amp;SCORE!$D353,EVENTOS!$F:$F,0)),0)</f>
        <v>0</v>
      </c>
      <c r="W353" s="3">
        <f>IFERROR(INDEX(EVENTOS!$D:$D,MATCH(SCORE!W$2&amp;" "&amp;SCORE!$D353,EVENTOS!$F:$F,0)),0)</f>
        <v>0</v>
      </c>
      <c r="X353" s="3">
        <f>IFERROR(INDEX(EVENTOS!$D:$D,MATCH(SCORE!X$2&amp;" "&amp;SCORE!$D353,EVENTOS!$F:$F,0)),0)</f>
        <v>0</v>
      </c>
      <c r="Y353" s="3">
        <f>SUMIFS(EVENTOS!$D:$D, EVENTOS!$B:$B, D353, EVENTOS!$E:$E, "*GirAlto*")</f>
        <v>0</v>
      </c>
      <c r="Z353" s="3">
        <f>SUMIFS(EVENTOS!$D:$D, EVENTOS!$B:$B, D353, EVENTOS!$E:$E, "*GirMed*")</f>
        <v>0</v>
      </c>
      <c r="AA353" s="3">
        <f>SUMIFS(EVENTOS!$D:$D, EVENTOS!$B:$B, D353, EVENTOS!$E:$E, "*GirBajo*")</f>
        <v>0</v>
      </c>
      <c r="AB353" s="3">
        <f>IFERROR(INDEX(EVENTOS!$D:$D,MATCH(SCORE!AB$2&amp;" "&amp;SCORE!$D353,EVENTOS!$F:$F,0)),0)</f>
        <v>0</v>
      </c>
      <c r="AC353" s="3">
        <f>IFERROR(INDEX(EVENTOS!$D:$D,MATCH(SCORE!AC$2&amp;" "&amp;SCORE!$D353,EVENTOS!$F:$F,0)),0)</f>
        <v>0</v>
      </c>
      <c r="AD353" s="3">
        <f>IFERROR(INDEX(EVENTOS!$D:$D,MATCH(SCORE!AD$2&amp;" "&amp;SCORE!$D353,EVENTOS!$F:$F,0)),0)</f>
        <v>0</v>
      </c>
      <c r="AE353" s="3">
        <f t="shared" si="15"/>
        <v>0</v>
      </c>
      <c r="AF353" s="10" t="e">
        <f t="shared" si="16"/>
        <v>#N/A</v>
      </c>
      <c r="AG353" s="3" t="str">
        <f t="shared" si="17"/>
        <v/>
      </c>
    </row>
    <row r="354" spans="1:33" x14ac:dyDescent="0.25">
      <c r="A354" s="7"/>
      <c r="B354" s="8"/>
      <c r="C354" s="3"/>
      <c r="D354" s="3"/>
      <c r="E354" s="3" t="e">
        <f>VLOOKUP(D354,VIAJES!$D:$E,2,FALSE)</f>
        <v>#N/A</v>
      </c>
      <c r="F354" s="9" t="e">
        <f>VLOOKUP(D354,VIAJES!$D:$F,3,FALSE)</f>
        <v>#N/A</v>
      </c>
      <c r="G354" s="9" t="e">
        <f>VLOOKUP(D354,VIAJES!$D:$G,4,FALSE)</f>
        <v>#N/A</v>
      </c>
      <c r="H354" s="3" t="e">
        <f>VLOOKUP(D354,VIAJES!$D:$H,5,FALSE)</f>
        <v>#N/A</v>
      </c>
      <c r="S354" s="3">
        <f>IFERROR(INDEX(EVENTOS!$D:$D,MATCH(SCORE!S$2&amp;" "&amp;SCORE!$D354,EVENTOS!$F:$F,0)),0)</f>
        <v>0</v>
      </c>
      <c r="T354" s="3">
        <f>IFERROR(INDEX(EVENTOS!$D:$D,MATCH(SCORE!T$2&amp;" "&amp;SCORE!$D354,EVENTOS!$F:$F,0)),0)</f>
        <v>0</v>
      </c>
      <c r="U354" s="3">
        <f>IFERROR(INDEX(EVENTOS!$D:$D,MATCH(SCORE!U$2&amp;" "&amp;SCORE!$D354,EVENTOS!$F:$F,0)),0)</f>
        <v>0</v>
      </c>
      <c r="V354" s="3">
        <f>IFERROR(INDEX(EVENTOS!$D:$D,MATCH(SCORE!V$2&amp;" "&amp;SCORE!$D354,EVENTOS!$F:$F,0)),0)</f>
        <v>0</v>
      </c>
      <c r="W354" s="3">
        <f>IFERROR(INDEX(EVENTOS!$D:$D,MATCH(SCORE!W$2&amp;" "&amp;SCORE!$D354,EVENTOS!$F:$F,0)),0)</f>
        <v>0</v>
      </c>
      <c r="X354" s="3">
        <f>IFERROR(INDEX(EVENTOS!$D:$D,MATCH(SCORE!X$2&amp;" "&amp;SCORE!$D354,EVENTOS!$F:$F,0)),0)</f>
        <v>0</v>
      </c>
      <c r="Y354" s="3">
        <f>SUMIFS(EVENTOS!$D:$D, EVENTOS!$B:$B, D354, EVENTOS!$E:$E, "*GirAlto*")</f>
        <v>0</v>
      </c>
      <c r="Z354" s="3">
        <f>SUMIFS(EVENTOS!$D:$D, EVENTOS!$B:$B, D354, EVENTOS!$E:$E, "*GirMed*")</f>
        <v>0</v>
      </c>
      <c r="AA354" s="3">
        <f>SUMIFS(EVENTOS!$D:$D, EVENTOS!$B:$B, D354, EVENTOS!$E:$E, "*GirBajo*")</f>
        <v>0</v>
      </c>
      <c r="AB354" s="3">
        <f>IFERROR(INDEX(EVENTOS!$D:$D,MATCH(SCORE!AB$2&amp;" "&amp;SCORE!$D354,EVENTOS!$F:$F,0)),0)</f>
        <v>0</v>
      </c>
      <c r="AC354" s="3">
        <f>IFERROR(INDEX(EVENTOS!$D:$D,MATCH(SCORE!AC$2&amp;" "&amp;SCORE!$D354,EVENTOS!$F:$F,0)),0)</f>
        <v>0</v>
      </c>
      <c r="AD354" s="3">
        <f>IFERROR(INDEX(EVENTOS!$D:$D,MATCH(SCORE!AD$2&amp;" "&amp;SCORE!$D354,EVENTOS!$F:$F,0)),0)</f>
        <v>0</v>
      </c>
      <c r="AE354" s="3">
        <f t="shared" si="15"/>
        <v>0</v>
      </c>
      <c r="AF354" s="10" t="e">
        <f t="shared" si="16"/>
        <v>#N/A</v>
      </c>
      <c r="AG354" s="3" t="str">
        <f t="shared" si="17"/>
        <v/>
      </c>
    </row>
    <row r="355" spans="1:33" x14ac:dyDescent="0.25">
      <c r="A355" s="7"/>
      <c r="B355" s="8"/>
      <c r="C355" s="3"/>
      <c r="D355" s="3"/>
      <c r="E355" s="3" t="e">
        <f>VLOOKUP(D355,VIAJES!$D:$E,2,FALSE)</f>
        <v>#N/A</v>
      </c>
      <c r="F355" s="9" t="e">
        <f>VLOOKUP(D355,VIAJES!$D:$F,3,FALSE)</f>
        <v>#N/A</v>
      </c>
      <c r="G355" s="9" t="e">
        <f>VLOOKUP(D355,VIAJES!$D:$G,4,FALSE)</f>
        <v>#N/A</v>
      </c>
      <c r="H355" s="3" t="e">
        <f>VLOOKUP(D355,VIAJES!$D:$H,5,FALSE)</f>
        <v>#N/A</v>
      </c>
      <c r="S355" s="3">
        <f>IFERROR(INDEX(EVENTOS!$D:$D,MATCH(SCORE!S$2&amp;" "&amp;SCORE!$D355,EVENTOS!$F:$F,0)),0)</f>
        <v>0</v>
      </c>
      <c r="T355" s="3">
        <f>IFERROR(INDEX(EVENTOS!$D:$D,MATCH(SCORE!T$2&amp;" "&amp;SCORE!$D355,EVENTOS!$F:$F,0)),0)</f>
        <v>0</v>
      </c>
      <c r="U355" s="3">
        <f>IFERROR(INDEX(EVENTOS!$D:$D,MATCH(SCORE!U$2&amp;" "&amp;SCORE!$D355,EVENTOS!$F:$F,0)),0)</f>
        <v>0</v>
      </c>
      <c r="V355" s="3">
        <f>IFERROR(INDEX(EVENTOS!$D:$D,MATCH(SCORE!V$2&amp;" "&amp;SCORE!$D355,EVENTOS!$F:$F,0)),0)</f>
        <v>0</v>
      </c>
      <c r="W355" s="3">
        <f>IFERROR(INDEX(EVENTOS!$D:$D,MATCH(SCORE!W$2&amp;" "&amp;SCORE!$D355,EVENTOS!$F:$F,0)),0)</f>
        <v>0</v>
      </c>
      <c r="X355" s="3">
        <f>IFERROR(INDEX(EVENTOS!$D:$D,MATCH(SCORE!X$2&amp;" "&amp;SCORE!$D355,EVENTOS!$F:$F,0)),0)</f>
        <v>0</v>
      </c>
      <c r="Y355" s="3">
        <f>SUMIFS(EVENTOS!$D:$D, EVENTOS!$B:$B, D355, EVENTOS!$E:$E, "*GirAlto*")</f>
        <v>0</v>
      </c>
      <c r="Z355" s="3">
        <f>SUMIFS(EVENTOS!$D:$D, EVENTOS!$B:$B, D355, EVENTOS!$E:$E, "*GirMed*")</f>
        <v>0</v>
      </c>
      <c r="AA355" s="3">
        <f>SUMIFS(EVENTOS!$D:$D, EVENTOS!$B:$B, D355, EVENTOS!$E:$E, "*GirBajo*")</f>
        <v>0</v>
      </c>
      <c r="AB355" s="3">
        <f>IFERROR(INDEX(EVENTOS!$D:$D,MATCH(SCORE!AB$2&amp;" "&amp;SCORE!$D355,EVENTOS!$F:$F,0)),0)</f>
        <v>0</v>
      </c>
      <c r="AC355" s="3">
        <f>IFERROR(INDEX(EVENTOS!$D:$D,MATCH(SCORE!AC$2&amp;" "&amp;SCORE!$D355,EVENTOS!$F:$F,0)),0)</f>
        <v>0</v>
      </c>
      <c r="AD355" s="3">
        <f>IFERROR(INDEX(EVENTOS!$D:$D,MATCH(SCORE!AD$2&amp;" "&amp;SCORE!$D355,EVENTOS!$F:$F,0)),0)</f>
        <v>0</v>
      </c>
      <c r="AE355" s="3">
        <f t="shared" si="15"/>
        <v>0</v>
      </c>
      <c r="AF355" s="10" t="e">
        <f t="shared" si="16"/>
        <v>#N/A</v>
      </c>
      <c r="AG355" s="3" t="str">
        <f t="shared" si="17"/>
        <v/>
      </c>
    </row>
    <row r="356" spans="1:33" x14ac:dyDescent="0.25">
      <c r="A356" s="7"/>
      <c r="B356" s="8"/>
      <c r="C356" s="3"/>
      <c r="D356" s="3"/>
      <c r="E356" s="3" t="e">
        <f>VLOOKUP(D356,VIAJES!$D:$E,2,FALSE)</f>
        <v>#N/A</v>
      </c>
      <c r="F356" s="9" t="e">
        <f>VLOOKUP(D356,VIAJES!$D:$F,3,FALSE)</f>
        <v>#N/A</v>
      </c>
      <c r="G356" s="9" t="e">
        <f>VLOOKUP(D356,VIAJES!$D:$G,4,FALSE)</f>
        <v>#N/A</v>
      </c>
      <c r="H356" s="3" t="e">
        <f>VLOOKUP(D356,VIAJES!$D:$H,5,FALSE)</f>
        <v>#N/A</v>
      </c>
      <c r="S356" s="3">
        <f>IFERROR(INDEX(EVENTOS!$D:$D,MATCH(SCORE!S$2&amp;" "&amp;SCORE!$D356,EVENTOS!$F:$F,0)),0)</f>
        <v>0</v>
      </c>
      <c r="T356" s="3">
        <f>IFERROR(INDEX(EVENTOS!$D:$D,MATCH(SCORE!T$2&amp;" "&amp;SCORE!$D356,EVENTOS!$F:$F,0)),0)</f>
        <v>0</v>
      </c>
      <c r="U356" s="3">
        <f>IFERROR(INDEX(EVENTOS!$D:$D,MATCH(SCORE!U$2&amp;" "&amp;SCORE!$D356,EVENTOS!$F:$F,0)),0)</f>
        <v>0</v>
      </c>
      <c r="V356" s="3">
        <f>IFERROR(INDEX(EVENTOS!$D:$D,MATCH(SCORE!V$2&amp;" "&amp;SCORE!$D356,EVENTOS!$F:$F,0)),0)</f>
        <v>0</v>
      </c>
      <c r="W356" s="3">
        <f>IFERROR(INDEX(EVENTOS!$D:$D,MATCH(SCORE!W$2&amp;" "&amp;SCORE!$D356,EVENTOS!$F:$F,0)),0)</f>
        <v>0</v>
      </c>
      <c r="X356" s="3">
        <f>IFERROR(INDEX(EVENTOS!$D:$D,MATCH(SCORE!X$2&amp;" "&amp;SCORE!$D356,EVENTOS!$F:$F,0)),0)</f>
        <v>0</v>
      </c>
      <c r="Y356" s="3">
        <f>SUMIFS(EVENTOS!$D:$D, EVENTOS!$B:$B, D356, EVENTOS!$E:$E, "*GirAlto*")</f>
        <v>0</v>
      </c>
      <c r="Z356" s="3">
        <f>SUMIFS(EVENTOS!$D:$D, EVENTOS!$B:$B, D356, EVENTOS!$E:$E, "*GirMed*")</f>
        <v>0</v>
      </c>
      <c r="AA356" s="3">
        <f>SUMIFS(EVENTOS!$D:$D, EVENTOS!$B:$B, D356, EVENTOS!$E:$E, "*GirBajo*")</f>
        <v>0</v>
      </c>
      <c r="AB356" s="3">
        <f>IFERROR(INDEX(EVENTOS!$D:$D,MATCH(SCORE!AB$2&amp;" "&amp;SCORE!$D356,EVENTOS!$F:$F,0)),0)</f>
        <v>0</v>
      </c>
      <c r="AC356" s="3">
        <f>IFERROR(INDEX(EVENTOS!$D:$D,MATCH(SCORE!AC$2&amp;" "&amp;SCORE!$D356,EVENTOS!$F:$F,0)),0)</f>
        <v>0</v>
      </c>
      <c r="AD356" s="3">
        <f>IFERROR(INDEX(EVENTOS!$D:$D,MATCH(SCORE!AD$2&amp;" "&amp;SCORE!$D356,EVENTOS!$F:$F,0)),0)</f>
        <v>0</v>
      </c>
      <c r="AE356" s="3">
        <f t="shared" si="15"/>
        <v>0</v>
      </c>
      <c r="AF356" s="10" t="e">
        <f t="shared" si="16"/>
        <v>#N/A</v>
      </c>
      <c r="AG356" s="3" t="str">
        <f t="shared" si="17"/>
        <v/>
      </c>
    </row>
    <row r="357" spans="1:33" x14ac:dyDescent="0.25">
      <c r="A357" s="7"/>
      <c r="B357" s="8"/>
      <c r="C357" s="3"/>
      <c r="D357" s="3"/>
      <c r="E357" s="3" t="e">
        <f>VLOOKUP(D357,VIAJES!$D:$E,2,FALSE)</f>
        <v>#N/A</v>
      </c>
      <c r="F357" s="9" t="e">
        <f>VLOOKUP(D357,VIAJES!$D:$F,3,FALSE)</f>
        <v>#N/A</v>
      </c>
      <c r="G357" s="9" t="e">
        <f>VLOOKUP(D357,VIAJES!$D:$G,4,FALSE)</f>
        <v>#N/A</v>
      </c>
      <c r="H357" s="3" t="e">
        <f>VLOOKUP(D357,VIAJES!$D:$H,5,FALSE)</f>
        <v>#N/A</v>
      </c>
      <c r="S357" s="3">
        <f>IFERROR(INDEX(EVENTOS!$D:$D,MATCH(SCORE!S$2&amp;" "&amp;SCORE!$D357,EVENTOS!$F:$F,0)),0)</f>
        <v>0</v>
      </c>
      <c r="T357" s="3">
        <f>IFERROR(INDEX(EVENTOS!$D:$D,MATCH(SCORE!T$2&amp;" "&amp;SCORE!$D357,EVENTOS!$F:$F,0)),0)</f>
        <v>0</v>
      </c>
      <c r="U357" s="3">
        <f>IFERROR(INDEX(EVENTOS!$D:$D,MATCH(SCORE!U$2&amp;" "&amp;SCORE!$D357,EVENTOS!$F:$F,0)),0)</f>
        <v>0</v>
      </c>
      <c r="V357" s="3">
        <f>IFERROR(INDEX(EVENTOS!$D:$D,MATCH(SCORE!V$2&amp;" "&amp;SCORE!$D357,EVENTOS!$F:$F,0)),0)</f>
        <v>0</v>
      </c>
      <c r="W357" s="3">
        <f>IFERROR(INDEX(EVENTOS!$D:$D,MATCH(SCORE!W$2&amp;" "&amp;SCORE!$D357,EVENTOS!$F:$F,0)),0)</f>
        <v>0</v>
      </c>
      <c r="X357" s="3">
        <f>IFERROR(INDEX(EVENTOS!$D:$D,MATCH(SCORE!X$2&amp;" "&amp;SCORE!$D357,EVENTOS!$F:$F,0)),0)</f>
        <v>0</v>
      </c>
      <c r="Y357" s="3">
        <f>SUMIFS(EVENTOS!$D:$D, EVENTOS!$B:$B, D357, EVENTOS!$E:$E, "*GirAlto*")</f>
        <v>0</v>
      </c>
      <c r="Z357" s="3">
        <f>SUMIFS(EVENTOS!$D:$D, EVENTOS!$B:$B, D357, EVENTOS!$E:$E, "*GirMed*")</f>
        <v>0</v>
      </c>
      <c r="AA357" s="3">
        <f>SUMIFS(EVENTOS!$D:$D, EVENTOS!$B:$B, D357, EVENTOS!$E:$E, "*GirBajo*")</f>
        <v>0</v>
      </c>
      <c r="AB357" s="3">
        <f>IFERROR(INDEX(EVENTOS!$D:$D,MATCH(SCORE!AB$2&amp;" "&amp;SCORE!$D357,EVENTOS!$F:$F,0)),0)</f>
        <v>0</v>
      </c>
      <c r="AC357" s="3">
        <f>IFERROR(INDEX(EVENTOS!$D:$D,MATCH(SCORE!AC$2&amp;" "&amp;SCORE!$D357,EVENTOS!$F:$F,0)),0)</f>
        <v>0</v>
      </c>
      <c r="AD357" s="3">
        <f>IFERROR(INDEX(EVENTOS!$D:$D,MATCH(SCORE!AD$2&amp;" "&amp;SCORE!$D357,EVENTOS!$F:$F,0)),0)</f>
        <v>0</v>
      </c>
      <c r="AE357" s="3">
        <f t="shared" si="15"/>
        <v>0</v>
      </c>
      <c r="AF357" s="10" t="e">
        <f t="shared" si="16"/>
        <v>#N/A</v>
      </c>
      <c r="AG357" s="3" t="str">
        <f t="shared" si="17"/>
        <v/>
      </c>
    </row>
    <row r="358" spans="1:33" x14ac:dyDescent="0.25">
      <c r="A358" s="7"/>
      <c r="B358" s="8"/>
      <c r="C358" s="3"/>
      <c r="D358" s="3"/>
      <c r="E358" s="3" t="e">
        <f>VLOOKUP(D358,VIAJES!$D:$E,2,FALSE)</f>
        <v>#N/A</v>
      </c>
      <c r="F358" s="9" t="e">
        <f>VLOOKUP(D358,VIAJES!$D:$F,3,FALSE)</f>
        <v>#N/A</v>
      </c>
      <c r="G358" s="9" t="e">
        <f>VLOOKUP(D358,VIAJES!$D:$G,4,FALSE)</f>
        <v>#N/A</v>
      </c>
      <c r="H358" s="3" t="e">
        <f>VLOOKUP(D358,VIAJES!$D:$H,5,FALSE)</f>
        <v>#N/A</v>
      </c>
      <c r="S358" s="3">
        <f>IFERROR(INDEX(EVENTOS!$D:$D,MATCH(SCORE!S$2&amp;" "&amp;SCORE!$D358,EVENTOS!$F:$F,0)),0)</f>
        <v>0</v>
      </c>
      <c r="T358" s="3">
        <f>IFERROR(INDEX(EVENTOS!$D:$D,MATCH(SCORE!T$2&amp;" "&amp;SCORE!$D358,EVENTOS!$F:$F,0)),0)</f>
        <v>0</v>
      </c>
      <c r="U358" s="3">
        <f>IFERROR(INDEX(EVENTOS!$D:$D,MATCH(SCORE!U$2&amp;" "&amp;SCORE!$D358,EVENTOS!$F:$F,0)),0)</f>
        <v>0</v>
      </c>
      <c r="V358" s="3">
        <f>IFERROR(INDEX(EVENTOS!$D:$D,MATCH(SCORE!V$2&amp;" "&amp;SCORE!$D358,EVENTOS!$F:$F,0)),0)</f>
        <v>0</v>
      </c>
      <c r="W358" s="3">
        <f>IFERROR(INDEX(EVENTOS!$D:$D,MATCH(SCORE!W$2&amp;" "&amp;SCORE!$D358,EVENTOS!$F:$F,0)),0)</f>
        <v>0</v>
      </c>
      <c r="X358" s="3">
        <f>IFERROR(INDEX(EVENTOS!$D:$D,MATCH(SCORE!X$2&amp;" "&amp;SCORE!$D358,EVENTOS!$F:$F,0)),0)</f>
        <v>0</v>
      </c>
      <c r="Y358" s="3">
        <f>SUMIFS(EVENTOS!$D:$D, EVENTOS!$B:$B, D358, EVENTOS!$E:$E, "*GirAlto*")</f>
        <v>0</v>
      </c>
      <c r="Z358" s="3">
        <f>SUMIFS(EVENTOS!$D:$D, EVENTOS!$B:$B, D358, EVENTOS!$E:$E, "*GirMed*")</f>
        <v>0</v>
      </c>
      <c r="AA358" s="3">
        <f>SUMIFS(EVENTOS!$D:$D, EVENTOS!$B:$B, D358, EVENTOS!$E:$E, "*GirBajo*")</f>
        <v>0</v>
      </c>
      <c r="AB358" s="3">
        <f>IFERROR(INDEX(EVENTOS!$D:$D,MATCH(SCORE!AB$2&amp;" "&amp;SCORE!$D358,EVENTOS!$F:$F,0)),0)</f>
        <v>0</v>
      </c>
      <c r="AC358" s="3">
        <f>IFERROR(INDEX(EVENTOS!$D:$D,MATCH(SCORE!AC$2&amp;" "&amp;SCORE!$D358,EVENTOS!$F:$F,0)),0)</f>
        <v>0</v>
      </c>
      <c r="AD358" s="3">
        <f>IFERROR(INDEX(EVENTOS!$D:$D,MATCH(SCORE!AD$2&amp;" "&amp;SCORE!$D358,EVENTOS!$F:$F,0)),0)</f>
        <v>0</v>
      </c>
      <c r="AE358" s="3">
        <f t="shared" si="15"/>
        <v>0</v>
      </c>
      <c r="AF358" s="10" t="e">
        <f t="shared" si="16"/>
        <v>#N/A</v>
      </c>
      <c r="AG358" s="3" t="str">
        <f t="shared" si="17"/>
        <v/>
      </c>
    </row>
    <row r="359" spans="1:33" x14ac:dyDescent="0.25">
      <c r="A359" s="7"/>
      <c r="B359" s="8"/>
      <c r="C359" s="3"/>
      <c r="D359" s="3"/>
      <c r="E359" s="3" t="e">
        <f>VLOOKUP(D359,VIAJES!$D:$E,2,FALSE)</f>
        <v>#N/A</v>
      </c>
      <c r="F359" s="9" t="e">
        <f>VLOOKUP(D359,VIAJES!$D:$F,3,FALSE)</f>
        <v>#N/A</v>
      </c>
      <c r="G359" s="9" t="e">
        <f>VLOOKUP(D359,VIAJES!$D:$G,4,FALSE)</f>
        <v>#N/A</v>
      </c>
      <c r="H359" s="3" t="e">
        <f>VLOOKUP(D359,VIAJES!$D:$H,5,FALSE)</f>
        <v>#N/A</v>
      </c>
      <c r="S359" s="3">
        <f>IFERROR(INDEX(EVENTOS!$D:$D,MATCH(SCORE!S$2&amp;" "&amp;SCORE!$D359,EVENTOS!$F:$F,0)),0)</f>
        <v>0</v>
      </c>
      <c r="T359" s="3">
        <f>IFERROR(INDEX(EVENTOS!$D:$D,MATCH(SCORE!T$2&amp;" "&amp;SCORE!$D359,EVENTOS!$F:$F,0)),0)</f>
        <v>0</v>
      </c>
      <c r="U359" s="3">
        <f>IFERROR(INDEX(EVENTOS!$D:$D,MATCH(SCORE!U$2&amp;" "&amp;SCORE!$D359,EVENTOS!$F:$F,0)),0)</f>
        <v>0</v>
      </c>
      <c r="V359" s="3">
        <f>IFERROR(INDEX(EVENTOS!$D:$D,MATCH(SCORE!V$2&amp;" "&amp;SCORE!$D359,EVENTOS!$F:$F,0)),0)</f>
        <v>0</v>
      </c>
      <c r="W359" s="3">
        <f>IFERROR(INDEX(EVENTOS!$D:$D,MATCH(SCORE!W$2&amp;" "&amp;SCORE!$D359,EVENTOS!$F:$F,0)),0)</f>
        <v>0</v>
      </c>
      <c r="X359" s="3">
        <f>IFERROR(INDEX(EVENTOS!$D:$D,MATCH(SCORE!X$2&amp;" "&amp;SCORE!$D359,EVENTOS!$F:$F,0)),0)</f>
        <v>0</v>
      </c>
      <c r="Y359" s="3">
        <f>SUMIFS(EVENTOS!$D:$D, EVENTOS!$B:$B, D359, EVENTOS!$E:$E, "*GirAlto*")</f>
        <v>0</v>
      </c>
      <c r="Z359" s="3">
        <f>SUMIFS(EVENTOS!$D:$D, EVENTOS!$B:$B, D359, EVENTOS!$E:$E, "*GirMed*")</f>
        <v>0</v>
      </c>
      <c r="AA359" s="3">
        <f>SUMIFS(EVENTOS!$D:$D, EVENTOS!$B:$B, D359, EVENTOS!$E:$E, "*GirBajo*")</f>
        <v>0</v>
      </c>
      <c r="AB359" s="3">
        <f>IFERROR(INDEX(EVENTOS!$D:$D,MATCH(SCORE!AB$2&amp;" "&amp;SCORE!$D359,EVENTOS!$F:$F,0)),0)</f>
        <v>0</v>
      </c>
      <c r="AC359" s="3">
        <f>IFERROR(INDEX(EVENTOS!$D:$D,MATCH(SCORE!AC$2&amp;" "&amp;SCORE!$D359,EVENTOS!$F:$F,0)),0)</f>
        <v>0</v>
      </c>
      <c r="AD359" s="3">
        <f>IFERROR(INDEX(EVENTOS!$D:$D,MATCH(SCORE!AD$2&amp;" "&amp;SCORE!$D359,EVENTOS!$F:$F,0)),0)</f>
        <v>0</v>
      </c>
      <c r="AE359" s="3">
        <f t="shared" si="15"/>
        <v>0</v>
      </c>
      <c r="AF359" s="10" t="e">
        <f t="shared" si="16"/>
        <v>#N/A</v>
      </c>
      <c r="AG359" s="3" t="str">
        <f t="shared" si="17"/>
        <v/>
      </c>
    </row>
    <row r="360" spans="1:33" x14ac:dyDescent="0.25">
      <c r="A360" s="7"/>
      <c r="B360" s="8"/>
      <c r="C360" s="3"/>
      <c r="D360" s="3"/>
      <c r="E360" s="3" t="e">
        <f>VLOOKUP(D360,VIAJES!$D:$E,2,FALSE)</f>
        <v>#N/A</v>
      </c>
      <c r="F360" s="9" t="e">
        <f>VLOOKUP(D360,VIAJES!$D:$F,3,FALSE)</f>
        <v>#N/A</v>
      </c>
      <c r="G360" s="9" t="e">
        <f>VLOOKUP(D360,VIAJES!$D:$G,4,FALSE)</f>
        <v>#N/A</v>
      </c>
      <c r="H360" s="3" t="e">
        <f>VLOOKUP(D360,VIAJES!$D:$H,5,FALSE)</f>
        <v>#N/A</v>
      </c>
      <c r="S360" s="3">
        <f>IFERROR(INDEX(EVENTOS!$D:$D,MATCH(SCORE!S$2&amp;" "&amp;SCORE!$D360,EVENTOS!$F:$F,0)),0)</f>
        <v>0</v>
      </c>
      <c r="T360" s="3">
        <f>IFERROR(INDEX(EVENTOS!$D:$D,MATCH(SCORE!T$2&amp;" "&amp;SCORE!$D360,EVENTOS!$F:$F,0)),0)</f>
        <v>0</v>
      </c>
      <c r="U360" s="3">
        <f>IFERROR(INDEX(EVENTOS!$D:$D,MATCH(SCORE!U$2&amp;" "&amp;SCORE!$D360,EVENTOS!$F:$F,0)),0)</f>
        <v>0</v>
      </c>
      <c r="V360" s="3">
        <f>IFERROR(INDEX(EVENTOS!$D:$D,MATCH(SCORE!V$2&amp;" "&amp;SCORE!$D360,EVENTOS!$F:$F,0)),0)</f>
        <v>0</v>
      </c>
      <c r="W360" s="3">
        <f>IFERROR(INDEX(EVENTOS!$D:$D,MATCH(SCORE!W$2&amp;" "&amp;SCORE!$D360,EVENTOS!$F:$F,0)),0)</f>
        <v>0</v>
      </c>
      <c r="X360" s="3">
        <f>IFERROR(INDEX(EVENTOS!$D:$D,MATCH(SCORE!X$2&amp;" "&amp;SCORE!$D360,EVENTOS!$F:$F,0)),0)</f>
        <v>0</v>
      </c>
      <c r="Y360" s="3">
        <f>SUMIFS(EVENTOS!$D:$D, EVENTOS!$B:$B, D360, EVENTOS!$E:$E, "*GirAlto*")</f>
        <v>0</v>
      </c>
      <c r="Z360" s="3">
        <f>SUMIFS(EVENTOS!$D:$D, EVENTOS!$B:$B, D360, EVENTOS!$E:$E, "*GirMed*")</f>
        <v>0</v>
      </c>
      <c r="AA360" s="3">
        <f>SUMIFS(EVENTOS!$D:$D, EVENTOS!$B:$B, D360, EVENTOS!$E:$E, "*GirBajo*")</f>
        <v>0</v>
      </c>
      <c r="AB360" s="3">
        <f>IFERROR(INDEX(EVENTOS!$D:$D,MATCH(SCORE!AB$2&amp;" "&amp;SCORE!$D360,EVENTOS!$F:$F,0)),0)</f>
        <v>0</v>
      </c>
      <c r="AC360" s="3">
        <f>IFERROR(INDEX(EVENTOS!$D:$D,MATCH(SCORE!AC$2&amp;" "&amp;SCORE!$D360,EVENTOS!$F:$F,0)),0)</f>
        <v>0</v>
      </c>
      <c r="AD360" s="3">
        <f>IFERROR(INDEX(EVENTOS!$D:$D,MATCH(SCORE!AD$2&amp;" "&amp;SCORE!$D360,EVENTOS!$F:$F,0)),0)</f>
        <v>0</v>
      </c>
      <c r="AE360" s="3">
        <f t="shared" si="15"/>
        <v>0</v>
      </c>
      <c r="AF360" s="10" t="e">
        <f t="shared" si="16"/>
        <v>#N/A</v>
      </c>
      <c r="AG360" s="3" t="str">
        <f t="shared" si="17"/>
        <v/>
      </c>
    </row>
    <row r="361" spans="1:33" x14ac:dyDescent="0.25">
      <c r="A361" s="7"/>
      <c r="B361" s="8"/>
      <c r="C361" s="3"/>
      <c r="D361" s="3"/>
      <c r="E361" s="3" t="e">
        <f>VLOOKUP(D361,VIAJES!$D:$E,2,FALSE)</f>
        <v>#N/A</v>
      </c>
      <c r="F361" s="9" t="e">
        <f>VLOOKUP(D361,VIAJES!$D:$F,3,FALSE)</f>
        <v>#N/A</v>
      </c>
      <c r="G361" s="9" t="e">
        <f>VLOOKUP(D361,VIAJES!$D:$G,4,FALSE)</f>
        <v>#N/A</v>
      </c>
      <c r="H361" s="3" t="e">
        <f>VLOOKUP(D361,VIAJES!$D:$H,5,FALSE)</f>
        <v>#N/A</v>
      </c>
      <c r="S361" s="3">
        <f>IFERROR(INDEX(EVENTOS!$D:$D,MATCH(SCORE!S$2&amp;" "&amp;SCORE!$D361,EVENTOS!$F:$F,0)),0)</f>
        <v>0</v>
      </c>
      <c r="T361" s="3">
        <f>IFERROR(INDEX(EVENTOS!$D:$D,MATCH(SCORE!T$2&amp;" "&amp;SCORE!$D361,EVENTOS!$F:$F,0)),0)</f>
        <v>0</v>
      </c>
      <c r="U361" s="3">
        <f>IFERROR(INDEX(EVENTOS!$D:$D,MATCH(SCORE!U$2&amp;" "&amp;SCORE!$D361,EVENTOS!$F:$F,0)),0)</f>
        <v>0</v>
      </c>
      <c r="V361" s="3">
        <f>IFERROR(INDEX(EVENTOS!$D:$D,MATCH(SCORE!V$2&amp;" "&amp;SCORE!$D361,EVENTOS!$F:$F,0)),0)</f>
        <v>0</v>
      </c>
      <c r="W361" s="3">
        <f>IFERROR(INDEX(EVENTOS!$D:$D,MATCH(SCORE!W$2&amp;" "&amp;SCORE!$D361,EVENTOS!$F:$F,0)),0)</f>
        <v>0</v>
      </c>
      <c r="X361" s="3">
        <f>IFERROR(INDEX(EVENTOS!$D:$D,MATCH(SCORE!X$2&amp;" "&amp;SCORE!$D361,EVENTOS!$F:$F,0)),0)</f>
        <v>0</v>
      </c>
      <c r="Y361" s="3">
        <f>SUMIFS(EVENTOS!$D:$D, EVENTOS!$B:$B, D361, EVENTOS!$E:$E, "*GirAlto*")</f>
        <v>0</v>
      </c>
      <c r="Z361" s="3">
        <f>SUMIFS(EVENTOS!$D:$D, EVENTOS!$B:$B, D361, EVENTOS!$E:$E, "*GirMed*")</f>
        <v>0</v>
      </c>
      <c r="AA361" s="3">
        <f>SUMIFS(EVENTOS!$D:$D, EVENTOS!$B:$B, D361, EVENTOS!$E:$E, "*GirBajo*")</f>
        <v>0</v>
      </c>
      <c r="AB361" s="3">
        <f>IFERROR(INDEX(EVENTOS!$D:$D,MATCH(SCORE!AB$2&amp;" "&amp;SCORE!$D361,EVENTOS!$F:$F,0)),0)</f>
        <v>0</v>
      </c>
      <c r="AC361" s="3">
        <f>IFERROR(INDEX(EVENTOS!$D:$D,MATCH(SCORE!AC$2&amp;" "&amp;SCORE!$D361,EVENTOS!$F:$F,0)),0)</f>
        <v>0</v>
      </c>
      <c r="AD361" s="3">
        <f>IFERROR(INDEX(EVENTOS!$D:$D,MATCH(SCORE!AD$2&amp;" "&amp;SCORE!$D361,EVENTOS!$F:$F,0)),0)</f>
        <v>0</v>
      </c>
      <c r="AE361" s="3">
        <f t="shared" si="15"/>
        <v>0</v>
      </c>
      <c r="AF361" s="10" t="e">
        <f t="shared" si="16"/>
        <v>#N/A</v>
      </c>
      <c r="AG361" s="3" t="str">
        <f t="shared" si="17"/>
        <v/>
      </c>
    </row>
    <row r="362" spans="1:33" x14ac:dyDescent="0.25">
      <c r="A362" s="7"/>
      <c r="B362" s="8"/>
      <c r="C362" s="3"/>
      <c r="D362" s="3"/>
      <c r="E362" s="3" t="e">
        <f>VLOOKUP(D362,VIAJES!$D:$E,2,FALSE)</f>
        <v>#N/A</v>
      </c>
      <c r="F362" s="9" t="e">
        <f>VLOOKUP(D362,VIAJES!$D:$F,3,FALSE)</f>
        <v>#N/A</v>
      </c>
      <c r="G362" s="9" t="e">
        <f>VLOOKUP(D362,VIAJES!$D:$G,4,FALSE)</f>
        <v>#N/A</v>
      </c>
      <c r="H362" s="3" t="e">
        <f>VLOOKUP(D362,VIAJES!$D:$H,5,FALSE)</f>
        <v>#N/A</v>
      </c>
      <c r="S362" s="3">
        <f>IFERROR(INDEX(EVENTOS!$D:$D,MATCH(SCORE!S$2&amp;" "&amp;SCORE!$D362,EVENTOS!$F:$F,0)),0)</f>
        <v>0</v>
      </c>
      <c r="T362" s="3">
        <f>IFERROR(INDEX(EVENTOS!$D:$D,MATCH(SCORE!T$2&amp;" "&amp;SCORE!$D362,EVENTOS!$F:$F,0)),0)</f>
        <v>0</v>
      </c>
      <c r="U362" s="3">
        <f>IFERROR(INDEX(EVENTOS!$D:$D,MATCH(SCORE!U$2&amp;" "&amp;SCORE!$D362,EVENTOS!$F:$F,0)),0)</f>
        <v>0</v>
      </c>
      <c r="V362" s="3">
        <f>IFERROR(INDEX(EVENTOS!$D:$D,MATCH(SCORE!V$2&amp;" "&amp;SCORE!$D362,EVENTOS!$F:$F,0)),0)</f>
        <v>0</v>
      </c>
      <c r="W362" s="3">
        <f>IFERROR(INDEX(EVENTOS!$D:$D,MATCH(SCORE!W$2&amp;" "&amp;SCORE!$D362,EVENTOS!$F:$F,0)),0)</f>
        <v>0</v>
      </c>
      <c r="X362" s="3">
        <f>IFERROR(INDEX(EVENTOS!$D:$D,MATCH(SCORE!X$2&amp;" "&amp;SCORE!$D362,EVENTOS!$F:$F,0)),0)</f>
        <v>0</v>
      </c>
      <c r="Y362" s="3">
        <f>SUMIFS(EVENTOS!$D:$D, EVENTOS!$B:$B, D362, EVENTOS!$E:$E, "*GirAlto*")</f>
        <v>0</v>
      </c>
      <c r="Z362" s="3">
        <f>SUMIFS(EVENTOS!$D:$D, EVENTOS!$B:$B, D362, EVENTOS!$E:$E, "*GirMed*")</f>
        <v>0</v>
      </c>
      <c r="AA362" s="3">
        <f>SUMIFS(EVENTOS!$D:$D, EVENTOS!$B:$B, D362, EVENTOS!$E:$E, "*GirBajo*")</f>
        <v>0</v>
      </c>
      <c r="AB362" s="3">
        <f>IFERROR(INDEX(EVENTOS!$D:$D,MATCH(SCORE!AB$2&amp;" "&amp;SCORE!$D362,EVENTOS!$F:$F,0)),0)</f>
        <v>0</v>
      </c>
      <c r="AC362" s="3">
        <f>IFERROR(INDEX(EVENTOS!$D:$D,MATCH(SCORE!AC$2&amp;" "&amp;SCORE!$D362,EVENTOS!$F:$F,0)),0)</f>
        <v>0</v>
      </c>
      <c r="AD362" s="3">
        <f>IFERROR(INDEX(EVENTOS!$D:$D,MATCH(SCORE!AD$2&amp;" "&amp;SCORE!$D362,EVENTOS!$F:$F,0)),0)</f>
        <v>0</v>
      </c>
      <c r="AE362" s="3">
        <f t="shared" si="15"/>
        <v>0</v>
      </c>
      <c r="AF362" s="10" t="e">
        <f t="shared" si="16"/>
        <v>#N/A</v>
      </c>
      <c r="AG362" s="3" t="str">
        <f t="shared" si="17"/>
        <v/>
      </c>
    </row>
    <row r="363" spans="1:33" x14ac:dyDescent="0.25">
      <c r="A363" s="7"/>
      <c r="B363" s="8"/>
      <c r="C363" s="3"/>
      <c r="D363" s="3"/>
      <c r="E363" s="3" t="e">
        <f>VLOOKUP(D363,VIAJES!$D:$E,2,FALSE)</f>
        <v>#N/A</v>
      </c>
      <c r="F363" s="9" t="e">
        <f>VLOOKUP(D363,VIAJES!$D:$F,3,FALSE)</f>
        <v>#N/A</v>
      </c>
      <c r="G363" s="9" t="e">
        <f>VLOOKUP(D363,VIAJES!$D:$G,4,FALSE)</f>
        <v>#N/A</v>
      </c>
      <c r="H363" s="3" t="e">
        <f>VLOOKUP(D363,VIAJES!$D:$H,5,FALSE)</f>
        <v>#N/A</v>
      </c>
      <c r="S363" s="3">
        <f>IFERROR(INDEX(EVENTOS!$D:$D,MATCH(SCORE!S$2&amp;" "&amp;SCORE!$D363,EVENTOS!$F:$F,0)),0)</f>
        <v>0</v>
      </c>
      <c r="T363" s="3">
        <f>IFERROR(INDEX(EVENTOS!$D:$D,MATCH(SCORE!T$2&amp;" "&amp;SCORE!$D363,EVENTOS!$F:$F,0)),0)</f>
        <v>0</v>
      </c>
      <c r="U363" s="3">
        <f>IFERROR(INDEX(EVENTOS!$D:$D,MATCH(SCORE!U$2&amp;" "&amp;SCORE!$D363,EVENTOS!$F:$F,0)),0)</f>
        <v>0</v>
      </c>
      <c r="V363" s="3">
        <f>IFERROR(INDEX(EVENTOS!$D:$D,MATCH(SCORE!V$2&amp;" "&amp;SCORE!$D363,EVENTOS!$F:$F,0)),0)</f>
        <v>0</v>
      </c>
      <c r="W363" s="3">
        <f>IFERROR(INDEX(EVENTOS!$D:$D,MATCH(SCORE!W$2&amp;" "&amp;SCORE!$D363,EVENTOS!$F:$F,0)),0)</f>
        <v>0</v>
      </c>
      <c r="X363" s="3">
        <f>IFERROR(INDEX(EVENTOS!$D:$D,MATCH(SCORE!X$2&amp;" "&amp;SCORE!$D363,EVENTOS!$F:$F,0)),0)</f>
        <v>0</v>
      </c>
      <c r="Y363" s="3">
        <f>SUMIFS(EVENTOS!$D:$D, EVENTOS!$B:$B, D363, EVENTOS!$E:$E, "*GirAlto*")</f>
        <v>0</v>
      </c>
      <c r="Z363" s="3">
        <f>SUMIFS(EVENTOS!$D:$D, EVENTOS!$B:$B, D363, EVENTOS!$E:$E, "*GirMed*")</f>
        <v>0</v>
      </c>
      <c r="AA363" s="3">
        <f>SUMIFS(EVENTOS!$D:$D, EVENTOS!$B:$B, D363, EVENTOS!$E:$E, "*GirBajo*")</f>
        <v>0</v>
      </c>
      <c r="AB363" s="3">
        <f>IFERROR(INDEX(EVENTOS!$D:$D,MATCH(SCORE!AB$2&amp;" "&amp;SCORE!$D363,EVENTOS!$F:$F,0)),0)</f>
        <v>0</v>
      </c>
      <c r="AC363" s="3">
        <f>IFERROR(INDEX(EVENTOS!$D:$D,MATCH(SCORE!AC$2&amp;" "&amp;SCORE!$D363,EVENTOS!$F:$F,0)),0)</f>
        <v>0</v>
      </c>
      <c r="AD363" s="3">
        <f>IFERROR(INDEX(EVENTOS!$D:$D,MATCH(SCORE!AD$2&amp;" "&amp;SCORE!$D363,EVENTOS!$F:$F,0)),0)</f>
        <v>0</v>
      </c>
      <c r="AE363" s="3">
        <f t="shared" si="15"/>
        <v>0</v>
      </c>
      <c r="AF363" s="10" t="e">
        <f t="shared" si="16"/>
        <v>#N/A</v>
      </c>
      <c r="AG363" s="3" t="str">
        <f t="shared" si="17"/>
        <v/>
      </c>
    </row>
    <row r="364" spans="1:33" x14ac:dyDescent="0.25">
      <c r="A364" s="7"/>
      <c r="B364" s="8"/>
      <c r="C364" s="3"/>
      <c r="D364" s="3"/>
      <c r="E364" s="3" t="e">
        <f>VLOOKUP(D364,VIAJES!$D:$E,2,FALSE)</f>
        <v>#N/A</v>
      </c>
      <c r="F364" s="9" t="e">
        <f>VLOOKUP(D364,VIAJES!$D:$F,3,FALSE)</f>
        <v>#N/A</v>
      </c>
      <c r="G364" s="9" t="e">
        <f>VLOOKUP(D364,VIAJES!$D:$G,4,FALSE)</f>
        <v>#N/A</v>
      </c>
      <c r="H364" s="3" t="e">
        <f>VLOOKUP(D364,VIAJES!$D:$H,5,FALSE)</f>
        <v>#N/A</v>
      </c>
      <c r="S364" s="3">
        <f>IFERROR(INDEX(EVENTOS!$D:$D,MATCH(SCORE!S$2&amp;" "&amp;SCORE!$D364,EVENTOS!$F:$F,0)),0)</f>
        <v>0</v>
      </c>
      <c r="T364" s="3">
        <f>IFERROR(INDEX(EVENTOS!$D:$D,MATCH(SCORE!T$2&amp;" "&amp;SCORE!$D364,EVENTOS!$F:$F,0)),0)</f>
        <v>0</v>
      </c>
      <c r="U364" s="3">
        <f>IFERROR(INDEX(EVENTOS!$D:$D,MATCH(SCORE!U$2&amp;" "&amp;SCORE!$D364,EVENTOS!$F:$F,0)),0)</f>
        <v>0</v>
      </c>
      <c r="V364" s="3">
        <f>IFERROR(INDEX(EVENTOS!$D:$D,MATCH(SCORE!V$2&amp;" "&amp;SCORE!$D364,EVENTOS!$F:$F,0)),0)</f>
        <v>0</v>
      </c>
      <c r="W364" s="3">
        <f>IFERROR(INDEX(EVENTOS!$D:$D,MATCH(SCORE!W$2&amp;" "&amp;SCORE!$D364,EVENTOS!$F:$F,0)),0)</f>
        <v>0</v>
      </c>
      <c r="X364" s="3">
        <f>IFERROR(INDEX(EVENTOS!$D:$D,MATCH(SCORE!X$2&amp;" "&amp;SCORE!$D364,EVENTOS!$F:$F,0)),0)</f>
        <v>0</v>
      </c>
      <c r="Y364" s="3">
        <f>SUMIFS(EVENTOS!$D:$D, EVENTOS!$B:$B, D364, EVENTOS!$E:$E, "*GirAlto*")</f>
        <v>0</v>
      </c>
      <c r="Z364" s="3">
        <f>SUMIFS(EVENTOS!$D:$D, EVENTOS!$B:$B, D364, EVENTOS!$E:$E, "*GirMed*")</f>
        <v>0</v>
      </c>
      <c r="AA364" s="3">
        <f>SUMIFS(EVENTOS!$D:$D, EVENTOS!$B:$B, D364, EVENTOS!$E:$E, "*GirBajo*")</f>
        <v>0</v>
      </c>
      <c r="AB364" s="3">
        <f>IFERROR(INDEX(EVENTOS!$D:$D,MATCH(SCORE!AB$2&amp;" "&amp;SCORE!$D364,EVENTOS!$F:$F,0)),0)</f>
        <v>0</v>
      </c>
      <c r="AC364" s="3">
        <f>IFERROR(INDEX(EVENTOS!$D:$D,MATCH(SCORE!AC$2&amp;" "&amp;SCORE!$D364,EVENTOS!$F:$F,0)),0)</f>
        <v>0</v>
      </c>
      <c r="AD364" s="3">
        <f>IFERROR(INDEX(EVENTOS!$D:$D,MATCH(SCORE!AD$2&amp;" "&amp;SCORE!$D364,EVENTOS!$F:$F,0)),0)</f>
        <v>0</v>
      </c>
      <c r="AE364" s="3">
        <f t="shared" si="15"/>
        <v>0</v>
      </c>
      <c r="AF364" s="10" t="e">
        <f t="shared" si="16"/>
        <v>#N/A</v>
      </c>
      <c r="AG364" s="3" t="str">
        <f t="shared" si="17"/>
        <v/>
      </c>
    </row>
    <row r="365" spans="1:33" x14ac:dyDescent="0.25">
      <c r="A365" s="7"/>
      <c r="B365" s="8"/>
      <c r="C365" s="3"/>
      <c r="D365" s="3"/>
      <c r="E365" s="3" t="e">
        <f>VLOOKUP(D365,VIAJES!$D:$E,2,FALSE)</f>
        <v>#N/A</v>
      </c>
      <c r="F365" s="9" t="e">
        <f>VLOOKUP(D365,VIAJES!$D:$F,3,FALSE)</f>
        <v>#N/A</v>
      </c>
      <c r="G365" s="9" t="e">
        <f>VLOOKUP(D365,VIAJES!$D:$G,4,FALSE)</f>
        <v>#N/A</v>
      </c>
      <c r="H365" s="3" t="e">
        <f>VLOOKUP(D365,VIAJES!$D:$H,5,FALSE)</f>
        <v>#N/A</v>
      </c>
      <c r="S365" s="3">
        <f>IFERROR(INDEX(EVENTOS!$D:$D,MATCH(SCORE!S$2&amp;" "&amp;SCORE!$D365,EVENTOS!$F:$F,0)),0)</f>
        <v>0</v>
      </c>
      <c r="T365" s="3">
        <f>IFERROR(INDEX(EVENTOS!$D:$D,MATCH(SCORE!T$2&amp;" "&amp;SCORE!$D365,EVENTOS!$F:$F,0)),0)</f>
        <v>0</v>
      </c>
      <c r="U365" s="3">
        <f>IFERROR(INDEX(EVENTOS!$D:$D,MATCH(SCORE!U$2&amp;" "&amp;SCORE!$D365,EVENTOS!$F:$F,0)),0)</f>
        <v>0</v>
      </c>
      <c r="V365" s="3">
        <f>IFERROR(INDEX(EVENTOS!$D:$D,MATCH(SCORE!V$2&amp;" "&amp;SCORE!$D365,EVENTOS!$F:$F,0)),0)</f>
        <v>0</v>
      </c>
      <c r="W365" s="3">
        <f>IFERROR(INDEX(EVENTOS!$D:$D,MATCH(SCORE!W$2&amp;" "&amp;SCORE!$D365,EVENTOS!$F:$F,0)),0)</f>
        <v>0</v>
      </c>
      <c r="X365" s="3">
        <f>IFERROR(INDEX(EVENTOS!$D:$D,MATCH(SCORE!X$2&amp;" "&amp;SCORE!$D365,EVENTOS!$F:$F,0)),0)</f>
        <v>0</v>
      </c>
      <c r="Y365" s="3">
        <f>SUMIFS(EVENTOS!$D:$D, EVENTOS!$B:$B, D365, EVENTOS!$E:$E, "*GirAlto*")</f>
        <v>0</v>
      </c>
      <c r="Z365" s="3">
        <f>SUMIFS(EVENTOS!$D:$D, EVENTOS!$B:$B, D365, EVENTOS!$E:$E, "*GirMed*")</f>
        <v>0</v>
      </c>
      <c r="AA365" s="3">
        <f>SUMIFS(EVENTOS!$D:$D, EVENTOS!$B:$B, D365, EVENTOS!$E:$E, "*GirBajo*")</f>
        <v>0</v>
      </c>
      <c r="AB365" s="3">
        <f>IFERROR(INDEX(EVENTOS!$D:$D,MATCH(SCORE!AB$2&amp;" "&amp;SCORE!$D365,EVENTOS!$F:$F,0)),0)</f>
        <v>0</v>
      </c>
      <c r="AC365" s="3">
        <f>IFERROR(INDEX(EVENTOS!$D:$D,MATCH(SCORE!AC$2&amp;" "&amp;SCORE!$D365,EVENTOS!$F:$F,0)),0)</f>
        <v>0</v>
      </c>
      <c r="AD365" s="3">
        <f>IFERROR(INDEX(EVENTOS!$D:$D,MATCH(SCORE!AD$2&amp;" "&amp;SCORE!$D365,EVENTOS!$F:$F,0)),0)</f>
        <v>0</v>
      </c>
      <c r="AE365" s="3">
        <f t="shared" si="15"/>
        <v>0</v>
      </c>
      <c r="AF365" s="10" t="e">
        <f t="shared" si="16"/>
        <v>#N/A</v>
      </c>
      <c r="AG365" s="3" t="str">
        <f t="shared" si="17"/>
        <v/>
      </c>
    </row>
    <row r="366" spans="1:33" x14ac:dyDescent="0.25">
      <c r="A366" s="7"/>
      <c r="B366" s="8"/>
      <c r="C366" s="3"/>
      <c r="D366" s="3"/>
      <c r="E366" s="3" t="e">
        <f>VLOOKUP(D366,VIAJES!$D:$E,2,FALSE)</f>
        <v>#N/A</v>
      </c>
      <c r="F366" s="9" t="e">
        <f>VLOOKUP(D366,VIAJES!$D:$F,3,FALSE)</f>
        <v>#N/A</v>
      </c>
      <c r="G366" s="9" t="e">
        <f>VLOOKUP(D366,VIAJES!$D:$G,4,FALSE)</f>
        <v>#N/A</v>
      </c>
      <c r="H366" s="3" t="e">
        <f>VLOOKUP(D366,VIAJES!$D:$H,5,FALSE)</f>
        <v>#N/A</v>
      </c>
      <c r="S366" s="3">
        <f>IFERROR(INDEX(EVENTOS!$D:$D,MATCH(SCORE!S$2&amp;" "&amp;SCORE!$D366,EVENTOS!$F:$F,0)),0)</f>
        <v>0</v>
      </c>
      <c r="T366" s="3">
        <f>IFERROR(INDEX(EVENTOS!$D:$D,MATCH(SCORE!T$2&amp;" "&amp;SCORE!$D366,EVENTOS!$F:$F,0)),0)</f>
        <v>0</v>
      </c>
      <c r="U366" s="3">
        <f>IFERROR(INDEX(EVENTOS!$D:$D,MATCH(SCORE!U$2&amp;" "&amp;SCORE!$D366,EVENTOS!$F:$F,0)),0)</f>
        <v>0</v>
      </c>
      <c r="V366" s="3">
        <f>IFERROR(INDEX(EVENTOS!$D:$D,MATCH(SCORE!V$2&amp;" "&amp;SCORE!$D366,EVENTOS!$F:$F,0)),0)</f>
        <v>0</v>
      </c>
      <c r="W366" s="3">
        <f>IFERROR(INDEX(EVENTOS!$D:$D,MATCH(SCORE!W$2&amp;" "&amp;SCORE!$D366,EVENTOS!$F:$F,0)),0)</f>
        <v>0</v>
      </c>
      <c r="X366" s="3">
        <f>IFERROR(INDEX(EVENTOS!$D:$D,MATCH(SCORE!X$2&amp;" "&amp;SCORE!$D366,EVENTOS!$F:$F,0)),0)</f>
        <v>0</v>
      </c>
      <c r="Y366" s="3">
        <f>SUMIFS(EVENTOS!$D:$D, EVENTOS!$B:$B, D366, EVENTOS!$E:$E, "*GirAlto*")</f>
        <v>0</v>
      </c>
      <c r="Z366" s="3">
        <f>SUMIFS(EVENTOS!$D:$D, EVENTOS!$B:$B, D366, EVENTOS!$E:$E, "*GirMed*")</f>
        <v>0</v>
      </c>
      <c r="AA366" s="3">
        <f>SUMIFS(EVENTOS!$D:$D, EVENTOS!$B:$B, D366, EVENTOS!$E:$E, "*GirBajo*")</f>
        <v>0</v>
      </c>
      <c r="AB366" s="3">
        <f>IFERROR(INDEX(EVENTOS!$D:$D,MATCH(SCORE!AB$2&amp;" "&amp;SCORE!$D366,EVENTOS!$F:$F,0)),0)</f>
        <v>0</v>
      </c>
      <c r="AC366" s="3">
        <f>IFERROR(INDEX(EVENTOS!$D:$D,MATCH(SCORE!AC$2&amp;" "&amp;SCORE!$D366,EVENTOS!$F:$F,0)),0)</f>
        <v>0</v>
      </c>
      <c r="AD366" s="3">
        <f>IFERROR(INDEX(EVENTOS!$D:$D,MATCH(SCORE!AD$2&amp;" "&amp;SCORE!$D366,EVENTOS!$F:$F,0)),0)</f>
        <v>0</v>
      </c>
      <c r="AE366" s="3">
        <f t="shared" si="15"/>
        <v>0</v>
      </c>
      <c r="AF366" s="10" t="e">
        <f t="shared" si="16"/>
        <v>#N/A</v>
      </c>
      <c r="AG366" s="3" t="str">
        <f t="shared" si="17"/>
        <v/>
      </c>
    </row>
    <row r="367" spans="1:33" x14ac:dyDescent="0.25">
      <c r="A367" s="7"/>
      <c r="B367" s="8"/>
      <c r="C367" s="3"/>
      <c r="D367" s="3"/>
      <c r="E367" s="3" t="e">
        <f>VLOOKUP(D367,VIAJES!$D:$E,2,FALSE)</f>
        <v>#N/A</v>
      </c>
      <c r="F367" s="9" t="e">
        <f>VLOOKUP(D367,VIAJES!$D:$F,3,FALSE)</f>
        <v>#N/A</v>
      </c>
      <c r="G367" s="9" t="e">
        <f>VLOOKUP(D367,VIAJES!$D:$G,4,FALSE)</f>
        <v>#N/A</v>
      </c>
      <c r="H367" s="3" t="e">
        <f>VLOOKUP(D367,VIAJES!$D:$H,5,FALSE)</f>
        <v>#N/A</v>
      </c>
      <c r="S367" s="3">
        <f>IFERROR(INDEX(EVENTOS!$D:$D,MATCH(SCORE!S$2&amp;" "&amp;SCORE!$D367,EVENTOS!$F:$F,0)),0)</f>
        <v>0</v>
      </c>
      <c r="T367" s="3">
        <f>IFERROR(INDEX(EVENTOS!$D:$D,MATCH(SCORE!T$2&amp;" "&amp;SCORE!$D367,EVENTOS!$F:$F,0)),0)</f>
        <v>0</v>
      </c>
      <c r="U367" s="3">
        <f>IFERROR(INDEX(EVENTOS!$D:$D,MATCH(SCORE!U$2&amp;" "&amp;SCORE!$D367,EVENTOS!$F:$F,0)),0)</f>
        <v>0</v>
      </c>
      <c r="V367" s="3">
        <f>IFERROR(INDEX(EVENTOS!$D:$D,MATCH(SCORE!V$2&amp;" "&amp;SCORE!$D367,EVENTOS!$F:$F,0)),0)</f>
        <v>0</v>
      </c>
      <c r="W367" s="3">
        <f>IFERROR(INDEX(EVENTOS!$D:$D,MATCH(SCORE!W$2&amp;" "&amp;SCORE!$D367,EVENTOS!$F:$F,0)),0)</f>
        <v>0</v>
      </c>
      <c r="X367" s="3">
        <f>IFERROR(INDEX(EVENTOS!$D:$D,MATCH(SCORE!X$2&amp;" "&amp;SCORE!$D367,EVENTOS!$F:$F,0)),0)</f>
        <v>0</v>
      </c>
      <c r="Y367" s="3">
        <f>SUMIFS(EVENTOS!$D:$D, EVENTOS!$B:$B, D367, EVENTOS!$E:$E, "*GirAlto*")</f>
        <v>0</v>
      </c>
      <c r="Z367" s="3">
        <f>SUMIFS(EVENTOS!$D:$D, EVENTOS!$B:$B, D367, EVENTOS!$E:$E, "*GirMed*")</f>
        <v>0</v>
      </c>
      <c r="AA367" s="3">
        <f>SUMIFS(EVENTOS!$D:$D, EVENTOS!$B:$B, D367, EVENTOS!$E:$E, "*GirBajo*")</f>
        <v>0</v>
      </c>
      <c r="AB367" s="3">
        <f>IFERROR(INDEX(EVENTOS!$D:$D,MATCH(SCORE!AB$2&amp;" "&amp;SCORE!$D367,EVENTOS!$F:$F,0)),0)</f>
        <v>0</v>
      </c>
      <c r="AC367" s="3">
        <f>IFERROR(INDEX(EVENTOS!$D:$D,MATCH(SCORE!AC$2&amp;" "&amp;SCORE!$D367,EVENTOS!$F:$F,0)),0)</f>
        <v>0</v>
      </c>
      <c r="AD367" s="3">
        <f>IFERROR(INDEX(EVENTOS!$D:$D,MATCH(SCORE!AD$2&amp;" "&amp;SCORE!$D367,EVENTOS!$F:$F,0)),0)</f>
        <v>0</v>
      </c>
      <c r="AE367" s="3">
        <f t="shared" si="15"/>
        <v>0</v>
      </c>
      <c r="AF367" s="10" t="e">
        <f t="shared" si="16"/>
        <v>#N/A</v>
      </c>
      <c r="AG367" s="3" t="str">
        <f t="shared" si="17"/>
        <v/>
      </c>
    </row>
    <row r="368" spans="1:33" x14ac:dyDescent="0.25">
      <c r="A368" s="7"/>
      <c r="B368" s="8"/>
      <c r="C368" s="3"/>
      <c r="D368" s="3"/>
      <c r="E368" s="3" t="e">
        <f>VLOOKUP(D368,VIAJES!$D:$E,2,FALSE)</f>
        <v>#N/A</v>
      </c>
      <c r="F368" s="9" t="e">
        <f>VLOOKUP(D368,VIAJES!$D:$F,3,FALSE)</f>
        <v>#N/A</v>
      </c>
      <c r="G368" s="9" t="e">
        <f>VLOOKUP(D368,VIAJES!$D:$G,4,FALSE)</f>
        <v>#N/A</v>
      </c>
      <c r="H368" s="3" t="e">
        <f>VLOOKUP(D368,VIAJES!$D:$H,5,FALSE)</f>
        <v>#N/A</v>
      </c>
      <c r="S368" s="3">
        <f>IFERROR(INDEX(EVENTOS!$D:$D,MATCH(SCORE!S$2&amp;" "&amp;SCORE!$D368,EVENTOS!$F:$F,0)),0)</f>
        <v>0</v>
      </c>
      <c r="T368" s="3">
        <f>IFERROR(INDEX(EVENTOS!$D:$D,MATCH(SCORE!T$2&amp;" "&amp;SCORE!$D368,EVENTOS!$F:$F,0)),0)</f>
        <v>0</v>
      </c>
      <c r="U368" s="3">
        <f>IFERROR(INDEX(EVENTOS!$D:$D,MATCH(SCORE!U$2&amp;" "&amp;SCORE!$D368,EVENTOS!$F:$F,0)),0)</f>
        <v>0</v>
      </c>
      <c r="V368" s="3">
        <f>IFERROR(INDEX(EVENTOS!$D:$D,MATCH(SCORE!V$2&amp;" "&amp;SCORE!$D368,EVENTOS!$F:$F,0)),0)</f>
        <v>0</v>
      </c>
      <c r="W368" s="3">
        <f>IFERROR(INDEX(EVENTOS!$D:$D,MATCH(SCORE!W$2&amp;" "&amp;SCORE!$D368,EVENTOS!$F:$F,0)),0)</f>
        <v>0</v>
      </c>
      <c r="X368" s="3">
        <f>IFERROR(INDEX(EVENTOS!$D:$D,MATCH(SCORE!X$2&amp;" "&amp;SCORE!$D368,EVENTOS!$F:$F,0)),0)</f>
        <v>0</v>
      </c>
      <c r="Y368" s="3">
        <f>SUMIFS(EVENTOS!$D:$D, EVENTOS!$B:$B, D368, EVENTOS!$E:$E, "*GirAlto*")</f>
        <v>0</v>
      </c>
      <c r="Z368" s="3">
        <f>SUMIFS(EVENTOS!$D:$D, EVENTOS!$B:$B, D368, EVENTOS!$E:$E, "*GirMed*")</f>
        <v>0</v>
      </c>
      <c r="AA368" s="3">
        <f>SUMIFS(EVENTOS!$D:$D, EVENTOS!$B:$B, D368, EVENTOS!$E:$E, "*GirBajo*")</f>
        <v>0</v>
      </c>
      <c r="AB368" s="3">
        <f>IFERROR(INDEX(EVENTOS!$D:$D,MATCH(SCORE!AB$2&amp;" "&amp;SCORE!$D368,EVENTOS!$F:$F,0)),0)</f>
        <v>0</v>
      </c>
      <c r="AC368" s="3">
        <f>IFERROR(INDEX(EVENTOS!$D:$D,MATCH(SCORE!AC$2&amp;" "&amp;SCORE!$D368,EVENTOS!$F:$F,0)),0)</f>
        <v>0</v>
      </c>
      <c r="AD368" s="3">
        <f>IFERROR(INDEX(EVENTOS!$D:$D,MATCH(SCORE!AD$2&amp;" "&amp;SCORE!$D368,EVENTOS!$F:$F,0)),0)</f>
        <v>0</v>
      </c>
      <c r="AE368" s="3">
        <f t="shared" si="15"/>
        <v>0</v>
      </c>
      <c r="AF368" s="10" t="e">
        <f t="shared" si="16"/>
        <v>#N/A</v>
      </c>
      <c r="AG368" s="3" t="str">
        <f t="shared" si="17"/>
        <v/>
      </c>
    </row>
    <row r="369" spans="1:33" x14ac:dyDescent="0.25">
      <c r="A369" s="7"/>
      <c r="B369" s="8"/>
      <c r="C369" s="3"/>
      <c r="D369" s="3"/>
      <c r="E369" s="3" t="e">
        <f>VLOOKUP(D369,VIAJES!$D:$E,2,FALSE)</f>
        <v>#N/A</v>
      </c>
      <c r="F369" s="9" t="e">
        <f>VLOOKUP(D369,VIAJES!$D:$F,3,FALSE)</f>
        <v>#N/A</v>
      </c>
      <c r="G369" s="9" t="e">
        <f>VLOOKUP(D369,VIAJES!$D:$G,4,FALSE)</f>
        <v>#N/A</v>
      </c>
      <c r="H369" s="3" t="e">
        <f>VLOOKUP(D369,VIAJES!$D:$H,5,FALSE)</f>
        <v>#N/A</v>
      </c>
      <c r="S369" s="3">
        <f>IFERROR(INDEX(EVENTOS!$D:$D,MATCH(SCORE!S$2&amp;" "&amp;SCORE!$D369,EVENTOS!$F:$F,0)),0)</f>
        <v>0</v>
      </c>
      <c r="T369" s="3">
        <f>IFERROR(INDEX(EVENTOS!$D:$D,MATCH(SCORE!T$2&amp;" "&amp;SCORE!$D369,EVENTOS!$F:$F,0)),0)</f>
        <v>0</v>
      </c>
      <c r="U369" s="3">
        <f>IFERROR(INDEX(EVENTOS!$D:$D,MATCH(SCORE!U$2&amp;" "&amp;SCORE!$D369,EVENTOS!$F:$F,0)),0)</f>
        <v>0</v>
      </c>
      <c r="V369" s="3">
        <f>IFERROR(INDEX(EVENTOS!$D:$D,MATCH(SCORE!V$2&amp;" "&amp;SCORE!$D369,EVENTOS!$F:$F,0)),0)</f>
        <v>0</v>
      </c>
      <c r="W369" s="3">
        <f>IFERROR(INDEX(EVENTOS!$D:$D,MATCH(SCORE!W$2&amp;" "&amp;SCORE!$D369,EVENTOS!$F:$F,0)),0)</f>
        <v>0</v>
      </c>
      <c r="X369" s="3">
        <f>IFERROR(INDEX(EVENTOS!$D:$D,MATCH(SCORE!X$2&amp;" "&amp;SCORE!$D369,EVENTOS!$F:$F,0)),0)</f>
        <v>0</v>
      </c>
      <c r="Y369" s="3">
        <f>SUMIFS(EVENTOS!$D:$D, EVENTOS!$B:$B, D369, EVENTOS!$E:$E, "*GirAlto*")</f>
        <v>0</v>
      </c>
      <c r="Z369" s="3">
        <f>SUMIFS(EVENTOS!$D:$D, EVENTOS!$B:$B, D369, EVENTOS!$E:$E, "*GirMed*")</f>
        <v>0</v>
      </c>
      <c r="AA369" s="3">
        <f>SUMIFS(EVENTOS!$D:$D, EVENTOS!$B:$B, D369, EVENTOS!$E:$E, "*GirBajo*")</f>
        <v>0</v>
      </c>
      <c r="AB369" s="3">
        <f>IFERROR(INDEX(EVENTOS!$D:$D,MATCH(SCORE!AB$2&amp;" "&amp;SCORE!$D369,EVENTOS!$F:$F,0)),0)</f>
        <v>0</v>
      </c>
      <c r="AC369" s="3">
        <f>IFERROR(INDEX(EVENTOS!$D:$D,MATCH(SCORE!AC$2&amp;" "&amp;SCORE!$D369,EVENTOS!$F:$F,0)),0)</f>
        <v>0</v>
      </c>
      <c r="AD369" s="3">
        <f>IFERROR(INDEX(EVENTOS!$D:$D,MATCH(SCORE!AD$2&amp;" "&amp;SCORE!$D369,EVENTOS!$F:$F,0)),0)</f>
        <v>0</v>
      </c>
      <c r="AE369" s="3">
        <f t="shared" si="15"/>
        <v>0</v>
      </c>
      <c r="AF369" s="10" t="e">
        <f t="shared" si="16"/>
        <v>#N/A</v>
      </c>
      <c r="AG369" s="3" t="str">
        <f t="shared" si="17"/>
        <v/>
      </c>
    </row>
    <row r="370" spans="1:33" x14ac:dyDescent="0.25">
      <c r="A370" s="7"/>
      <c r="B370" s="8"/>
      <c r="C370" s="3"/>
      <c r="D370" s="3"/>
      <c r="E370" s="3" t="e">
        <f>VLOOKUP(D370,VIAJES!$D:$E,2,FALSE)</f>
        <v>#N/A</v>
      </c>
      <c r="F370" s="9" t="e">
        <f>VLOOKUP(D370,VIAJES!$D:$F,3,FALSE)</f>
        <v>#N/A</v>
      </c>
      <c r="G370" s="9" t="e">
        <f>VLOOKUP(D370,VIAJES!$D:$G,4,FALSE)</f>
        <v>#N/A</v>
      </c>
      <c r="H370" s="3" t="e">
        <f>VLOOKUP(D370,VIAJES!$D:$H,5,FALSE)</f>
        <v>#N/A</v>
      </c>
      <c r="S370" s="3">
        <f>IFERROR(INDEX(EVENTOS!$D:$D,MATCH(SCORE!S$2&amp;" "&amp;SCORE!$D370,EVENTOS!$F:$F,0)),0)</f>
        <v>0</v>
      </c>
      <c r="T370" s="3">
        <f>IFERROR(INDEX(EVENTOS!$D:$D,MATCH(SCORE!T$2&amp;" "&amp;SCORE!$D370,EVENTOS!$F:$F,0)),0)</f>
        <v>0</v>
      </c>
      <c r="U370" s="3">
        <f>IFERROR(INDEX(EVENTOS!$D:$D,MATCH(SCORE!U$2&amp;" "&amp;SCORE!$D370,EVENTOS!$F:$F,0)),0)</f>
        <v>0</v>
      </c>
      <c r="V370" s="3">
        <f>IFERROR(INDEX(EVENTOS!$D:$D,MATCH(SCORE!V$2&amp;" "&amp;SCORE!$D370,EVENTOS!$F:$F,0)),0)</f>
        <v>0</v>
      </c>
      <c r="W370" s="3">
        <f>IFERROR(INDEX(EVENTOS!$D:$D,MATCH(SCORE!W$2&amp;" "&amp;SCORE!$D370,EVENTOS!$F:$F,0)),0)</f>
        <v>0</v>
      </c>
      <c r="X370" s="3">
        <f>IFERROR(INDEX(EVENTOS!$D:$D,MATCH(SCORE!X$2&amp;" "&amp;SCORE!$D370,EVENTOS!$F:$F,0)),0)</f>
        <v>0</v>
      </c>
      <c r="Y370" s="3">
        <f>SUMIFS(EVENTOS!$D:$D, EVENTOS!$B:$B, D370, EVENTOS!$E:$E, "*GirAlto*")</f>
        <v>0</v>
      </c>
      <c r="Z370" s="3">
        <f>SUMIFS(EVENTOS!$D:$D, EVENTOS!$B:$B, D370, EVENTOS!$E:$E, "*GirMed*")</f>
        <v>0</v>
      </c>
      <c r="AA370" s="3">
        <f>SUMIFS(EVENTOS!$D:$D, EVENTOS!$B:$B, D370, EVENTOS!$E:$E, "*GirBajo*")</f>
        <v>0</v>
      </c>
      <c r="AB370" s="3">
        <f>IFERROR(INDEX(EVENTOS!$D:$D,MATCH(SCORE!AB$2&amp;" "&amp;SCORE!$D370,EVENTOS!$F:$F,0)),0)</f>
        <v>0</v>
      </c>
      <c r="AC370" s="3">
        <f>IFERROR(INDEX(EVENTOS!$D:$D,MATCH(SCORE!AC$2&amp;" "&amp;SCORE!$D370,EVENTOS!$F:$F,0)),0)</f>
        <v>0</v>
      </c>
      <c r="AD370" s="3">
        <f>IFERROR(INDEX(EVENTOS!$D:$D,MATCH(SCORE!AD$2&amp;" "&amp;SCORE!$D370,EVENTOS!$F:$F,0)),0)</f>
        <v>0</v>
      </c>
      <c r="AE370" s="3">
        <f t="shared" si="15"/>
        <v>0</v>
      </c>
      <c r="AF370" s="10" t="e">
        <f t="shared" si="16"/>
        <v>#N/A</v>
      </c>
      <c r="AG370" s="3" t="str">
        <f t="shared" si="17"/>
        <v/>
      </c>
    </row>
    <row r="371" spans="1:33" x14ac:dyDescent="0.25">
      <c r="A371" s="7"/>
      <c r="B371" s="8"/>
      <c r="C371" s="3"/>
      <c r="D371" s="3"/>
      <c r="E371" s="3" t="e">
        <f>VLOOKUP(D371,VIAJES!$D:$E,2,FALSE)</f>
        <v>#N/A</v>
      </c>
      <c r="F371" s="9" t="e">
        <f>VLOOKUP(D371,VIAJES!$D:$F,3,FALSE)</f>
        <v>#N/A</v>
      </c>
      <c r="G371" s="9" t="e">
        <f>VLOOKUP(D371,VIAJES!$D:$G,4,FALSE)</f>
        <v>#N/A</v>
      </c>
      <c r="H371" s="3" t="e">
        <f>VLOOKUP(D371,VIAJES!$D:$H,5,FALSE)</f>
        <v>#N/A</v>
      </c>
      <c r="S371" s="3">
        <f>IFERROR(INDEX(EVENTOS!$D:$D,MATCH(SCORE!S$2&amp;" "&amp;SCORE!$D371,EVENTOS!$F:$F,0)),0)</f>
        <v>0</v>
      </c>
      <c r="T371" s="3">
        <f>IFERROR(INDEX(EVENTOS!$D:$D,MATCH(SCORE!T$2&amp;" "&amp;SCORE!$D371,EVENTOS!$F:$F,0)),0)</f>
        <v>0</v>
      </c>
      <c r="U371" s="3">
        <f>IFERROR(INDEX(EVENTOS!$D:$D,MATCH(SCORE!U$2&amp;" "&amp;SCORE!$D371,EVENTOS!$F:$F,0)),0)</f>
        <v>0</v>
      </c>
      <c r="V371" s="3">
        <f>IFERROR(INDEX(EVENTOS!$D:$D,MATCH(SCORE!V$2&amp;" "&amp;SCORE!$D371,EVENTOS!$F:$F,0)),0)</f>
        <v>0</v>
      </c>
      <c r="W371" s="3">
        <f>IFERROR(INDEX(EVENTOS!$D:$D,MATCH(SCORE!W$2&amp;" "&amp;SCORE!$D371,EVENTOS!$F:$F,0)),0)</f>
        <v>0</v>
      </c>
      <c r="X371" s="3">
        <f>IFERROR(INDEX(EVENTOS!$D:$D,MATCH(SCORE!X$2&amp;" "&amp;SCORE!$D371,EVENTOS!$F:$F,0)),0)</f>
        <v>0</v>
      </c>
      <c r="Y371" s="3">
        <f>SUMIFS(EVENTOS!$D:$D, EVENTOS!$B:$B, D371, EVENTOS!$E:$E, "*GirAlto*")</f>
        <v>0</v>
      </c>
      <c r="Z371" s="3">
        <f>SUMIFS(EVENTOS!$D:$D, EVENTOS!$B:$B, D371, EVENTOS!$E:$E, "*GirMed*")</f>
        <v>0</v>
      </c>
      <c r="AA371" s="3">
        <f>SUMIFS(EVENTOS!$D:$D, EVENTOS!$B:$B, D371, EVENTOS!$E:$E, "*GirBajo*")</f>
        <v>0</v>
      </c>
      <c r="AB371" s="3">
        <f>IFERROR(INDEX(EVENTOS!$D:$D,MATCH(SCORE!AB$2&amp;" "&amp;SCORE!$D371,EVENTOS!$F:$F,0)),0)</f>
        <v>0</v>
      </c>
      <c r="AC371" s="3">
        <f>IFERROR(INDEX(EVENTOS!$D:$D,MATCH(SCORE!AC$2&amp;" "&amp;SCORE!$D371,EVENTOS!$F:$F,0)),0)</f>
        <v>0</v>
      </c>
      <c r="AD371" s="3">
        <f>IFERROR(INDEX(EVENTOS!$D:$D,MATCH(SCORE!AD$2&amp;" "&amp;SCORE!$D371,EVENTOS!$F:$F,0)),0)</f>
        <v>0</v>
      </c>
      <c r="AE371" s="3">
        <f t="shared" si="15"/>
        <v>0</v>
      </c>
      <c r="AF371" s="10" t="e">
        <f t="shared" si="16"/>
        <v>#N/A</v>
      </c>
      <c r="AG371" s="3" t="str">
        <f t="shared" si="17"/>
        <v/>
      </c>
    </row>
    <row r="372" spans="1:33" x14ac:dyDescent="0.25">
      <c r="A372" s="7"/>
      <c r="B372" s="8"/>
      <c r="C372" s="3"/>
      <c r="D372" s="3"/>
      <c r="E372" s="3" t="e">
        <f>VLOOKUP(D372,VIAJES!$D:$E,2,FALSE)</f>
        <v>#N/A</v>
      </c>
      <c r="F372" s="9" t="e">
        <f>VLOOKUP(D372,VIAJES!$D:$F,3,FALSE)</f>
        <v>#N/A</v>
      </c>
      <c r="G372" s="9" t="e">
        <f>VLOOKUP(D372,VIAJES!$D:$G,4,FALSE)</f>
        <v>#N/A</v>
      </c>
      <c r="H372" s="3" t="e">
        <f>VLOOKUP(D372,VIAJES!$D:$H,5,FALSE)</f>
        <v>#N/A</v>
      </c>
      <c r="S372" s="3">
        <f>IFERROR(INDEX(EVENTOS!$D:$D,MATCH(SCORE!S$2&amp;" "&amp;SCORE!$D372,EVENTOS!$F:$F,0)),0)</f>
        <v>0</v>
      </c>
      <c r="T372" s="3">
        <f>IFERROR(INDEX(EVENTOS!$D:$D,MATCH(SCORE!T$2&amp;" "&amp;SCORE!$D372,EVENTOS!$F:$F,0)),0)</f>
        <v>0</v>
      </c>
      <c r="U372" s="3">
        <f>IFERROR(INDEX(EVENTOS!$D:$D,MATCH(SCORE!U$2&amp;" "&amp;SCORE!$D372,EVENTOS!$F:$F,0)),0)</f>
        <v>0</v>
      </c>
      <c r="V372" s="3">
        <f>IFERROR(INDEX(EVENTOS!$D:$D,MATCH(SCORE!V$2&amp;" "&amp;SCORE!$D372,EVENTOS!$F:$F,0)),0)</f>
        <v>0</v>
      </c>
      <c r="W372" s="3">
        <f>IFERROR(INDEX(EVENTOS!$D:$D,MATCH(SCORE!W$2&amp;" "&amp;SCORE!$D372,EVENTOS!$F:$F,0)),0)</f>
        <v>0</v>
      </c>
      <c r="X372" s="3">
        <f>IFERROR(INDEX(EVENTOS!$D:$D,MATCH(SCORE!X$2&amp;" "&amp;SCORE!$D372,EVENTOS!$F:$F,0)),0)</f>
        <v>0</v>
      </c>
      <c r="Y372" s="3">
        <f>SUMIFS(EVENTOS!$D:$D, EVENTOS!$B:$B, D372, EVENTOS!$E:$E, "*GirAlto*")</f>
        <v>0</v>
      </c>
      <c r="Z372" s="3">
        <f>SUMIFS(EVENTOS!$D:$D, EVENTOS!$B:$B, D372, EVENTOS!$E:$E, "*GirMed*")</f>
        <v>0</v>
      </c>
      <c r="AA372" s="3">
        <f>SUMIFS(EVENTOS!$D:$D, EVENTOS!$B:$B, D372, EVENTOS!$E:$E, "*GirBajo*")</f>
        <v>0</v>
      </c>
      <c r="AB372" s="3">
        <f>IFERROR(INDEX(EVENTOS!$D:$D,MATCH(SCORE!AB$2&amp;" "&amp;SCORE!$D372,EVENTOS!$F:$F,0)),0)</f>
        <v>0</v>
      </c>
      <c r="AC372" s="3">
        <f>IFERROR(INDEX(EVENTOS!$D:$D,MATCH(SCORE!AC$2&amp;" "&amp;SCORE!$D372,EVENTOS!$F:$F,0)),0)</f>
        <v>0</v>
      </c>
      <c r="AD372" s="3">
        <f>IFERROR(INDEX(EVENTOS!$D:$D,MATCH(SCORE!AD$2&amp;" "&amp;SCORE!$D372,EVENTOS!$F:$F,0)),0)</f>
        <v>0</v>
      </c>
      <c r="AE372" s="3">
        <f t="shared" si="15"/>
        <v>0</v>
      </c>
      <c r="AF372" s="10" t="e">
        <f t="shared" si="16"/>
        <v>#N/A</v>
      </c>
      <c r="AG372" s="3" t="str">
        <f t="shared" si="17"/>
        <v/>
      </c>
    </row>
    <row r="373" spans="1:33" x14ac:dyDescent="0.25">
      <c r="A373" s="7"/>
      <c r="B373" s="8"/>
      <c r="C373" s="3"/>
      <c r="D373" s="3"/>
      <c r="E373" s="3" t="e">
        <f>VLOOKUP(D373,VIAJES!$D:$E,2,FALSE)</f>
        <v>#N/A</v>
      </c>
      <c r="F373" s="9" t="e">
        <f>VLOOKUP(D373,VIAJES!$D:$F,3,FALSE)</f>
        <v>#N/A</v>
      </c>
      <c r="G373" s="9" t="e">
        <f>VLOOKUP(D373,VIAJES!$D:$G,4,FALSE)</f>
        <v>#N/A</v>
      </c>
      <c r="H373" s="3" t="e">
        <f>VLOOKUP(D373,VIAJES!$D:$H,5,FALSE)</f>
        <v>#N/A</v>
      </c>
      <c r="S373" s="3">
        <f>IFERROR(INDEX(EVENTOS!$D:$D,MATCH(SCORE!S$2&amp;" "&amp;SCORE!$D373,EVENTOS!$F:$F,0)),0)</f>
        <v>0</v>
      </c>
      <c r="T373" s="3">
        <f>IFERROR(INDEX(EVENTOS!$D:$D,MATCH(SCORE!T$2&amp;" "&amp;SCORE!$D373,EVENTOS!$F:$F,0)),0)</f>
        <v>0</v>
      </c>
      <c r="U373" s="3">
        <f>IFERROR(INDEX(EVENTOS!$D:$D,MATCH(SCORE!U$2&amp;" "&amp;SCORE!$D373,EVENTOS!$F:$F,0)),0)</f>
        <v>0</v>
      </c>
      <c r="V373" s="3">
        <f>IFERROR(INDEX(EVENTOS!$D:$D,MATCH(SCORE!V$2&amp;" "&amp;SCORE!$D373,EVENTOS!$F:$F,0)),0)</f>
        <v>0</v>
      </c>
      <c r="W373" s="3">
        <f>IFERROR(INDEX(EVENTOS!$D:$D,MATCH(SCORE!W$2&amp;" "&amp;SCORE!$D373,EVENTOS!$F:$F,0)),0)</f>
        <v>0</v>
      </c>
      <c r="X373" s="3">
        <f>IFERROR(INDEX(EVENTOS!$D:$D,MATCH(SCORE!X$2&amp;" "&amp;SCORE!$D373,EVENTOS!$F:$F,0)),0)</f>
        <v>0</v>
      </c>
      <c r="Y373" s="3">
        <f>SUMIFS(EVENTOS!$D:$D, EVENTOS!$B:$B, D373, EVENTOS!$E:$E, "*GirAlto*")</f>
        <v>0</v>
      </c>
      <c r="Z373" s="3">
        <f>SUMIFS(EVENTOS!$D:$D, EVENTOS!$B:$B, D373, EVENTOS!$E:$E, "*GirMed*")</f>
        <v>0</v>
      </c>
      <c r="AA373" s="3">
        <f>SUMIFS(EVENTOS!$D:$D, EVENTOS!$B:$B, D373, EVENTOS!$E:$E, "*GirBajo*")</f>
        <v>0</v>
      </c>
      <c r="AB373" s="3">
        <f>IFERROR(INDEX(EVENTOS!$D:$D,MATCH(SCORE!AB$2&amp;" "&amp;SCORE!$D373,EVENTOS!$F:$F,0)),0)</f>
        <v>0</v>
      </c>
      <c r="AC373" s="3">
        <f>IFERROR(INDEX(EVENTOS!$D:$D,MATCH(SCORE!AC$2&amp;" "&amp;SCORE!$D373,EVENTOS!$F:$F,0)),0)</f>
        <v>0</v>
      </c>
      <c r="AD373" s="3">
        <f>IFERROR(INDEX(EVENTOS!$D:$D,MATCH(SCORE!AD$2&amp;" "&amp;SCORE!$D373,EVENTOS!$F:$F,0)),0)</f>
        <v>0</v>
      </c>
      <c r="AE373" s="3">
        <f t="shared" si="15"/>
        <v>0</v>
      </c>
      <c r="AF373" s="10" t="e">
        <f t="shared" si="16"/>
        <v>#N/A</v>
      </c>
      <c r="AG373" s="3" t="str">
        <f t="shared" si="17"/>
        <v/>
      </c>
    </row>
    <row r="374" spans="1:33" x14ac:dyDescent="0.25">
      <c r="A374" s="7"/>
      <c r="B374" s="8"/>
      <c r="C374" s="3"/>
      <c r="D374" s="3"/>
      <c r="E374" s="3" t="e">
        <f>VLOOKUP(D374,VIAJES!$D:$E,2,FALSE)</f>
        <v>#N/A</v>
      </c>
      <c r="F374" s="9" t="e">
        <f>VLOOKUP(D374,VIAJES!$D:$F,3,FALSE)</f>
        <v>#N/A</v>
      </c>
      <c r="G374" s="9" t="e">
        <f>VLOOKUP(D374,VIAJES!$D:$G,4,FALSE)</f>
        <v>#N/A</v>
      </c>
      <c r="H374" s="3" t="e">
        <f>VLOOKUP(D374,VIAJES!$D:$H,5,FALSE)</f>
        <v>#N/A</v>
      </c>
      <c r="S374" s="3">
        <f>IFERROR(INDEX(EVENTOS!$D:$D,MATCH(SCORE!S$2&amp;" "&amp;SCORE!$D374,EVENTOS!$F:$F,0)),0)</f>
        <v>0</v>
      </c>
      <c r="T374" s="3">
        <f>IFERROR(INDEX(EVENTOS!$D:$D,MATCH(SCORE!T$2&amp;" "&amp;SCORE!$D374,EVENTOS!$F:$F,0)),0)</f>
        <v>0</v>
      </c>
      <c r="U374" s="3">
        <f>IFERROR(INDEX(EVENTOS!$D:$D,MATCH(SCORE!U$2&amp;" "&amp;SCORE!$D374,EVENTOS!$F:$F,0)),0)</f>
        <v>0</v>
      </c>
      <c r="V374" s="3">
        <f>IFERROR(INDEX(EVENTOS!$D:$D,MATCH(SCORE!V$2&amp;" "&amp;SCORE!$D374,EVENTOS!$F:$F,0)),0)</f>
        <v>0</v>
      </c>
      <c r="W374" s="3">
        <f>IFERROR(INDEX(EVENTOS!$D:$D,MATCH(SCORE!W$2&amp;" "&amp;SCORE!$D374,EVENTOS!$F:$F,0)),0)</f>
        <v>0</v>
      </c>
      <c r="X374" s="3">
        <f>IFERROR(INDEX(EVENTOS!$D:$D,MATCH(SCORE!X$2&amp;" "&amp;SCORE!$D374,EVENTOS!$F:$F,0)),0)</f>
        <v>0</v>
      </c>
      <c r="Y374" s="3">
        <f>SUMIFS(EVENTOS!$D:$D, EVENTOS!$B:$B, D374, EVENTOS!$E:$E, "*GirAlto*")</f>
        <v>0</v>
      </c>
      <c r="Z374" s="3">
        <f>SUMIFS(EVENTOS!$D:$D, EVENTOS!$B:$B, D374, EVENTOS!$E:$E, "*GirMed*")</f>
        <v>0</v>
      </c>
      <c r="AA374" s="3">
        <f>SUMIFS(EVENTOS!$D:$D, EVENTOS!$B:$B, D374, EVENTOS!$E:$E, "*GirBajo*")</f>
        <v>0</v>
      </c>
      <c r="AB374" s="3">
        <f>IFERROR(INDEX(EVENTOS!$D:$D,MATCH(SCORE!AB$2&amp;" "&amp;SCORE!$D374,EVENTOS!$F:$F,0)),0)</f>
        <v>0</v>
      </c>
      <c r="AC374" s="3">
        <f>IFERROR(INDEX(EVENTOS!$D:$D,MATCH(SCORE!AC$2&amp;" "&amp;SCORE!$D374,EVENTOS!$F:$F,0)),0)</f>
        <v>0</v>
      </c>
      <c r="AD374" s="3">
        <f>IFERROR(INDEX(EVENTOS!$D:$D,MATCH(SCORE!AD$2&amp;" "&amp;SCORE!$D374,EVENTOS!$F:$F,0)),0)</f>
        <v>0</v>
      </c>
      <c r="AE374" s="3">
        <f t="shared" si="15"/>
        <v>0</v>
      </c>
      <c r="AF374" s="10" t="e">
        <f t="shared" si="16"/>
        <v>#N/A</v>
      </c>
      <c r="AG374" s="3" t="str">
        <f t="shared" si="17"/>
        <v/>
      </c>
    </row>
    <row r="375" spans="1:33" x14ac:dyDescent="0.25">
      <c r="A375" s="7"/>
      <c r="B375" s="8"/>
      <c r="C375" s="3"/>
      <c r="D375" s="3"/>
      <c r="E375" s="3" t="e">
        <f>VLOOKUP(D375,VIAJES!$D:$E,2,FALSE)</f>
        <v>#N/A</v>
      </c>
      <c r="F375" s="9" t="e">
        <f>VLOOKUP(D375,VIAJES!$D:$F,3,FALSE)</f>
        <v>#N/A</v>
      </c>
      <c r="G375" s="9" t="e">
        <f>VLOOKUP(D375,VIAJES!$D:$G,4,FALSE)</f>
        <v>#N/A</v>
      </c>
      <c r="H375" s="3" t="e">
        <f>VLOOKUP(D375,VIAJES!$D:$H,5,FALSE)</f>
        <v>#N/A</v>
      </c>
      <c r="S375" s="3">
        <f>IFERROR(INDEX(EVENTOS!$D:$D,MATCH(SCORE!S$2&amp;" "&amp;SCORE!$D375,EVENTOS!$F:$F,0)),0)</f>
        <v>0</v>
      </c>
      <c r="T375" s="3">
        <f>IFERROR(INDEX(EVENTOS!$D:$D,MATCH(SCORE!T$2&amp;" "&amp;SCORE!$D375,EVENTOS!$F:$F,0)),0)</f>
        <v>0</v>
      </c>
      <c r="U375" s="3">
        <f>IFERROR(INDEX(EVENTOS!$D:$D,MATCH(SCORE!U$2&amp;" "&amp;SCORE!$D375,EVENTOS!$F:$F,0)),0)</f>
        <v>0</v>
      </c>
      <c r="V375" s="3">
        <f>IFERROR(INDEX(EVENTOS!$D:$D,MATCH(SCORE!V$2&amp;" "&amp;SCORE!$D375,EVENTOS!$F:$F,0)),0)</f>
        <v>0</v>
      </c>
      <c r="W375" s="3">
        <f>IFERROR(INDEX(EVENTOS!$D:$D,MATCH(SCORE!W$2&amp;" "&amp;SCORE!$D375,EVENTOS!$F:$F,0)),0)</f>
        <v>0</v>
      </c>
      <c r="X375" s="3">
        <f>IFERROR(INDEX(EVENTOS!$D:$D,MATCH(SCORE!X$2&amp;" "&amp;SCORE!$D375,EVENTOS!$F:$F,0)),0)</f>
        <v>0</v>
      </c>
      <c r="Y375" s="3">
        <f>SUMIFS(EVENTOS!$D:$D, EVENTOS!$B:$B, D375, EVENTOS!$E:$E, "*GirAlto*")</f>
        <v>0</v>
      </c>
      <c r="Z375" s="3">
        <f>SUMIFS(EVENTOS!$D:$D, EVENTOS!$B:$B, D375, EVENTOS!$E:$E, "*GirMed*")</f>
        <v>0</v>
      </c>
      <c r="AA375" s="3">
        <f>SUMIFS(EVENTOS!$D:$D, EVENTOS!$B:$B, D375, EVENTOS!$E:$E, "*GirBajo*")</f>
        <v>0</v>
      </c>
      <c r="AB375" s="3">
        <f>IFERROR(INDEX(EVENTOS!$D:$D,MATCH(SCORE!AB$2&amp;" "&amp;SCORE!$D375,EVENTOS!$F:$F,0)),0)</f>
        <v>0</v>
      </c>
      <c r="AC375" s="3">
        <f>IFERROR(INDEX(EVENTOS!$D:$D,MATCH(SCORE!AC$2&amp;" "&amp;SCORE!$D375,EVENTOS!$F:$F,0)),0)</f>
        <v>0</v>
      </c>
      <c r="AD375" s="3">
        <f>IFERROR(INDEX(EVENTOS!$D:$D,MATCH(SCORE!AD$2&amp;" "&amp;SCORE!$D375,EVENTOS!$F:$F,0)),0)</f>
        <v>0</v>
      </c>
      <c r="AE375" s="3">
        <f t="shared" si="15"/>
        <v>0</v>
      </c>
      <c r="AF375" s="10" t="e">
        <f t="shared" si="16"/>
        <v>#N/A</v>
      </c>
      <c r="AG375" s="3" t="str">
        <f t="shared" si="17"/>
        <v/>
      </c>
    </row>
    <row r="376" spans="1:33" x14ac:dyDescent="0.25">
      <c r="A376" s="7"/>
      <c r="B376" s="8"/>
      <c r="C376" s="3"/>
      <c r="D376" s="3"/>
      <c r="E376" s="3" t="e">
        <f>VLOOKUP(D376,VIAJES!$D:$E,2,FALSE)</f>
        <v>#N/A</v>
      </c>
      <c r="F376" s="9" t="e">
        <f>VLOOKUP(D376,VIAJES!$D:$F,3,FALSE)</f>
        <v>#N/A</v>
      </c>
      <c r="G376" s="9" t="e">
        <f>VLOOKUP(D376,VIAJES!$D:$G,4,FALSE)</f>
        <v>#N/A</v>
      </c>
      <c r="H376" s="3" t="e">
        <f>VLOOKUP(D376,VIAJES!$D:$H,5,FALSE)</f>
        <v>#N/A</v>
      </c>
      <c r="S376" s="3">
        <f>IFERROR(INDEX(EVENTOS!$D:$D,MATCH(SCORE!S$2&amp;" "&amp;SCORE!$D376,EVENTOS!$F:$F,0)),0)</f>
        <v>0</v>
      </c>
      <c r="T376" s="3">
        <f>IFERROR(INDEX(EVENTOS!$D:$D,MATCH(SCORE!T$2&amp;" "&amp;SCORE!$D376,EVENTOS!$F:$F,0)),0)</f>
        <v>0</v>
      </c>
      <c r="U376" s="3">
        <f>IFERROR(INDEX(EVENTOS!$D:$D,MATCH(SCORE!U$2&amp;" "&amp;SCORE!$D376,EVENTOS!$F:$F,0)),0)</f>
        <v>0</v>
      </c>
      <c r="V376" s="3">
        <f>IFERROR(INDEX(EVENTOS!$D:$D,MATCH(SCORE!V$2&amp;" "&amp;SCORE!$D376,EVENTOS!$F:$F,0)),0)</f>
        <v>0</v>
      </c>
      <c r="W376" s="3">
        <f>IFERROR(INDEX(EVENTOS!$D:$D,MATCH(SCORE!W$2&amp;" "&amp;SCORE!$D376,EVENTOS!$F:$F,0)),0)</f>
        <v>0</v>
      </c>
      <c r="X376" s="3">
        <f>IFERROR(INDEX(EVENTOS!$D:$D,MATCH(SCORE!X$2&amp;" "&amp;SCORE!$D376,EVENTOS!$F:$F,0)),0)</f>
        <v>0</v>
      </c>
      <c r="Y376" s="3">
        <f>SUMIFS(EVENTOS!$D:$D, EVENTOS!$B:$B, D376, EVENTOS!$E:$E, "*GirAlto*")</f>
        <v>0</v>
      </c>
      <c r="Z376" s="3">
        <f>SUMIFS(EVENTOS!$D:$D, EVENTOS!$B:$B, D376, EVENTOS!$E:$E, "*GirMed*")</f>
        <v>0</v>
      </c>
      <c r="AA376" s="3">
        <f>SUMIFS(EVENTOS!$D:$D, EVENTOS!$B:$B, D376, EVENTOS!$E:$E, "*GirBajo*")</f>
        <v>0</v>
      </c>
      <c r="AB376" s="3">
        <f>IFERROR(INDEX(EVENTOS!$D:$D,MATCH(SCORE!AB$2&amp;" "&amp;SCORE!$D376,EVENTOS!$F:$F,0)),0)</f>
        <v>0</v>
      </c>
      <c r="AC376" s="3">
        <f>IFERROR(INDEX(EVENTOS!$D:$D,MATCH(SCORE!AC$2&amp;" "&amp;SCORE!$D376,EVENTOS!$F:$F,0)),0)</f>
        <v>0</v>
      </c>
      <c r="AD376" s="3">
        <f>IFERROR(INDEX(EVENTOS!$D:$D,MATCH(SCORE!AD$2&amp;" "&amp;SCORE!$D376,EVENTOS!$F:$F,0)),0)</f>
        <v>0</v>
      </c>
      <c r="AE376" s="3">
        <f t="shared" si="15"/>
        <v>0</v>
      </c>
      <c r="AF376" s="10" t="e">
        <f t="shared" si="16"/>
        <v>#N/A</v>
      </c>
      <c r="AG376" s="3" t="str">
        <f t="shared" si="17"/>
        <v/>
      </c>
    </row>
    <row r="377" spans="1:33" x14ac:dyDescent="0.25">
      <c r="A377" s="7"/>
      <c r="B377" s="8"/>
      <c r="C377" s="3"/>
      <c r="D377" s="3"/>
      <c r="E377" s="3" t="e">
        <f>VLOOKUP(D377,VIAJES!$D:$E,2,FALSE)</f>
        <v>#N/A</v>
      </c>
      <c r="F377" s="9" t="e">
        <f>VLOOKUP(D377,VIAJES!$D:$F,3,FALSE)</f>
        <v>#N/A</v>
      </c>
      <c r="G377" s="9" t="e">
        <f>VLOOKUP(D377,VIAJES!$D:$G,4,FALSE)</f>
        <v>#N/A</v>
      </c>
      <c r="H377" s="3" t="e">
        <f>VLOOKUP(D377,VIAJES!$D:$H,5,FALSE)</f>
        <v>#N/A</v>
      </c>
      <c r="S377" s="3">
        <f>IFERROR(INDEX(EVENTOS!$D:$D,MATCH(SCORE!S$2&amp;" "&amp;SCORE!$D377,EVENTOS!$F:$F,0)),0)</f>
        <v>0</v>
      </c>
      <c r="T377" s="3">
        <f>IFERROR(INDEX(EVENTOS!$D:$D,MATCH(SCORE!T$2&amp;" "&amp;SCORE!$D377,EVENTOS!$F:$F,0)),0)</f>
        <v>0</v>
      </c>
      <c r="U377" s="3">
        <f>IFERROR(INDEX(EVENTOS!$D:$D,MATCH(SCORE!U$2&amp;" "&amp;SCORE!$D377,EVENTOS!$F:$F,0)),0)</f>
        <v>0</v>
      </c>
      <c r="V377" s="3">
        <f>IFERROR(INDEX(EVENTOS!$D:$D,MATCH(SCORE!V$2&amp;" "&amp;SCORE!$D377,EVENTOS!$F:$F,0)),0)</f>
        <v>0</v>
      </c>
      <c r="W377" s="3">
        <f>IFERROR(INDEX(EVENTOS!$D:$D,MATCH(SCORE!W$2&amp;" "&amp;SCORE!$D377,EVENTOS!$F:$F,0)),0)</f>
        <v>0</v>
      </c>
      <c r="X377" s="3">
        <f>IFERROR(INDEX(EVENTOS!$D:$D,MATCH(SCORE!X$2&amp;" "&amp;SCORE!$D377,EVENTOS!$F:$F,0)),0)</f>
        <v>0</v>
      </c>
      <c r="Y377" s="3">
        <f>SUMIFS(EVENTOS!$D:$D, EVENTOS!$B:$B, D377, EVENTOS!$E:$E, "*GirAlto*")</f>
        <v>0</v>
      </c>
      <c r="Z377" s="3">
        <f>SUMIFS(EVENTOS!$D:$D, EVENTOS!$B:$B, D377, EVENTOS!$E:$E, "*GirMed*")</f>
        <v>0</v>
      </c>
      <c r="AA377" s="3">
        <f>SUMIFS(EVENTOS!$D:$D, EVENTOS!$B:$B, D377, EVENTOS!$E:$E, "*GirBajo*")</f>
        <v>0</v>
      </c>
      <c r="AB377" s="3">
        <f>IFERROR(INDEX(EVENTOS!$D:$D,MATCH(SCORE!AB$2&amp;" "&amp;SCORE!$D377,EVENTOS!$F:$F,0)),0)</f>
        <v>0</v>
      </c>
      <c r="AC377" s="3">
        <f>IFERROR(INDEX(EVENTOS!$D:$D,MATCH(SCORE!AC$2&amp;" "&amp;SCORE!$D377,EVENTOS!$F:$F,0)),0)</f>
        <v>0</v>
      </c>
      <c r="AD377" s="3">
        <f>IFERROR(INDEX(EVENTOS!$D:$D,MATCH(SCORE!AD$2&amp;" "&amp;SCORE!$D377,EVENTOS!$F:$F,0)),0)</f>
        <v>0</v>
      </c>
      <c r="AE377" s="3">
        <f t="shared" si="15"/>
        <v>0</v>
      </c>
      <c r="AF377" s="10" t="e">
        <f t="shared" si="16"/>
        <v>#N/A</v>
      </c>
      <c r="AG377" s="3" t="str">
        <f t="shared" si="17"/>
        <v/>
      </c>
    </row>
    <row r="378" spans="1:33" x14ac:dyDescent="0.25">
      <c r="A378" s="7"/>
      <c r="B378" s="8"/>
      <c r="C378" s="3"/>
      <c r="D378" s="3"/>
      <c r="E378" s="3" t="e">
        <f>VLOOKUP(D378,VIAJES!$D:$E,2,FALSE)</f>
        <v>#N/A</v>
      </c>
      <c r="F378" s="9" t="e">
        <f>VLOOKUP(D378,VIAJES!$D:$F,3,FALSE)</f>
        <v>#N/A</v>
      </c>
      <c r="G378" s="9" t="e">
        <f>VLOOKUP(D378,VIAJES!$D:$G,4,FALSE)</f>
        <v>#N/A</v>
      </c>
      <c r="H378" s="3" t="e">
        <f>VLOOKUP(D378,VIAJES!$D:$H,5,FALSE)</f>
        <v>#N/A</v>
      </c>
      <c r="S378" s="3">
        <f>IFERROR(INDEX(EVENTOS!$D:$D,MATCH(SCORE!S$2&amp;" "&amp;SCORE!$D378,EVENTOS!$F:$F,0)),0)</f>
        <v>0</v>
      </c>
      <c r="T378" s="3">
        <f>IFERROR(INDEX(EVENTOS!$D:$D,MATCH(SCORE!T$2&amp;" "&amp;SCORE!$D378,EVENTOS!$F:$F,0)),0)</f>
        <v>0</v>
      </c>
      <c r="U378" s="3">
        <f>IFERROR(INDEX(EVENTOS!$D:$D,MATCH(SCORE!U$2&amp;" "&amp;SCORE!$D378,EVENTOS!$F:$F,0)),0)</f>
        <v>0</v>
      </c>
      <c r="V378" s="3">
        <f>IFERROR(INDEX(EVENTOS!$D:$D,MATCH(SCORE!V$2&amp;" "&amp;SCORE!$D378,EVENTOS!$F:$F,0)),0)</f>
        <v>0</v>
      </c>
      <c r="W378" s="3">
        <f>IFERROR(INDEX(EVENTOS!$D:$D,MATCH(SCORE!W$2&amp;" "&amp;SCORE!$D378,EVENTOS!$F:$F,0)),0)</f>
        <v>0</v>
      </c>
      <c r="X378" s="3">
        <f>IFERROR(INDEX(EVENTOS!$D:$D,MATCH(SCORE!X$2&amp;" "&amp;SCORE!$D378,EVENTOS!$F:$F,0)),0)</f>
        <v>0</v>
      </c>
      <c r="Y378" s="3">
        <f>SUMIFS(EVENTOS!$D:$D, EVENTOS!$B:$B, D378, EVENTOS!$E:$E, "*GirAlto*")</f>
        <v>0</v>
      </c>
      <c r="Z378" s="3">
        <f>SUMIFS(EVENTOS!$D:$D, EVENTOS!$B:$B, D378, EVENTOS!$E:$E, "*GirMed*")</f>
        <v>0</v>
      </c>
      <c r="AA378" s="3">
        <f>SUMIFS(EVENTOS!$D:$D, EVENTOS!$B:$B, D378, EVENTOS!$E:$E, "*GirBajo*")</f>
        <v>0</v>
      </c>
      <c r="AB378" s="3">
        <f>IFERROR(INDEX(EVENTOS!$D:$D,MATCH(SCORE!AB$2&amp;" "&amp;SCORE!$D378,EVENTOS!$F:$F,0)),0)</f>
        <v>0</v>
      </c>
      <c r="AC378" s="3">
        <f>IFERROR(INDEX(EVENTOS!$D:$D,MATCH(SCORE!AC$2&amp;" "&amp;SCORE!$D378,EVENTOS!$F:$F,0)),0)</f>
        <v>0</v>
      </c>
      <c r="AD378" s="3">
        <f>IFERROR(INDEX(EVENTOS!$D:$D,MATCH(SCORE!AD$2&amp;" "&amp;SCORE!$D378,EVENTOS!$F:$F,0)),0)</f>
        <v>0</v>
      </c>
      <c r="AE378" s="3">
        <f t="shared" si="15"/>
        <v>0</v>
      </c>
      <c r="AF378" s="10" t="e">
        <f t="shared" si="16"/>
        <v>#N/A</v>
      </c>
      <c r="AG378" s="3" t="str">
        <f t="shared" si="17"/>
        <v/>
      </c>
    </row>
    <row r="379" spans="1:33" x14ac:dyDescent="0.25">
      <c r="A379" s="7"/>
      <c r="B379" s="8"/>
      <c r="C379" s="3"/>
      <c r="D379" s="3"/>
      <c r="E379" s="3" t="e">
        <f>VLOOKUP(D379,VIAJES!$D:$E,2,FALSE)</f>
        <v>#N/A</v>
      </c>
      <c r="F379" s="9" t="e">
        <f>VLOOKUP(D379,VIAJES!$D:$F,3,FALSE)</f>
        <v>#N/A</v>
      </c>
      <c r="G379" s="9" t="e">
        <f>VLOOKUP(D379,VIAJES!$D:$G,4,FALSE)</f>
        <v>#N/A</v>
      </c>
      <c r="H379" s="3" t="e">
        <f>VLOOKUP(D379,VIAJES!$D:$H,5,FALSE)</f>
        <v>#N/A</v>
      </c>
      <c r="S379" s="3">
        <f>IFERROR(INDEX(EVENTOS!$D:$D,MATCH(SCORE!S$2&amp;" "&amp;SCORE!$D379,EVENTOS!$F:$F,0)),0)</f>
        <v>0</v>
      </c>
      <c r="T379" s="3">
        <f>IFERROR(INDEX(EVENTOS!$D:$D,MATCH(SCORE!T$2&amp;" "&amp;SCORE!$D379,EVENTOS!$F:$F,0)),0)</f>
        <v>0</v>
      </c>
      <c r="U379" s="3">
        <f>IFERROR(INDEX(EVENTOS!$D:$D,MATCH(SCORE!U$2&amp;" "&amp;SCORE!$D379,EVENTOS!$F:$F,0)),0)</f>
        <v>0</v>
      </c>
      <c r="V379" s="3">
        <f>IFERROR(INDEX(EVENTOS!$D:$D,MATCH(SCORE!V$2&amp;" "&amp;SCORE!$D379,EVENTOS!$F:$F,0)),0)</f>
        <v>0</v>
      </c>
      <c r="W379" s="3">
        <f>IFERROR(INDEX(EVENTOS!$D:$D,MATCH(SCORE!W$2&amp;" "&amp;SCORE!$D379,EVENTOS!$F:$F,0)),0)</f>
        <v>0</v>
      </c>
      <c r="X379" s="3">
        <f>IFERROR(INDEX(EVENTOS!$D:$D,MATCH(SCORE!X$2&amp;" "&amp;SCORE!$D379,EVENTOS!$F:$F,0)),0)</f>
        <v>0</v>
      </c>
      <c r="Y379" s="3">
        <f>SUMIFS(EVENTOS!$D:$D, EVENTOS!$B:$B, D379, EVENTOS!$E:$E, "*GirAlto*")</f>
        <v>0</v>
      </c>
      <c r="Z379" s="3">
        <f>SUMIFS(EVENTOS!$D:$D, EVENTOS!$B:$B, D379, EVENTOS!$E:$E, "*GirMed*")</f>
        <v>0</v>
      </c>
      <c r="AA379" s="3">
        <f>SUMIFS(EVENTOS!$D:$D, EVENTOS!$B:$B, D379, EVENTOS!$E:$E, "*GirBajo*")</f>
        <v>0</v>
      </c>
      <c r="AB379" s="3">
        <f>IFERROR(INDEX(EVENTOS!$D:$D,MATCH(SCORE!AB$2&amp;" "&amp;SCORE!$D379,EVENTOS!$F:$F,0)),0)</f>
        <v>0</v>
      </c>
      <c r="AC379" s="3">
        <f>IFERROR(INDEX(EVENTOS!$D:$D,MATCH(SCORE!AC$2&amp;" "&amp;SCORE!$D379,EVENTOS!$F:$F,0)),0)</f>
        <v>0</v>
      </c>
      <c r="AD379" s="3">
        <f>IFERROR(INDEX(EVENTOS!$D:$D,MATCH(SCORE!AD$2&amp;" "&amp;SCORE!$D379,EVENTOS!$F:$F,0)),0)</f>
        <v>0</v>
      </c>
      <c r="AE379" s="3">
        <f t="shared" si="15"/>
        <v>0</v>
      </c>
      <c r="AF379" s="10" t="e">
        <f t="shared" si="16"/>
        <v>#N/A</v>
      </c>
      <c r="AG379" s="3" t="str">
        <f t="shared" si="17"/>
        <v/>
      </c>
    </row>
    <row r="380" spans="1:33" x14ac:dyDescent="0.25">
      <c r="A380" s="7"/>
      <c r="B380" s="8"/>
      <c r="C380" s="3"/>
      <c r="D380" s="3"/>
      <c r="E380" s="3" t="e">
        <f>VLOOKUP(D380,VIAJES!$D:$E,2,FALSE)</f>
        <v>#N/A</v>
      </c>
      <c r="F380" s="9" t="e">
        <f>VLOOKUP(D380,VIAJES!$D:$F,3,FALSE)</f>
        <v>#N/A</v>
      </c>
      <c r="G380" s="9" t="e">
        <f>VLOOKUP(D380,VIAJES!$D:$G,4,FALSE)</f>
        <v>#N/A</v>
      </c>
      <c r="H380" s="3" t="e">
        <f>VLOOKUP(D380,VIAJES!$D:$H,5,FALSE)</f>
        <v>#N/A</v>
      </c>
      <c r="S380" s="3">
        <f>IFERROR(INDEX(EVENTOS!$D:$D,MATCH(SCORE!S$2&amp;" "&amp;SCORE!$D380,EVENTOS!$F:$F,0)),0)</f>
        <v>0</v>
      </c>
      <c r="T380" s="3">
        <f>IFERROR(INDEX(EVENTOS!$D:$D,MATCH(SCORE!T$2&amp;" "&amp;SCORE!$D380,EVENTOS!$F:$F,0)),0)</f>
        <v>0</v>
      </c>
      <c r="U380" s="3">
        <f>IFERROR(INDEX(EVENTOS!$D:$D,MATCH(SCORE!U$2&amp;" "&amp;SCORE!$D380,EVENTOS!$F:$F,0)),0)</f>
        <v>0</v>
      </c>
      <c r="V380" s="3">
        <f>IFERROR(INDEX(EVENTOS!$D:$D,MATCH(SCORE!V$2&amp;" "&amp;SCORE!$D380,EVENTOS!$F:$F,0)),0)</f>
        <v>0</v>
      </c>
      <c r="W380" s="3">
        <f>IFERROR(INDEX(EVENTOS!$D:$D,MATCH(SCORE!W$2&amp;" "&amp;SCORE!$D380,EVENTOS!$F:$F,0)),0)</f>
        <v>0</v>
      </c>
      <c r="X380" s="3">
        <f>IFERROR(INDEX(EVENTOS!$D:$D,MATCH(SCORE!X$2&amp;" "&amp;SCORE!$D380,EVENTOS!$F:$F,0)),0)</f>
        <v>0</v>
      </c>
      <c r="Y380" s="3">
        <f>SUMIFS(EVENTOS!$D:$D, EVENTOS!$B:$B, D380, EVENTOS!$E:$E, "*GirAlto*")</f>
        <v>0</v>
      </c>
      <c r="Z380" s="3">
        <f>SUMIFS(EVENTOS!$D:$D, EVENTOS!$B:$B, D380, EVENTOS!$E:$E, "*GirMed*")</f>
        <v>0</v>
      </c>
      <c r="AA380" s="3">
        <f>SUMIFS(EVENTOS!$D:$D, EVENTOS!$B:$B, D380, EVENTOS!$E:$E, "*GirBajo*")</f>
        <v>0</v>
      </c>
      <c r="AB380" s="3">
        <f>IFERROR(INDEX(EVENTOS!$D:$D,MATCH(SCORE!AB$2&amp;" "&amp;SCORE!$D380,EVENTOS!$F:$F,0)),0)</f>
        <v>0</v>
      </c>
      <c r="AC380" s="3">
        <f>IFERROR(INDEX(EVENTOS!$D:$D,MATCH(SCORE!AC$2&amp;" "&amp;SCORE!$D380,EVENTOS!$F:$F,0)),0)</f>
        <v>0</v>
      </c>
      <c r="AD380" s="3">
        <f>IFERROR(INDEX(EVENTOS!$D:$D,MATCH(SCORE!AD$2&amp;" "&amp;SCORE!$D380,EVENTOS!$F:$F,0)),0)</f>
        <v>0</v>
      </c>
      <c r="AE380" s="3">
        <f t="shared" si="15"/>
        <v>0</v>
      </c>
      <c r="AF380" s="10" t="e">
        <f t="shared" si="16"/>
        <v>#N/A</v>
      </c>
      <c r="AG380" s="3" t="str">
        <f t="shared" si="17"/>
        <v/>
      </c>
    </row>
    <row r="381" spans="1:33" x14ac:dyDescent="0.25">
      <c r="A381" s="7"/>
      <c r="B381" s="8"/>
      <c r="C381" s="3"/>
      <c r="D381" s="3"/>
      <c r="E381" s="3" t="e">
        <f>VLOOKUP(D381,VIAJES!$D:$E,2,FALSE)</f>
        <v>#N/A</v>
      </c>
      <c r="F381" s="9" t="e">
        <f>VLOOKUP(D381,VIAJES!$D:$F,3,FALSE)</f>
        <v>#N/A</v>
      </c>
      <c r="G381" s="9" t="e">
        <f>VLOOKUP(D381,VIAJES!$D:$G,4,FALSE)</f>
        <v>#N/A</v>
      </c>
      <c r="H381" s="3" t="e">
        <f>VLOOKUP(D381,VIAJES!$D:$H,5,FALSE)</f>
        <v>#N/A</v>
      </c>
      <c r="S381" s="3">
        <f>IFERROR(INDEX(EVENTOS!$D:$D,MATCH(SCORE!S$2&amp;" "&amp;SCORE!$D381,EVENTOS!$F:$F,0)),0)</f>
        <v>0</v>
      </c>
      <c r="T381" s="3">
        <f>IFERROR(INDEX(EVENTOS!$D:$D,MATCH(SCORE!T$2&amp;" "&amp;SCORE!$D381,EVENTOS!$F:$F,0)),0)</f>
        <v>0</v>
      </c>
      <c r="U381" s="3">
        <f>IFERROR(INDEX(EVENTOS!$D:$D,MATCH(SCORE!U$2&amp;" "&amp;SCORE!$D381,EVENTOS!$F:$F,0)),0)</f>
        <v>0</v>
      </c>
      <c r="V381" s="3">
        <f>IFERROR(INDEX(EVENTOS!$D:$D,MATCH(SCORE!V$2&amp;" "&amp;SCORE!$D381,EVENTOS!$F:$F,0)),0)</f>
        <v>0</v>
      </c>
      <c r="W381" s="3">
        <f>IFERROR(INDEX(EVENTOS!$D:$D,MATCH(SCORE!W$2&amp;" "&amp;SCORE!$D381,EVENTOS!$F:$F,0)),0)</f>
        <v>0</v>
      </c>
      <c r="X381" s="3">
        <f>IFERROR(INDEX(EVENTOS!$D:$D,MATCH(SCORE!X$2&amp;" "&amp;SCORE!$D381,EVENTOS!$F:$F,0)),0)</f>
        <v>0</v>
      </c>
      <c r="Y381" s="3">
        <f>SUMIFS(EVENTOS!$D:$D, EVENTOS!$B:$B, D381, EVENTOS!$E:$E, "*GirAlto*")</f>
        <v>0</v>
      </c>
      <c r="Z381" s="3">
        <f>SUMIFS(EVENTOS!$D:$D, EVENTOS!$B:$B, D381, EVENTOS!$E:$E, "*GirMed*")</f>
        <v>0</v>
      </c>
      <c r="AA381" s="3">
        <f>SUMIFS(EVENTOS!$D:$D, EVENTOS!$B:$B, D381, EVENTOS!$E:$E, "*GirBajo*")</f>
        <v>0</v>
      </c>
      <c r="AB381" s="3">
        <f>IFERROR(INDEX(EVENTOS!$D:$D,MATCH(SCORE!AB$2&amp;" "&amp;SCORE!$D381,EVENTOS!$F:$F,0)),0)</f>
        <v>0</v>
      </c>
      <c r="AC381" s="3">
        <f>IFERROR(INDEX(EVENTOS!$D:$D,MATCH(SCORE!AC$2&amp;" "&amp;SCORE!$D381,EVENTOS!$F:$F,0)),0)</f>
        <v>0</v>
      </c>
      <c r="AD381" s="3">
        <f>IFERROR(INDEX(EVENTOS!$D:$D,MATCH(SCORE!AD$2&amp;" "&amp;SCORE!$D381,EVENTOS!$F:$F,0)),0)</f>
        <v>0</v>
      </c>
      <c r="AE381" s="3">
        <f t="shared" si="15"/>
        <v>0</v>
      </c>
      <c r="AF381" s="10" t="e">
        <f t="shared" si="16"/>
        <v>#N/A</v>
      </c>
      <c r="AG381" s="3" t="str">
        <f t="shared" si="17"/>
        <v/>
      </c>
    </row>
    <row r="382" spans="1:33" x14ac:dyDescent="0.25">
      <c r="A382" s="7"/>
      <c r="B382" s="8"/>
      <c r="C382" s="3"/>
      <c r="D382" s="3"/>
      <c r="E382" s="3" t="e">
        <f>VLOOKUP(D382,VIAJES!$D:$E,2,FALSE)</f>
        <v>#N/A</v>
      </c>
      <c r="F382" s="9" t="e">
        <f>VLOOKUP(D382,VIAJES!$D:$F,3,FALSE)</f>
        <v>#N/A</v>
      </c>
      <c r="G382" s="9" t="e">
        <f>VLOOKUP(D382,VIAJES!$D:$G,4,FALSE)</f>
        <v>#N/A</v>
      </c>
      <c r="H382" s="3" t="e">
        <f>VLOOKUP(D382,VIAJES!$D:$H,5,FALSE)</f>
        <v>#N/A</v>
      </c>
      <c r="S382" s="3">
        <f>IFERROR(INDEX(EVENTOS!$D:$D,MATCH(SCORE!S$2&amp;" "&amp;SCORE!$D382,EVENTOS!$F:$F,0)),0)</f>
        <v>0</v>
      </c>
      <c r="T382" s="3">
        <f>IFERROR(INDEX(EVENTOS!$D:$D,MATCH(SCORE!T$2&amp;" "&amp;SCORE!$D382,EVENTOS!$F:$F,0)),0)</f>
        <v>0</v>
      </c>
      <c r="U382" s="3">
        <f>IFERROR(INDEX(EVENTOS!$D:$D,MATCH(SCORE!U$2&amp;" "&amp;SCORE!$D382,EVENTOS!$F:$F,0)),0)</f>
        <v>0</v>
      </c>
      <c r="V382" s="3">
        <f>IFERROR(INDEX(EVENTOS!$D:$D,MATCH(SCORE!V$2&amp;" "&amp;SCORE!$D382,EVENTOS!$F:$F,0)),0)</f>
        <v>0</v>
      </c>
      <c r="W382" s="3">
        <f>IFERROR(INDEX(EVENTOS!$D:$D,MATCH(SCORE!W$2&amp;" "&amp;SCORE!$D382,EVENTOS!$F:$F,0)),0)</f>
        <v>0</v>
      </c>
      <c r="X382" s="3">
        <f>IFERROR(INDEX(EVENTOS!$D:$D,MATCH(SCORE!X$2&amp;" "&amp;SCORE!$D382,EVENTOS!$F:$F,0)),0)</f>
        <v>0</v>
      </c>
      <c r="Y382" s="3">
        <f>SUMIFS(EVENTOS!$D:$D, EVENTOS!$B:$B, D382, EVENTOS!$E:$E, "*GirAlto*")</f>
        <v>0</v>
      </c>
      <c r="Z382" s="3">
        <f>SUMIFS(EVENTOS!$D:$D, EVENTOS!$B:$B, D382, EVENTOS!$E:$E, "*GirMed*")</f>
        <v>0</v>
      </c>
      <c r="AA382" s="3">
        <f>SUMIFS(EVENTOS!$D:$D, EVENTOS!$B:$B, D382, EVENTOS!$E:$E, "*GirBajo*")</f>
        <v>0</v>
      </c>
      <c r="AB382" s="3">
        <f>IFERROR(INDEX(EVENTOS!$D:$D,MATCH(SCORE!AB$2&amp;" "&amp;SCORE!$D382,EVENTOS!$F:$F,0)),0)</f>
        <v>0</v>
      </c>
      <c r="AC382" s="3">
        <f>IFERROR(INDEX(EVENTOS!$D:$D,MATCH(SCORE!AC$2&amp;" "&amp;SCORE!$D382,EVENTOS!$F:$F,0)),0)</f>
        <v>0</v>
      </c>
      <c r="AD382" s="3">
        <f>IFERROR(INDEX(EVENTOS!$D:$D,MATCH(SCORE!AD$2&amp;" "&amp;SCORE!$D382,EVENTOS!$F:$F,0)),0)</f>
        <v>0</v>
      </c>
      <c r="AE382" s="3">
        <f t="shared" si="15"/>
        <v>0</v>
      </c>
      <c r="AF382" s="10" t="e">
        <f t="shared" si="16"/>
        <v>#N/A</v>
      </c>
      <c r="AG382" s="3" t="str">
        <f t="shared" si="17"/>
        <v/>
      </c>
    </row>
    <row r="383" spans="1:33" x14ac:dyDescent="0.25">
      <c r="A383" s="7"/>
      <c r="B383" s="8"/>
      <c r="C383" s="3"/>
      <c r="D383" s="3"/>
      <c r="E383" s="3" t="e">
        <f>VLOOKUP(D383,VIAJES!$D:$E,2,FALSE)</f>
        <v>#N/A</v>
      </c>
      <c r="F383" s="9" t="e">
        <f>VLOOKUP(D383,VIAJES!$D:$F,3,FALSE)</f>
        <v>#N/A</v>
      </c>
      <c r="G383" s="9" t="e">
        <f>VLOOKUP(D383,VIAJES!$D:$G,4,FALSE)</f>
        <v>#N/A</v>
      </c>
      <c r="H383" s="3" t="e">
        <f>VLOOKUP(D383,VIAJES!$D:$H,5,FALSE)</f>
        <v>#N/A</v>
      </c>
      <c r="S383" s="3">
        <f>IFERROR(INDEX(EVENTOS!$D:$D,MATCH(SCORE!S$2&amp;" "&amp;SCORE!$D383,EVENTOS!$F:$F,0)),0)</f>
        <v>0</v>
      </c>
      <c r="T383" s="3">
        <f>IFERROR(INDEX(EVENTOS!$D:$D,MATCH(SCORE!T$2&amp;" "&amp;SCORE!$D383,EVENTOS!$F:$F,0)),0)</f>
        <v>0</v>
      </c>
      <c r="U383" s="3">
        <f>IFERROR(INDEX(EVENTOS!$D:$D,MATCH(SCORE!U$2&amp;" "&amp;SCORE!$D383,EVENTOS!$F:$F,0)),0)</f>
        <v>0</v>
      </c>
      <c r="V383" s="3">
        <f>IFERROR(INDEX(EVENTOS!$D:$D,MATCH(SCORE!V$2&amp;" "&amp;SCORE!$D383,EVENTOS!$F:$F,0)),0)</f>
        <v>0</v>
      </c>
      <c r="W383" s="3">
        <f>IFERROR(INDEX(EVENTOS!$D:$D,MATCH(SCORE!W$2&amp;" "&amp;SCORE!$D383,EVENTOS!$F:$F,0)),0)</f>
        <v>0</v>
      </c>
      <c r="X383" s="3">
        <f>IFERROR(INDEX(EVENTOS!$D:$D,MATCH(SCORE!X$2&amp;" "&amp;SCORE!$D383,EVENTOS!$F:$F,0)),0)</f>
        <v>0</v>
      </c>
      <c r="Y383" s="3">
        <f>SUMIFS(EVENTOS!$D:$D, EVENTOS!$B:$B, D383, EVENTOS!$E:$E, "*GirAlto*")</f>
        <v>0</v>
      </c>
      <c r="Z383" s="3">
        <f>SUMIFS(EVENTOS!$D:$D, EVENTOS!$B:$B, D383, EVENTOS!$E:$E, "*GirMed*")</f>
        <v>0</v>
      </c>
      <c r="AA383" s="3">
        <f>SUMIFS(EVENTOS!$D:$D, EVENTOS!$B:$B, D383, EVENTOS!$E:$E, "*GirBajo*")</f>
        <v>0</v>
      </c>
      <c r="AB383" s="3">
        <f>IFERROR(INDEX(EVENTOS!$D:$D,MATCH(SCORE!AB$2&amp;" "&amp;SCORE!$D383,EVENTOS!$F:$F,0)),0)</f>
        <v>0</v>
      </c>
      <c r="AC383" s="3">
        <f>IFERROR(INDEX(EVENTOS!$D:$D,MATCH(SCORE!AC$2&amp;" "&amp;SCORE!$D383,EVENTOS!$F:$F,0)),0)</f>
        <v>0</v>
      </c>
      <c r="AD383" s="3">
        <f>IFERROR(INDEX(EVENTOS!$D:$D,MATCH(SCORE!AD$2&amp;" "&amp;SCORE!$D383,EVENTOS!$F:$F,0)),0)</f>
        <v>0</v>
      </c>
      <c r="AE383" s="3">
        <f t="shared" si="15"/>
        <v>0</v>
      </c>
      <c r="AF383" s="10" t="e">
        <f t="shared" si="16"/>
        <v>#N/A</v>
      </c>
      <c r="AG383" s="3" t="str">
        <f t="shared" si="17"/>
        <v/>
      </c>
    </row>
    <row r="384" spans="1:33" x14ac:dyDescent="0.25">
      <c r="A384" s="7"/>
      <c r="B384" s="8"/>
      <c r="C384" s="3"/>
      <c r="D384" s="3"/>
      <c r="E384" s="3" t="e">
        <f>VLOOKUP(D384,VIAJES!$D:$E,2,FALSE)</f>
        <v>#N/A</v>
      </c>
      <c r="F384" s="9" t="e">
        <f>VLOOKUP(D384,VIAJES!$D:$F,3,FALSE)</f>
        <v>#N/A</v>
      </c>
      <c r="G384" s="9" t="e">
        <f>VLOOKUP(D384,VIAJES!$D:$G,4,FALSE)</f>
        <v>#N/A</v>
      </c>
      <c r="H384" s="3" t="e">
        <f>VLOOKUP(D384,VIAJES!$D:$H,5,FALSE)</f>
        <v>#N/A</v>
      </c>
      <c r="S384" s="3">
        <f>IFERROR(INDEX(EVENTOS!$D:$D,MATCH(SCORE!S$2&amp;" "&amp;SCORE!$D384,EVENTOS!$F:$F,0)),0)</f>
        <v>0</v>
      </c>
      <c r="T384" s="3">
        <f>IFERROR(INDEX(EVENTOS!$D:$D,MATCH(SCORE!T$2&amp;" "&amp;SCORE!$D384,EVENTOS!$F:$F,0)),0)</f>
        <v>0</v>
      </c>
      <c r="U384" s="3">
        <f>IFERROR(INDEX(EVENTOS!$D:$D,MATCH(SCORE!U$2&amp;" "&amp;SCORE!$D384,EVENTOS!$F:$F,0)),0)</f>
        <v>0</v>
      </c>
      <c r="V384" s="3">
        <f>IFERROR(INDEX(EVENTOS!$D:$D,MATCH(SCORE!V$2&amp;" "&amp;SCORE!$D384,EVENTOS!$F:$F,0)),0)</f>
        <v>0</v>
      </c>
      <c r="W384" s="3">
        <f>IFERROR(INDEX(EVENTOS!$D:$D,MATCH(SCORE!W$2&amp;" "&amp;SCORE!$D384,EVENTOS!$F:$F,0)),0)</f>
        <v>0</v>
      </c>
      <c r="X384" s="3">
        <f>IFERROR(INDEX(EVENTOS!$D:$D,MATCH(SCORE!X$2&amp;" "&amp;SCORE!$D384,EVENTOS!$F:$F,0)),0)</f>
        <v>0</v>
      </c>
      <c r="Y384" s="3">
        <f>SUMIFS(EVENTOS!$D:$D, EVENTOS!$B:$B, D384, EVENTOS!$E:$E, "*GirAlto*")</f>
        <v>0</v>
      </c>
      <c r="Z384" s="3">
        <f>SUMIFS(EVENTOS!$D:$D, EVENTOS!$B:$B, D384, EVENTOS!$E:$E, "*GirMed*")</f>
        <v>0</v>
      </c>
      <c r="AA384" s="3">
        <f>SUMIFS(EVENTOS!$D:$D, EVENTOS!$B:$B, D384, EVENTOS!$E:$E, "*GirBajo*")</f>
        <v>0</v>
      </c>
      <c r="AB384" s="3">
        <f>IFERROR(INDEX(EVENTOS!$D:$D,MATCH(SCORE!AB$2&amp;" "&amp;SCORE!$D384,EVENTOS!$F:$F,0)),0)</f>
        <v>0</v>
      </c>
      <c r="AC384" s="3">
        <f>IFERROR(INDEX(EVENTOS!$D:$D,MATCH(SCORE!AC$2&amp;" "&amp;SCORE!$D384,EVENTOS!$F:$F,0)),0)</f>
        <v>0</v>
      </c>
      <c r="AD384" s="3">
        <f>IFERROR(INDEX(EVENTOS!$D:$D,MATCH(SCORE!AD$2&amp;" "&amp;SCORE!$D384,EVENTOS!$F:$F,0)),0)</f>
        <v>0</v>
      </c>
      <c r="AE384" s="3">
        <f t="shared" si="15"/>
        <v>0</v>
      </c>
      <c r="AF384" s="10" t="e">
        <f t="shared" si="16"/>
        <v>#N/A</v>
      </c>
      <c r="AG384" s="3" t="str">
        <f t="shared" si="17"/>
        <v/>
      </c>
    </row>
    <row r="385" spans="1:33" x14ac:dyDescent="0.25">
      <c r="A385" s="7"/>
      <c r="B385" s="8"/>
      <c r="C385" s="3"/>
      <c r="D385" s="3"/>
      <c r="E385" s="3" t="e">
        <f>VLOOKUP(D385,VIAJES!$D:$E,2,FALSE)</f>
        <v>#N/A</v>
      </c>
      <c r="F385" s="9" t="e">
        <f>VLOOKUP(D385,VIAJES!$D:$F,3,FALSE)</f>
        <v>#N/A</v>
      </c>
      <c r="G385" s="9" t="e">
        <f>VLOOKUP(D385,VIAJES!$D:$G,4,FALSE)</f>
        <v>#N/A</v>
      </c>
      <c r="H385" s="3" t="e">
        <f>VLOOKUP(D385,VIAJES!$D:$H,5,FALSE)</f>
        <v>#N/A</v>
      </c>
      <c r="S385" s="3">
        <f>IFERROR(INDEX(EVENTOS!$D:$D,MATCH(SCORE!S$2&amp;" "&amp;SCORE!$D385,EVENTOS!$F:$F,0)),0)</f>
        <v>0</v>
      </c>
      <c r="T385" s="3">
        <f>IFERROR(INDEX(EVENTOS!$D:$D,MATCH(SCORE!T$2&amp;" "&amp;SCORE!$D385,EVENTOS!$F:$F,0)),0)</f>
        <v>0</v>
      </c>
      <c r="U385" s="3">
        <f>IFERROR(INDEX(EVENTOS!$D:$D,MATCH(SCORE!U$2&amp;" "&amp;SCORE!$D385,EVENTOS!$F:$F,0)),0)</f>
        <v>0</v>
      </c>
      <c r="V385" s="3">
        <f>IFERROR(INDEX(EVENTOS!$D:$D,MATCH(SCORE!V$2&amp;" "&amp;SCORE!$D385,EVENTOS!$F:$F,0)),0)</f>
        <v>0</v>
      </c>
      <c r="W385" s="3">
        <f>IFERROR(INDEX(EVENTOS!$D:$D,MATCH(SCORE!W$2&amp;" "&amp;SCORE!$D385,EVENTOS!$F:$F,0)),0)</f>
        <v>0</v>
      </c>
      <c r="X385" s="3">
        <f>IFERROR(INDEX(EVENTOS!$D:$D,MATCH(SCORE!X$2&amp;" "&amp;SCORE!$D385,EVENTOS!$F:$F,0)),0)</f>
        <v>0</v>
      </c>
      <c r="Y385" s="3">
        <f>SUMIFS(EVENTOS!$D:$D, EVENTOS!$B:$B, D385, EVENTOS!$E:$E, "*GirAlto*")</f>
        <v>0</v>
      </c>
      <c r="Z385" s="3">
        <f>SUMIFS(EVENTOS!$D:$D, EVENTOS!$B:$B, D385, EVENTOS!$E:$E, "*GirMed*")</f>
        <v>0</v>
      </c>
      <c r="AA385" s="3">
        <f>SUMIFS(EVENTOS!$D:$D, EVENTOS!$B:$B, D385, EVENTOS!$E:$E, "*GirBajo*")</f>
        <v>0</v>
      </c>
      <c r="AB385" s="3">
        <f>IFERROR(INDEX(EVENTOS!$D:$D,MATCH(SCORE!AB$2&amp;" "&amp;SCORE!$D385,EVENTOS!$F:$F,0)),0)</f>
        <v>0</v>
      </c>
      <c r="AC385" s="3">
        <f>IFERROR(INDEX(EVENTOS!$D:$D,MATCH(SCORE!AC$2&amp;" "&amp;SCORE!$D385,EVENTOS!$F:$F,0)),0)</f>
        <v>0</v>
      </c>
      <c r="AD385" s="3">
        <f>IFERROR(INDEX(EVENTOS!$D:$D,MATCH(SCORE!AD$2&amp;" "&amp;SCORE!$D385,EVENTOS!$F:$F,0)),0)</f>
        <v>0</v>
      </c>
      <c r="AE385" s="3">
        <f t="shared" si="15"/>
        <v>0</v>
      </c>
      <c r="AF385" s="10" t="e">
        <f t="shared" si="16"/>
        <v>#N/A</v>
      </c>
      <c r="AG385" s="3" t="str">
        <f t="shared" si="17"/>
        <v/>
      </c>
    </row>
    <row r="386" spans="1:33" x14ac:dyDescent="0.25">
      <c r="A386" s="7"/>
      <c r="B386" s="8"/>
      <c r="C386" s="3"/>
      <c r="D386" s="3"/>
      <c r="E386" s="3" t="e">
        <f>VLOOKUP(D386,VIAJES!$D:$E,2,FALSE)</f>
        <v>#N/A</v>
      </c>
      <c r="F386" s="9" t="e">
        <f>VLOOKUP(D386,VIAJES!$D:$F,3,FALSE)</f>
        <v>#N/A</v>
      </c>
      <c r="G386" s="9" t="e">
        <f>VLOOKUP(D386,VIAJES!$D:$G,4,FALSE)</f>
        <v>#N/A</v>
      </c>
      <c r="H386" s="3" t="e">
        <f>VLOOKUP(D386,VIAJES!$D:$H,5,FALSE)</f>
        <v>#N/A</v>
      </c>
      <c r="S386" s="3">
        <f>IFERROR(INDEX(EVENTOS!$D:$D,MATCH(SCORE!S$2&amp;" "&amp;SCORE!$D386,EVENTOS!$F:$F,0)),0)</f>
        <v>0</v>
      </c>
      <c r="T386" s="3">
        <f>IFERROR(INDEX(EVENTOS!$D:$D,MATCH(SCORE!T$2&amp;" "&amp;SCORE!$D386,EVENTOS!$F:$F,0)),0)</f>
        <v>0</v>
      </c>
      <c r="U386" s="3">
        <f>IFERROR(INDEX(EVENTOS!$D:$D,MATCH(SCORE!U$2&amp;" "&amp;SCORE!$D386,EVENTOS!$F:$F,0)),0)</f>
        <v>0</v>
      </c>
      <c r="V386" s="3">
        <f>IFERROR(INDEX(EVENTOS!$D:$D,MATCH(SCORE!V$2&amp;" "&amp;SCORE!$D386,EVENTOS!$F:$F,0)),0)</f>
        <v>0</v>
      </c>
      <c r="W386" s="3">
        <f>IFERROR(INDEX(EVENTOS!$D:$D,MATCH(SCORE!W$2&amp;" "&amp;SCORE!$D386,EVENTOS!$F:$F,0)),0)</f>
        <v>0</v>
      </c>
      <c r="X386" s="3">
        <f>IFERROR(INDEX(EVENTOS!$D:$D,MATCH(SCORE!X$2&amp;" "&amp;SCORE!$D386,EVENTOS!$F:$F,0)),0)</f>
        <v>0</v>
      </c>
      <c r="Y386" s="3">
        <f>SUMIFS(EVENTOS!$D:$D, EVENTOS!$B:$B, D386, EVENTOS!$E:$E, "*GirAlto*")</f>
        <v>0</v>
      </c>
      <c r="Z386" s="3">
        <f>SUMIFS(EVENTOS!$D:$D, EVENTOS!$B:$B, D386, EVENTOS!$E:$E, "*GirMed*")</f>
        <v>0</v>
      </c>
      <c r="AA386" s="3">
        <f>SUMIFS(EVENTOS!$D:$D, EVENTOS!$B:$B, D386, EVENTOS!$E:$E, "*GirBajo*")</f>
        <v>0</v>
      </c>
      <c r="AB386" s="3">
        <f>IFERROR(INDEX(EVENTOS!$D:$D,MATCH(SCORE!AB$2&amp;" "&amp;SCORE!$D386,EVENTOS!$F:$F,0)),0)</f>
        <v>0</v>
      </c>
      <c r="AC386" s="3">
        <f>IFERROR(INDEX(EVENTOS!$D:$D,MATCH(SCORE!AC$2&amp;" "&amp;SCORE!$D386,EVENTOS!$F:$F,0)),0)</f>
        <v>0</v>
      </c>
      <c r="AD386" s="3">
        <f>IFERROR(INDEX(EVENTOS!$D:$D,MATCH(SCORE!AD$2&amp;" "&amp;SCORE!$D386,EVENTOS!$F:$F,0)),0)</f>
        <v>0</v>
      </c>
      <c r="AE386" s="3">
        <f t="shared" si="15"/>
        <v>0</v>
      </c>
      <c r="AF386" s="10" t="e">
        <f t="shared" si="16"/>
        <v>#N/A</v>
      </c>
      <c r="AG386" s="3" t="str">
        <f t="shared" si="17"/>
        <v/>
      </c>
    </row>
    <row r="387" spans="1:33" x14ac:dyDescent="0.25">
      <c r="A387" s="7"/>
      <c r="B387" s="8"/>
      <c r="C387" s="3"/>
      <c r="D387" s="3"/>
      <c r="E387" s="3" t="e">
        <f>VLOOKUP(D387,VIAJES!$D:$E,2,FALSE)</f>
        <v>#N/A</v>
      </c>
      <c r="F387" s="9" t="e">
        <f>VLOOKUP(D387,VIAJES!$D:$F,3,FALSE)</f>
        <v>#N/A</v>
      </c>
      <c r="G387" s="9" t="e">
        <f>VLOOKUP(D387,VIAJES!$D:$G,4,FALSE)</f>
        <v>#N/A</v>
      </c>
      <c r="H387" s="3" t="e">
        <f>VLOOKUP(D387,VIAJES!$D:$H,5,FALSE)</f>
        <v>#N/A</v>
      </c>
      <c r="S387" s="3">
        <f>IFERROR(INDEX(EVENTOS!$D:$D,MATCH(SCORE!S$2&amp;" "&amp;SCORE!$D387,EVENTOS!$F:$F,0)),0)</f>
        <v>0</v>
      </c>
      <c r="T387" s="3">
        <f>IFERROR(INDEX(EVENTOS!$D:$D,MATCH(SCORE!T$2&amp;" "&amp;SCORE!$D387,EVENTOS!$F:$F,0)),0)</f>
        <v>0</v>
      </c>
      <c r="U387" s="3">
        <f>IFERROR(INDEX(EVENTOS!$D:$D,MATCH(SCORE!U$2&amp;" "&amp;SCORE!$D387,EVENTOS!$F:$F,0)),0)</f>
        <v>0</v>
      </c>
      <c r="V387" s="3">
        <f>IFERROR(INDEX(EVENTOS!$D:$D,MATCH(SCORE!V$2&amp;" "&amp;SCORE!$D387,EVENTOS!$F:$F,0)),0)</f>
        <v>0</v>
      </c>
      <c r="W387" s="3">
        <f>IFERROR(INDEX(EVENTOS!$D:$D,MATCH(SCORE!W$2&amp;" "&amp;SCORE!$D387,EVENTOS!$F:$F,0)),0)</f>
        <v>0</v>
      </c>
      <c r="X387" s="3">
        <f>IFERROR(INDEX(EVENTOS!$D:$D,MATCH(SCORE!X$2&amp;" "&amp;SCORE!$D387,EVENTOS!$F:$F,0)),0)</f>
        <v>0</v>
      </c>
      <c r="Y387" s="3">
        <f>SUMIFS(EVENTOS!$D:$D, EVENTOS!$B:$B, D387, EVENTOS!$E:$E, "*GirAlto*")</f>
        <v>0</v>
      </c>
      <c r="Z387" s="3">
        <f>SUMIFS(EVENTOS!$D:$D, EVENTOS!$B:$B, D387, EVENTOS!$E:$E, "*GirMed*")</f>
        <v>0</v>
      </c>
      <c r="AA387" s="3">
        <f>SUMIFS(EVENTOS!$D:$D, EVENTOS!$B:$B, D387, EVENTOS!$E:$E, "*GirBajo*")</f>
        <v>0</v>
      </c>
      <c r="AB387" s="3">
        <f>IFERROR(INDEX(EVENTOS!$D:$D,MATCH(SCORE!AB$2&amp;" "&amp;SCORE!$D387,EVENTOS!$F:$F,0)),0)</f>
        <v>0</v>
      </c>
      <c r="AC387" s="3">
        <f>IFERROR(INDEX(EVENTOS!$D:$D,MATCH(SCORE!AC$2&amp;" "&amp;SCORE!$D387,EVENTOS!$F:$F,0)),0)</f>
        <v>0</v>
      </c>
      <c r="AD387" s="3">
        <f>IFERROR(INDEX(EVENTOS!$D:$D,MATCH(SCORE!AD$2&amp;" "&amp;SCORE!$D387,EVENTOS!$F:$F,0)),0)</f>
        <v>0</v>
      </c>
      <c r="AE387" s="3">
        <f t="shared" ref="AE387:AE450" si="18">((S387+V387+Y387+AB387)*50)+((T387+W387+Z387+AC387)*25)+((U387+X387+AA387+AD387)*5)</f>
        <v>0</v>
      </c>
      <c r="AF387" s="10" t="e">
        <f t="shared" ref="AF387:AF450" si="19">AE387/(G387*24)*100</f>
        <v>#N/A</v>
      </c>
      <c r="AG387" s="3" t="str">
        <f t="shared" ref="AG387:AG450" si="20">IF(D387&lt;&gt;"",IF(AF387&gt;=30000,5,ROUNDDOWN((((5-95)*(AF387-0))/(30000-0))+95,0)),"")</f>
        <v/>
      </c>
    </row>
    <row r="388" spans="1:33" x14ac:dyDescent="0.25">
      <c r="A388" s="7"/>
      <c r="B388" s="8"/>
      <c r="C388" s="3"/>
      <c r="D388" s="3"/>
      <c r="E388" s="3" t="e">
        <f>VLOOKUP(D388,VIAJES!$D:$E,2,FALSE)</f>
        <v>#N/A</v>
      </c>
      <c r="F388" s="9" t="e">
        <f>VLOOKUP(D388,VIAJES!$D:$F,3,FALSE)</f>
        <v>#N/A</v>
      </c>
      <c r="G388" s="9" t="e">
        <f>VLOOKUP(D388,VIAJES!$D:$G,4,FALSE)</f>
        <v>#N/A</v>
      </c>
      <c r="H388" s="3" t="e">
        <f>VLOOKUP(D388,VIAJES!$D:$H,5,FALSE)</f>
        <v>#N/A</v>
      </c>
      <c r="S388" s="3">
        <f>IFERROR(INDEX(EVENTOS!$D:$D,MATCH(SCORE!S$2&amp;" "&amp;SCORE!$D388,EVENTOS!$F:$F,0)),0)</f>
        <v>0</v>
      </c>
      <c r="T388" s="3">
        <f>IFERROR(INDEX(EVENTOS!$D:$D,MATCH(SCORE!T$2&amp;" "&amp;SCORE!$D388,EVENTOS!$F:$F,0)),0)</f>
        <v>0</v>
      </c>
      <c r="U388" s="3">
        <f>IFERROR(INDEX(EVENTOS!$D:$D,MATCH(SCORE!U$2&amp;" "&amp;SCORE!$D388,EVENTOS!$F:$F,0)),0)</f>
        <v>0</v>
      </c>
      <c r="V388" s="3">
        <f>IFERROR(INDEX(EVENTOS!$D:$D,MATCH(SCORE!V$2&amp;" "&amp;SCORE!$D388,EVENTOS!$F:$F,0)),0)</f>
        <v>0</v>
      </c>
      <c r="W388" s="3">
        <f>IFERROR(INDEX(EVENTOS!$D:$D,MATCH(SCORE!W$2&amp;" "&amp;SCORE!$D388,EVENTOS!$F:$F,0)),0)</f>
        <v>0</v>
      </c>
      <c r="X388" s="3">
        <f>IFERROR(INDEX(EVENTOS!$D:$D,MATCH(SCORE!X$2&amp;" "&amp;SCORE!$D388,EVENTOS!$F:$F,0)),0)</f>
        <v>0</v>
      </c>
      <c r="Y388" s="3">
        <f>SUMIFS(EVENTOS!$D:$D, EVENTOS!$B:$B, D388, EVENTOS!$E:$E, "*GirAlto*")</f>
        <v>0</v>
      </c>
      <c r="Z388" s="3">
        <f>SUMIFS(EVENTOS!$D:$D, EVENTOS!$B:$B, D388, EVENTOS!$E:$E, "*GirMed*")</f>
        <v>0</v>
      </c>
      <c r="AA388" s="3">
        <f>SUMIFS(EVENTOS!$D:$D, EVENTOS!$B:$B, D388, EVENTOS!$E:$E, "*GirBajo*")</f>
        <v>0</v>
      </c>
      <c r="AB388" s="3">
        <f>IFERROR(INDEX(EVENTOS!$D:$D,MATCH(SCORE!AB$2&amp;" "&amp;SCORE!$D388,EVENTOS!$F:$F,0)),0)</f>
        <v>0</v>
      </c>
      <c r="AC388" s="3">
        <f>IFERROR(INDEX(EVENTOS!$D:$D,MATCH(SCORE!AC$2&amp;" "&amp;SCORE!$D388,EVENTOS!$F:$F,0)),0)</f>
        <v>0</v>
      </c>
      <c r="AD388" s="3">
        <f>IFERROR(INDEX(EVENTOS!$D:$D,MATCH(SCORE!AD$2&amp;" "&amp;SCORE!$D388,EVENTOS!$F:$F,0)),0)</f>
        <v>0</v>
      </c>
      <c r="AE388" s="3">
        <f t="shared" si="18"/>
        <v>0</v>
      </c>
      <c r="AF388" s="10" t="e">
        <f t="shared" si="19"/>
        <v>#N/A</v>
      </c>
      <c r="AG388" s="3" t="str">
        <f t="shared" si="20"/>
        <v/>
      </c>
    </row>
    <row r="389" spans="1:33" x14ac:dyDescent="0.25">
      <c r="A389" s="7"/>
      <c r="B389" s="8"/>
      <c r="C389" s="3"/>
      <c r="D389" s="3"/>
      <c r="E389" s="3" t="e">
        <f>VLOOKUP(D389,VIAJES!$D:$E,2,FALSE)</f>
        <v>#N/A</v>
      </c>
      <c r="F389" s="9" t="e">
        <f>VLOOKUP(D389,VIAJES!$D:$F,3,FALSE)</f>
        <v>#N/A</v>
      </c>
      <c r="G389" s="9" t="e">
        <f>VLOOKUP(D389,VIAJES!$D:$G,4,FALSE)</f>
        <v>#N/A</v>
      </c>
      <c r="H389" s="3" t="e">
        <f>VLOOKUP(D389,VIAJES!$D:$H,5,FALSE)</f>
        <v>#N/A</v>
      </c>
      <c r="S389" s="3">
        <f>IFERROR(INDEX(EVENTOS!$D:$D,MATCH(SCORE!S$2&amp;" "&amp;SCORE!$D389,EVENTOS!$F:$F,0)),0)</f>
        <v>0</v>
      </c>
      <c r="T389" s="3">
        <f>IFERROR(INDEX(EVENTOS!$D:$D,MATCH(SCORE!T$2&amp;" "&amp;SCORE!$D389,EVENTOS!$F:$F,0)),0)</f>
        <v>0</v>
      </c>
      <c r="U389" s="3">
        <f>IFERROR(INDEX(EVENTOS!$D:$D,MATCH(SCORE!U$2&amp;" "&amp;SCORE!$D389,EVENTOS!$F:$F,0)),0)</f>
        <v>0</v>
      </c>
      <c r="V389" s="3">
        <f>IFERROR(INDEX(EVENTOS!$D:$D,MATCH(SCORE!V$2&amp;" "&amp;SCORE!$D389,EVENTOS!$F:$F,0)),0)</f>
        <v>0</v>
      </c>
      <c r="W389" s="3">
        <f>IFERROR(INDEX(EVENTOS!$D:$D,MATCH(SCORE!W$2&amp;" "&amp;SCORE!$D389,EVENTOS!$F:$F,0)),0)</f>
        <v>0</v>
      </c>
      <c r="X389" s="3">
        <f>IFERROR(INDEX(EVENTOS!$D:$D,MATCH(SCORE!X$2&amp;" "&amp;SCORE!$D389,EVENTOS!$F:$F,0)),0)</f>
        <v>0</v>
      </c>
      <c r="Y389" s="3">
        <f>SUMIFS(EVENTOS!$D:$D, EVENTOS!$B:$B, D389, EVENTOS!$E:$E, "*GirAlto*")</f>
        <v>0</v>
      </c>
      <c r="Z389" s="3">
        <f>SUMIFS(EVENTOS!$D:$D, EVENTOS!$B:$B, D389, EVENTOS!$E:$E, "*GirMed*")</f>
        <v>0</v>
      </c>
      <c r="AA389" s="3">
        <f>SUMIFS(EVENTOS!$D:$D, EVENTOS!$B:$B, D389, EVENTOS!$E:$E, "*GirBajo*")</f>
        <v>0</v>
      </c>
      <c r="AB389" s="3">
        <f>IFERROR(INDEX(EVENTOS!$D:$D,MATCH(SCORE!AB$2&amp;" "&amp;SCORE!$D389,EVENTOS!$F:$F,0)),0)</f>
        <v>0</v>
      </c>
      <c r="AC389" s="3">
        <f>IFERROR(INDEX(EVENTOS!$D:$D,MATCH(SCORE!AC$2&amp;" "&amp;SCORE!$D389,EVENTOS!$F:$F,0)),0)</f>
        <v>0</v>
      </c>
      <c r="AD389" s="3">
        <f>IFERROR(INDEX(EVENTOS!$D:$D,MATCH(SCORE!AD$2&amp;" "&amp;SCORE!$D389,EVENTOS!$F:$F,0)),0)</f>
        <v>0</v>
      </c>
      <c r="AE389" s="3">
        <f t="shared" si="18"/>
        <v>0</v>
      </c>
      <c r="AF389" s="10" t="e">
        <f t="shared" si="19"/>
        <v>#N/A</v>
      </c>
      <c r="AG389" s="3" t="str">
        <f t="shared" si="20"/>
        <v/>
      </c>
    </row>
    <row r="390" spans="1:33" x14ac:dyDescent="0.25">
      <c r="A390" s="7"/>
      <c r="B390" s="8"/>
      <c r="C390" s="3"/>
      <c r="D390" s="3"/>
      <c r="E390" s="3" t="e">
        <f>VLOOKUP(D390,VIAJES!$D:$E,2,FALSE)</f>
        <v>#N/A</v>
      </c>
      <c r="F390" s="9" t="e">
        <f>VLOOKUP(D390,VIAJES!$D:$F,3,FALSE)</f>
        <v>#N/A</v>
      </c>
      <c r="G390" s="9" t="e">
        <f>VLOOKUP(D390,VIAJES!$D:$G,4,FALSE)</f>
        <v>#N/A</v>
      </c>
      <c r="H390" s="3" t="e">
        <f>VLOOKUP(D390,VIAJES!$D:$H,5,FALSE)</f>
        <v>#N/A</v>
      </c>
      <c r="S390" s="3">
        <f>IFERROR(INDEX(EVENTOS!$D:$D,MATCH(SCORE!S$2&amp;" "&amp;SCORE!$D390,EVENTOS!$F:$F,0)),0)</f>
        <v>0</v>
      </c>
      <c r="T390" s="3">
        <f>IFERROR(INDEX(EVENTOS!$D:$D,MATCH(SCORE!T$2&amp;" "&amp;SCORE!$D390,EVENTOS!$F:$F,0)),0)</f>
        <v>0</v>
      </c>
      <c r="U390" s="3">
        <f>IFERROR(INDEX(EVENTOS!$D:$D,MATCH(SCORE!U$2&amp;" "&amp;SCORE!$D390,EVENTOS!$F:$F,0)),0)</f>
        <v>0</v>
      </c>
      <c r="V390" s="3">
        <f>IFERROR(INDEX(EVENTOS!$D:$D,MATCH(SCORE!V$2&amp;" "&amp;SCORE!$D390,EVENTOS!$F:$F,0)),0)</f>
        <v>0</v>
      </c>
      <c r="W390" s="3">
        <f>IFERROR(INDEX(EVENTOS!$D:$D,MATCH(SCORE!W$2&amp;" "&amp;SCORE!$D390,EVENTOS!$F:$F,0)),0)</f>
        <v>0</v>
      </c>
      <c r="X390" s="3">
        <f>IFERROR(INDEX(EVENTOS!$D:$D,MATCH(SCORE!X$2&amp;" "&amp;SCORE!$D390,EVENTOS!$F:$F,0)),0)</f>
        <v>0</v>
      </c>
      <c r="Y390" s="3">
        <f>SUMIFS(EVENTOS!$D:$D, EVENTOS!$B:$B, D390, EVENTOS!$E:$E, "*GirAlto*")</f>
        <v>0</v>
      </c>
      <c r="Z390" s="3">
        <f>SUMIFS(EVENTOS!$D:$D, EVENTOS!$B:$B, D390, EVENTOS!$E:$E, "*GirMed*")</f>
        <v>0</v>
      </c>
      <c r="AA390" s="3">
        <f>SUMIFS(EVENTOS!$D:$D, EVENTOS!$B:$B, D390, EVENTOS!$E:$E, "*GirBajo*")</f>
        <v>0</v>
      </c>
      <c r="AB390" s="3">
        <f>IFERROR(INDEX(EVENTOS!$D:$D,MATCH(SCORE!AB$2&amp;" "&amp;SCORE!$D390,EVENTOS!$F:$F,0)),0)</f>
        <v>0</v>
      </c>
      <c r="AC390" s="3">
        <f>IFERROR(INDEX(EVENTOS!$D:$D,MATCH(SCORE!AC$2&amp;" "&amp;SCORE!$D390,EVENTOS!$F:$F,0)),0)</f>
        <v>0</v>
      </c>
      <c r="AD390" s="3">
        <f>IFERROR(INDEX(EVENTOS!$D:$D,MATCH(SCORE!AD$2&amp;" "&amp;SCORE!$D390,EVENTOS!$F:$F,0)),0)</f>
        <v>0</v>
      </c>
      <c r="AE390" s="3">
        <f t="shared" si="18"/>
        <v>0</v>
      </c>
      <c r="AF390" s="10" t="e">
        <f t="shared" si="19"/>
        <v>#N/A</v>
      </c>
      <c r="AG390" s="3" t="str">
        <f t="shared" si="20"/>
        <v/>
      </c>
    </row>
    <row r="391" spans="1:33" x14ac:dyDescent="0.25">
      <c r="A391" s="7"/>
      <c r="B391" s="8"/>
      <c r="C391" s="3"/>
      <c r="D391" s="3"/>
      <c r="E391" s="3" t="e">
        <f>VLOOKUP(D391,VIAJES!$D:$E,2,FALSE)</f>
        <v>#N/A</v>
      </c>
      <c r="F391" s="9" t="e">
        <f>VLOOKUP(D391,VIAJES!$D:$F,3,FALSE)</f>
        <v>#N/A</v>
      </c>
      <c r="G391" s="9" t="e">
        <f>VLOOKUP(D391,VIAJES!$D:$G,4,FALSE)</f>
        <v>#N/A</v>
      </c>
      <c r="H391" s="3" t="e">
        <f>VLOOKUP(D391,VIAJES!$D:$H,5,FALSE)</f>
        <v>#N/A</v>
      </c>
      <c r="S391" s="3">
        <f>IFERROR(INDEX(EVENTOS!$D:$D,MATCH(SCORE!S$2&amp;" "&amp;SCORE!$D391,EVENTOS!$F:$F,0)),0)</f>
        <v>0</v>
      </c>
      <c r="T391" s="3">
        <f>IFERROR(INDEX(EVENTOS!$D:$D,MATCH(SCORE!T$2&amp;" "&amp;SCORE!$D391,EVENTOS!$F:$F,0)),0)</f>
        <v>0</v>
      </c>
      <c r="U391" s="3">
        <f>IFERROR(INDEX(EVENTOS!$D:$D,MATCH(SCORE!U$2&amp;" "&amp;SCORE!$D391,EVENTOS!$F:$F,0)),0)</f>
        <v>0</v>
      </c>
      <c r="V391" s="3">
        <f>IFERROR(INDEX(EVENTOS!$D:$D,MATCH(SCORE!V$2&amp;" "&amp;SCORE!$D391,EVENTOS!$F:$F,0)),0)</f>
        <v>0</v>
      </c>
      <c r="W391" s="3">
        <f>IFERROR(INDEX(EVENTOS!$D:$D,MATCH(SCORE!W$2&amp;" "&amp;SCORE!$D391,EVENTOS!$F:$F,0)),0)</f>
        <v>0</v>
      </c>
      <c r="X391" s="3">
        <f>IFERROR(INDEX(EVENTOS!$D:$D,MATCH(SCORE!X$2&amp;" "&amp;SCORE!$D391,EVENTOS!$F:$F,0)),0)</f>
        <v>0</v>
      </c>
      <c r="Y391" s="3">
        <f>SUMIFS(EVENTOS!$D:$D, EVENTOS!$B:$B, D391, EVENTOS!$E:$E, "*GirAlto*")</f>
        <v>0</v>
      </c>
      <c r="Z391" s="3">
        <f>SUMIFS(EVENTOS!$D:$D, EVENTOS!$B:$B, D391, EVENTOS!$E:$E, "*GirMed*")</f>
        <v>0</v>
      </c>
      <c r="AA391" s="3">
        <f>SUMIFS(EVENTOS!$D:$D, EVENTOS!$B:$B, D391, EVENTOS!$E:$E, "*GirBajo*")</f>
        <v>0</v>
      </c>
      <c r="AB391" s="3">
        <f>IFERROR(INDEX(EVENTOS!$D:$D,MATCH(SCORE!AB$2&amp;" "&amp;SCORE!$D391,EVENTOS!$F:$F,0)),0)</f>
        <v>0</v>
      </c>
      <c r="AC391" s="3">
        <f>IFERROR(INDEX(EVENTOS!$D:$D,MATCH(SCORE!AC$2&amp;" "&amp;SCORE!$D391,EVENTOS!$F:$F,0)),0)</f>
        <v>0</v>
      </c>
      <c r="AD391" s="3">
        <f>IFERROR(INDEX(EVENTOS!$D:$D,MATCH(SCORE!AD$2&amp;" "&amp;SCORE!$D391,EVENTOS!$F:$F,0)),0)</f>
        <v>0</v>
      </c>
      <c r="AE391" s="3">
        <f t="shared" si="18"/>
        <v>0</v>
      </c>
      <c r="AF391" s="10" t="e">
        <f t="shared" si="19"/>
        <v>#N/A</v>
      </c>
      <c r="AG391" s="3" t="str">
        <f t="shared" si="20"/>
        <v/>
      </c>
    </row>
    <row r="392" spans="1:33" x14ac:dyDescent="0.25">
      <c r="A392" s="7"/>
      <c r="B392" s="8"/>
      <c r="C392" s="3"/>
      <c r="D392" s="3"/>
      <c r="E392" s="3" t="e">
        <f>VLOOKUP(D392,VIAJES!$D:$E,2,FALSE)</f>
        <v>#N/A</v>
      </c>
      <c r="F392" s="9" t="e">
        <f>VLOOKUP(D392,VIAJES!$D:$F,3,FALSE)</f>
        <v>#N/A</v>
      </c>
      <c r="G392" s="9" t="e">
        <f>VLOOKUP(D392,VIAJES!$D:$G,4,FALSE)</f>
        <v>#N/A</v>
      </c>
      <c r="H392" s="3" t="e">
        <f>VLOOKUP(D392,VIAJES!$D:$H,5,FALSE)</f>
        <v>#N/A</v>
      </c>
      <c r="S392" s="3">
        <f>IFERROR(INDEX(EVENTOS!$D:$D,MATCH(SCORE!S$2&amp;" "&amp;SCORE!$D392,EVENTOS!$F:$F,0)),0)</f>
        <v>0</v>
      </c>
      <c r="T392" s="3">
        <f>IFERROR(INDEX(EVENTOS!$D:$D,MATCH(SCORE!T$2&amp;" "&amp;SCORE!$D392,EVENTOS!$F:$F,0)),0)</f>
        <v>0</v>
      </c>
      <c r="U392" s="3">
        <f>IFERROR(INDEX(EVENTOS!$D:$D,MATCH(SCORE!U$2&amp;" "&amp;SCORE!$D392,EVENTOS!$F:$F,0)),0)</f>
        <v>0</v>
      </c>
      <c r="V392" s="3">
        <f>IFERROR(INDEX(EVENTOS!$D:$D,MATCH(SCORE!V$2&amp;" "&amp;SCORE!$D392,EVENTOS!$F:$F,0)),0)</f>
        <v>0</v>
      </c>
      <c r="W392" s="3">
        <f>IFERROR(INDEX(EVENTOS!$D:$D,MATCH(SCORE!W$2&amp;" "&amp;SCORE!$D392,EVENTOS!$F:$F,0)),0)</f>
        <v>0</v>
      </c>
      <c r="X392" s="3">
        <f>IFERROR(INDEX(EVENTOS!$D:$D,MATCH(SCORE!X$2&amp;" "&amp;SCORE!$D392,EVENTOS!$F:$F,0)),0)</f>
        <v>0</v>
      </c>
      <c r="Y392" s="3">
        <f>SUMIFS(EVENTOS!$D:$D, EVENTOS!$B:$B, D392, EVENTOS!$E:$E, "*GirAlto*")</f>
        <v>0</v>
      </c>
      <c r="Z392" s="3">
        <f>SUMIFS(EVENTOS!$D:$D, EVENTOS!$B:$B, D392, EVENTOS!$E:$E, "*GirMed*")</f>
        <v>0</v>
      </c>
      <c r="AA392" s="3">
        <f>SUMIFS(EVENTOS!$D:$D, EVENTOS!$B:$B, D392, EVENTOS!$E:$E, "*GirBajo*")</f>
        <v>0</v>
      </c>
      <c r="AB392" s="3">
        <f>IFERROR(INDEX(EVENTOS!$D:$D,MATCH(SCORE!AB$2&amp;" "&amp;SCORE!$D392,EVENTOS!$F:$F,0)),0)</f>
        <v>0</v>
      </c>
      <c r="AC392" s="3">
        <f>IFERROR(INDEX(EVENTOS!$D:$D,MATCH(SCORE!AC$2&amp;" "&amp;SCORE!$D392,EVENTOS!$F:$F,0)),0)</f>
        <v>0</v>
      </c>
      <c r="AD392" s="3">
        <f>IFERROR(INDEX(EVENTOS!$D:$D,MATCH(SCORE!AD$2&amp;" "&amp;SCORE!$D392,EVENTOS!$F:$F,0)),0)</f>
        <v>0</v>
      </c>
      <c r="AE392" s="3">
        <f t="shared" si="18"/>
        <v>0</v>
      </c>
      <c r="AF392" s="10" t="e">
        <f t="shared" si="19"/>
        <v>#N/A</v>
      </c>
      <c r="AG392" s="3" t="str">
        <f t="shared" si="20"/>
        <v/>
      </c>
    </row>
    <row r="393" spans="1:33" x14ac:dyDescent="0.25">
      <c r="A393" s="7"/>
      <c r="B393" s="8"/>
      <c r="C393" s="3"/>
      <c r="D393" s="3"/>
      <c r="E393" s="3" t="e">
        <f>VLOOKUP(D393,VIAJES!$D:$E,2,FALSE)</f>
        <v>#N/A</v>
      </c>
      <c r="F393" s="9" t="e">
        <f>VLOOKUP(D393,VIAJES!$D:$F,3,FALSE)</f>
        <v>#N/A</v>
      </c>
      <c r="G393" s="9" t="e">
        <f>VLOOKUP(D393,VIAJES!$D:$G,4,FALSE)</f>
        <v>#N/A</v>
      </c>
      <c r="H393" s="3" t="e">
        <f>VLOOKUP(D393,VIAJES!$D:$H,5,FALSE)</f>
        <v>#N/A</v>
      </c>
      <c r="S393" s="3">
        <f>IFERROR(INDEX(EVENTOS!$D:$D,MATCH(SCORE!S$2&amp;" "&amp;SCORE!$D393,EVENTOS!$F:$F,0)),0)</f>
        <v>0</v>
      </c>
      <c r="T393" s="3">
        <f>IFERROR(INDEX(EVENTOS!$D:$D,MATCH(SCORE!T$2&amp;" "&amp;SCORE!$D393,EVENTOS!$F:$F,0)),0)</f>
        <v>0</v>
      </c>
      <c r="U393" s="3">
        <f>IFERROR(INDEX(EVENTOS!$D:$D,MATCH(SCORE!U$2&amp;" "&amp;SCORE!$D393,EVENTOS!$F:$F,0)),0)</f>
        <v>0</v>
      </c>
      <c r="V393" s="3">
        <f>IFERROR(INDEX(EVENTOS!$D:$D,MATCH(SCORE!V$2&amp;" "&amp;SCORE!$D393,EVENTOS!$F:$F,0)),0)</f>
        <v>0</v>
      </c>
      <c r="W393" s="3">
        <f>IFERROR(INDEX(EVENTOS!$D:$D,MATCH(SCORE!W$2&amp;" "&amp;SCORE!$D393,EVENTOS!$F:$F,0)),0)</f>
        <v>0</v>
      </c>
      <c r="X393" s="3">
        <f>IFERROR(INDEX(EVENTOS!$D:$D,MATCH(SCORE!X$2&amp;" "&amp;SCORE!$D393,EVENTOS!$F:$F,0)),0)</f>
        <v>0</v>
      </c>
      <c r="Y393" s="3">
        <f>SUMIFS(EVENTOS!$D:$D, EVENTOS!$B:$B, D393, EVENTOS!$E:$E, "*GirAlto*")</f>
        <v>0</v>
      </c>
      <c r="Z393" s="3">
        <f>SUMIFS(EVENTOS!$D:$D, EVENTOS!$B:$B, D393, EVENTOS!$E:$E, "*GirMed*")</f>
        <v>0</v>
      </c>
      <c r="AA393" s="3">
        <f>SUMIFS(EVENTOS!$D:$D, EVENTOS!$B:$B, D393, EVENTOS!$E:$E, "*GirBajo*")</f>
        <v>0</v>
      </c>
      <c r="AB393" s="3">
        <f>IFERROR(INDEX(EVENTOS!$D:$D,MATCH(SCORE!AB$2&amp;" "&amp;SCORE!$D393,EVENTOS!$F:$F,0)),0)</f>
        <v>0</v>
      </c>
      <c r="AC393" s="3">
        <f>IFERROR(INDEX(EVENTOS!$D:$D,MATCH(SCORE!AC$2&amp;" "&amp;SCORE!$D393,EVENTOS!$F:$F,0)),0)</f>
        <v>0</v>
      </c>
      <c r="AD393" s="3">
        <f>IFERROR(INDEX(EVENTOS!$D:$D,MATCH(SCORE!AD$2&amp;" "&amp;SCORE!$D393,EVENTOS!$F:$F,0)),0)</f>
        <v>0</v>
      </c>
      <c r="AE393" s="3">
        <f t="shared" si="18"/>
        <v>0</v>
      </c>
      <c r="AF393" s="10" t="e">
        <f t="shared" si="19"/>
        <v>#N/A</v>
      </c>
      <c r="AG393" s="3" t="str">
        <f t="shared" si="20"/>
        <v/>
      </c>
    </row>
    <row r="394" spans="1:33" x14ac:dyDescent="0.25">
      <c r="A394" s="7"/>
      <c r="B394" s="8"/>
      <c r="C394" s="3"/>
      <c r="D394" s="3"/>
      <c r="E394" s="3" t="e">
        <f>VLOOKUP(D394,VIAJES!$D:$E,2,FALSE)</f>
        <v>#N/A</v>
      </c>
      <c r="F394" s="9" t="e">
        <f>VLOOKUP(D394,VIAJES!$D:$F,3,FALSE)</f>
        <v>#N/A</v>
      </c>
      <c r="G394" s="9" t="e">
        <f>VLOOKUP(D394,VIAJES!$D:$G,4,FALSE)</f>
        <v>#N/A</v>
      </c>
      <c r="H394" s="3" t="e">
        <f>VLOOKUP(D394,VIAJES!$D:$H,5,FALSE)</f>
        <v>#N/A</v>
      </c>
      <c r="S394" s="3">
        <f>IFERROR(INDEX(EVENTOS!$D:$D,MATCH(SCORE!S$2&amp;" "&amp;SCORE!$D394,EVENTOS!$F:$F,0)),0)</f>
        <v>0</v>
      </c>
      <c r="T394" s="3">
        <f>IFERROR(INDEX(EVENTOS!$D:$D,MATCH(SCORE!T$2&amp;" "&amp;SCORE!$D394,EVENTOS!$F:$F,0)),0)</f>
        <v>0</v>
      </c>
      <c r="U394" s="3">
        <f>IFERROR(INDEX(EVENTOS!$D:$D,MATCH(SCORE!U$2&amp;" "&amp;SCORE!$D394,EVENTOS!$F:$F,0)),0)</f>
        <v>0</v>
      </c>
      <c r="V394" s="3">
        <f>IFERROR(INDEX(EVENTOS!$D:$D,MATCH(SCORE!V$2&amp;" "&amp;SCORE!$D394,EVENTOS!$F:$F,0)),0)</f>
        <v>0</v>
      </c>
      <c r="W394" s="3">
        <f>IFERROR(INDEX(EVENTOS!$D:$D,MATCH(SCORE!W$2&amp;" "&amp;SCORE!$D394,EVENTOS!$F:$F,0)),0)</f>
        <v>0</v>
      </c>
      <c r="X394" s="3">
        <f>IFERROR(INDEX(EVENTOS!$D:$D,MATCH(SCORE!X$2&amp;" "&amp;SCORE!$D394,EVENTOS!$F:$F,0)),0)</f>
        <v>0</v>
      </c>
      <c r="Y394" s="3">
        <f>SUMIFS(EVENTOS!$D:$D, EVENTOS!$B:$B, D394, EVENTOS!$E:$E, "*GirAlto*")</f>
        <v>0</v>
      </c>
      <c r="Z394" s="3">
        <f>SUMIFS(EVENTOS!$D:$D, EVENTOS!$B:$B, D394, EVENTOS!$E:$E, "*GirMed*")</f>
        <v>0</v>
      </c>
      <c r="AA394" s="3">
        <f>SUMIFS(EVENTOS!$D:$D, EVENTOS!$B:$B, D394, EVENTOS!$E:$E, "*GirBajo*")</f>
        <v>0</v>
      </c>
      <c r="AB394" s="3">
        <f>IFERROR(INDEX(EVENTOS!$D:$D,MATCH(SCORE!AB$2&amp;" "&amp;SCORE!$D394,EVENTOS!$F:$F,0)),0)</f>
        <v>0</v>
      </c>
      <c r="AC394" s="3">
        <f>IFERROR(INDEX(EVENTOS!$D:$D,MATCH(SCORE!AC$2&amp;" "&amp;SCORE!$D394,EVENTOS!$F:$F,0)),0)</f>
        <v>0</v>
      </c>
      <c r="AD394" s="3">
        <f>IFERROR(INDEX(EVENTOS!$D:$D,MATCH(SCORE!AD$2&amp;" "&amp;SCORE!$D394,EVENTOS!$F:$F,0)),0)</f>
        <v>0</v>
      </c>
      <c r="AE394" s="3">
        <f t="shared" si="18"/>
        <v>0</v>
      </c>
      <c r="AF394" s="10" t="e">
        <f t="shared" si="19"/>
        <v>#N/A</v>
      </c>
      <c r="AG394" s="3" t="str">
        <f t="shared" si="20"/>
        <v/>
      </c>
    </row>
    <row r="395" spans="1:33" x14ac:dyDescent="0.25">
      <c r="A395" s="7"/>
      <c r="B395" s="8"/>
      <c r="C395" s="3"/>
      <c r="D395" s="3"/>
      <c r="E395" s="3" t="e">
        <f>VLOOKUP(D395,VIAJES!$D:$E,2,FALSE)</f>
        <v>#N/A</v>
      </c>
      <c r="F395" s="9" t="e">
        <f>VLOOKUP(D395,VIAJES!$D:$F,3,FALSE)</f>
        <v>#N/A</v>
      </c>
      <c r="G395" s="9" t="e">
        <f>VLOOKUP(D395,VIAJES!$D:$G,4,FALSE)</f>
        <v>#N/A</v>
      </c>
      <c r="H395" s="3" t="e">
        <f>VLOOKUP(D395,VIAJES!$D:$H,5,FALSE)</f>
        <v>#N/A</v>
      </c>
      <c r="S395" s="3">
        <f>IFERROR(INDEX(EVENTOS!$D:$D,MATCH(SCORE!S$2&amp;" "&amp;SCORE!$D395,EVENTOS!$F:$F,0)),0)</f>
        <v>0</v>
      </c>
      <c r="T395" s="3">
        <f>IFERROR(INDEX(EVENTOS!$D:$D,MATCH(SCORE!T$2&amp;" "&amp;SCORE!$D395,EVENTOS!$F:$F,0)),0)</f>
        <v>0</v>
      </c>
      <c r="U395" s="3">
        <f>IFERROR(INDEX(EVENTOS!$D:$D,MATCH(SCORE!U$2&amp;" "&amp;SCORE!$D395,EVENTOS!$F:$F,0)),0)</f>
        <v>0</v>
      </c>
      <c r="V395" s="3">
        <f>IFERROR(INDEX(EVENTOS!$D:$D,MATCH(SCORE!V$2&amp;" "&amp;SCORE!$D395,EVENTOS!$F:$F,0)),0)</f>
        <v>0</v>
      </c>
      <c r="W395" s="3">
        <f>IFERROR(INDEX(EVENTOS!$D:$D,MATCH(SCORE!W$2&amp;" "&amp;SCORE!$D395,EVENTOS!$F:$F,0)),0)</f>
        <v>0</v>
      </c>
      <c r="X395" s="3">
        <f>IFERROR(INDEX(EVENTOS!$D:$D,MATCH(SCORE!X$2&amp;" "&amp;SCORE!$D395,EVENTOS!$F:$F,0)),0)</f>
        <v>0</v>
      </c>
      <c r="Y395" s="3">
        <f>SUMIFS(EVENTOS!$D:$D, EVENTOS!$B:$B, D395, EVENTOS!$E:$E, "*GirAlto*")</f>
        <v>0</v>
      </c>
      <c r="Z395" s="3">
        <f>SUMIFS(EVENTOS!$D:$D, EVENTOS!$B:$B, D395, EVENTOS!$E:$E, "*GirMed*")</f>
        <v>0</v>
      </c>
      <c r="AA395" s="3">
        <f>SUMIFS(EVENTOS!$D:$D, EVENTOS!$B:$B, D395, EVENTOS!$E:$E, "*GirBajo*")</f>
        <v>0</v>
      </c>
      <c r="AB395" s="3">
        <f>IFERROR(INDEX(EVENTOS!$D:$D,MATCH(SCORE!AB$2&amp;" "&amp;SCORE!$D395,EVENTOS!$F:$F,0)),0)</f>
        <v>0</v>
      </c>
      <c r="AC395" s="3">
        <f>IFERROR(INDEX(EVENTOS!$D:$D,MATCH(SCORE!AC$2&amp;" "&amp;SCORE!$D395,EVENTOS!$F:$F,0)),0)</f>
        <v>0</v>
      </c>
      <c r="AD395" s="3">
        <f>IFERROR(INDEX(EVENTOS!$D:$D,MATCH(SCORE!AD$2&amp;" "&amp;SCORE!$D395,EVENTOS!$F:$F,0)),0)</f>
        <v>0</v>
      </c>
      <c r="AE395" s="3">
        <f t="shared" si="18"/>
        <v>0</v>
      </c>
      <c r="AF395" s="10" t="e">
        <f t="shared" si="19"/>
        <v>#N/A</v>
      </c>
      <c r="AG395" s="3" t="str">
        <f t="shared" si="20"/>
        <v/>
      </c>
    </row>
    <row r="396" spans="1:33" x14ac:dyDescent="0.25">
      <c r="A396" s="7"/>
      <c r="B396" s="8"/>
      <c r="C396" s="3"/>
      <c r="D396" s="3"/>
      <c r="E396" s="3" t="e">
        <f>VLOOKUP(D396,VIAJES!$D:$E,2,FALSE)</f>
        <v>#N/A</v>
      </c>
      <c r="F396" s="9" t="e">
        <f>VLOOKUP(D396,VIAJES!$D:$F,3,FALSE)</f>
        <v>#N/A</v>
      </c>
      <c r="G396" s="9" t="e">
        <f>VLOOKUP(D396,VIAJES!$D:$G,4,FALSE)</f>
        <v>#N/A</v>
      </c>
      <c r="H396" s="3" t="e">
        <f>VLOOKUP(D396,VIAJES!$D:$H,5,FALSE)</f>
        <v>#N/A</v>
      </c>
      <c r="S396" s="3">
        <f>IFERROR(INDEX(EVENTOS!$D:$D,MATCH(SCORE!S$2&amp;" "&amp;SCORE!$D396,EVENTOS!$F:$F,0)),0)</f>
        <v>0</v>
      </c>
      <c r="T396" s="3">
        <f>IFERROR(INDEX(EVENTOS!$D:$D,MATCH(SCORE!T$2&amp;" "&amp;SCORE!$D396,EVENTOS!$F:$F,0)),0)</f>
        <v>0</v>
      </c>
      <c r="U396" s="3">
        <f>IFERROR(INDEX(EVENTOS!$D:$D,MATCH(SCORE!U$2&amp;" "&amp;SCORE!$D396,EVENTOS!$F:$F,0)),0)</f>
        <v>0</v>
      </c>
      <c r="V396" s="3">
        <f>IFERROR(INDEX(EVENTOS!$D:$D,MATCH(SCORE!V$2&amp;" "&amp;SCORE!$D396,EVENTOS!$F:$F,0)),0)</f>
        <v>0</v>
      </c>
      <c r="W396" s="3">
        <f>IFERROR(INDEX(EVENTOS!$D:$D,MATCH(SCORE!W$2&amp;" "&amp;SCORE!$D396,EVENTOS!$F:$F,0)),0)</f>
        <v>0</v>
      </c>
      <c r="X396" s="3">
        <f>IFERROR(INDEX(EVENTOS!$D:$D,MATCH(SCORE!X$2&amp;" "&amp;SCORE!$D396,EVENTOS!$F:$F,0)),0)</f>
        <v>0</v>
      </c>
      <c r="Y396" s="3">
        <f>SUMIFS(EVENTOS!$D:$D, EVENTOS!$B:$B, D396, EVENTOS!$E:$E, "*GirAlto*")</f>
        <v>0</v>
      </c>
      <c r="Z396" s="3">
        <f>SUMIFS(EVENTOS!$D:$D, EVENTOS!$B:$B, D396, EVENTOS!$E:$E, "*GirMed*")</f>
        <v>0</v>
      </c>
      <c r="AA396" s="3">
        <f>SUMIFS(EVENTOS!$D:$D, EVENTOS!$B:$B, D396, EVENTOS!$E:$E, "*GirBajo*")</f>
        <v>0</v>
      </c>
      <c r="AB396" s="3">
        <f>IFERROR(INDEX(EVENTOS!$D:$D,MATCH(SCORE!AB$2&amp;" "&amp;SCORE!$D396,EVENTOS!$F:$F,0)),0)</f>
        <v>0</v>
      </c>
      <c r="AC396" s="3">
        <f>IFERROR(INDEX(EVENTOS!$D:$D,MATCH(SCORE!AC$2&amp;" "&amp;SCORE!$D396,EVENTOS!$F:$F,0)),0)</f>
        <v>0</v>
      </c>
      <c r="AD396" s="3">
        <f>IFERROR(INDEX(EVENTOS!$D:$D,MATCH(SCORE!AD$2&amp;" "&amp;SCORE!$D396,EVENTOS!$F:$F,0)),0)</f>
        <v>0</v>
      </c>
      <c r="AE396" s="3">
        <f t="shared" si="18"/>
        <v>0</v>
      </c>
      <c r="AF396" s="10" t="e">
        <f t="shared" si="19"/>
        <v>#N/A</v>
      </c>
      <c r="AG396" s="3" t="str">
        <f t="shared" si="20"/>
        <v/>
      </c>
    </row>
    <row r="397" spans="1:33" x14ac:dyDescent="0.25">
      <c r="A397" s="7"/>
      <c r="B397" s="8"/>
      <c r="C397" s="3"/>
      <c r="D397" s="3"/>
      <c r="E397" s="3" t="e">
        <f>VLOOKUP(D397,VIAJES!$D:$E,2,FALSE)</f>
        <v>#N/A</v>
      </c>
      <c r="F397" s="9" t="e">
        <f>VLOOKUP(D397,VIAJES!$D:$F,3,FALSE)</f>
        <v>#N/A</v>
      </c>
      <c r="G397" s="9" t="e">
        <f>VLOOKUP(D397,VIAJES!$D:$G,4,FALSE)</f>
        <v>#N/A</v>
      </c>
      <c r="H397" s="3" t="e">
        <f>VLOOKUP(D397,VIAJES!$D:$H,5,FALSE)</f>
        <v>#N/A</v>
      </c>
      <c r="S397" s="3">
        <f>IFERROR(INDEX(EVENTOS!$D:$D,MATCH(SCORE!S$2&amp;" "&amp;SCORE!$D397,EVENTOS!$F:$F,0)),0)</f>
        <v>0</v>
      </c>
      <c r="T397" s="3">
        <f>IFERROR(INDEX(EVENTOS!$D:$D,MATCH(SCORE!T$2&amp;" "&amp;SCORE!$D397,EVENTOS!$F:$F,0)),0)</f>
        <v>0</v>
      </c>
      <c r="U397" s="3">
        <f>IFERROR(INDEX(EVENTOS!$D:$D,MATCH(SCORE!U$2&amp;" "&amp;SCORE!$D397,EVENTOS!$F:$F,0)),0)</f>
        <v>0</v>
      </c>
      <c r="V397" s="3">
        <f>IFERROR(INDEX(EVENTOS!$D:$D,MATCH(SCORE!V$2&amp;" "&amp;SCORE!$D397,EVENTOS!$F:$F,0)),0)</f>
        <v>0</v>
      </c>
      <c r="W397" s="3">
        <f>IFERROR(INDEX(EVENTOS!$D:$D,MATCH(SCORE!W$2&amp;" "&amp;SCORE!$D397,EVENTOS!$F:$F,0)),0)</f>
        <v>0</v>
      </c>
      <c r="X397" s="3">
        <f>IFERROR(INDEX(EVENTOS!$D:$D,MATCH(SCORE!X$2&amp;" "&amp;SCORE!$D397,EVENTOS!$F:$F,0)),0)</f>
        <v>0</v>
      </c>
      <c r="Y397" s="3">
        <f>SUMIFS(EVENTOS!$D:$D, EVENTOS!$B:$B, D397, EVENTOS!$E:$E, "*GirAlto*")</f>
        <v>0</v>
      </c>
      <c r="Z397" s="3">
        <f>SUMIFS(EVENTOS!$D:$D, EVENTOS!$B:$B, D397, EVENTOS!$E:$E, "*GirMed*")</f>
        <v>0</v>
      </c>
      <c r="AA397" s="3">
        <f>SUMIFS(EVENTOS!$D:$D, EVENTOS!$B:$B, D397, EVENTOS!$E:$E, "*GirBajo*")</f>
        <v>0</v>
      </c>
      <c r="AB397" s="3">
        <f>IFERROR(INDEX(EVENTOS!$D:$D,MATCH(SCORE!AB$2&amp;" "&amp;SCORE!$D397,EVENTOS!$F:$F,0)),0)</f>
        <v>0</v>
      </c>
      <c r="AC397" s="3">
        <f>IFERROR(INDEX(EVENTOS!$D:$D,MATCH(SCORE!AC$2&amp;" "&amp;SCORE!$D397,EVENTOS!$F:$F,0)),0)</f>
        <v>0</v>
      </c>
      <c r="AD397" s="3">
        <f>IFERROR(INDEX(EVENTOS!$D:$D,MATCH(SCORE!AD$2&amp;" "&amp;SCORE!$D397,EVENTOS!$F:$F,0)),0)</f>
        <v>0</v>
      </c>
      <c r="AE397" s="3">
        <f t="shared" si="18"/>
        <v>0</v>
      </c>
      <c r="AF397" s="10" t="e">
        <f t="shared" si="19"/>
        <v>#N/A</v>
      </c>
      <c r="AG397" s="3" t="str">
        <f t="shared" si="20"/>
        <v/>
      </c>
    </row>
    <row r="398" spans="1:33" x14ac:dyDescent="0.25">
      <c r="A398" s="7"/>
      <c r="B398" s="8"/>
      <c r="C398" s="3"/>
      <c r="D398" s="3"/>
      <c r="E398" s="3" t="e">
        <f>VLOOKUP(D398,VIAJES!$D:$E,2,FALSE)</f>
        <v>#N/A</v>
      </c>
      <c r="F398" s="9" t="e">
        <f>VLOOKUP(D398,VIAJES!$D:$F,3,FALSE)</f>
        <v>#N/A</v>
      </c>
      <c r="G398" s="9" t="e">
        <f>VLOOKUP(D398,VIAJES!$D:$G,4,FALSE)</f>
        <v>#N/A</v>
      </c>
      <c r="H398" s="3" t="e">
        <f>VLOOKUP(D398,VIAJES!$D:$H,5,FALSE)</f>
        <v>#N/A</v>
      </c>
      <c r="S398" s="3">
        <f>IFERROR(INDEX(EVENTOS!$D:$D,MATCH(SCORE!S$2&amp;" "&amp;SCORE!$D398,EVENTOS!$F:$F,0)),0)</f>
        <v>0</v>
      </c>
      <c r="T398" s="3">
        <f>IFERROR(INDEX(EVENTOS!$D:$D,MATCH(SCORE!T$2&amp;" "&amp;SCORE!$D398,EVENTOS!$F:$F,0)),0)</f>
        <v>0</v>
      </c>
      <c r="U398" s="3">
        <f>IFERROR(INDEX(EVENTOS!$D:$D,MATCH(SCORE!U$2&amp;" "&amp;SCORE!$D398,EVENTOS!$F:$F,0)),0)</f>
        <v>0</v>
      </c>
      <c r="V398" s="3">
        <f>IFERROR(INDEX(EVENTOS!$D:$D,MATCH(SCORE!V$2&amp;" "&amp;SCORE!$D398,EVENTOS!$F:$F,0)),0)</f>
        <v>0</v>
      </c>
      <c r="W398" s="3">
        <f>IFERROR(INDEX(EVENTOS!$D:$D,MATCH(SCORE!W$2&amp;" "&amp;SCORE!$D398,EVENTOS!$F:$F,0)),0)</f>
        <v>0</v>
      </c>
      <c r="X398" s="3">
        <f>IFERROR(INDEX(EVENTOS!$D:$D,MATCH(SCORE!X$2&amp;" "&amp;SCORE!$D398,EVENTOS!$F:$F,0)),0)</f>
        <v>0</v>
      </c>
      <c r="Y398" s="3">
        <f>SUMIFS(EVENTOS!$D:$D, EVENTOS!$B:$B, D398, EVENTOS!$E:$E, "*GirAlto*")</f>
        <v>0</v>
      </c>
      <c r="Z398" s="3">
        <f>SUMIFS(EVENTOS!$D:$D, EVENTOS!$B:$B, D398, EVENTOS!$E:$E, "*GirMed*")</f>
        <v>0</v>
      </c>
      <c r="AA398" s="3">
        <f>SUMIFS(EVENTOS!$D:$D, EVENTOS!$B:$B, D398, EVENTOS!$E:$E, "*GirBajo*")</f>
        <v>0</v>
      </c>
      <c r="AB398" s="3">
        <f>IFERROR(INDEX(EVENTOS!$D:$D,MATCH(SCORE!AB$2&amp;" "&amp;SCORE!$D398,EVENTOS!$F:$F,0)),0)</f>
        <v>0</v>
      </c>
      <c r="AC398" s="3">
        <f>IFERROR(INDEX(EVENTOS!$D:$D,MATCH(SCORE!AC$2&amp;" "&amp;SCORE!$D398,EVENTOS!$F:$F,0)),0)</f>
        <v>0</v>
      </c>
      <c r="AD398" s="3">
        <f>IFERROR(INDEX(EVENTOS!$D:$D,MATCH(SCORE!AD$2&amp;" "&amp;SCORE!$D398,EVENTOS!$F:$F,0)),0)</f>
        <v>0</v>
      </c>
      <c r="AE398" s="3">
        <f t="shared" si="18"/>
        <v>0</v>
      </c>
      <c r="AF398" s="10" t="e">
        <f t="shared" si="19"/>
        <v>#N/A</v>
      </c>
      <c r="AG398" s="3" t="str">
        <f t="shared" si="20"/>
        <v/>
      </c>
    </row>
    <row r="399" spans="1:33" x14ac:dyDescent="0.25">
      <c r="A399" s="7"/>
      <c r="B399" s="8"/>
      <c r="C399" s="3"/>
      <c r="D399" s="3"/>
      <c r="E399" s="3" t="e">
        <f>VLOOKUP(D399,VIAJES!$D:$E,2,FALSE)</f>
        <v>#N/A</v>
      </c>
      <c r="F399" s="9" t="e">
        <f>VLOOKUP(D399,VIAJES!$D:$F,3,FALSE)</f>
        <v>#N/A</v>
      </c>
      <c r="G399" s="9" t="e">
        <f>VLOOKUP(D399,VIAJES!$D:$G,4,FALSE)</f>
        <v>#N/A</v>
      </c>
      <c r="H399" s="3" t="e">
        <f>VLOOKUP(D399,VIAJES!$D:$H,5,FALSE)</f>
        <v>#N/A</v>
      </c>
      <c r="S399" s="3">
        <f>IFERROR(INDEX(EVENTOS!$D:$D,MATCH(SCORE!S$2&amp;" "&amp;SCORE!$D399,EVENTOS!$F:$F,0)),0)</f>
        <v>0</v>
      </c>
      <c r="T399" s="3">
        <f>IFERROR(INDEX(EVENTOS!$D:$D,MATCH(SCORE!T$2&amp;" "&amp;SCORE!$D399,EVENTOS!$F:$F,0)),0)</f>
        <v>0</v>
      </c>
      <c r="U399" s="3">
        <f>IFERROR(INDEX(EVENTOS!$D:$D,MATCH(SCORE!U$2&amp;" "&amp;SCORE!$D399,EVENTOS!$F:$F,0)),0)</f>
        <v>0</v>
      </c>
      <c r="V399" s="3">
        <f>IFERROR(INDEX(EVENTOS!$D:$D,MATCH(SCORE!V$2&amp;" "&amp;SCORE!$D399,EVENTOS!$F:$F,0)),0)</f>
        <v>0</v>
      </c>
      <c r="W399" s="3">
        <f>IFERROR(INDEX(EVENTOS!$D:$D,MATCH(SCORE!W$2&amp;" "&amp;SCORE!$D399,EVENTOS!$F:$F,0)),0)</f>
        <v>0</v>
      </c>
      <c r="X399" s="3">
        <f>IFERROR(INDEX(EVENTOS!$D:$D,MATCH(SCORE!X$2&amp;" "&amp;SCORE!$D399,EVENTOS!$F:$F,0)),0)</f>
        <v>0</v>
      </c>
      <c r="Y399" s="3">
        <f>SUMIFS(EVENTOS!$D:$D, EVENTOS!$B:$B, D399, EVENTOS!$E:$E, "*GirAlto*")</f>
        <v>0</v>
      </c>
      <c r="Z399" s="3">
        <f>SUMIFS(EVENTOS!$D:$D, EVENTOS!$B:$B, D399, EVENTOS!$E:$E, "*GirMed*")</f>
        <v>0</v>
      </c>
      <c r="AA399" s="3">
        <f>SUMIFS(EVENTOS!$D:$D, EVENTOS!$B:$B, D399, EVENTOS!$E:$E, "*GirBajo*")</f>
        <v>0</v>
      </c>
      <c r="AB399" s="3">
        <f>IFERROR(INDEX(EVENTOS!$D:$D,MATCH(SCORE!AB$2&amp;" "&amp;SCORE!$D399,EVENTOS!$F:$F,0)),0)</f>
        <v>0</v>
      </c>
      <c r="AC399" s="3">
        <f>IFERROR(INDEX(EVENTOS!$D:$D,MATCH(SCORE!AC$2&amp;" "&amp;SCORE!$D399,EVENTOS!$F:$F,0)),0)</f>
        <v>0</v>
      </c>
      <c r="AD399" s="3">
        <f>IFERROR(INDEX(EVENTOS!$D:$D,MATCH(SCORE!AD$2&amp;" "&amp;SCORE!$D399,EVENTOS!$F:$F,0)),0)</f>
        <v>0</v>
      </c>
      <c r="AE399" s="3">
        <f t="shared" si="18"/>
        <v>0</v>
      </c>
      <c r="AF399" s="10" t="e">
        <f t="shared" si="19"/>
        <v>#N/A</v>
      </c>
      <c r="AG399" s="3" t="str">
        <f t="shared" si="20"/>
        <v/>
      </c>
    </row>
    <row r="400" spans="1:33" x14ac:dyDescent="0.25">
      <c r="A400" s="7"/>
      <c r="B400" s="8"/>
      <c r="C400" s="3"/>
      <c r="D400" s="3"/>
      <c r="E400" s="3" t="e">
        <f>VLOOKUP(D400,VIAJES!$D:$E,2,FALSE)</f>
        <v>#N/A</v>
      </c>
      <c r="F400" s="9" t="e">
        <f>VLOOKUP(D400,VIAJES!$D:$F,3,FALSE)</f>
        <v>#N/A</v>
      </c>
      <c r="G400" s="9" t="e">
        <f>VLOOKUP(D400,VIAJES!$D:$G,4,FALSE)</f>
        <v>#N/A</v>
      </c>
      <c r="H400" s="3" t="e">
        <f>VLOOKUP(D400,VIAJES!$D:$H,5,FALSE)</f>
        <v>#N/A</v>
      </c>
      <c r="S400" s="3">
        <f>IFERROR(INDEX(EVENTOS!$D:$D,MATCH(SCORE!S$2&amp;" "&amp;SCORE!$D400,EVENTOS!$F:$F,0)),0)</f>
        <v>0</v>
      </c>
      <c r="T400" s="3">
        <f>IFERROR(INDEX(EVENTOS!$D:$D,MATCH(SCORE!T$2&amp;" "&amp;SCORE!$D400,EVENTOS!$F:$F,0)),0)</f>
        <v>0</v>
      </c>
      <c r="U400" s="3">
        <f>IFERROR(INDEX(EVENTOS!$D:$D,MATCH(SCORE!U$2&amp;" "&amp;SCORE!$D400,EVENTOS!$F:$F,0)),0)</f>
        <v>0</v>
      </c>
      <c r="V400" s="3">
        <f>IFERROR(INDEX(EVENTOS!$D:$D,MATCH(SCORE!V$2&amp;" "&amp;SCORE!$D400,EVENTOS!$F:$F,0)),0)</f>
        <v>0</v>
      </c>
      <c r="W400" s="3">
        <f>IFERROR(INDEX(EVENTOS!$D:$D,MATCH(SCORE!W$2&amp;" "&amp;SCORE!$D400,EVENTOS!$F:$F,0)),0)</f>
        <v>0</v>
      </c>
      <c r="X400" s="3">
        <f>IFERROR(INDEX(EVENTOS!$D:$D,MATCH(SCORE!X$2&amp;" "&amp;SCORE!$D400,EVENTOS!$F:$F,0)),0)</f>
        <v>0</v>
      </c>
      <c r="Y400" s="3">
        <f>SUMIFS(EVENTOS!$D:$D, EVENTOS!$B:$B, D400, EVENTOS!$E:$E, "*GirAlto*")</f>
        <v>0</v>
      </c>
      <c r="Z400" s="3">
        <f>SUMIFS(EVENTOS!$D:$D, EVENTOS!$B:$B, D400, EVENTOS!$E:$E, "*GirMed*")</f>
        <v>0</v>
      </c>
      <c r="AA400" s="3">
        <f>SUMIFS(EVENTOS!$D:$D, EVENTOS!$B:$B, D400, EVENTOS!$E:$E, "*GirBajo*")</f>
        <v>0</v>
      </c>
      <c r="AB400" s="3">
        <f>IFERROR(INDEX(EVENTOS!$D:$D,MATCH(SCORE!AB$2&amp;" "&amp;SCORE!$D400,EVENTOS!$F:$F,0)),0)</f>
        <v>0</v>
      </c>
      <c r="AC400" s="3">
        <f>IFERROR(INDEX(EVENTOS!$D:$D,MATCH(SCORE!AC$2&amp;" "&amp;SCORE!$D400,EVENTOS!$F:$F,0)),0)</f>
        <v>0</v>
      </c>
      <c r="AD400" s="3">
        <f>IFERROR(INDEX(EVENTOS!$D:$D,MATCH(SCORE!AD$2&amp;" "&amp;SCORE!$D400,EVENTOS!$F:$F,0)),0)</f>
        <v>0</v>
      </c>
      <c r="AE400" s="3">
        <f t="shared" si="18"/>
        <v>0</v>
      </c>
      <c r="AF400" s="10" t="e">
        <f t="shared" si="19"/>
        <v>#N/A</v>
      </c>
      <c r="AG400" s="3" t="str">
        <f t="shared" si="20"/>
        <v/>
      </c>
    </row>
    <row r="401" spans="1:33" x14ac:dyDescent="0.25">
      <c r="A401" s="7"/>
      <c r="B401" s="8"/>
      <c r="C401" s="3"/>
      <c r="D401" s="3"/>
      <c r="E401" s="3" t="e">
        <f>VLOOKUP(D401,VIAJES!$D:$E,2,FALSE)</f>
        <v>#N/A</v>
      </c>
      <c r="F401" s="9" t="e">
        <f>VLOOKUP(D401,VIAJES!$D:$F,3,FALSE)</f>
        <v>#N/A</v>
      </c>
      <c r="G401" s="9" t="e">
        <f>VLOOKUP(D401,VIAJES!$D:$G,4,FALSE)</f>
        <v>#N/A</v>
      </c>
      <c r="H401" s="3" t="e">
        <f>VLOOKUP(D401,VIAJES!$D:$H,5,FALSE)</f>
        <v>#N/A</v>
      </c>
      <c r="S401" s="3">
        <f>IFERROR(INDEX(EVENTOS!$D:$D,MATCH(SCORE!S$2&amp;" "&amp;SCORE!$D401,EVENTOS!$F:$F,0)),0)</f>
        <v>0</v>
      </c>
      <c r="T401" s="3">
        <f>IFERROR(INDEX(EVENTOS!$D:$D,MATCH(SCORE!T$2&amp;" "&amp;SCORE!$D401,EVENTOS!$F:$F,0)),0)</f>
        <v>0</v>
      </c>
      <c r="U401" s="3">
        <f>IFERROR(INDEX(EVENTOS!$D:$D,MATCH(SCORE!U$2&amp;" "&amp;SCORE!$D401,EVENTOS!$F:$F,0)),0)</f>
        <v>0</v>
      </c>
      <c r="V401" s="3">
        <f>IFERROR(INDEX(EVENTOS!$D:$D,MATCH(SCORE!V$2&amp;" "&amp;SCORE!$D401,EVENTOS!$F:$F,0)),0)</f>
        <v>0</v>
      </c>
      <c r="W401" s="3">
        <f>IFERROR(INDEX(EVENTOS!$D:$D,MATCH(SCORE!W$2&amp;" "&amp;SCORE!$D401,EVENTOS!$F:$F,0)),0)</f>
        <v>0</v>
      </c>
      <c r="X401" s="3">
        <f>IFERROR(INDEX(EVENTOS!$D:$D,MATCH(SCORE!X$2&amp;" "&amp;SCORE!$D401,EVENTOS!$F:$F,0)),0)</f>
        <v>0</v>
      </c>
      <c r="Y401" s="3">
        <f>SUMIFS(EVENTOS!$D:$D, EVENTOS!$B:$B, D401, EVENTOS!$E:$E, "*GirAlto*")</f>
        <v>0</v>
      </c>
      <c r="Z401" s="3">
        <f>SUMIFS(EVENTOS!$D:$D, EVENTOS!$B:$B, D401, EVENTOS!$E:$E, "*GirMed*")</f>
        <v>0</v>
      </c>
      <c r="AA401" s="3">
        <f>SUMIFS(EVENTOS!$D:$D, EVENTOS!$B:$B, D401, EVENTOS!$E:$E, "*GirBajo*")</f>
        <v>0</v>
      </c>
      <c r="AB401" s="3">
        <f>IFERROR(INDEX(EVENTOS!$D:$D,MATCH(SCORE!AB$2&amp;" "&amp;SCORE!$D401,EVENTOS!$F:$F,0)),0)</f>
        <v>0</v>
      </c>
      <c r="AC401" s="3">
        <f>IFERROR(INDEX(EVENTOS!$D:$D,MATCH(SCORE!AC$2&amp;" "&amp;SCORE!$D401,EVENTOS!$F:$F,0)),0)</f>
        <v>0</v>
      </c>
      <c r="AD401" s="3">
        <f>IFERROR(INDEX(EVENTOS!$D:$D,MATCH(SCORE!AD$2&amp;" "&amp;SCORE!$D401,EVENTOS!$F:$F,0)),0)</f>
        <v>0</v>
      </c>
      <c r="AE401" s="3">
        <f t="shared" si="18"/>
        <v>0</v>
      </c>
      <c r="AF401" s="10" t="e">
        <f t="shared" si="19"/>
        <v>#N/A</v>
      </c>
      <c r="AG401" s="3" t="str">
        <f t="shared" si="20"/>
        <v/>
      </c>
    </row>
    <row r="402" spans="1:33" x14ac:dyDescent="0.25">
      <c r="A402" s="7"/>
      <c r="B402" s="8"/>
      <c r="C402" s="3"/>
      <c r="D402" s="3"/>
      <c r="E402" s="3" t="e">
        <f>VLOOKUP(D402,VIAJES!$D:$E,2,FALSE)</f>
        <v>#N/A</v>
      </c>
      <c r="F402" s="9" t="e">
        <f>VLOOKUP(D402,VIAJES!$D:$F,3,FALSE)</f>
        <v>#N/A</v>
      </c>
      <c r="G402" s="9" t="e">
        <f>VLOOKUP(D402,VIAJES!$D:$G,4,FALSE)</f>
        <v>#N/A</v>
      </c>
      <c r="H402" s="3" t="e">
        <f>VLOOKUP(D402,VIAJES!$D:$H,5,FALSE)</f>
        <v>#N/A</v>
      </c>
      <c r="S402" s="3">
        <f>IFERROR(INDEX(EVENTOS!$D:$D,MATCH(SCORE!S$2&amp;" "&amp;SCORE!$D402,EVENTOS!$F:$F,0)),0)</f>
        <v>0</v>
      </c>
      <c r="T402" s="3">
        <f>IFERROR(INDEX(EVENTOS!$D:$D,MATCH(SCORE!T$2&amp;" "&amp;SCORE!$D402,EVENTOS!$F:$F,0)),0)</f>
        <v>0</v>
      </c>
      <c r="U402" s="3">
        <f>IFERROR(INDEX(EVENTOS!$D:$D,MATCH(SCORE!U$2&amp;" "&amp;SCORE!$D402,EVENTOS!$F:$F,0)),0)</f>
        <v>0</v>
      </c>
      <c r="V402" s="3">
        <f>IFERROR(INDEX(EVENTOS!$D:$D,MATCH(SCORE!V$2&amp;" "&amp;SCORE!$D402,EVENTOS!$F:$F,0)),0)</f>
        <v>0</v>
      </c>
      <c r="W402" s="3">
        <f>IFERROR(INDEX(EVENTOS!$D:$D,MATCH(SCORE!W$2&amp;" "&amp;SCORE!$D402,EVENTOS!$F:$F,0)),0)</f>
        <v>0</v>
      </c>
      <c r="X402" s="3">
        <f>IFERROR(INDEX(EVENTOS!$D:$D,MATCH(SCORE!X$2&amp;" "&amp;SCORE!$D402,EVENTOS!$F:$F,0)),0)</f>
        <v>0</v>
      </c>
      <c r="Y402" s="3">
        <f>SUMIFS(EVENTOS!$D:$D, EVENTOS!$B:$B, D402, EVENTOS!$E:$E, "*GirAlto*")</f>
        <v>0</v>
      </c>
      <c r="Z402" s="3">
        <f>SUMIFS(EVENTOS!$D:$D, EVENTOS!$B:$B, D402, EVENTOS!$E:$E, "*GirMed*")</f>
        <v>0</v>
      </c>
      <c r="AA402" s="3">
        <f>SUMIFS(EVENTOS!$D:$D, EVENTOS!$B:$B, D402, EVENTOS!$E:$E, "*GirBajo*")</f>
        <v>0</v>
      </c>
      <c r="AB402" s="3">
        <f>IFERROR(INDEX(EVENTOS!$D:$D,MATCH(SCORE!AB$2&amp;" "&amp;SCORE!$D402,EVENTOS!$F:$F,0)),0)</f>
        <v>0</v>
      </c>
      <c r="AC402" s="3">
        <f>IFERROR(INDEX(EVENTOS!$D:$D,MATCH(SCORE!AC$2&amp;" "&amp;SCORE!$D402,EVENTOS!$F:$F,0)),0)</f>
        <v>0</v>
      </c>
      <c r="AD402" s="3">
        <f>IFERROR(INDEX(EVENTOS!$D:$D,MATCH(SCORE!AD$2&amp;" "&amp;SCORE!$D402,EVENTOS!$F:$F,0)),0)</f>
        <v>0</v>
      </c>
      <c r="AE402" s="3">
        <f t="shared" si="18"/>
        <v>0</v>
      </c>
      <c r="AF402" s="10" t="e">
        <f t="shared" si="19"/>
        <v>#N/A</v>
      </c>
      <c r="AG402" s="3" t="str">
        <f t="shared" si="20"/>
        <v/>
      </c>
    </row>
    <row r="403" spans="1:33" x14ac:dyDescent="0.25">
      <c r="A403" s="7"/>
      <c r="B403" s="8"/>
      <c r="C403" s="3"/>
      <c r="D403" s="3"/>
      <c r="E403" s="3" t="e">
        <f>VLOOKUP(D403,VIAJES!$D:$E,2,FALSE)</f>
        <v>#N/A</v>
      </c>
      <c r="F403" s="9" t="e">
        <f>VLOOKUP(D403,VIAJES!$D:$F,3,FALSE)</f>
        <v>#N/A</v>
      </c>
      <c r="G403" s="9" t="e">
        <f>VLOOKUP(D403,VIAJES!$D:$G,4,FALSE)</f>
        <v>#N/A</v>
      </c>
      <c r="H403" s="3" t="e">
        <f>VLOOKUP(D403,VIAJES!$D:$H,5,FALSE)</f>
        <v>#N/A</v>
      </c>
      <c r="S403" s="3">
        <f>IFERROR(INDEX(EVENTOS!$D:$D,MATCH(SCORE!S$2&amp;" "&amp;SCORE!$D403,EVENTOS!$F:$F,0)),0)</f>
        <v>0</v>
      </c>
      <c r="T403" s="3">
        <f>IFERROR(INDEX(EVENTOS!$D:$D,MATCH(SCORE!T$2&amp;" "&amp;SCORE!$D403,EVENTOS!$F:$F,0)),0)</f>
        <v>0</v>
      </c>
      <c r="U403" s="3">
        <f>IFERROR(INDEX(EVENTOS!$D:$D,MATCH(SCORE!U$2&amp;" "&amp;SCORE!$D403,EVENTOS!$F:$F,0)),0)</f>
        <v>0</v>
      </c>
      <c r="V403" s="3">
        <f>IFERROR(INDEX(EVENTOS!$D:$D,MATCH(SCORE!V$2&amp;" "&amp;SCORE!$D403,EVENTOS!$F:$F,0)),0)</f>
        <v>0</v>
      </c>
      <c r="W403" s="3">
        <f>IFERROR(INDEX(EVENTOS!$D:$D,MATCH(SCORE!W$2&amp;" "&amp;SCORE!$D403,EVENTOS!$F:$F,0)),0)</f>
        <v>0</v>
      </c>
      <c r="X403" s="3">
        <f>IFERROR(INDEX(EVENTOS!$D:$D,MATCH(SCORE!X$2&amp;" "&amp;SCORE!$D403,EVENTOS!$F:$F,0)),0)</f>
        <v>0</v>
      </c>
      <c r="Y403" s="3">
        <f>SUMIFS(EVENTOS!$D:$D, EVENTOS!$B:$B, D403, EVENTOS!$E:$E, "*GirAlto*")</f>
        <v>0</v>
      </c>
      <c r="Z403" s="3">
        <f>SUMIFS(EVENTOS!$D:$D, EVENTOS!$B:$B, D403, EVENTOS!$E:$E, "*GirMed*")</f>
        <v>0</v>
      </c>
      <c r="AA403" s="3">
        <f>SUMIFS(EVENTOS!$D:$D, EVENTOS!$B:$B, D403, EVENTOS!$E:$E, "*GirBajo*")</f>
        <v>0</v>
      </c>
      <c r="AB403" s="3">
        <f>IFERROR(INDEX(EVENTOS!$D:$D,MATCH(SCORE!AB$2&amp;" "&amp;SCORE!$D403,EVENTOS!$F:$F,0)),0)</f>
        <v>0</v>
      </c>
      <c r="AC403" s="3">
        <f>IFERROR(INDEX(EVENTOS!$D:$D,MATCH(SCORE!AC$2&amp;" "&amp;SCORE!$D403,EVENTOS!$F:$F,0)),0)</f>
        <v>0</v>
      </c>
      <c r="AD403" s="3">
        <f>IFERROR(INDEX(EVENTOS!$D:$D,MATCH(SCORE!AD$2&amp;" "&amp;SCORE!$D403,EVENTOS!$F:$F,0)),0)</f>
        <v>0</v>
      </c>
      <c r="AE403" s="3">
        <f t="shared" si="18"/>
        <v>0</v>
      </c>
      <c r="AF403" s="10" t="e">
        <f t="shared" si="19"/>
        <v>#N/A</v>
      </c>
      <c r="AG403" s="3" t="str">
        <f t="shared" si="20"/>
        <v/>
      </c>
    </row>
    <row r="404" spans="1:33" x14ac:dyDescent="0.25">
      <c r="A404" s="7"/>
      <c r="B404" s="8"/>
      <c r="C404" s="3"/>
      <c r="D404" s="3"/>
      <c r="E404" s="3" t="e">
        <f>VLOOKUP(D404,VIAJES!$D:$E,2,FALSE)</f>
        <v>#N/A</v>
      </c>
      <c r="F404" s="9" t="e">
        <f>VLOOKUP(D404,VIAJES!$D:$F,3,FALSE)</f>
        <v>#N/A</v>
      </c>
      <c r="G404" s="9" t="e">
        <f>VLOOKUP(D404,VIAJES!$D:$G,4,FALSE)</f>
        <v>#N/A</v>
      </c>
      <c r="H404" s="3" t="e">
        <f>VLOOKUP(D404,VIAJES!$D:$H,5,FALSE)</f>
        <v>#N/A</v>
      </c>
      <c r="S404" s="3">
        <f>IFERROR(INDEX(EVENTOS!$D:$D,MATCH(SCORE!S$2&amp;" "&amp;SCORE!$D404,EVENTOS!$F:$F,0)),0)</f>
        <v>0</v>
      </c>
      <c r="T404" s="3">
        <f>IFERROR(INDEX(EVENTOS!$D:$D,MATCH(SCORE!T$2&amp;" "&amp;SCORE!$D404,EVENTOS!$F:$F,0)),0)</f>
        <v>0</v>
      </c>
      <c r="U404" s="3">
        <f>IFERROR(INDEX(EVENTOS!$D:$D,MATCH(SCORE!U$2&amp;" "&amp;SCORE!$D404,EVENTOS!$F:$F,0)),0)</f>
        <v>0</v>
      </c>
      <c r="V404" s="3">
        <f>IFERROR(INDEX(EVENTOS!$D:$D,MATCH(SCORE!V$2&amp;" "&amp;SCORE!$D404,EVENTOS!$F:$F,0)),0)</f>
        <v>0</v>
      </c>
      <c r="W404" s="3">
        <f>IFERROR(INDEX(EVENTOS!$D:$D,MATCH(SCORE!W$2&amp;" "&amp;SCORE!$D404,EVENTOS!$F:$F,0)),0)</f>
        <v>0</v>
      </c>
      <c r="X404" s="3">
        <f>IFERROR(INDEX(EVENTOS!$D:$D,MATCH(SCORE!X$2&amp;" "&amp;SCORE!$D404,EVENTOS!$F:$F,0)),0)</f>
        <v>0</v>
      </c>
      <c r="Y404" s="3">
        <f>SUMIFS(EVENTOS!$D:$D, EVENTOS!$B:$B, D404, EVENTOS!$E:$E, "*GirAlto*")</f>
        <v>0</v>
      </c>
      <c r="Z404" s="3">
        <f>SUMIFS(EVENTOS!$D:$D, EVENTOS!$B:$B, D404, EVENTOS!$E:$E, "*GirMed*")</f>
        <v>0</v>
      </c>
      <c r="AA404" s="3">
        <f>SUMIFS(EVENTOS!$D:$D, EVENTOS!$B:$B, D404, EVENTOS!$E:$E, "*GirBajo*")</f>
        <v>0</v>
      </c>
      <c r="AB404" s="3">
        <f>IFERROR(INDEX(EVENTOS!$D:$D,MATCH(SCORE!AB$2&amp;" "&amp;SCORE!$D404,EVENTOS!$F:$F,0)),0)</f>
        <v>0</v>
      </c>
      <c r="AC404" s="3">
        <f>IFERROR(INDEX(EVENTOS!$D:$D,MATCH(SCORE!AC$2&amp;" "&amp;SCORE!$D404,EVENTOS!$F:$F,0)),0)</f>
        <v>0</v>
      </c>
      <c r="AD404" s="3">
        <f>IFERROR(INDEX(EVENTOS!$D:$D,MATCH(SCORE!AD$2&amp;" "&amp;SCORE!$D404,EVENTOS!$F:$F,0)),0)</f>
        <v>0</v>
      </c>
      <c r="AE404" s="3">
        <f t="shared" si="18"/>
        <v>0</v>
      </c>
      <c r="AF404" s="10" t="e">
        <f t="shared" si="19"/>
        <v>#N/A</v>
      </c>
      <c r="AG404" s="3" t="str">
        <f t="shared" si="20"/>
        <v/>
      </c>
    </row>
    <row r="405" spans="1:33" x14ac:dyDescent="0.25">
      <c r="A405" s="7"/>
      <c r="B405" s="8"/>
      <c r="C405" s="3"/>
      <c r="D405" s="3"/>
      <c r="E405" s="3" t="e">
        <f>VLOOKUP(D405,VIAJES!$D:$E,2,FALSE)</f>
        <v>#N/A</v>
      </c>
      <c r="F405" s="9" t="e">
        <f>VLOOKUP(D405,VIAJES!$D:$F,3,FALSE)</f>
        <v>#N/A</v>
      </c>
      <c r="G405" s="9" t="e">
        <f>VLOOKUP(D405,VIAJES!$D:$G,4,FALSE)</f>
        <v>#N/A</v>
      </c>
      <c r="H405" s="3" t="e">
        <f>VLOOKUP(D405,VIAJES!$D:$H,5,FALSE)</f>
        <v>#N/A</v>
      </c>
      <c r="S405" s="3">
        <f>IFERROR(INDEX(EVENTOS!$D:$D,MATCH(SCORE!S$2&amp;" "&amp;SCORE!$D405,EVENTOS!$F:$F,0)),0)</f>
        <v>0</v>
      </c>
      <c r="T405" s="3">
        <f>IFERROR(INDEX(EVENTOS!$D:$D,MATCH(SCORE!T$2&amp;" "&amp;SCORE!$D405,EVENTOS!$F:$F,0)),0)</f>
        <v>0</v>
      </c>
      <c r="U405" s="3">
        <f>IFERROR(INDEX(EVENTOS!$D:$D,MATCH(SCORE!U$2&amp;" "&amp;SCORE!$D405,EVENTOS!$F:$F,0)),0)</f>
        <v>0</v>
      </c>
      <c r="V405" s="3">
        <f>IFERROR(INDEX(EVENTOS!$D:$D,MATCH(SCORE!V$2&amp;" "&amp;SCORE!$D405,EVENTOS!$F:$F,0)),0)</f>
        <v>0</v>
      </c>
      <c r="W405" s="3">
        <f>IFERROR(INDEX(EVENTOS!$D:$D,MATCH(SCORE!W$2&amp;" "&amp;SCORE!$D405,EVENTOS!$F:$F,0)),0)</f>
        <v>0</v>
      </c>
      <c r="X405" s="3">
        <f>IFERROR(INDEX(EVENTOS!$D:$D,MATCH(SCORE!X$2&amp;" "&amp;SCORE!$D405,EVENTOS!$F:$F,0)),0)</f>
        <v>0</v>
      </c>
      <c r="Y405" s="3">
        <f>SUMIFS(EVENTOS!$D:$D, EVENTOS!$B:$B, D405, EVENTOS!$E:$E, "*GirAlto*")</f>
        <v>0</v>
      </c>
      <c r="Z405" s="3">
        <f>SUMIFS(EVENTOS!$D:$D, EVENTOS!$B:$B, D405, EVENTOS!$E:$E, "*GirMed*")</f>
        <v>0</v>
      </c>
      <c r="AA405" s="3">
        <f>SUMIFS(EVENTOS!$D:$D, EVENTOS!$B:$B, D405, EVENTOS!$E:$E, "*GirBajo*")</f>
        <v>0</v>
      </c>
      <c r="AB405" s="3">
        <f>IFERROR(INDEX(EVENTOS!$D:$D,MATCH(SCORE!AB$2&amp;" "&amp;SCORE!$D405,EVENTOS!$F:$F,0)),0)</f>
        <v>0</v>
      </c>
      <c r="AC405" s="3">
        <f>IFERROR(INDEX(EVENTOS!$D:$D,MATCH(SCORE!AC$2&amp;" "&amp;SCORE!$D405,EVENTOS!$F:$F,0)),0)</f>
        <v>0</v>
      </c>
      <c r="AD405" s="3">
        <f>IFERROR(INDEX(EVENTOS!$D:$D,MATCH(SCORE!AD$2&amp;" "&amp;SCORE!$D405,EVENTOS!$F:$F,0)),0)</f>
        <v>0</v>
      </c>
      <c r="AE405" s="3">
        <f t="shared" si="18"/>
        <v>0</v>
      </c>
      <c r="AF405" s="10" t="e">
        <f t="shared" si="19"/>
        <v>#N/A</v>
      </c>
      <c r="AG405" s="3" t="str">
        <f t="shared" si="20"/>
        <v/>
      </c>
    </row>
    <row r="406" spans="1:33" x14ac:dyDescent="0.25">
      <c r="A406" s="7"/>
      <c r="B406" s="8"/>
      <c r="C406" s="3"/>
      <c r="D406" s="3"/>
      <c r="E406" s="3" t="e">
        <f>VLOOKUP(D406,VIAJES!$D:$E,2,FALSE)</f>
        <v>#N/A</v>
      </c>
      <c r="F406" s="9" t="e">
        <f>VLOOKUP(D406,VIAJES!$D:$F,3,FALSE)</f>
        <v>#N/A</v>
      </c>
      <c r="G406" s="9" t="e">
        <f>VLOOKUP(D406,VIAJES!$D:$G,4,FALSE)</f>
        <v>#N/A</v>
      </c>
      <c r="H406" s="3" t="e">
        <f>VLOOKUP(D406,VIAJES!$D:$H,5,FALSE)</f>
        <v>#N/A</v>
      </c>
      <c r="S406" s="3">
        <f>IFERROR(INDEX(EVENTOS!$D:$D,MATCH(SCORE!S$2&amp;" "&amp;SCORE!$D406,EVENTOS!$F:$F,0)),0)</f>
        <v>0</v>
      </c>
      <c r="T406" s="3">
        <f>IFERROR(INDEX(EVENTOS!$D:$D,MATCH(SCORE!T$2&amp;" "&amp;SCORE!$D406,EVENTOS!$F:$F,0)),0)</f>
        <v>0</v>
      </c>
      <c r="U406" s="3">
        <f>IFERROR(INDEX(EVENTOS!$D:$D,MATCH(SCORE!U$2&amp;" "&amp;SCORE!$D406,EVENTOS!$F:$F,0)),0)</f>
        <v>0</v>
      </c>
      <c r="V406" s="3">
        <f>IFERROR(INDEX(EVENTOS!$D:$D,MATCH(SCORE!V$2&amp;" "&amp;SCORE!$D406,EVENTOS!$F:$F,0)),0)</f>
        <v>0</v>
      </c>
      <c r="W406" s="3">
        <f>IFERROR(INDEX(EVENTOS!$D:$D,MATCH(SCORE!W$2&amp;" "&amp;SCORE!$D406,EVENTOS!$F:$F,0)),0)</f>
        <v>0</v>
      </c>
      <c r="X406" s="3">
        <f>IFERROR(INDEX(EVENTOS!$D:$D,MATCH(SCORE!X$2&amp;" "&amp;SCORE!$D406,EVENTOS!$F:$F,0)),0)</f>
        <v>0</v>
      </c>
      <c r="Y406" s="3">
        <f>SUMIFS(EVENTOS!$D:$D, EVENTOS!$B:$B, D406, EVENTOS!$E:$E, "*GirAlto*")</f>
        <v>0</v>
      </c>
      <c r="Z406" s="3">
        <f>SUMIFS(EVENTOS!$D:$D, EVENTOS!$B:$B, D406, EVENTOS!$E:$E, "*GirMed*")</f>
        <v>0</v>
      </c>
      <c r="AA406" s="3">
        <f>SUMIFS(EVENTOS!$D:$D, EVENTOS!$B:$B, D406, EVENTOS!$E:$E, "*GirBajo*")</f>
        <v>0</v>
      </c>
      <c r="AB406" s="3">
        <f>IFERROR(INDEX(EVENTOS!$D:$D,MATCH(SCORE!AB$2&amp;" "&amp;SCORE!$D406,EVENTOS!$F:$F,0)),0)</f>
        <v>0</v>
      </c>
      <c r="AC406" s="3">
        <f>IFERROR(INDEX(EVENTOS!$D:$D,MATCH(SCORE!AC$2&amp;" "&amp;SCORE!$D406,EVENTOS!$F:$F,0)),0)</f>
        <v>0</v>
      </c>
      <c r="AD406" s="3">
        <f>IFERROR(INDEX(EVENTOS!$D:$D,MATCH(SCORE!AD$2&amp;" "&amp;SCORE!$D406,EVENTOS!$F:$F,0)),0)</f>
        <v>0</v>
      </c>
      <c r="AE406" s="3">
        <f t="shared" si="18"/>
        <v>0</v>
      </c>
      <c r="AF406" s="10" t="e">
        <f t="shared" si="19"/>
        <v>#N/A</v>
      </c>
      <c r="AG406" s="3" t="str">
        <f t="shared" si="20"/>
        <v/>
      </c>
    </row>
    <row r="407" spans="1:33" x14ac:dyDescent="0.25">
      <c r="A407" s="7"/>
      <c r="B407" s="8"/>
      <c r="C407" s="3"/>
      <c r="D407" s="3"/>
      <c r="E407" s="3" t="e">
        <f>VLOOKUP(D407,VIAJES!$D:$E,2,FALSE)</f>
        <v>#N/A</v>
      </c>
      <c r="F407" s="9" t="e">
        <f>VLOOKUP(D407,VIAJES!$D:$F,3,FALSE)</f>
        <v>#N/A</v>
      </c>
      <c r="G407" s="9" t="e">
        <f>VLOOKUP(D407,VIAJES!$D:$G,4,FALSE)</f>
        <v>#N/A</v>
      </c>
      <c r="H407" s="3" t="e">
        <f>VLOOKUP(D407,VIAJES!$D:$H,5,FALSE)</f>
        <v>#N/A</v>
      </c>
      <c r="S407" s="3">
        <f>IFERROR(INDEX(EVENTOS!$D:$D,MATCH(SCORE!S$2&amp;" "&amp;SCORE!$D407,EVENTOS!$F:$F,0)),0)</f>
        <v>0</v>
      </c>
      <c r="T407" s="3">
        <f>IFERROR(INDEX(EVENTOS!$D:$D,MATCH(SCORE!T$2&amp;" "&amp;SCORE!$D407,EVENTOS!$F:$F,0)),0)</f>
        <v>0</v>
      </c>
      <c r="U407" s="3">
        <f>IFERROR(INDEX(EVENTOS!$D:$D,MATCH(SCORE!U$2&amp;" "&amp;SCORE!$D407,EVENTOS!$F:$F,0)),0)</f>
        <v>0</v>
      </c>
      <c r="V407" s="3">
        <f>IFERROR(INDEX(EVENTOS!$D:$D,MATCH(SCORE!V$2&amp;" "&amp;SCORE!$D407,EVENTOS!$F:$F,0)),0)</f>
        <v>0</v>
      </c>
      <c r="W407" s="3">
        <f>IFERROR(INDEX(EVENTOS!$D:$D,MATCH(SCORE!W$2&amp;" "&amp;SCORE!$D407,EVENTOS!$F:$F,0)),0)</f>
        <v>0</v>
      </c>
      <c r="X407" s="3">
        <f>IFERROR(INDEX(EVENTOS!$D:$D,MATCH(SCORE!X$2&amp;" "&amp;SCORE!$D407,EVENTOS!$F:$F,0)),0)</f>
        <v>0</v>
      </c>
      <c r="Y407" s="3">
        <f>SUMIFS(EVENTOS!$D:$D, EVENTOS!$B:$B, D407, EVENTOS!$E:$E, "*GirAlto*")</f>
        <v>0</v>
      </c>
      <c r="Z407" s="3">
        <f>SUMIFS(EVENTOS!$D:$D, EVENTOS!$B:$B, D407, EVENTOS!$E:$E, "*GirMed*")</f>
        <v>0</v>
      </c>
      <c r="AA407" s="3">
        <f>SUMIFS(EVENTOS!$D:$D, EVENTOS!$B:$B, D407, EVENTOS!$E:$E, "*GirBajo*")</f>
        <v>0</v>
      </c>
      <c r="AB407" s="3">
        <f>IFERROR(INDEX(EVENTOS!$D:$D,MATCH(SCORE!AB$2&amp;" "&amp;SCORE!$D407,EVENTOS!$F:$F,0)),0)</f>
        <v>0</v>
      </c>
      <c r="AC407" s="3">
        <f>IFERROR(INDEX(EVENTOS!$D:$D,MATCH(SCORE!AC$2&amp;" "&amp;SCORE!$D407,EVENTOS!$F:$F,0)),0)</f>
        <v>0</v>
      </c>
      <c r="AD407" s="3">
        <f>IFERROR(INDEX(EVENTOS!$D:$D,MATCH(SCORE!AD$2&amp;" "&amp;SCORE!$D407,EVENTOS!$F:$F,0)),0)</f>
        <v>0</v>
      </c>
      <c r="AE407" s="3">
        <f t="shared" si="18"/>
        <v>0</v>
      </c>
      <c r="AF407" s="10" t="e">
        <f t="shared" si="19"/>
        <v>#N/A</v>
      </c>
      <c r="AG407" s="3" t="str">
        <f t="shared" si="20"/>
        <v/>
      </c>
    </row>
    <row r="408" spans="1:33" x14ac:dyDescent="0.25">
      <c r="A408" s="7"/>
      <c r="B408" s="8"/>
      <c r="C408" s="3"/>
      <c r="D408" s="3"/>
      <c r="E408" s="3" t="e">
        <f>VLOOKUP(D408,VIAJES!$D:$E,2,FALSE)</f>
        <v>#N/A</v>
      </c>
      <c r="F408" s="9" t="e">
        <f>VLOOKUP(D408,VIAJES!$D:$F,3,FALSE)</f>
        <v>#N/A</v>
      </c>
      <c r="G408" s="9" t="e">
        <f>VLOOKUP(D408,VIAJES!$D:$G,4,FALSE)</f>
        <v>#N/A</v>
      </c>
      <c r="H408" s="3" t="e">
        <f>VLOOKUP(D408,VIAJES!$D:$H,5,FALSE)</f>
        <v>#N/A</v>
      </c>
      <c r="S408" s="3">
        <f>IFERROR(INDEX(EVENTOS!$D:$D,MATCH(SCORE!S$2&amp;" "&amp;SCORE!$D408,EVENTOS!$F:$F,0)),0)</f>
        <v>0</v>
      </c>
      <c r="T408" s="3">
        <f>IFERROR(INDEX(EVENTOS!$D:$D,MATCH(SCORE!T$2&amp;" "&amp;SCORE!$D408,EVENTOS!$F:$F,0)),0)</f>
        <v>0</v>
      </c>
      <c r="U408" s="3">
        <f>IFERROR(INDEX(EVENTOS!$D:$D,MATCH(SCORE!U$2&amp;" "&amp;SCORE!$D408,EVENTOS!$F:$F,0)),0)</f>
        <v>0</v>
      </c>
      <c r="V408" s="3">
        <f>IFERROR(INDEX(EVENTOS!$D:$D,MATCH(SCORE!V$2&amp;" "&amp;SCORE!$D408,EVENTOS!$F:$F,0)),0)</f>
        <v>0</v>
      </c>
      <c r="W408" s="3">
        <f>IFERROR(INDEX(EVENTOS!$D:$D,MATCH(SCORE!W$2&amp;" "&amp;SCORE!$D408,EVENTOS!$F:$F,0)),0)</f>
        <v>0</v>
      </c>
      <c r="X408" s="3">
        <f>IFERROR(INDEX(EVENTOS!$D:$D,MATCH(SCORE!X$2&amp;" "&amp;SCORE!$D408,EVENTOS!$F:$F,0)),0)</f>
        <v>0</v>
      </c>
      <c r="Y408" s="3">
        <f>SUMIFS(EVENTOS!$D:$D, EVENTOS!$B:$B, D408, EVENTOS!$E:$E, "*GirAlto*")</f>
        <v>0</v>
      </c>
      <c r="Z408" s="3">
        <f>SUMIFS(EVENTOS!$D:$D, EVENTOS!$B:$B, D408, EVENTOS!$E:$E, "*GirMed*")</f>
        <v>0</v>
      </c>
      <c r="AA408" s="3">
        <f>SUMIFS(EVENTOS!$D:$D, EVENTOS!$B:$B, D408, EVENTOS!$E:$E, "*GirBajo*")</f>
        <v>0</v>
      </c>
      <c r="AB408" s="3">
        <f>IFERROR(INDEX(EVENTOS!$D:$D,MATCH(SCORE!AB$2&amp;" "&amp;SCORE!$D408,EVENTOS!$F:$F,0)),0)</f>
        <v>0</v>
      </c>
      <c r="AC408" s="3">
        <f>IFERROR(INDEX(EVENTOS!$D:$D,MATCH(SCORE!AC$2&amp;" "&amp;SCORE!$D408,EVENTOS!$F:$F,0)),0)</f>
        <v>0</v>
      </c>
      <c r="AD408" s="3">
        <f>IFERROR(INDEX(EVENTOS!$D:$D,MATCH(SCORE!AD$2&amp;" "&amp;SCORE!$D408,EVENTOS!$F:$F,0)),0)</f>
        <v>0</v>
      </c>
      <c r="AE408" s="3">
        <f t="shared" si="18"/>
        <v>0</v>
      </c>
      <c r="AF408" s="10" t="e">
        <f t="shared" si="19"/>
        <v>#N/A</v>
      </c>
      <c r="AG408" s="3" t="str">
        <f t="shared" si="20"/>
        <v/>
      </c>
    </row>
    <row r="409" spans="1:33" x14ac:dyDescent="0.25">
      <c r="A409" s="7"/>
      <c r="B409" s="8"/>
      <c r="C409" s="3"/>
      <c r="D409" s="3"/>
      <c r="E409" s="3" t="e">
        <f>VLOOKUP(D409,VIAJES!$D:$E,2,FALSE)</f>
        <v>#N/A</v>
      </c>
      <c r="F409" s="9" t="e">
        <f>VLOOKUP(D409,VIAJES!$D:$F,3,FALSE)</f>
        <v>#N/A</v>
      </c>
      <c r="G409" s="9" t="e">
        <f>VLOOKUP(D409,VIAJES!$D:$G,4,FALSE)</f>
        <v>#N/A</v>
      </c>
      <c r="H409" s="3" t="e">
        <f>VLOOKUP(D409,VIAJES!$D:$H,5,FALSE)</f>
        <v>#N/A</v>
      </c>
      <c r="S409" s="3">
        <f>IFERROR(INDEX(EVENTOS!$D:$D,MATCH(SCORE!S$2&amp;" "&amp;SCORE!$D409,EVENTOS!$F:$F,0)),0)</f>
        <v>0</v>
      </c>
      <c r="T409" s="3">
        <f>IFERROR(INDEX(EVENTOS!$D:$D,MATCH(SCORE!T$2&amp;" "&amp;SCORE!$D409,EVENTOS!$F:$F,0)),0)</f>
        <v>0</v>
      </c>
      <c r="U409" s="3">
        <f>IFERROR(INDEX(EVENTOS!$D:$D,MATCH(SCORE!U$2&amp;" "&amp;SCORE!$D409,EVENTOS!$F:$F,0)),0)</f>
        <v>0</v>
      </c>
      <c r="V409" s="3">
        <f>IFERROR(INDEX(EVENTOS!$D:$D,MATCH(SCORE!V$2&amp;" "&amp;SCORE!$D409,EVENTOS!$F:$F,0)),0)</f>
        <v>0</v>
      </c>
      <c r="W409" s="3">
        <f>IFERROR(INDEX(EVENTOS!$D:$D,MATCH(SCORE!W$2&amp;" "&amp;SCORE!$D409,EVENTOS!$F:$F,0)),0)</f>
        <v>0</v>
      </c>
      <c r="X409" s="3">
        <f>IFERROR(INDEX(EVENTOS!$D:$D,MATCH(SCORE!X$2&amp;" "&amp;SCORE!$D409,EVENTOS!$F:$F,0)),0)</f>
        <v>0</v>
      </c>
      <c r="Y409" s="3">
        <f>SUMIFS(EVENTOS!$D:$D, EVENTOS!$B:$B, D409, EVENTOS!$E:$E, "*GirAlto*")</f>
        <v>0</v>
      </c>
      <c r="Z409" s="3">
        <f>SUMIFS(EVENTOS!$D:$D, EVENTOS!$B:$B, D409, EVENTOS!$E:$E, "*GirMed*")</f>
        <v>0</v>
      </c>
      <c r="AA409" s="3">
        <f>SUMIFS(EVENTOS!$D:$D, EVENTOS!$B:$B, D409, EVENTOS!$E:$E, "*GirBajo*")</f>
        <v>0</v>
      </c>
      <c r="AB409" s="3">
        <f>IFERROR(INDEX(EVENTOS!$D:$D,MATCH(SCORE!AB$2&amp;" "&amp;SCORE!$D409,EVENTOS!$F:$F,0)),0)</f>
        <v>0</v>
      </c>
      <c r="AC409" s="3">
        <f>IFERROR(INDEX(EVENTOS!$D:$D,MATCH(SCORE!AC$2&amp;" "&amp;SCORE!$D409,EVENTOS!$F:$F,0)),0)</f>
        <v>0</v>
      </c>
      <c r="AD409" s="3">
        <f>IFERROR(INDEX(EVENTOS!$D:$D,MATCH(SCORE!AD$2&amp;" "&amp;SCORE!$D409,EVENTOS!$F:$F,0)),0)</f>
        <v>0</v>
      </c>
      <c r="AE409" s="3">
        <f t="shared" si="18"/>
        <v>0</v>
      </c>
      <c r="AF409" s="10" t="e">
        <f t="shared" si="19"/>
        <v>#N/A</v>
      </c>
      <c r="AG409" s="3" t="str">
        <f t="shared" si="20"/>
        <v/>
      </c>
    </row>
    <row r="410" spans="1:33" x14ac:dyDescent="0.25">
      <c r="A410" s="7"/>
      <c r="B410" s="8"/>
      <c r="C410" s="3"/>
      <c r="D410" s="3"/>
      <c r="E410" s="3" t="e">
        <f>VLOOKUP(D410,VIAJES!$D:$E,2,FALSE)</f>
        <v>#N/A</v>
      </c>
      <c r="F410" s="9" t="e">
        <f>VLOOKUP(D410,VIAJES!$D:$F,3,FALSE)</f>
        <v>#N/A</v>
      </c>
      <c r="G410" s="9" t="e">
        <f>VLOOKUP(D410,VIAJES!$D:$G,4,FALSE)</f>
        <v>#N/A</v>
      </c>
      <c r="H410" s="3" t="e">
        <f>VLOOKUP(D410,VIAJES!$D:$H,5,FALSE)</f>
        <v>#N/A</v>
      </c>
      <c r="S410" s="3">
        <f>IFERROR(INDEX(EVENTOS!$D:$D,MATCH(SCORE!S$2&amp;" "&amp;SCORE!$D410,EVENTOS!$F:$F,0)),0)</f>
        <v>0</v>
      </c>
      <c r="T410" s="3">
        <f>IFERROR(INDEX(EVENTOS!$D:$D,MATCH(SCORE!T$2&amp;" "&amp;SCORE!$D410,EVENTOS!$F:$F,0)),0)</f>
        <v>0</v>
      </c>
      <c r="U410" s="3">
        <f>IFERROR(INDEX(EVENTOS!$D:$D,MATCH(SCORE!U$2&amp;" "&amp;SCORE!$D410,EVENTOS!$F:$F,0)),0)</f>
        <v>0</v>
      </c>
      <c r="V410" s="3">
        <f>IFERROR(INDEX(EVENTOS!$D:$D,MATCH(SCORE!V$2&amp;" "&amp;SCORE!$D410,EVENTOS!$F:$F,0)),0)</f>
        <v>0</v>
      </c>
      <c r="W410" s="3">
        <f>IFERROR(INDEX(EVENTOS!$D:$D,MATCH(SCORE!W$2&amp;" "&amp;SCORE!$D410,EVENTOS!$F:$F,0)),0)</f>
        <v>0</v>
      </c>
      <c r="X410" s="3">
        <f>IFERROR(INDEX(EVENTOS!$D:$D,MATCH(SCORE!X$2&amp;" "&amp;SCORE!$D410,EVENTOS!$F:$F,0)),0)</f>
        <v>0</v>
      </c>
      <c r="Y410" s="3">
        <f>SUMIFS(EVENTOS!$D:$D, EVENTOS!$B:$B, D410, EVENTOS!$E:$E, "*GirAlto*")</f>
        <v>0</v>
      </c>
      <c r="Z410" s="3">
        <f>SUMIFS(EVENTOS!$D:$D, EVENTOS!$B:$B, D410, EVENTOS!$E:$E, "*GirMed*")</f>
        <v>0</v>
      </c>
      <c r="AA410" s="3">
        <f>SUMIFS(EVENTOS!$D:$D, EVENTOS!$B:$B, D410, EVENTOS!$E:$E, "*GirBajo*")</f>
        <v>0</v>
      </c>
      <c r="AB410" s="3">
        <f>IFERROR(INDEX(EVENTOS!$D:$D,MATCH(SCORE!AB$2&amp;" "&amp;SCORE!$D410,EVENTOS!$F:$F,0)),0)</f>
        <v>0</v>
      </c>
      <c r="AC410" s="3">
        <f>IFERROR(INDEX(EVENTOS!$D:$D,MATCH(SCORE!AC$2&amp;" "&amp;SCORE!$D410,EVENTOS!$F:$F,0)),0)</f>
        <v>0</v>
      </c>
      <c r="AD410" s="3">
        <f>IFERROR(INDEX(EVENTOS!$D:$D,MATCH(SCORE!AD$2&amp;" "&amp;SCORE!$D410,EVENTOS!$F:$F,0)),0)</f>
        <v>0</v>
      </c>
      <c r="AE410" s="3">
        <f t="shared" si="18"/>
        <v>0</v>
      </c>
      <c r="AF410" s="10" t="e">
        <f t="shared" si="19"/>
        <v>#N/A</v>
      </c>
      <c r="AG410" s="3" t="str">
        <f t="shared" si="20"/>
        <v/>
      </c>
    </row>
    <row r="411" spans="1:33" x14ac:dyDescent="0.25">
      <c r="A411" s="7"/>
      <c r="B411" s="8"/>
      <c r="C411" s="3"/>
      <c r="D411" s="3"/>
      <c r="E411" s="3" t="e">
        <f>VLOOKUP(D411,VIAJES!$D:$E,2,FALSE)</f>
        <v>#N/A</v>
      </c>
      <c r="F411" s="9" t="e">
        <f>VLOOKUP(D411,VIAJES!$D:$F,3,FALSE)</f>
        <v>#N/A</v>
      </c>
      <c r="G411" s="9" t="e">
        <f>VLOOKUP(D411,VIAJES!$D:$G,4,FALSE)</f>
        <v>#N/A</v>
      </c>
      <c r="H411" s="3" t="e">
        <f>VLOOKUP(D411,VIAJES!$D:$H,5,FALSE)</f>
        <v>#N/A</v>
      </c>
      <c r="S411" s="3">
        <f>IFERROR(INDEX(EVENTOS!$D:$D,MATCH(SCORE!S$2&amp;" "&amp;SCORE!$D411,EVENTOS!$F:$F,0)),0)</f>
        <v>0</v>
      </c>
      <c r="T411" s="3">
        <f>IFERROR(INDEX(EVENTOS!$D:$D,MATCH(SCORE!T$2&amp;" "&amp;SCORE!$D411,EVENTOS!$F:$F,0)),0)</f>
        <v>0</v>
      </c>
      <c r="U411" s="3">
        <f>IFERROR(INDEX(EVENTOS!$D:$D,MATCH(SCORE!U$2&amp;" "&amp;SCORE!$D411,EVENTOS!$F:$F,0)),0)</f>
        <v>0</v>
      </c>
      <c r="V411" s="3">
        <f>IFERROR(INDEX(EVENTOS!$D:$D,MATCH(SCORE!V$2&amp;" "&amp;SCORE!$D411,EVENTOS!$F:$F,0)),0)</f>
        <v>0</v>
      </c>
      <c r="W411" s="3">
        <f>IFERROR(INDEX(EVENTOS!$D:$D,MATCH(SCORE!W$2&amp;" "&amp;SCORE!$D411,EVENTOS!$F:$F,0)),0)</f>
        <v>0</v>
      </c>
      <c r="X411" s="3">
        <f>IFERROR(INDEX(EVENTOS!$D:$D,MATCH(SCORE!X$2&amp;" "&amp;SCORE!$D411,EVENTOS!$F:$F,0)),0)</f>
        <v>0</v>
      </c>
      <c r="Y411" s="3">
        <f>SUMIFS(EVENTOS!$D:$D, EVENTOS!$B:$B, D411, EVENTOS!$E:$E, "*GirAlto*")</f>
        <v>0</v>
      </c>
      <c r="Z411" s="3">
        <f>SUMIFS(EVENTOS!$D:$D, EVENTOS!$B:$B, D411, EVENTOS!$E:$E, "*GirMed*")</f>
        <v>0</v>
      </c>
      <c r="AA411" s="3">
        <f>SUMIFS(EVENTOS!$D:$D, EVENTOS!$B:$B, D411, EVENTOS!$E:$E, "*GirBajo*")</f>
        <v>0</v>
      </c>
      <c r="AB411" s="3">
        <f>IFERROR(INDEX(EVENTOS!$D:$D,MATCH(SCORE!AB$2&amp;" "&amp;SCORE!$D411,EVENTOS!$F:$F,0)),0)</f>
        <v>0</v>
      </c>
      <c r="AC411" s="3">
        <f>IFERROR(INDEX(EVENTOS!$D:$D,MATCH(SCORE!AC$2&amp;" "&amp;SCORE!$D411,EVENTOS!$F:$F,0)),0)</f>
        <v>0</v>
      </c>
      <c r="AD411" s="3">
        <f>IFERROR(INDEX(EVENTOS!$D:$D,MATCH(SCORE!AD$2&amp;" "&amp;SCORE!$D411,EVENTOS!$F:$F,0)),0)</f>
        <v>0</v>
      </c>
      <c r="AE411" s="3">
        <f t="shared" si="18"/>
        <v>0</v>
      </c>
      <c r="AF411" s="10" t="e">
        <f t="shared" si="19"/>
        <v>#N/A</v>
      </c>
      <c r="AG411" s="3" t="str">
        <f t="shared" si="20"/>
        <v/>
      </c>
    </row>
    <row r="412" spans="1:33" x14ac:dyDescent="0.25">
      <c r="A412" s="7"/>
      <c r="B412" s="8"/>
      <c r="C412" s="3"/>
      <c r="D412" s="3"/>
      <c r="E412" s="3" t="e">
        <f>VLOOKUP(D412,VIAJES!$D:$E,2,FALSE)</f>
        <v>#N/A</v>
      </c>
      <c r="F412" s="9" t="e">
        <f>VLOOKUP(D412,VIAJES!$D:$F,3,FALSE)</f>
        <v>#N/A</v>
      </c>
      <c r="G412" s="9" t="e">
        <f>VLOOKUP(D412,VIAJES!$D:$G,4,FALSE)</f>
        <v>#N/A</v>
      </c>
      <c r="H412" s="3" t="e">
        <f>VLOOKUP(D412,VIAJES!$D:$H,5,FALSE)</f>
        <v>#N/A</v>
      </c>
      <c r="S412" s="3">
        <f>IFERROR(INDEX(EVENTOS!$D:$D,MATCH(SCORE!S$2&amp;" "&amp;SCORE!$D412,EVENTOS!$F:$F,0)),0)</f>
        <v>0</v>
      </c>
      <c r="T412" s="3">
        <f>IFERROR(INDEX(EVENTOS!$D:$D,MATCH(SCORE!T$2&amp;" "&amp;SCORE!$D412,EVENTOS!$F:$F,0)),0)</f>
        <v>0</v>
      </c>
      <c r="U412" s="3">
        <f>IFERROR(INDEX(EVENTOS!$D:$D,MATCH(SCORE!U$2&amp;" "&amp;SCORE!$D412,EVENTOS!$F:$F,0)),0)</f>
        <v>0</v>
      </c>
      <c r="V412" s="3">
        <f>IFERROR(INDEX(EVENTOS!$D:$D,MATCH(SCORE!V$2&amp;" "&amp;SCORE!$D412,EVENTOS!$F:$F,0)),0)</f>
        <v>0</v>
      </c>
      <c r="W412" s="3">
        <f>IFERROR(INDEX(EVENTOS!$D:$D,MATCH(SCORE!W$2&amp;" "&amp;SCORE!$D412,EVENTOS!$F:$F,0)),0)</f>
        <v>0</v>
      </c>
      <c r="X412" s="3">
        <f>IFERROR(INDEX(EVENTOS!$D:$D,MATCH(SCORE!X$2&amp;" "&amp;SCORE!$D412,EVENTOS!$F:$F,0)),0)</f>
        <v>0</v>
      </c>
      <c r="Y412" s="3">
        <f>SUMIFS(EVENTOS!$D:$D, EVENTOS!$B:$B, D412, EVENTOS!$E:$E, "*GirAlto*")</f>
        <v>0</v>
      </c>
      <c r="Z412" s="3">
        <f>SUMIFS(EVENTOS!$D:$D, EVENTOS!$B:$B, D412, EVENTOS!$E:$E, "*GirMed*")</f>
        <v>0</v>
      </c>
      <c r="AA412" s="3">
        <f>SUMIFS(EVENTOS!$D:$D, EVENTOS!$B:$B, D412, EVENTOS!$E:$E, "*GirBajo*")</f>
        <v>0</v>
      </c>
      <c r="AB412" s="3">
        <f>IFERROR(INDEX(EVENTOS!$D:$D,MATCH(SCORE!AB$2&amp;" "&amp;SCORE!$D412,EVENTOS!$F:$F,0)),0)</f>
        <v>0</v>
      </c>
      <c r="AC412" s="3">
        <f>IFERROR(INDEX(EVENTOS!$D:$D,MATCH(SCORE!AC$2&amp;" "&amp;SCORE!$D412,EVENTOS!$F:$F,0)),0)</f>
        <v>0</v>
      </c>
      <c r="AD412" s="3">
        <f>IFERROR(INDEX(EVENTOS!$D:$D,MATCH(SCORE!AD$2&amp;" "&amp;SCORE!$D412,EVENTOS!$F:$F,0)),0)</f>
        <v>0</v>
      </c>
      <c r="AE412" s="3">
        <f t="shared" si="18"/>
        <v>0</v>
      </c>
      <c r="AF412" s="10" t="e">
        <f t="shared" si="19"/>
        <v>#N/A</v>
      </c>
      <c r="AG412" s="3" t="str">
        <f t="shared" si="20"/>
        <v/>
      </c>
    </row>
    <row r="413" spans="1:33" x14ac:dyDescent="0.25">
      <c r="A413" s="7"/>
      <c r="B413" s="8"/>
      <c r="C413" s="3"/>
      <c r="D413" s="3"/>
      <c r="E413" s="3" t="e">
        <f>VLOOKUP(D413,VIAJES!$D:$E,2,FALSE)</f>
        <v>#N/A</v>
      </c>
      <c r="F413" s="9" t="e">
        <f>VLOOKUP(D413,VIAJES!$D:$F,3,FALSE)</f>
        <v>#N/A</v>
      </c>
      <c r="G413" s="9" t="e">
        <f>VLOOKUP(D413,VIAJES!$D:$G,4,FALSE)</f>
        <v>#N/A</v>
      </c>
      <c r="H413" s="3" t="e">
        <f>VLOOKUP(D413,VIAJES!$D:$H,5,FALSE)</f>
        <v>#N/A</v>
      </c>
      <c r="S413" s="3">
        <f>IFERROR(INDEX(EVENTOS!$D:$D,MATCH(SCORE!S$2&amp;" "&amp;SCORE!$D413,EVENTOS!$F:$F,0)),0)</f>
        <v>0</v>
      </c>
      <c r="T413" s="3">
        <f>IFERROR(INDEX(EVENTOS!$D:$D,MATCH(SCORE!T$2&amp;" "&amp;SCORE!$D413,EVENTOS!$F:$F,0)),0)</f>
        <v>0</v>
      </c>
      <c r="U413" s="3">
        <f>IFERROR(INDEX(EVENTOS!$D:$D,MATCH(SCORE!U$2&amp;" "&amp;SCORE!$D413,EVENTOS!$F:$F,0)),0)</f>
        <v>0</v>
      </c>
      <c r="V413" s="3">
        <f>IFERROR(INDEX(EVENTOS!$D:$D,MATCH(SCORE!V$2&amp;" "&amp;SCORE!$D413,EVENTOS!$F:$F,0)),0)</f>
        <v>0</v>
      </c>
      <c r="W413" s="3">
        <f>IFERROR(INDEX(EVENTOS!$D:$D,MATCH(SCORE!W$2&amp;" "&amp;SCORE!$D413,EVENTOS!$F:$F,0)),0)</f>
        <v>0</v>
      </c>
      <c r="X413" s="3">
        <f>IFERROR(INDEX(EVENTOS!$D:$D,MATCH(SCORE!X$2&amp;" "&amp;SCORE!$D413,EVENTOS!$F:$F,0)),0)</f>
        <v>0</v>
      </c>
      <c r="Y413" s="3">
        <f>SUMIFS(EVENTOS!$D:$D, EVENTOS!$B:$B, D413, EVENTOS!$E:$E, "*GirAlto*")</f>
        <v>0</v>
      </c>
      <c r="Z413" s="3">
        <f>SUMIFS(EVENTOS!$D:$D, EVENTOS!$B:$B, D413, EVENTOS!$E:$E, "*GirMed*")</f>
        <v>0</v>
      </c>
      <c r="AA413" s="3">
        <f>SUMIFS(EVENTOS!$D:$D, EVENTOS!$B:$B, D413, EVENTOS!$E:$E, "*GirBajo*")</f>
        <v>0</v>
      </c>
      <c r="AB413" s="3">
        <f>IFERROR(INDEX(EVENTOS!$D:$D,MATCH(SCORE!AB$2&amp;" "&amp;SCORE!$D413,EVENTOS!$F:$F,0)),0)</f>
        <v>0</v>
      </c>
      <c r="AC413" s="3">
        <f>IFERROR(INDEX(EVENTOS!$D:$D,MATCH(SCORE!AC$2&amp;" "&amp;SCORE!$D413,EVENTOS!$F:$F,0)),0)</f>
        <v>0</v>
      </c>
      <c r="AD413" s="3">
        <f>IFERROR(INDEX(EVENTOS!$D:$D,MATCH(SCORE!AD$2&amp;" "&amp;SCORE!$D413,EVENTOS!$F:$F,0)),0)</f>
        <v>0</v>
      </c>
      <c r="AE413" s="3">
        <f t="shared" si="18"/>
        <v>0</v>
      </c>
      <c r="AF413" s="10" t="e">
        <f t="shared" si="19"/>
        <v>#N/A</v>
      </c>
      <c r="AG413" s="3" t="str">
        <f t="shared" si="20"/>
        <v/>
      </c>
    </row>
    <row r="414" spans="1:33" x14ac:dyDescent="0.25">
      <c r="A414" s="7"/>
      <c r="B414" s="8"/>
      <c r="C414" s="3"/>
      <c r="D414" s="3"/>
      <c r="E414" s="3" t="e">
        <f>VLOOKUP(D414,VIAJES!$D:$E,2,FALSE)</f>
        <v>#N/A</v>
      </c>
      <c r="F414" s="9" t="e">
        <f>VLOOKUP(D414,VIAJES!$D:$F,3,FALSE)</f>
        <v>#N/A</v>
      </c>
      <c r="G414" s="9" t="e">
        <f>VLOOKUP(D414,VIAJES!$D:$G,4,FALSE)</f>
        <v>#N/A</v>
      </c>
      <c r="H414" s="3" t="e">
        <f>VLOOKUP(D414,VIAJES!$D:$H,5,FALSE)</f>
        <v>#N/A</v>
      </c>
      <c r="S414" s="3">
        <f>IFERROR(INDEX(EVENTOS!$D:$D,MATCH(SCORE!S$2&amp;" "&amp;SCORE!$D414,EVENTOS!$F:$F,0)),0)</f>
        <v>0</v>
      </c>
      <c r="T414" s="3">
        <f>IFERROR(INDEX(EVENTOS!$D:$D,MATCH(SCORE!T$2&amp;" "&amp;SCORE!$D414,EVENTOS!$F:$F,0)),0)</f>
        <v>0</v>
      </c>
      <c r="U414" s="3">
        <f>IFERROR(INDEX(EVENTOS!$D:$D,MATCH(SCORE!U$2&amp;" "&amp;SCORE!$D414,EVENTOS!$F:$F,0)),0)</f>
        <v>0</v>
      </c>
      <c r="V414" s="3">
        <f>IFERROR(INDEX(EVENTOS!$D:$D,MATCH(SCORE!V$2&amp;" "&amp;SCORE!$D414,EVENTOS!$F:$F,0)),0)</f>
        <v>0</v>
      </c>
      <c r="W414" s="3">
        <f>IFERROR(INDEX(EVENTOS!$D:$D,MATCH(SCORE!W$2&amp;" "&amp;SCORE!$D414,EVENTOS!$F:$F,0)),0)</f>
        <v>0</v>
      </c>
      <c r="X414" s="3">
        <f>IFERROR(INDEX(EVENTOS!$D:$D,MATCH(SCORE!X$2&amp;" "&amp;SCORE!$D414,EVENTOS!$F:$F,0)),0)</f>
        <v>0</v>
      </c>
      <c r="Y414" s="3">
        <f>SUMIFS(EVENTOS!$D:$D, EVENTOS!$B:$B, D414, EVENTOS!$E:$E, "*GirAlto*")</f>
        <v>0</v>
      </c>
      <c r="Z414" s="3">
        <f>SUMIFS(EVENTOS!$D:$D, EVENTOS!$B:$B, D414, EVENTOS!$E:$E, "*GirMed*")</f>
        <v>0</v>
      </c>
      <c r="AA414" s="3">
        <f>SUMIFS(EVENTOS!$D:$D, EVENTOS!$B:$B, D414, EVENTOS!$E:$E, "*GirBajo*")</f>
        <v>0</v>
      </c>
      <c r="AB414" s="3">
        <f>IFERROR(INDEX(EVENTOS!$D:$D,MATCH(SCORE!AB$2&amp;" "&amp;SCORE!$D414,EVENTOS!$F:$F,0)),0)</f>
        <v>0</v>
      </c>
      <c r="AC414" s="3">
        <f>IFERROR(INDEX(EVENTOS!$D:$D,MATCH(SCORE!AC$2&amp;" "&amp;SCORE!$D414,EVENTOS!$F:$F,0)),0)</f>
        <v>0</v>
      </c>
      <c r="AD414" s="3">
        <f>IFERROR(INDEX(EVENTOS!$D:$D,MATCH(SCORE!AD$2&amp;" "&amp;SCORE!$D414,EVENTOS!$F:$F,0)),0)</f>
        <v>0</v>
      </c>
      <c r="AE414" s="3">
        <f t="shared" si="18"/>
        <v>0</v>
      </c>
      <c r="AF414" s="10" t="e">
        <f t="shared" si="19"/>
        <v>#N/A</v>
      </c>
      <c r="AG414" s="3" t="str">
        <f t="shared" si="20"/>
        <v/>
      </c>
    </row>
    <row r="415" spans="1:33" x14ac:dyDescent="0.25">
      <c r="A415" s="7"/>
      <c r="B415" s="8"/>
      <c r="C415" s="3"/>
      <c r="D415" s="3"/>
      <c r="E415" s="3" t="e">
        <f>VLOOKUP(D415,VIAJES!$D:$E,2,FALSE)</f>
        <v>#N/A</v>
      </c>
      <c r="F415" s="9" t="e">
        <f>VLOOKUP(D415,VIAJES!$D:$F,3,FALSE)</f>
        <v>#N/A</v>
      </c>
      <c r="G415" s="9" t="e">
        <f>VLOOKUP(D415,VIAJES!$D:$G,4,FALSE)</f>
        <v>#N/A</v>
      </c>
      <c r="H415" s="3" t="e">
        <f>VLOOKUP(D415,VIAJES!$D:$H,5,FALSE)</f>
        <v>#N/A</v>
      </c>
      <c r="S415" s="3">
        <f>IFERROR(INDEX(EVENTOS!$D:$D,MATCH(SCORE!S$2&amp;" "&amp;SCORE!$D415,EVENTOS!$F:$F,0)),0)</f>
        <v>0</v>
      </c>
      <c r="T415" s="3">
        <f>IFERROR(INDEX(EVENTOS!$D:$D,MATCH(SCORE!T$2&amp;" "&amp;SCORE!$D415,EVENTOS!$F:$F,0)),0)</f>
        <v>0</v>
      </c>
      <c r="U415" s="3">
        <f>IFERROR(INDEX(EVENTOS!$D:$D,MATCH(SCORE!U$2&amp;" "&amp;SCORE!$D415,EVENTOS!$F:$F,0)),0)</f>
        <v>0</v>
      </c>
      <c r="V415" s="3">
        <f>IFERROR(INDEX(EVENTOS!$D:$D,MATCH(SCORE!V$2&amp;" "&amp;SCORE!$D415,EVENTOS!$F:$F,0)),0)</f>
        <v>0</v>
      </c>
      <c r="W415" s="3">
        <f>IFERROR(INDEX(EVENTOS!$D:$D,MATCH(SCORE!W$2&amp;" "&amp;SCORE!$D415,EVENTOS!$F:$F,0)),0)</f>
        <v>0</v>
      </c>
      <c r="X415" s="3">
        <f>IFERROR(INDEX(EVENTOS!$D:$D,MATCH(SCORE!X$2&amp;" "&amp;SCORE!$D415,EVENTOS!$F:$F,0)),0)</f>
        <v>0</v>
      </c>
      <c r="Y415" s="3">
        <f>SUMIFS(EVENTOS!$D:$D, EVENTOS!$B:$B, D415, EVENTOS!$E:$E, "*GirAlto*")</f>
        <v>0</v>
      </c>
      <c r="Z415" s="3">
        <f>SUMIFS(EVENTOS!$D:$D, EVENTOS!$B:$B, D415, EVENTOS!$E:$E, "*GirMed*")</f>
        <v>0</v>
      </c>
      <c r="AA415" s="3">
        <f>SUMIFS(EVENTOS!$D:$D, EVENTOS!$B:$B, D415, EVENTOS!$E:$E, "*GirBajo*")</f>
        <v>0</v>
      </c>
      <c r="AB415" s="3">
        <f>IFERROR(INDEX(EVENTOS!$D:$D,MATCH(SCORE!AB$2&amp;" "&amp;SCORE!$D415,EVENTOS!$F:$F,0)),0)</f>
        <v>0</v>
      </c>
      <c r="AC415" s="3">
        <f>IFERROR(INDEX(EVENTOS!$D:$D,MATCH(SCORE!AC$2&amp;" "&amp;SCORE!$D415,EVENTOS!$F:$F,0)),0)</f>
        <v>0</v>
      </c>
      <c r="AD415" s="3">
        <f>IFERROR(INDEX(EVENTOS!$D:$D,MATCH(SCORE!AD$2&amp;" "&amp;SCORE!$D415,EVENTOS!$F:$F,0)),0)</f>
        <v>0</v>
      </c>
      <c r="AE415" s="3">
        <f t="shared" si="18"/>
        <v>0</v>
      </c>
      <c r="AF415" s="10" t="e">
        <f t="shared" si="19"/>
        <v>#N/A</v>
      </c>
      <c r="AG415" s="3" t="str">
        <f t="shared" si="20"/>
        <v/>
      </c>
    </row>
    <row r="416" spans="1:33" x14ac:dyDescent="0.25">
      <c r="A416" s="7"/>
      <c r="B416" s="8"/>
      <c r="C416" s="3"/>
      <c r="D416" s="3"/>
      <c r="E416" s="3" t="e">
        <f>VLOOKUP(D416,VIAJES!$D:$E,2,FALSE)</f>
        <v>#N/A</v>
      </c>
      <c r="F416" s="9" t="e">
        <f>VLOOKUP(D416,VIAJES!$D:$F,3,FALSE)</f>
        <v>#N/A</v>
      </c>
      <c r="G416" s="9" t="e">
        <f>VLOOKUP(D416,VIAJES!$D:$G,4,FALSE)</f>
        <v>#N/A</v>
      </c>
      <c r="H416" s="3" t="e">
        <f>VLOOKUP(D416,VIAJES!$D:$H,5,FALSE)</f>
        <v>#N/A</v>
      </c>
      <c r="S416" s="3">
        <f>IFERROR(INDEX(EVENTOS!$D:$D,MATCH(SCORE!S$2&amp;" "&amp;SCORE!$D416,EVENTOS!$F:$F,0)),0)</f>
        <v>0</v>
      </c>
      <c r="T416" s="3">
        <f>IFERROR(INDEX(EVENTOS!$D:$D,MATCH(SCORE!T$2&amp;" "&amp;SCORE!$D416,EVENTOS!$F:$F,0)),0)</f>
        <v>0</v>
      </c>
      <c r="U416" s="3">
        <f>IFERROR(INDEX(EVENTOS!$D:$D,MATCH(SCORE!U$2&amp;" "&amp;SCORE!$D416,EVENTOS!$F:$F,0)),0)</f>
        <v>0</v>
      </c>
      <c r="V416" s="3">
        <f>IFERROR(INDEX(EVENTOS!$D:$D,MATCH(SCORE!V$2&amp;" "&amp;SCORE!$D416,EVENTOS!$F:$F,0)),0)</f>
        <v>0</v>
      </c>
      <c r="W416" s="3">
        <f>IFERROR(INDEX(EVENTOS!$D:$D,MATCH(SCORE!W$2&amp;" "&amp;SCORE!$D416,EVENTOS!$F:$F,0)),0)</f>
        <v>0</v>
      </c>
      <c r="X416" s="3">
        <f>IFERROR(INDEX(EVENTOS!$D:$D,MATCH(SCORE!X$2&amp;" "&amp;SCORE!$D416,EVENTOS!$F:$F,0)),0)</f>
        <v>0</v>
      </c>
      <c r="Y416" s="3">
        <f>SUMIFS(EVENTOS!$D:$D, EVENTOS!$B:$B, D416, EVENTOS!$E:$E, "*GirAlto*")</f>
        <v>0</v>
      </c>
      <c r="Z416" s="3">
        <f>SUMIFS(EVENTOS!$D:$D, EVENTOS!$B:$B, D416, EVENTOS!$E:$E, "*GirMed*")</f>
        <v>0</v>
      </c>
      <c r="AA416" s="3">
        <f>SUMIFS(EVENTOS!$D:$D, EVENTOS!$B:$B, D416, EVENTOS!$E:$E, "*GirBajo*")</f>
        <v>0</v>
      </c>
      <c r="AB416" s="3">
        <f>IFERROR(INDEX(EVENTOS!$D:$D,MATCH(SCORE!AB$2&amp;" "&amp;SCORE!$D416,EVENTOS!$F:$F,0)),0)</f>
        <v>0</v>
      </c>
      <c r="AC416" s="3">
        <f>IFERROR(INDEX(EVENTOS!$D:$D,MATCH(SCORE!AC$2&amp;" "&amp;SCORE!$D416,EVENTOS!$F:$F,0)),0)</f>
        <v>0</v>
      </c>
      <c r="AD416" s="3">
        <f>IFERROR(INDEX(EVENTOS!$D:$D,MATCH(SCORE!AD$2&amp;" "&amp;SCORE!$D416,EVENTOS!$F:$F,0)),0)</f>
        <v>0</v>
      </c>
      <c r="AE416" s="3">
        <f t="shared" si="18"/>
        <v>0</v>
      </c>
      <c r="AF416" s="10" t="e">
        <f t="shared" si="19"/>
        <v>#N/A</v>
      </c>
      <c r="AG416" s="3" t="str">
        <f t="shared" si="20"/>
        <v/>
      </c>
    </row>
    <row r="417" spans="1:33" x14ac:dyDescent="0.25">
      <c r="A417" s="7"/>
      <c r="B417" s="8"/>
      <c r="C417" s="3"/>
      <c r="D417" s="3"/>
      <c r="E417" s="3" t="e">
        <f>VLOOKUP(D417,VIAJES!$D:$E,2,FALSE)</f>
        <v>#N/A</v>
      </c>
      <c r="F417" s="9" t="e">
        <f>VLOOKUP(D417,VIAJES!$D:$F,3,FALSE)</f>
        <v>#N/A</v>
      </c>
      <c r="G417" s="9" t="e">
        <f>VLOOKUP(D417,VIAJES!$D:$G,4,FALSE)</f>
        <v>#N/A</v>
      </c>
      <c r="H417" s="3" t="e">
        <f>VLOOKUP(D417,VIAJES!$D:$H,5,FALSE)</f>
        <v>#N/A</v>
      </c>
      <c r="S417" s="3">
        <f>IFERROR(INDEX(EVENTOS!$D:$D,MATCH(SCORE!S$2&amp;" "&amp;SCORE!$D417,EVENTOS!$F:$F,0)),0)</f>
        <v>0</v>
      </c>
      <c r="T417" s="3">
        <f>IFERROR(INDEX(EVENTOS!$D:$D,MATCH(SCORE!T$2&amp;" "&amp;SCORE!$D417,EVENTOS!$F:$F,0)),0)</f>
        <v>0</v>
      </c>
      <c r="U417" s="3">
        <f>IFERROR(INDEX(EVENTOS!$D:$D,MATCH(SCORE!U$2&amp;" "&amp;SCORE!$D417,EVENTOS!$F:$F,0)),0)</f>
        <v>0</v>
      </c>
      <c r="V417" s="3">
        <f>IFERROR(INDEX(EVENTOS!$D:$D,MATCH(SCORE!V$2&amp;" "&amp;SCORE!$D417,EVENTOS!$F:$F,0)),0)</f>
        <v>0</v>
      </c>
      <c r="W417" s="3">
        <f>IFERROR(INDEX(EVENTOS!$D:$D,MATCH(SCORE!W$2&amp;" "&amp;SCORE!$D417,EVENTOS!$F:$F,0)),0)</f>
        <v>0</v>
      </c>
      <c r="X417" s="3">
        <f>IFERROR(INDEX(EVENTOS!$D:$D,MATCH(SCORE!X$2&amp;" "&amp;SCORE!$D417,EVENTOS!$F:$F,0)),0)</f>
        <v>0</v>
      </c>
      <c r="Y417" s="3">
        <f>SUMIFS(EVENTOS!$D:$D, EVENTOS!$B:$B, D417, EVENTOS!$E:$E, "*GirAlto*")</f>
        <v>0</v>
      </c>
      <c r="Z417" s="3">
        <f>SUMIFS(EVENTOS!$D:$D, EVENTOS!$B:$B, D417, EVENTOS!$E:$E, "*GirMed*")</f>
        <v>0</v>
      </c>
      <c r="AA417" s="3">
        <f>SUMIFS(EVENTOS!$D:$D, EVENTOS!$B:$B, D417, EVENTOS!$E:$E, "*GirBajo*")</f>
        <v>0</v>
      </c>
      <c r="AB417" s="3">
        <f>IFERROR(INDEX(EVENTOS!$D:$D,MATCH(SCORE!AB$2&amp;" "&amp;SCORE!$D417,EVENTOS!$F:$F,0)),0)</f>
        <v>0</v>
      </c>
      <c r="AC417" s="3">
        <f>IFERROR(INDEX(EVENTOS!$D:$D,MATCH(SCORE!AC$2&amp;" "&amp;SCORE!$D417,EVENTOS!$F:$F,0)),0)</f>
        <v>0</v>
      </c>
      <c r="AD417" s="3">
        <f>IFERROR(INDEX(EVENTOS!$D:$D,MATCH(SCORE!AD$2&amp;" "&amp;SCORE!$D417,EVENTOS!$F:$F,0)),0)</f>
        <v>0</v>
      </c>
      <c r="AE417" s="3">
        <f t="shared" si="18"/>
        <v>0</v>
      </c>
      <c r="AF417" s="10" t="e">
        <f t="shared" si="19"/>
        <v>#N/A</v>
      </c>
      <c r="AG417" s="3" t="str">
        <f t="shared" si="20"/>
        <v/>
      </c>
    </row>
    <row r="418" spans="1:33" x14ac:dyDescent="0.25">
      <c r="A418" s="7"/>
      <c r="B418" s="8"/>
      <c r="C418" s="3"/>
      <c r="D418" s="3"/>
      <c r="E418" s="3" t="e">
        <f>VLOOKUP(D418,VIAJES!$D:$E,2,FALSE)</f>
        <v>#N/A</v>
      </c>
      <c r="F418" s="9" t="e">
        <f>VLOOKUP(D418,VIAJES!$D:$F,3,FALSE)</f>
        <v>#N/A</v>
      </c>
      <c r="G418" s="9" t="e">
        <f>VLOOKUP(D418,VIAJES!$D:$G,4,FALSE)</f>
        <v>#N/A</v>
      </c>
      <c r="H418" s="3" t="e">
        <f>VLOOKUP(D418,VIAJES!$D:$H,5,FALSE)</f>
        <v>#N/A</v>
      </c>
      <c r="S418" s="3">
        <f>IFERROR(INDEX(EVENTOS!$D:$D,MATCH(SCORE!S$2&amp;" "&amp;SCORE!$D418,EVENTOS!$F:$F,0)),0)</f>
        <v>0</v>
      </c>
      <c r="T418" s="3">
        <f>IFERROR(INDEX(EVENTOS!$D:$D,MATCH(SCORE!T$2&amp;" "&amp;SCORE!$D418,EVENTOS!$F:$F,0)),0)</f>
        <v>0</v>
      </c>
      <c r="U418" s="3">
        <f>IFERROR(INDEX(EVENTOS!$D:$D,MATCH(SCORE!U$2&amp;" "&amp;SCORE!$D418,EVENTOS!$F:$F,0)),0)</f>
        <v>0</v>
      </c>
      <c r="V418" s="3">
        <f>IFERROR(INDEX(EVENTOS!$D:$D,MATCH(SCORE!V$2&amp;" "&amp;SCORE!$D418,EVENTOS!$F:$F,0)),0)</f>
        <v>0</v>
      </c>
      <c r="W418" s="3">
        <f>IFERROR(INDEX(EVENTOS!$D:$D,MATCH(SCORE!W$2&amp;" "&amp;SCORE!$D418,EVENTOS!$F:$F,0)),0)</f>
        <v>0</v>
      </c>
      <c r="X418" s="3">
        <f>IFERROR(INDEX(EVENTOS!$D:$D,MATCH(SCORE!X$2&amp;" "&amp;SCORE!$D418,EVENTOS!$F:$F,0)),0)</f>
        <v>0</v>
      </c>
      <c r="Y418" s="3">
        <f>SUMIFS(EVENTOS!$D:$D, EVENTOS!$B:$B, D418, EVENTOS!$E:$E, "*GirAlto*")</f>
        <v>0</v>
      </c>
      <c r="Z418" s="3">
        <f>SUMIFS(EVENTOS!$D:$D, EVENTOS!$B:$B, D418, EVENTOS!$E:$E, "*GirMed*")</f>
        <v>0</v>
      </c>
      <c r="AA418" s="3">
        <f>SUMIFS(EVENTOS!$D:$D, EVENTOS!$B:$B, D418, EVENTOS!$E:$E, "*GirBajo*")</f>
        <v>0</v>
      </c>
      <c r="AB418" s="3">
        <f>IFERROR(INDEX(EVENTOS!$D:$D,MATCH(SCORE!AB$2&amp;" "&amp;SCORE!$D418,EVENTOS!$F:$F,0)),0)</f>
        <v>0</v>
      </c>
      <c r="AC418" s="3">
        <f>IFERROR(INDEX(EVENTOS!$D:$D,MATCH(SCORE!AC$2&amp;" "&amp;SCORE!$D418,EVENTOS!$F:$F,0)),0)</f>
        <v>0</v>
      </c>
      <c r="AD418" s="3">
        <f>IFERROR(INDEX(EVENTOS!$D:$D,MATCH(SCORE!AD$2&amp;" "&amp;SCORE!$D418,EVENTOS!$F:$F,0)),0)</f>
        <v>0</v>
      </c>
      <c r="AE418" s="3">
        <f t="shared" si="18"/>
        <v>0</v>
      </c>
      <c r="AF418" s="10" t="e">
        <f t="shared" si="19"/>
        <v>#N/A</v>
      </c>
      <c r="AG418" s="3" t="str">
        <f t="shared" si="20"/>
        <v/>
      </c>
    </row>
    <row r="419" spans="1:33" x14ac:dyDescent="0.25">
      <c r="A419" s="7"/>
      <c r="B419" s="8"/>
      <c r="C419" s="3"/>
      <c r="D419" s="3"/>
      <c r="E419" s="3" t="e">
        <f>VLOOKUP(D419,VIAJES!$D:$E,2,FALSE)</f>
        <v>#N/A</v>
      </c>
      <c r="F419" s="9" t="e">
        <f>VLOOKUP(D419,VIAJES!$D:$F,3,FALSE)</f>
        <v>#N/A</v>
      </c>
      <c r="G419" s="9" t="e">
        <f>VLOOKUP(D419,VIAJES!$D:$G,4,FALSE)</f>
        <v>#N/A</v>
      </c>
      <c r="H419" s="3" t="e">
        <f>VLOOKUP(D419,VIAJES!$D:$H,5,FALSE)</f>
        <v>#N/A</v>
      </c>
      <c r="S419" s="3">
        <f>IFERROR(INDEX(EVENTOS!$D:$D,MATCH(SCORE!S$2&amp;" "&amp;SCORE!$D419,EVENTOS!$F:$F,0)),0)</f>
        <v>0</v>
      </c>
      <c r="T419" s="3">
        <f>IFERROR(INDEX(EVENTOS!$D:$D,MATCH(SCORE!T$2&amp;" "&amp;SCORE!$D419,EVENTOS!$F:$F,0)),0)</f>
        <v>0</v>
      </c>
      <c r="U419" s="3">
        <f>IFERROR(INDEX(EVENTOS!$D:$D,MATCH(SCORE!U$2&amp;" "&amp;SCORE!$D419,EVENTOS!$F:$F,0)),0)</f>
        <v>0</v>
      </c>
      <c r="V419" s="3">
        <f>IFERROR(INDEX(EVENTOS!$D:$D,MATCH(SCORE!V$2&amp;" "&amp;SCORE!$D419,EVENTOS!$F:$F,0)),0)</f>
        <v>0</v>
      </c>
      <c r="W419" s="3">
        <f>IFERROR(INDEX(EVENTOS!$D:$D,MATCH(SCORE!W$2&amp;" "&amp;SCORE!$D419,EVENTOS!$F:$F,0)),0)</f>
        <v>0</v>
      </c>
      <c r="X419" s="3">
        <f>IFERROR(INDEX(EVENTOS!$D:$D,MATCH(SCORE!X$2&amp;" "&amp;SCORE!$D419,EVENTOS!$F:$F,0)),0)</f>
        <v>0</v>
      </c>
      <c r="Y419" s="3">
        <f>SUMIFS(EVENTOS!$D:$D, EVENTOS!$B:$B, D419, EVENTOS!$E:$E, "*GirAlto*")</f>
        <v>0</v>
      </c>
      <c r="Z419" s="3">
        <f>SUMIFS(EVENTOS!$D:$D, EVENTOS!$B:$B, D419, EVENTOS!$E:$E, "*GirMed*")</f>
        <v>0</v>
      </c>
      <c r="AA419" s="3">
        <f>SUMIFS(EVENTOS!$D:$D, EVENTOS!$B:$B, D419, EVENTOS!$E:$E, "*GirBajo*")</f>
        <v>0</v>
      </c>
      <c r="AB419" s="3">
        <f>IFERROR(INDEX(EVENTOS!$D:$D,MATCH(SCORE!AB$2&amp;" "&amp;SCORE!$D419,EVENTOS!$F:$F,0)),0)</f>
        <v>0</v>
      </c>
      <c r="AC419" s="3">
        <f>IFERROR(INDEX(EVENTOS!$D:$D,MATCH(SCORE!AC$2&amp;" "&amp;SCORE!$D419,EVENTOS!$F:$F,0)),0)</f>
        <v>0</v>
      </c>
      <c r="AD419" s="3">
        <f>IFERROR(INDEX(EVENTOS!$D:$D,MATCH(SCORE!AD$2&amp;" "&amp;SCORE!$D419,EVENTOS!$F:$F,0)),0)</f>
        <v>0</v>
      </c>
      <c r="AE419" s="3">
        <f t="shared" si="18"/>
        <v>0</v>
      </c>
      <c r="AF419" s="10" t="e">
        <f t="shared" si="19"/>
        <v>#N/A</v>
      </c>
      <c r="AG419" s="3" t="str">
        <f t="shared" si="20"/>
        <v/>
      </c>
    </row>
    <row r="420" spans="1:33" x14ac:dyDescent="0.25">
      <c r="A420" s="7"/>
      <c r="B420" s="8"/>
      <c r="C420" s="3"/>
      <c r="D420" s="3"/>
      <c r="E420" s="3" t="e">
        <f>VLOOKUP(D420,VIAJES!$D:$E,2,FALSE)</f>
        <v>#N/A</v>
      </c>
      <c r="F420" s="9" t="e">
        <f>VLOOKUP(D420,VIAJES!$D:$F,3,FALSE)</f>
        <v>#N/A</v>
      </c>
      <c r="G420" s="9" t="e">
        <f>VLOOKUP(D420,VIAJES!$D:$G,4,FALSE)</f>
        <v>#N/A</v>
      </c>
      <c r="H420" s="3" t="e">
        <f>VLOOKUP(D420,VIAJES!$D:$H,5,FALSE)</f>
        <v>#N/A</v>
      </c>
      <c r="S420" s="3">
        <f>IFERROR(INDEX(EVENTOS!$D:$D,MATCH(SCORE!S$2&amp;" "&amp;SCORE!$D420,EVENTOS!$F:$F,0)),0)</f>
        <v>0</v>
      </c>
      <c r="T420" s="3">
        <f>IFERROR(INDEX(EVENTOS!$D:$D,MATCH(SCORE!T$2&amp;" "&amp;SCORE!$D420,EVENTOS!$F:$F,0)),0)</f>
        <v>0</v>
      </c>
      <c r="U420" s="3">
        <f>IFERROR(INDEX(EVENTOS!$D:$D,MATCH(SCORE!U$2&amp;" "&amp;SCORE!$D420,EVENTOS!$F:$F,0)),0)</f>
        <v>0</v>
      </c>
      <c r="V420" s="3">
        <f>IFERROR(INDEX(EVENTOS!$D:$D,MATCH(SCORE!V$2&amp;" "&amp;SCORE!$D420,EVENTOS!$F:$F,0)),0)</f>
        <v>0</v>
      </c>
      <c r="W420" s="3">
        <f>IFERROR(INDEX(EVENTOS!$D:$D,MATCH(SCORE!W$2&amp;" "&amp;SCORE!$D420,EVENTOS!$F:$F,0)),0)</f>
        <v>0</v>
      </c>
      <c r="X420" s="3">
        <f>IFERROR(INDEX(EVENTOS!$D:$D,MATCH(SCORE!X$2&amp;" "&amp;SCORE!$D420,EVENTOS!$F:$F,0)),0)</f>
        <v>0</v>
      </c>
      <c r="Y420" s="3">
        <f>SUMIFS(EVENTOS!$D:$D, EVENTOS!$B:$B, D420, EVENTOS!$E:$E, "*GirAlto*")</f>
        <v>0</v>
      </c>
      <c r="Z420" s="3">
        <f>SUMIFS(EVENTOS!$D:$D, EVENTOS!$B:$B, D420, EVENTOS!$E:$E, "*GirMed*")</f>
        <v>0</v>
      </c>
      <c r="AA420" s="3">
        <f>SUMIFS(EVENTOS!$D:$D, EVENTOS!$B:$B, D420, EVENTOS!$E:$E, "*GirBajo*")</f>
        <v>0</v>
      </c>
      <c r="AB420" s="3">
        <f>IFERROR(INDEX(EVENTOS!$D:$D,MATCH(SCORE!AB$2&amp;" "&amp;SCORE!$D420,EVENTOS!$F:$F,0)),0)</f>
        <v>0</v>
      </c>
      <c r="AC420" s="3">
        <f>IFERROR(INDEX(EVENTOS!$D:$D,MATCH(SCORE!AC$2&amp;" "&amp;SCORE!$D420,EVENTOS!$F:$F,0)),0)</f>
        <v>0</v>
      </c>
      <c r="AD420" s="3">
        <f>IFERROR(INDEX(EVENTOS!$D:$D,MATCH(SCORE!AD$2&amp;" "&amp;SCORE!$D420,EVENTOS!$F:$F,0)),0)</f>
        <v>0</v>
      </c>
      <c r="AE420" s="3">
        <f t="shared" si="18"/>
        <v>0</v>
      </c>
      <c r="AF420" s="10" t="e">
        <f t="shared" si="19"/>
        <v>#N/A</v>
      </c>
      <c r="AG420" s="3" t="str">
        <f t="shared" si="20"/>
        <v/>
      </c>
    </row>
    <row r="421" spans="1:33" x14ac:dyDescent="0.25">
      <c r="A421" s="7"/>
      <c r="B421" s="8"/>
      <c r="C421" s="3"/>
      <c r="D421" s="3"/>
      <c r="E421" s="3" t="e">
        <f>VLOOKUP(D421,VIAJES!$D:$E,2,FALSE)</f>
        <v>#N/A</v>
      </c>
      <c r="F421" s="9" t="e">
        <f>VLOOKUP(D421,VIAJES!$D:$F,3,FALSE)</f>
        <v>#N/A</v>
      </c>
      <c r="G421" s="9" t="e">
        <f>VLOOKUP(D421,VIAJES!$D:$G,4,FALSE)</f>
        <v>#N/A</v>
      </c>
      <c r="H421" s="3" t="e">
        <f>VLOOKUP(D421,VIAJES!$D:$H,5,FALSE)</f>
        <v>#N/A</v>
      </c>
      <c r="S421" s="3">
        <f>IFERROR(INDEX(EVENTOS!$D:$D,MATCH(SCORE!S$2&amp;" "&amp;SCORE!$D421,EVENTOS!$F:$F,0)),0)</f>
        <v>0</v>
      </c>
      <c r="T421" s="3">
        <f>IFERROR(INDEX(EVENTOS!$D:$D,MATCH(SCORE!T$2&amp;" "&amp;SCORE!$D421,EVENTOS!$F:$F,0)),0)</f>
        <v>0</v>
      </c>
      <c r="U421" s="3">
        <f>IFERROR(INDEX(EVENTOS!$D:$D,MATCH(SCORE!U$2&amp;" "&amp;SCORE!$D421,EVENTOS!$F:$F,0)),0)</f>
        <v>0</v>
      </c>
      <c r="V421" s="3">
        <f>IFERROR(INDEX(EVENTOS!$D:$D,MATCH(SCORE!V$2&amp;" "&amp;SCORE!$D421,EVENTOS!$F:$F,0)),0)</f>
        <v>0</v>
      </c>
      <c r="W421" s="3">
        <f>IFERROR(INDEX(EVENTOS!$D:$D,MATCH(SCORE!W$2&amp;" "&amp;SCORE!$D421,EVENTOS!$F:$F,0)),0)</f>
        <v>0</v>
      </c>
      <c r="X421" s="3">
        <f>IFERROR(INDEX(EVENTOS!$D:$D,MATCH(SCORE!X$2&amp;" "&amp;SCORE!$D421,EVENTOS!$F:$F,0)),0)</f>
        <v>0</v>
      </c>
      <c r="Y421" s="3">
        <f>SUMIFS(EVENTOS!$D:$D, EVENTOS!$B:$B, D421, EVENTOS!$E:$E, "*GirAlto*")</f>
        <v>0</v>
      </c>
      <c r="Z421" s="3">
        <f>SUMIFS(EVENTOS!$D:$D, EVENTOS!$B:$B, D421, EVENTOS!$E:$E, "*GirMed*")</f>
        <v>0</v>
      </c>
      <c r="AA421" s="3">
        <f>SUMIFS(EVENTOS!$D:$D, EVENTOS!$B:$B, D421, EVENTOS!$E:$E, "*GirBajo*")</f>
        <v>0</v>
      </c>
      <c r="AB421" s="3">
        <f>IFERROR(INDEX(EVENTOS!$D:$D,MATCH(SCORE!AB$2&amp;" "&amp;SCORE!$D421,EVENTOS!$F:$F,0)),0)</f>
        <v>0</v>
      </c>
      <c r="AC421" s="3">
        <f>IFERROR(INDEX(EVENTOS!$D:$D,MATCH(SCORE!AC$2&amp;" "&amp;SCORE!$D421,EVENTOS!$F:$F,0)),0)</f>
        <v>0</v>
      </c>
      <c r="AD421" s="3">
        <f>IFERROR(INDEX(EVENTOS!$D:$D,MATCH(SCORE!AD$2&amp;" "&amp;SCORE!$D421,EVENTOS!$F:$F,0)),0)</f>
        <v>0</v>
      </c>
      <c r="AE421" s="3">
        <f t="shared" si="18"/>
        <v>0</v>
      </c>
      <c r="AF421" s="10" t="e">
        <f t="shared" si="19"/>
        <v>#N/A</v>
      </c>
      <c r="AG421" s="3" t="str">
        <f t="shared" si="20"/>
        <v/>
      </c>
    </row>
    <row r="422" spans="1:33" x14ac:dyDescent="0.25">
      <c r="A422" s="7"/>
      <c r="B422" s="8"/>
      <c r="C422" s="3"/>
      <c r="D422" s="3"/>
      <c r="E422" s="3" t="e">
        <f>VLOOKUP(D422,VIAJES!$D:$E,2,FALSE)</f>
        <v>#N/A</v>
      </c>
      <c r="F422" s="9" t="e">
        <f>VLOOKUP(D422,VIAJES!$D:$F,3,FALSE)</f>
        <v>#N/A</v>
      </c>
      <c r="G422" s="9" t="e">
        <f>VLOOKUP(D422,VIAJES!$D:$G,4,FALSE)</f>
        <v>#N/A</v>
      </c>
      <c r="H422" s="3" t="e">
        <f>VLOOKUP(D422,VIAJES!$D:$H,5,FALSE)</f>
        <v>#N/A</v>
      </c>
      <c r="S422" s="3">
        <f>IFERROR(INDEX(EVENTOS!$D:$D,MATCH(SCORE!S$2&amp;" "&amp;SCORE!$D422,EVENTOS!$F:$F,0)),0)</f>
        <v>0</v>
      </c>
      <c r="T422" s="3">
        <f>IFERROR(INDEX(EVENTOS!$D:$D,MATCH(SCORE!T$2&amp;" "&amp;SCORE!$D422,EVENTOS!$F:$F,0)),0)</f>
        <v>0</v>
      </c>
      <c r="U422" s="3">
        <f>IFERROR(INDEX(EVENTOS!$D:$D,MATCH(SCORE!U$2&amp;" "&amp;SCORE!$D422,EVENTOS!$F:$F,0)),0)</f>
        <v>0</v>
      </c>
      <c r="V422" s="3">
        <f>IFERROR(INDEX(EVENTOS!$D:$D,MATCH(SCORE!V$2&amp;" "&amp;SCORE!$D422,EVENTOS!$F:$F,0)),0)</f>
        <v>0</v>
      </c>
      <c r="W422" s="3">
        <f>IFERROR(INDEX(EVENTOS!$D:$D,MATCH(SCORE!W$2&amp;" "&amp;SCORE!$D422,EVENTOS!$F:$F,0)),0)</f>
        <v>0</v>
      </c>
      <c r="X422" s="3">
        <f>IFERROR(INDEX(EVENTOS!$D:$D,MATCH(SCORE!X$2&amp;" "&amp;SCORE!$D422,EVENTOS!$F:$F,0)),0)</f>
        <v>0</v>
      </c>
      <c r="Y422" s="3">
        <f>SUMIFS(EVENTOS!$D:$D, EVENTOS!$B:$B, D422, EVENTOS!$E:$E, "*GirAlto*")</f>
        <v>0</v>
      </c>
      <c r="Z422" s="3">
        <f>SUMIFS(EVENTOS!$D:$D, EVENTOS!$B:$B, D422, EVENTOS!$E:$E, "*GirMed*")</f>
        <v>0</v>
      </c>
      <c r="AA422" s="3">
        <f>SUMIFS(EVENTOS!$D:$D, EVENTOS!$B:$B, D422, EVENTOS!$E:$E, "*GirBajo*")</f>
        <v>0</v>
      </c>
      <c r="AB422" s="3">
        <f>IFERROR(INDEX(EVENTOS!$D:$D,MATCH(SCORE!AB$2&amp;" "&amp;SCORE!$D422,EVENTOS!$F:$F,0)),0)</f>
        <v>0</v>
      </c>
      <c r="AC422" s="3">
        <f>IFERROR(INDEX(EVENTOS!$D:$D,MATCH(SCORE!AC$2&amp;" "&amp;SCORE!$D422,EVENTOS!$F:$F,0)),0)</f>
        <v>0</v>
      </c>
      <c r="AD422" s="3">
        <f>IFERROR(INDEX(EVENTOS!$D:$D,MATCH(SCORE!AD$2&amp;" "&amp;SCORE!$D422,EVENTOS!$F:$F,0)),0)</f>
        <v>0</v>
      </c>
      <c r="AE422" s="3">
        <f t="shared" si="18"/>
        <v>0</v>
      </c>
      <c r="AF422" s="10" t="e">
        <f t="shared" si="19"/>
        <v>#N/A</v>
      </c>
      <c r="AG422" s="3" t="str">
        <f t="shared" si="20"/>
        <v/>
      </c>
    </row>
    <row r="423" spans="1:33" x14ac:dyDescent="0.25">
      <c r="A423" s="7"/>
      <c r="B423" s="8"/>
      <c r="C423" s="3"/>
      <c r="D423" s="3"/>
      <c r="E423" s="3" t="e">
        <f>VLOOKUP(D423,VIAJES!$D:$E,2,FALSE)</f>
        <v>#N/A</v>
      </c>
      <c r="F423" s="9" t="e">
        <f>VLOOKUP(D423,VIAJES!$D:$F,3,FALSE)</f>
        <v>#N/A</v>
      </c>
      <c r="G423" s="9" t="e">
        <f>VLOOKUP(D423,VIAJES!$D:$G,4,FALSE)</f>
        <v>#N/A</v>
      </c>
      <c r="H423" s="3" t="e">
        <f>VLOOKUP(D423,VIAJES!$D:$H,5,FALSE)</f>
        <v>#N/A</v>
      </c>
      <c r="S423" s="3">
        <f>IFERROR(INDEX(EVENTOS!$D:$D,MATCH(SCORE!S$2&amp;" "&amp;SCORE!$D423,EVENTOS!$F:$F,0)),0)</f>
        <v>0</v>
      </c>
      <c r="T423" s="3">
        <f>IFERROR(INDEX(EVENTOS!$D:$D,MATCH(SCORE!T$2&amp;" "&amp;SCORE!$D423,EVENTOS!$F:$F,0)),0)</f>
        <v>0</v>
      </c>
      <c r="U423" s="3">
        <f>IFERROR(INDEX(EVENTOS!$D:$D,MATCH(SCORE!U$2&amp;" "&amp;SCORE!$D423,EVENTOS!$F:$F,0)),0)</f>
        <v>0</v>
      </c>
      <c r="V423" s="3">
        <f>IFERROR(INDEX(EVENTOS!$D:$D,MATCH(SCORE!V$2&amp;" "&amp;SCORE!$D423,EVENTOS!$F:$F,0)),0)</f>
        <v>0</v>
      </c>
      <c r="W423" s="3">
        <f>IFERROR(INDEX(EVENTOS!$D:$D,MATCH(SCORE!W$2&amp;" "&amp;SCORE!$D423,EVENTOS!$F:$F,0)),0)</f>
        <v>0</v>
      </c>
      <c r="X423" s="3">
        <f>IFERROR(INDEX(EVENTOS!$D:$D,MATCH(SCORE!X$2&amp;" "&amp;SCORE!$D423,EVENTOS!$F:$F,0)),0)</f>
        <v>0</v>
      </c>
      <c r="Y423" s="3">
        <f>SUMIFS(EVENTOS!$D:$D, EVENTOS!$B:$B, D423, EVENTOS!$E:$E, "*GirAlto*")</f>
        <v>0</v>
      </c>
      <c r="Z423" s="3">
        <f>SUMIFS(EVENTOS!$D:$D, EVENTOS!$B:$B, D423, EVENTOS!$E:$E, "*GirMed*")</f>
        <v>0</v>
      </c>
      <c r="AA423" s="3">
        <f>SUMIFS(EVENTOS!$D:$D, EVENTOS!$B:$B, D423, EVENTOS!$E:$E, "*GirBajo*")</f>
        <v>0</v>
      </c>
      <c r="AB423" s="3">
        <f>IFERROR(INDEX(EVENTOS!$D:$D,MATCH(SCORE!AB$2&amp;" "&amp;SCORE!$D423,EVENTOS!$F:$F,0)),0)</f>
        <v>0</v>
      </c>
      <c r="AC423" s="3">
        <f>IFERROR(INDEX(EVENTOS!$D:$D,MATCH(SCORE!AC$2&amp;" "&amp;SCORE!$D423,EVENTOS!$F:$F,0)),0)</f>
        <v>0</v>
      </c>
      <c r="AD423" s="3">
        <f>IFERROR(INDEX(EVENTOS!$D:$D,MATCH(SCORE!AD$2&amp;" "&amp;SCORE!$D423,EVENTOS!$F:$F,0)),0)</f>
        <v>0</v>
      </c>
      <c r="AE423" s="3">
        <f t="shared" si="18"/>
        <v>0</v>
      </c>
      <c r="AF423" s="10" t="e">
        <f t="shared" si="19"/>
        <v>#N/A</v>
      </c>
      <c r="AG423" s="3" t="str">
        <f t="shared" si="20"/>
        <v/>
      </c>
    </row>
    <row r="424" spans="1:33" x14ac:dyDescent="0.25">
      <c r="A424" s="7"/>
      <c r="B424" s="8"/>
      <c r="C424" s="3"/>
      <c r="D424" s="3"/>
      <c r="E424" s="3" t="e">
        <f>VLOOKUP(D424,VIAJES!$D:$E,2,FALSE)</f>
        <v>#N/A</v>
      </c>
      <c r="F424" s="9" t="e">
        <f>VLOOKUP(D424,VIAJES!$D:$F,3,FALSE)</f>
        <v>#N/A</v>
      </c>
      <c r="G424" s="9" t="e">
        <f>VLOOKUP(D424,VIAJES!$D:$G,4,FALSE)</f>
        <v>#N/A</v>
      </c>
      <c r="H424" s="3" t="e">
        <f>VLOOKUP(D424,VIAJES!$D:$H,5,FALSE)</f>
        <v>#N/A</v>
      </c>
      <c r="S424" s="3">
        <f>IFERROR(INDEX(EVENTOS!$D:$D,MATCH(SCORE!S$2&amp;" "&amp;SCORE!$D424,EVENTOS!$F:$F,0)),0)</f>
        <v>0</v>
      </c>
      <c r="T424" s="3">
        <f>IFERROR(INDEX(EVENTOS!$D:$D,MATCH(SCORE!T$2&amp;" "&amp;SCORE!$D424,EVENTOS!$F:$F,0)),0)</f>
        <v>0</v>
      </c>
      <c r="U424" s="3">
        <f>IFERROR(INDEX(EVENTOS!$D:$D,MATCH(SCORE!U$2&amp;" "&amp;SCORE!$D424,EVENTOS!$F:$F,0)),0)</f>
        <v>0</v>
      </c>
      <c r="V424" s="3">
        <f>IFERROR(INDEX(EVENTOS!$D:$D,MATCH(SCORE!V$2&amp;" "&amp;SCORE!$D424,EVENTOS!$F:$F,0)),0)</f>
        <v>0</v>
      </c>
      <c r="W424" s="3">
        <f>IFERROR(INDEX(EVENTOS!$D:$D,MATCH(SCORE!W$2&amp;" "&amp;SCORE!$D424,EVENTOS!$F:$F,0)),0)</f>
        <v>0</v>
      </c>
      <c r="X424" s="3">
        <f>IFERROR(INDEX(EVENTOS!$D:$D,MATCH(SCORE!X$2&amp;" "&amp;SCORE!$D424,EVENTOS!$F:$F,0)),0)</f>
        <v>0</v>
      </c>
      <c r="Y424" s="3">
        <f>SUMIFS(EVENTOS!$D:$D, EVENTOS!$B:$B, D424, EVENTOS!$E:$E, "*GirAlto*")</f>
        <v>0</v>
      </c>
      <c r="Z424" s="3">
        <f>SUMIFS(EVENTOS!$D:$D, EVENTOS!$B:$B, D424, EVENTOS!$E:$E, "*GirMed*")</f>
        <v>0</v>
      </c>
      <c r="AA424" s="3">
        <f>SUMIFS(EVENTOS!$D:$D, EVENTOS!$B:$B, D424, EVENTOS!$E:$E, "*GirBajo*")</f>
        <v>0</v>
      </c>
      <c r="AB424" s="3">
        <f>IFERROR(INDEX(EVENTOS!$D:$D,MATCH(SCORE!AB$2&amp;" "&amp;SCORE!$D424,EVENTOS!$F:$F,0)),0)</f>
        <v>0</v>
      </c>
      <c r="AC424" s="3">
        <f>IFERROR(INDEX(EVENTOS!$D:$D,MATCH(SCORE!AC$2&amp;" "&amp;SCORE!$D424,EVENTOS!$F:$F,0)),0)</f>
        <v>0</v>
      </c>
      <c r="AD424" s="3">
        <f>IFERROR(INDEX(EVENTOS!$D:$D,MATCH(SCORE!AD$2&amp;" "&amp;SCORE!$D424,EVENTOS!$F:$F,0)),0)</f>
        <v>0</v>
      </c>
      <c r="AE424" s="3">
        <f t="shared" si="18"/>
        <v>0</v>
      </c>
      <c r="AF424" s="10" t="e">
        <f t="shared" si="19"/>
        <v>#N/A</v>
      </c>
      <c r="AG424" s="3" t="str">
        <f t="shared" si="20"/>
        <v/>
      </c>
    </row>
    <row r="425" spans="1:33" x14ac:dyDescent="0.25">
      <c r="A425" s="7"/>
      <c r="B425" s="8"/>
      <c r="C425" s="3"/>
      <c r="D425" s="3"/>
      <c r="E425" s="3" t="e">
        <f>VLOOKUP(D425,VIAJES!$D:$E,2,FALSE)</f>
        <v>#N/A</v>
      </c>
      <c r="F425" s="9" t="e">
        <f>VLOOKUP(D425,VIAJES!$D:$F,3,FALSE)</f>
        <v>#N/A</v>
      </c>
      <c r="G425" s="9" t="e">
        <f>VLOOKUP(D425,VIAJES!$D:$G,4,FALSE)</f>
        <v>#N/A</v>
      </c>
      <c r="H425" s="3" t="e">
        <f>VLOOKUP(D425,VIAJES!$D:$H,5,FALSE)</f>
        <v>#N/A</v>
      </c>
      <c r="S425" s="3">
        <f>IFERROR(INDEX(EVENTOS!$D:$D,MATCH(SCORE!S$2&amp;" "&amp;SCORE!$D425,EVENTOS!$F:$F,0)),0)</f>
        <v>0</v>
      </c>
      <c r="T425" s="3">
        <f>IFERROR(INDEX(EVENTOS!$D:$D,MATCH(SCORE!T$2&amp;" "&amp;SCORE!$D425,EVENTOS!$F:$F,0)),0)</f>
        <v>0</v>
      </c>
      <c r="U425" s="3">
        <f>IFERROR(INDEX(EVENTOS!$D:$D,MATCH(SCORE!U$2&amp;" "&amp;SCORE!$D425,EVENTOS!$F:$F,0)),0)</f>
        <v>0</v>
      </c>
      <c r="V425" s="3">
        <f>IFERROR(INDEX(EVENTOS!$D:$D,MATCH(SCORE!V$2&amp;" "&amp;SCORE!$D425,EVENTOS!$F:$F,0)),0)</f>
        <v>0</v>
      </c>
      <c r="W425" s="3">
        <f>IFERROR(INDEX(EVENTOS!$D:$D,MATCH(SCORE!W$2&amp;" "&amp;SCORE!$D425,EVENTOS!$F:$F,0)),0)</f>
        <v>0</v>
      </c>
      <c r="X425" s="3">
        <f>IFERROR(INDEX(EVENTOS!$D:$D,MATCH(SCORE!X$2&amp;" "&amp;SCORE!$D425,EVENTOS!$F:$F,0)),0)</f>
        <v>0</v>
      </c>
      <c r="Y425" s="3">
        <f>SUMIFS(EVENTOS!$D:$D, EVENTOS!$B:$B, D425, EVENTOS!$E:$E, "*GirAlto*")</f>
        <v>0</v>
      </c>
      <c r="Z425" s="3">
        <f>SUMIFS(EVENTOS!$D:$D, EVENTOS!$B:$B, D425, EVENTOS!$E:$E, "*GirMed*")</f>
        <v>0</v>
      </c>
      <c r="AA425" s="3">
        <f>SUMIFS(EVENTOS!$D:$D, EVENTOS!$B:$B, D425, EVENTOS!$E:$E, "*GirBajo*")</f>
        <v>0</v>
      </c>
      <c r="AB425" s="3">
        <f>IFERROR(INDEX(EVENTOS!$D:$D,MATCH(SCORE!AB$2&amp;" "&amp;SCORE!$D425,EVENTOS!$F:$F,0)),0)</f>
        <v>0</v>
      </c>
      <c r="AC425" s="3">
        <f>IFERROR(INDEX(EVENTOS!$D:$D,MATCH(SCORE!AC$2&amp;" "&amp;SCORE!$D425,EVENTOS!$F:$F,0)),0)</f>
        <v>0</v>
      </c>
      <c r="AD425" s="3">
        <f>IFERROR(INDEX(EVENTOS!$D:$D,MATCH(SCORE!AD$2&amp;" "&amp;SCORE!$D425,EVENTOS!$F:$F,0)),0)</f>
        <v>0</v>
      </c>
      <c r="AE425" s="3">
        <f t="shared" si="18"/>
        <v>0</v>
      </c>
      <c r="AF425" s="10" t="e">
        <f t="shared" si="19"/>
        <v>#N/A</v>
      </c>
      <c r="AG425" s="3" t="str">
        <f t="shared" si="20"/>
        <v/>
      </c>
    </row>
    <row r="426" spans="1:33" x14ac:dyDescent="0.25">
      <c r="A426" s="7"/>
      <c r="B426" s="8"/>
      <c r="C426" s="3"/>
      <c r="D426" s="3"/>
      <c r="E426" s="3" t="e">
        <f>VLOOKUP(D426,VIAJES!$D:$E,2,FALSE)</f>
        <v>#N/A</v>
      </c>
      <c r="F426" s="9" t="e">
        <f>VLOOKUP(D426,VIAJES!$D:$F,3,FALSE)</f>
        <v>#N/A</v>
      </c>
      <c r="G426" s="9" t="e">
        <f>VLOOKUP(D426,VIAJES!$D:$G,4,FALSE)</f>
        <v>#N/A</v>
      </c>
      <c r="H426" s="3" t="e">
        <f>VLOOKUP(D426,VIAJES!$D:$H,5,FALSE)</f>
        <v>#N/A</v>
      </c>
      <c r="S426" s="3">
        <f>IFERROR(INDEX(EVENTOS!$D:$D,MATCH(SCORE!S$2&amp;" "&amp;SCORE!$D426,EVENTOS!$F:$F,0)),0)</f>
        <v>0</v>
      </c>
      <c r="T426" s="3">
        <f>IFERROR(INDEX(EVENTOS!$D:$D,MATCH(SCORE!T$2&amp;" "&amp;SCORE!$D426,EVENTOS!$F:$F,0)),0)</f>
        <v>0</v>
      </c>
      <c r="U426" s="3">
        <f>IFERROR(INDEX(EVENTOS!$D:$D,MATCH(SCORE!U$2&amp;" "&amp;SCORE!$D426,EVENTOS!$F:$F,0)),0)</f>
        <v>0</v>
      </c>
      <c r="V426" s="3">
        <f>IFERROR(INDEX(EVENTOS!$D:$D,MATCH(SCORE!V$2&amp;" "&amp;SCORE!$D426,EVENTOS!$F:$F,0)),0)</f>
        <v>0</v>
      </c>
      <c r="W426" s="3">
        <f>IFERROR(INDEX(EVENTOS!$D:$D,MATCH(SCORE!W$2&amp;" "&amp;SCORE!$D426,EVENTOS!$F:$F,0)),0)</f>
        <v>0</v>
      </c>
      <c r="X426" s="3">
        <f>IFERROR(INDEX(EVENTOS!$D:$D,MATCH(SCORE!X$2&amp;" "&amp;SCORE!$D426,EVENTOS!$F:$F,0)),0)</f>
        <v>0</v>
      </c>
      <c r="Y426" s="3">
        <f>SUMIFS(EVENTOS!$D:$D, EVENTOS!$B:$B, D426, EVENTOS!$E:$E, "*GirAlto*")</f>
        <v>0</v>
      </c>
      <c r="Z426" s="3">
        <f>SUMIFS(EVENTOS!$D:$D, EVENTOS!$B:$B, D426, EVENTOS!$E:$E, "*GirMed*")</f>
        <v>0</v>
      </c>
      <c r="AA426" s="3">
        <f>SUMIFS(EVENTOS!$D:$D, EVENTOS!$B:$B, D426, EVENTOS!$E:$E, "*GirBajo*")</f>
        <v>0</v>
      </c>
      <c r="AB426" s="3">
        <f>IFERROR(INDEX(EVENTOS!$D:$D,MATCH(SCORE!AB$2&amp;" "&amp;SCORE!$D426,EVENTOS!$F:$F,0)),0)</f>
        <v>0</v>
      </c>
      <c r="AC426" s="3">
        <f>IFERROR(INDEX(EVENTOS!$D:$D,MATCH(SCORE!AC$2&amp;" "&amp;SCORE!$D426,EVENTOS!$F:$F,0)),0)</f>
        <v>0</v>
      </c>
      <c r="AD426" s="3">
        <f>IFERROR(INDEX(EVENTOS!$D:$D,MATCH(SCORE!AD$2&amp;" "&amp;SCORE!$D426,EVENTOS!$F:$F,0)),0)</f>
        <v>0</v>
      </c>
      <c r="AE426" s="3">
        <f t="shared" si="18"/>
        <v>0</v>
      </c>
      <c r="AF426" s="10" t="e">
        <f t="shared" si="19"/>
        <v>#N/A</v>
      </c>
      <c r="AG426" s="3" t="str">
        <f t="shared" si="20"/>
        <v/>
      </c>
    </row>
    <row r="427" spans="1:33" x14ac:dyDescent="0.25">
      <c r="A427" s="7"/>
      <c r="B427" s="8"/>
      <c r="C427" s="3"/>
      <c r="D427" s="3"/>
      <c r="E427" s="3" t="e">
        <f>VLOOKUP(D427,VIAJES!$D:$E,2,FALSE)</f>
        <v>#N/A</v>
      </c>
      <c r="F427" s="9" t="e">
        <f>VLOOKUP(D427,VIAJES!$D:$F,3,FALSE)</f>
        <v>#N/A</v>
      </c>
      <c r="G427" s="9" t="e">
        <f>VLOOKUP(D427,VIAJES!$D:$G,4,FALSE)</f>
        <v>#N/A</v>
      </c>
      <c r="H427" s="3" t="e">
        <f>VLOOKUP(D427,VIAJES!$D:$H,5,FALSE)</f>
        <v>#N/A</v>
      </c>
      <c r="S427" s="3">
        <f>IFERROR(INDEX(EVENTOS!$D:$D,MATCH(SCORE!S$2&amp;" "&amp;SCORE!$D427,EVENTOS!$F:$F,0)),0)</f>
        <v>0</v>
      </c>
      <c r="T427" s="3">
        <f>IFERROR(INDEX(EVENTOS!$D:$D,MATCH(SCORE!T$2&amp;" "&amp;SCORE!$D427,EVENTOS!$F:$F,0)),0)</f>
        <v>0</v>
      </c>
      <c r="U427" s="3">
        <f>IFERROR(INDEX(EVENTOS!$D:$D,MATCH(SCORE!U$2&amp;" "&amp;SCORE!$D427,EVENTOS!$F:$F,0)),0)</f>
        <v>0</v>
      </c>
      <c r="V427" s="3">
        <f>IFERROR(INDEX(EVENTOS!$D:$D,MATCH(SCORE!V$2&amp;" "&amp;SCORE!$D427,EVENTOS!$F:$F,0)),0)</f>
        <v>0</v>
      </c>
      <c r="W427" s="3">
        <f>IFERROR(INDEX(EVENTOS!$D:$D,MATCH(SCORE!W$2&amp;" "&amp;SCORE!$D427,EVENTOS!$F:$F,0)),0)</f>
        <v>0</v>
      </c>
      <c r="X427" s="3">
        <f>IFERROR(INDEX(EVENTOS!$D:$D,MATCH(SCORE!X$2&amp;" "&amp;SCORE!$D427,EVENTOS!$F:$F,0)),0)</f>
        <v>0</v>
      </c>
      <c r="Y427" s="3">
        <f>SUMIFS(EVENTOS!$D:$D, EVENTOS!$B:$B, D427, EVENTOS!$E:$E, "*GirAlto*")</f>
        <v>0</v>
      </c>
      <c r="Z427" s="3">
        <f>SUMIFS(EVENTOS!$D:$D, EVENTOS!$B:$B, D427, EVENTOS!$E:$E, "*GirMed*")</f>
        <v>0</v>
      </c>
      <c r="AA427" s="3">
        <f>SUMIFS(EVENTOS!$D:$D, EVENTOS!$B:$B, D427, EVENTOS!$E:$E, "*GirBajo*")</f>
        <v>0</v>
      </c>
      <c r="AB427" s="3">
        <f>IFERROR(INDEX(EVENTOS!$D:$D,MATCH(SCORE!AB$2&amp;" "&amp;SCORE!$D427,EVENTOS!$F:$F,0)),0)</f>
        <v>0</v>
      </c>
      <c r="AC427" s="3">
        <f>IFERROR(INDEX(EVENTOS!$D:$D,MATCH(SCORE!AC$2&amp;" "&amp;SCORE!$D427,EVENTOS!$F:$F,0)),0)</f>
        <v>0</v>
      </c>
      <c r="AD427" s="3">
        <f>IFERROR(INDEX(EVENTOS!$D:$D,MATCH(SCORE!AD$2&amp;" "&amp;SCORE!$D427,EVENTOS!$F:$F,0)),0)</f>
        <v>0</v>
      </c>
      <c r="AE427" s="3">
        <f t="shared" si="18"/>
        <v>0</v>
      </c>
      <c r="AF427" s="10" t="e">
        <f t="shared" si="19"/>
        <v>#N/A</v>
      </c>
      <c r="AG427" s="3" t="str">
        <f t="shared" si="20"/>
        <v/>
      </c>
    </row>
    <row r="428" spans="1:33" x14ac:dyDescent="0.25">
      <c r="A428" s="7"/>
      <c r="B428" s="8"/>
      <c r="C428" s="3"/>
      <c r="D428" s="3"/>
      <c r="E428" s="3" t="e">
        <f>VLOOKUP(D428,VIAJES!$D:$E,2,FALSE)</f>
        <v>#N/A</v>
      </c>
      <c r="F428" s="9" t="e">
        <f>VLOOKUP(D428,VIAJES!$D:$F,3,FALSE)</f>
        <v>#N/A</v>
      </c>
      <c r="G428" s="9" t="e">
        <f>VLOOKUP(D428,VIAJES!$D:$G,4,FALSE)</f>
        <v>#N/A</v>
      </c>
      <c r="H428" s="3" t="e">
        <f>VLOOKUP(D428,VIAJES!$D:$H,5,FALSE)</f>
        <v>#N/A</v>
      </c>
      <c r="S428" s="3">
        <f>IFERROR(INDEX(EVENTOS!$D:$D,MATCH(SCORE!S$2&amp;" "&amp;SCORE!$D428,EVENTOS!$F:$F,0)),0)</f>
        <v>0</v>
      </c>
      <c r="T428" s="3">
        <f>IFERROR(INDEX(EVENTOS!$D:$D,MATCH(SCORE!T$2&amp;" "&amp;SCORE!$D428,EVENTOS!$F:$F,0)),0)</f>
        <v>0</v>
      </c>
      <c r="U428" s="3">
        <f>IFERROR(INDEX(EVENTOS!$D:$D,MATCH(SCORE!U$2&amp;" "&amp;SCORE!$D428,EVENTOS!$F:$F,0)),0)</f>
        <v>0</v>
      </c>
      <c r="V428" s="3">
        <f>IFERROR(INDEX(EVENTOS!$D:$D,MATCH(SCORE!V$2&amp;" "&amp;SCORE!$D428,EVENTOS!$F:$F,0)),0)</f>
        <v>0</v>
      </c>
      <c r="W428" s="3">
        <f>IFERROR(INDEX(EVENTOS!$D:$D,MATCH(SCORE!W$2&amp;" "&amp;SCORE!$D428,EVENTOS!$F:$F,0)),0)</f>
        <v>0</v>
      </c>
      <c r="X428" s="3">
        <f>IFERROR(INDEX(EVENTOS!$D:$D,MATCH(SCORE!X$2&amp;" "&amp;SCORE!$D428,EVENTOS!$F:$F,0)),0)</f>
        <v>0</v>
      </c>
      <c r="Y428" s="3">
        <f>SUMIFS(EVENTOS!$D:$D, EVENTOS!$B:$B, D428, EVENTOS!$E:$E, "*GirAlto*")</f>
        <v>0</v>
      </c>
      <c r="Z428" s="3">
        <f>SUMIFS(EVENTOS!$D:$D, EVENTOS!$B:$B, D428, EVENTOS!$E:$E, "*GirMed*")</f>
        <v>0</v>
      </c>
      <c r="AA428" s="3">
        <f>SUMIFS(EVENTOS!$D:$D, EVENTOS!$B:$B, D428, EVENTOS!$E:$E, "*GirBajo*")</f>
        <v>0</v>
      </c>
      <c r="AB428" s="3">
        <f>IFERROR(INDEX(EVENTOS!$D:$D,MATCH(SCORE!AB$2&amp;" "&amp;SCORE!$D428,EVENTOS!$F:$F,0)),0)</f>
        <v>0</v>
      </c>
      <c r="AC428" s="3">
        <f>IFERROR(INDEX(EVENTOS!$D:$D,MATCH(SCORE!AC$2&amp;" "&amp;SCORE!$D428,EVENTOS!$F:$F,0)),0)</f>
        <v>0</v>
      </c>
      <c r="AD428" s="3">
        <f>IFERROR(INDEX(EVENTOS!$D:$D,MATCH(SCORE!AD$2&amp;" "&amp;SCORE!$D428,EVENTOS!$F:$F,0)),0)</f>
        <v>0</v>
      </c>
      <c r="AE428" s="3">
        <f t="shared" si="18"/>
        <v>0</v>
      </c>
      <c r="AF428" s="10" t="e">
        <f t="shared" si="19"/>
        <v>#N/A</v>
      </c>
      <c r="AG428" s="3" t="str">
        <f t="shared" si="20"/>
        <v/>
      </c>
    </row>
    <row r="429" spans="1:33" x14ac:dyDescent="0.25">
      <c r="A429" s="7"/>
      <c r="B429" s="8"/>
      <c r="C429" s="3"/>
      <c r="D429" s="3"/>
      <c r="E429" s="3" t="e">
        <f>VLOOKUP(D429,VIAJES!$D:$E,2,FALSE)</f>
        <v>#N/A</v>
      </c>
      <c r="F429" s="9" t="e">
        <f>VLOOKUP(D429,VIAJES!$D:$F,3,FALSE)</f>
        <v>#N/A</v>
      </c>
      <c r="G429" s="9" t="e">
        <f>VLOOKUP(D429,VIAJES!$D:$G,4,FALSE)</f>
        <v>#N/A</v>
      </c>
      <c r="H429" s="3" t="e">
        <f>VLOOKUP(D429,VIAJES!$D:$H,5,FALSE)</f>
        <v>#N/A</v>
      </c>
      <c r="S429" s="3">
        <f>IFERROR(INDEX(EVENTOS!$D:$D,MATCH(SCORE!S$2&amp;" "&amp;SCORE!$D429,EVENTOS!$F:$F,0)),0)</f>
        <v>0</v>
      </c>
      <c r="T429" s="3">
        <f>IFERROR(INDEX(EVENTOS!$D:$D,MATCH(SCORE!T$2&amp;" "&amp;SCORE!$D429,EVENTOS!$F:$F,0)),0)</f>
        <v>0</v>
      </c>
      <c r="U429" s="3">
        <f>IFERROR(INDEX(EVENTOS!$D:$D,MATCH(SCORE!U$2&amp;" "&amp;SCORE!$D429,EVENTOS!$F:$F,0)),0)</f>
        <v>0</v>
      </c>
      <c r="V429" s="3">
        <f>IFERROR(INDEX(EVENTOS!$D:$D,MATCH(SCORE!V$2&amp;" "&amp;SCORE!$D429,EVENTOS!$F:$F,0)),0)</f>
        <v>0</v>
      </c>
      <c r="W429" s="3">
        <f>IFERROR(INDEX(EVENTOS!$D:$D,MATCH(SCORE!W$2&amp;" "&amp;SCORE!$D429,EVENTOS!$F:$F,0)),0)</f>
        <v>0</v>
      </c>
      <c r="X429" s="3">
        <f>IFERROR(INDEX(EVENTOS!$D:$D,MATCH(SCORE!X$2&amp;" "&amp;SCORE!$D429,EVENTOS!$F:$F,0)),0)</f>
        <v>0</v>
      </c>
      <c r="Y429" s="3">
        <f>SUMIFS(EVENTOS!$D:$D, EVENTOS!$B:$B, D429, EVENTOS!$E:$E, "*GirAlto*")</f>
        <v>0</v>
      </c>
      <c r="Z429" s="3">
        <f>SUMIFS(EVENTOS!$D:$D, EVENTOS!$B:$B, D429, EVENTOS!$E:$E, "*GirMed*")</f>
        <v>0</v>
      </c>
      <c r="AA429" s="3">
        <f>SUMIFS(EVENTOS!$D:$D, EVENTOS!$B:$B, D429, EVENTOS!$E:$E, "*GirBajo*")</f>
        <v>0</v>
      </c>
      <c r="AB429" s="3">
        <f>IFERROR(INDEX(EVENTOS!$D:$D,MATCH(SCORE!AB$2&amp;" "&amp;SCORE!$D429,EVENTOS!$F:$F,0)),0)</f>
        <v>0</v>
      </c>
      <c r="AC429" s="3">
        <f>IFERROR(INDEX(EVENTOS!$D:$D,MATCH(SCORE!AC$2&amp;" "&amp;SCORE!$D429,EVENTOS!$F:$F,0)),0)</f>
        <v>0</v>
      </c>
      <c r="AD429" s="3">
        <f>IFERROR(INDEX(EVENTOS!$D:$D,MATCH(SCORE!AD$2&amp;" "&amp;SCORE!$D429,EVENTOS!$F:$F,0)),0)</f>
        <v>0</v>
      </c>
      <c r="AE429" s="3">
        <f t="shared" si="18"/>
        <v>0</v>
      </c>
      <c r="AF429" s="10" t="e">
        <f t="shared" si="19"/>
        <v>#N/A</v>
      </c>
      <c r="AG429" s="3" t="str">
        <f t="shared" si="20"/>
        <v/>
      </c>
    </row>
    <row r="430" spans="1:33" x14ac:dyDescent="0.25">
      <c r="A430" s="7"/>
      <c r="B430" s="8"/>
      <c r="C430" s="3"/>
      <c r="D430" s="3"/>
      <c r="E430" s="3" t="e">
        <f>VLOOKUP(D430,VIAJES!$D:$E,2,FALSE)</f>
        <v>#N/A</v>
      </c>
      <c r="F430" s="9" t="e">
        <f>VLOOKUP(D430,VIAJES!$D:$F,3,FALSE)</f>
        <v>#N/A</v>
      </c>
      <c r="G430" s="9" t="e">
        <f>VLOOKUP(D430,VIAJES!$D:$G,4,FALSE)</f>
        <v>#N/A</v>
      </c>
      <c r="H430" s="3" t="e">
        <f>VLOOKUP(D430,VIAJES!$D:$H,5,FALSE)</f>
        <v>#N/A</v>
      </c>
      <c r="S430" s="3">
        <f>IFERROR(INDEX(EVENTOS!$D:$D,MATCH(SCORE!S$2&amp;" "&amp;SCORE!$D430,EVENTOS!$F:$F,0)),0)</f>
        <v>0</v>
      </c>
      <c r="T430" s="3">
        <f>IFERROR(INDEX(EVENTOS!$D:$D,MATCH(SCORE!T$2&amp;" "&amp;SCORE!$D430,EVENTOS!$F:$F,0)),0)</f>
        <v>0</v>
      </c>
      <c r="U430" s="3">
        <f>IFERROR(INDEX(EVENTOS!$D:$D,MATCH(SCORE!U$2&amp;" "&amp;SCORE!$D430,EVENTOS!$F:$F,0)),0)</f>
        <v>0</v>
      </c>
      <c r="V430" s="3">
        <f>IFERROR(INDEX(EVENTOS!$D:$D,MATCH(SCORE!V$2&amp;" "&amp;SCORE!$D430,EVENTOS!$F:$F,0)),0)</f>
        <v>0</v>
      </c>
      <c r="W430" s="3">
        <f>IFERROR(INDEX(EVENTOS!$D:$D,MATCH(SCORE!W$2&amp;" "&amp;SCORE!$D430,EVENTOS!$F:$F,0)),0)</f>
        <v>0</v>
      </c>
      <c r="X430" s="3">
        <f>IFERROR(INDEX(EVENTOS!$D:$D,MATCH(SCORE!X$2&amp;" "&amp;SCORE!$D430,EVENTOS!$F:$F,0)),0)</f>
        <v>0</v>
      </c>
      <c r="Y430" s="3">
        <f>SUMIFS(EVENTOS!$D:$D, EVENTOS!$B:$B, D430, EVENTOS!$E:$E, "*GirAlto*")</f>
        <v>0</v>
      </c>
      <c r="Z430" s="3">
        <f>SUMIFS(EVENTOS!$D:$D, EVENTOS!$B:$B, D430, EVENTOS!$E:$E, "*GirMed*")</f>
        <v>0</v>
      </c>
      <c r="AA430" s="3">
        <f>SUMIFS(EVENTOS!$D:$D, EVENTOS!$B:$B, D430, EVENTOS!$E:$E, "*GirBajo*")</f>
        <v>0</v>
      </c>
      <c r="AB430" s="3">
        <f>IFERROR(INDEX(EVENTOS!$D:$D,MATCH(SCORE!AB$2&amp;" "&amp;SCORE!$D430,EVENTOS!$F:$F,0)),0)</f>
        <v>0</v>
      </c>
      <c r="AC430" s="3">
        <f>IFERROR(INDEX(EVENTOS!$D:$D,MATCH(SCORE!AC$2&amp;" "&amp;SCORE!$D430,EVENTOS!$F:$F,0)),0)</f>
        <v>0</v>
      </c>
      <c r="AD430" s="3">
        <f>IFERROR(INDEX(EVENTOS!$D:$D,MATCH(SCORE!AD$2&amp;" "&amp;SCORE!$D430,EVENTOS!$F:$F,0)),0)</f>
        <v>0</v>
      </c>
      <c r="AE430" s="3">
        <f t="shared" si="18"/>
        <v>0</v>
      </c>
      <c r="AF430" s="10" t="e">
        <f t="shared" si="19"/>
        <v>#N/A</v>
      </c>
      <c r="AG430" s="3" t="str">
        <f t="shared" si="20"/>
        <v/>
      </c>
    </row>
    <row r="431" spans="1:33" x14ac:dyDescent="0.25">
      <c r="A431" s="7"/>
      <c r="B431" s="8"/>
      <c r="C431" s="3"/>
      <c r="D431" s="3"/>
      <c r="E431" s="3" t="e">
        <f>VLOOKUP(D431,VIAJES!$D:$E,2,FALSE)</f>
        <v>#N/A</v>
      </c>
      <c r="F431" s="9" t="e">
        <f>VLOOKUP(D431,VIAJES!$D:$F,3,FALSE)</f>
        <v>#N/A</v>
      </c>
      <c r="G431" s="9" t="e">
        <f>VLOOKUP(D431,VIAJES!$D:$G,4,FALSE)</f>
        <v>#N/A</v>
      </c>
      <c r="H431" s="3" t="e">
        <f>VLOOKUP(D431,VIAJES!$D:$H,5,FALSE)</f>
        <v>#N/A</v>
      </c>
      <c r="S431" s="3">
        <f>IFERROR(INDEX(EVENTOS!$D:$D,MATCH(SCORE!S$2&amp;" "&amp;SCORE!$D431,EVENTOS!$F:$F,0)),0)</f>
        <v>0</v>
      </c>
      <c r="T431" s="3">
        <f>IFERROR(INDEX(EVENTOS!$D:$D,MATCH(SCORE!T$2&amp;" "&amp;SCORE!$D431,EVENTOS!$F:$F,0)),0)</f>
        <v>0</v>
      </c>
      <c r="U431" s="3">
        <f>IFERROR(INDEX(EVENTOS!$D:$D,MATCH(SCORE!U$2&amp;" "&amp;SCORE!$D431,EVENTOS!$F:$F,0)),0)</f>
        <v>0</v>
      </c>
      <c r="V431" s="3">
        <f>IFERROR(INDEX(EVENTOS!$D:$D,MATCH(SCORE!V$2&amp;" "&amp;SCORE!$D431,EVENTOS!$F:$F,0)),0)</f>
        <v>0</v>
      </c>
      <c r="W431" s="3">
        <f>IFERROR(INDEX(EVENTOS!$D:$D,MATCH(SCORE!W$2&amp;" "&amp;SCORE!$D431,EVENTOS!$F:$F,0)),0)</f>
        <v>0</v>
      </c>
      <c r="X431" s="3">
        <f>IFERROR(INDEX(EVENTOS!$D:$D,MATCH(SCORE!X$2&amp;" "&amp;SCORE!$D431,EVENTOS!$F:$F,0)),0)</f>
        <v>0</v>
      </c>
      <c r="Y431" s="3">
        <f>SUMIFS(EVENTOS!$D:$D, EVENTOS!$B:$B, D431, EVENTOS!$E:$E, "*GirAlto*")</f>
        <v>0</v>
      </c>
      <c r="Z431" s="3">
        <f>SUMIFS(EVENTOS!$D:$D, EVENTOS!$B:$B, D431, EVENTOS!$E:$E, "*GirMed*")</f>
        <v>0</v>
      </c>
      <c r="AA431" s="3">
        <f>SUMIFS(EVENTOS!$D:$D, EVENTOS!$B:$B, D431, EVENTOS!$E:$E, "*GirBajo*")</f>
        <v>0</v>
      </c>
      <c r="AB431" s="3">
        <f>IFERROR(INDEX(EVENTOS!$D:$D,MATCH(SCORE!AB$2&amp;" "&amp;SCORE!$D431,EVENTOS!$F:$F,0)),0)</f>
        <v>0</v>
      </c>
      <c r="AC431" s="3">
        <f>IFERROR(INDEX(EVENTOS!$D:$D,MATCH(SCORE!AC$2&amp;" "&amp;SCORE!$D431,EVENTOS!$F:$F,0)),0)</f>
        <v>0</v>
      </c>
      <c r="AD431" s="3">
        <f>IFERROR(INDEX(EVENTOS!$D:$D,MATCH(SCORE!AD$2&amp;" "&amp;SCORE!$D431,EVENTOS!$F:$F,0)),0)</f>
        <v>0</v>
      </c>
      <c r="AE431" s="3">
        <f t="shared" si="18"/>
        <v>0</v>
      </c>
      <c r="AF431" s="10" t="e">
        <f t="shared" si="19"/>
        <v>#N/A</v>
      </c>
      <c r="AG431" s="3" t="str">
        <f t="shared" si="20"/>
        <v/>
      </c>
    </row>
    <row r="432" spans="1:33" x14ac:dyDescent="0.25">
      <c r="A432" s="7"/>
      <c r="B432" s="8"/>
      <c r="C432" s="3"/>
      <c r="D432" s="3"/>
      <c r="E432" s="3" t="e">
        <f>VLOOKUP(D432,VIAJES!$D:$E,2,FALSE)</f>
        <v>#N/A</v>
      </c>
      <c r="F432" s="9" t="e">
        <f>VLOOKUP(D432,VIAJES!$D:$F,3,FALSE)</f>
        <v>#N/A</v>
      </c>
      <c r="G432" s="9" t="e">
        <f>VLOOKUP(D432,VIAJES!$D:$G,4,FALSE)</f>
        <v>#N/A</v>
      </c>
      <c r="H432" s="3" t="e">
        <f>VLOOKUP(D432,VIAJES!$D:$H,5,FALSE)</f>
        <v>#N/A</v>
      </c>
      <c r="S432" s="3">
        <f>IFERROR(INDEX(EVENTOS!$D:$D,MATCH(SCORE!S$2&amp;" "&amp;SCORE!$D432,EVENTOS!$F:$F,0)),0)</f>
        <v>0</v>
      </c>
      <c r="T432" s="3">
        <f>IFERROR(INDEX(EVENTOS!$D:$D,MATCH(SCORE!T$2&amp;" "&amp;SCORE!$D432,EVENTOS!$F:$F,0)),0)</f>
        <v>0</v>
      </c>
      <c r="U432" s="3">
        <f>IFERROR(INDEX(EVENTOS!$D:$D,MATCH(SCORE!U$2&amp;" "&amp;SCORE!$D432,EVENTOS!$F:$F,0)),0)</f>
        <v>0</v>
      </c>
      <c r="V432" s="3">
        <f>IFERROR(INDEX(EVENTOS!$D:$D,MATCH(SCORE!V$2&amp;" "&amp;SCORE!$D432,EVENTOS!$F:$F,0)),0)</f>
        <v>0</v>
      </c>
      <c r="W432" s="3">
        <f>IFERROR(INDEX(EVENTOS!$D:$D,MATCH(SCORE!W$2&amp;" "&amp;SCORE!$D432,EVENTOS!$F:$F,0)),0)</f>
        <v>0</v>
      </c>
      <c r="X432" s="3">
        <f>IFERROR(INDEX(EVENTOS!$D:$D,MATCH(SCORE!X$2&amp;" "&amp;SCORE!$D432,EVENTOS!$F:$F,0)),0)</f>
        <v>0</v>
      </c>
      <c r="Y432" s="3">
        <f>SUMIFS(EVENTOS!$D:$D, EVENTOS!$B:$B, D432, EVENTOS!$E:$E, "*GirAlto*")</f>
        <v>0</v>
      </c>
      <c r="Z432" s="3">
        <f>SUMIFS(EVENTOS!$D:$D, EVENTOS!$B:$B, D432, EVENTOS!$E:$E, "*GirMed*")</f>
        <v>0</v>
      </c>
      <c r="AA432" s="3">
        <f>SUMIFS(EVENTOS!$D:$D, EVENTOS!$B:$B, D432, EVENTOS!$E:$E, "*GirBajo*")</f>
        <v>0</v>
      </c>
      <c r="AB432" s="3">
        <f>IFERROR(INDEX(EVENTOS!$D:$D,MATCH(SCORE!AB$2&amp;" "&amp;SCORE!$D432,EVENTOS!$F:$F,0)),0)</f>
        <v>0</v>
      </c>
      <c r="AC432" s="3">
        <f>IFERROR(INDEX(EVENTOS!$D:$D,MATCH(SCORE!AC$2&amp;" "&amp;SCORE!$D432,EVENTOS!$F:$F,0)),0)</f>
        <v>0</v>
      </c>
      <c r="AD432" s="3">
        <f>IFERROR(INDEX(EVENTOS!$D:$D,MATCH(SCORE!AD$2&amp;" "&amp;SCORE!$D432,EVENTOS!$F:$F,0)),0)</f>
        <v>0</v>
      </c>
      <c r="AE432" s="3">
        <f t="shared" si="18"/>
        <v>0</v>
      </c>
      <c r="AF432" s="10" t="e">
        <f t="shared" si="19"/>
        <v>#N/A</v>
      </c>
      <c r="AG432" s="3" t="str">
        <f t="shared" si="20"/>
        <v/>
      </c>
    </row>
    <row r="433" spans="1:33" x14ac:dyDescent="0.25">
      <c r="A433" s="7"/>
      <c r="B433" s="8"/>
      <c r="C433" s="3"/>
      <c r="D433" s="3"/>
      <c r="E433" s="3" t="e">
        <f>VLOOKUP(D433,VIAJES!$D:$E,2,FALSE)</f>
        <v>#N/A</v>
      </c>
      <c r="F433" s="9" t="e">
        <f>VLOOKUP(D433,VIAJES!$D:$F,3,FALSE)</f>
        <v>#N/A</v>
      </c>
      <c r="G433" s="9" t="e">
        <f>VLOOKUP(D433,VIAJES!$D:$G,4,FALSE)</f>
        <v>#N/A</v>
      </c>
      <c r="H433" s="3" t="e">
        <f>VLOOKUP(D433,VIAJES!$D:$H,5,FALSE)</f>
        <v>#N/A</v>
      </c>
      <c r="S433" s="3">
        <f>IFERROR(INDEX(EVENTOS!$D:$D,MATCH(SCORE!S$2&amp;" "&amp;SCORE!$D433,EVENTOS!$F:$F,0)),0)</f>
        <v>0</v>
      </c>
      <c r="T433" s="3">
        <f>IFERROR(INDEX(EVENTOS!$D:$D,MATCH(SCORE!T$2&amp;" "&amp;SCORE!$D433,EVENTOS!$F:$F,0)),0)</f>
        <v>0</v>
      </c>
      <c r="U433" s="3">
        <f>IFERROR(INDEX(EVENTOS!$D:$D,MATCH(SCORE!U$2&amp;" "&amp;SCORE!$D433,EVENTOS!$F:$F,0)),0)</f>
        <v>0</v>
      </c>
      <c r="V433" s="3">
        <f>IFERROR(INDEX(EVENTOS!$D:$D,MATCH(SCORE!V$2&amp;" "&amp;SCORE!$D433,EVENTOS!$F:$F,0)),0)</f>
        <v>0</v>
      </c>
      <c r="W433" s="3">
        <f>IFERROR(INDEX(EVENTOS!$D:$D,MATCH(SCORE!W$2&amp;" "&amp;SCORE!$D433,EVENTOS!$F:$F,0)),0)</f>
        <v>0</v>
      </c>
      <c r="X433" s="3">
        <f>IFERROR(INDEX(EVENTOS!$D:$D,MATCH(SCORE!X$2&amp;" "&amp;SCORE!$D433,EVENTOS!$F:$F,0)),0)</f>
        <v>0</v>
      </c>
      <c r="Y433" s="3">
        <f>SUMIFS(EVENTOS!$D:$D, EVENTOS!$B:$B, D433, EVENTOS!$E:$E, "*GirAlto*")</f>
        <v>0</v>
      </c>
      <c r="Z433" s="3">
        <f>SUMIFS(EVENTOS!$D:$D, EVENTOS!$B:$B, D433, EVENTOS!$E:$E, "*GirMed*")</f>
        <v>0</v>
      </c>
      <c r="AA433" s="3">
        <f>SUMIFS(EVENTOS!$D:$D, EVENTOS!$B:$B, D433, EVENTOS!$E:$E, "*GirBajo*")</f>
        <v>0</v>
      </c>
      <c r="AB433" s="3">
        <f>IFERROR(INDEX(EVENTOS!$D:$D,MATCH(SCORE!AB$2&amp;" "&amp;SCORE!$D433,EVENTOS!$F:$F,0)),0)</f>
        <v>0</v>
      </c>
      <c r="AC433" s="3">
        <f>IFERROR(INDEX(EVENTOS!$D:$D,MATCH(SCORE!AC$2&amp;" "&amp;SCORE!$D433,EVENTOS!$F:$F,0)),0)</f>
        <v>0</v>
      </c>
      <c r="AD433" s="3">
        <f>IFERROR(INDEX(EVENTOS!$D:$D,MATCH(SCORE!AD$2&amp;" "&amp;SCORE!$D433,EVENTOS!$F:$F,0)),0)</f>
        <v>0</v>
      </c>
      <c r="AE433" s="3">
        <f t="shared" si="18"/>
        <v>0</v>
      </c>
      <c r="AF433" s="10" t="e">
        <f t="shared" si="19"/>
        <v>#N/A</v>
      </c>
      <c r="AG433" s="3" t="str">
        <f t="shared" si="20"/>
        <v/>
      </c>
    </row>
    <row r="434" spans="1:33" x14ac:dyDescent="0.25">
      <c r="A434" s="7"/>
      <c r="B434" s="8"/>
      <c r="C434" s="3"/>
      <c r="D434" s="3"/>
      <c r="E434" s="3" t="e">
        <f>VLOOKUP(D434,VIAJES!$D:$E,2,FALSE)</f>
        <v>#N/A</v>
      </c>
      <c r="F434" s="9" t="e">
        <f>VLOOKUP(D434,VIAJES!$D:$F,3,FALSE)</f>
        <v>#N/A</v>
      </c>
      <c r="G434" s="9" t="e">
        <f>VLOOKUP(D434,VIAJES!$D:$G,4,FALSE)</f>
        <v>#N/A</v>
      </c>
      <c r="H434" s="3" t="e">
        <f>VLOOKUP(D434,VIAJES!$D:$H,5,FALSE)</f>
        <v>#N/A</v>
      </c>
      <c r="S434" s="3">
        <f>IFERROR(INDEX(EVENTOS!$D:$D,MATCH(SCORE!S$2&amp;" "&amp;SCORE!$D434,EVENTOS!$F:$F,0)),0)</f>
        <v>0</v>
      </c>
      <c r="T434" s="3">
        <f>IFERROR(INDEX(EVENTOS!$D:$D,MATCH(SCORE!T$2&amp;" "&amp;SCORE!$D434,EVENTOS!$F:$F,0)),0)</f>
        <v>0</v>
      </c>
      <c r="U434" s="3">
        <f>IFERROR(INDEX(EVENTOS!$D:$D,MATCH(SCORE!U$2&amp;" "&amp;SCORE!$D434,EVENTOS!$F:$F,0)),0)</f>
        <v>0</v>
      </c>
      <c r="V434" s="3">
        <f>IFERROR(INDEX(EVENTOS!$D:$D,MATCH(SCORE!V$2&amp;" "&amp;SCORE!$D434,EVENTOS!$F:$F,0)),0)</f>
        <v>0</v>
      </c>
      <c r="W434" s="3">
        <f>IFERROR(INDEX(EVENTOS!$D:$D,MATCH(SCORE!W$2&amp;" "&amp;SCORE!$D434,EVENTOS!$F:$F,0)),0)</f>
        <v>0</v>
      </c>
      <c r="X434" s="3">
        <f>IFERROR(INDEX(EVENTOS!$D:$D,MATCH(SCORE!X$2&amp;" "&amp;SCORE!$D434,EVENTOS!$F:$F,0)),0)</f>
        <v>0</v>
      </c>
      <c r="Y434" s="3">
        <f>SUMIFS(EVENTOS!$D:$D, EVENTOS!$B:$B, D434, EVENTOS!$E:$E, "*GirAlto*")</f>
        <v>0</v>
      </c>
      <c r="Z434" s="3">
        <f>SUMIFS(EVENTOS!$D:$D, EVENTOS!$B:$B, D434, EVENTOS!$E:$E, "*GirMed*")</f>
        <v>0</v>
      </c>
      <c r="AA434" s="3">
        <f>SUMIFS(EVENTOS!$D:$D, EVENTOS!$B:$B, D434, EVENTOS!$E:$E, "*GirBajo*")</f>
        <v>0</v>
      </c>
      <c r="AB434" s="3">
        <f>IFERROR(INDEX(EVENTOS!$D:$D,MATCH(SCORE!AB$2&amp;" "&amp;SCORE!$D434,EVENTOS!$F:$F,0)),0)</f>
        <v>0</v>
      </c>
      <c r="AC434" s="3">
        <f>IFERROR(INDEX(EVENTOS!$D:$D,MATCH(SCORE!AC$2&amp;" "&amp;SCORE!$D434,EVENTOS!$F:$F,0)),0)</f>
        <v>0</v>
      </c>
      <c r="AD434" s="3">
        <f>IFERROR(INDEX(EVENTOS!$D:$D,MATCH(SCORE!AD$2&amp;" "&amp;SCORE!$D434,EVENTOS!$F:$F,0)),0)</f>
        <v>0</v>
      </c>
      <c r="AE434" s="3">
        <f t="shared" si="18"/>
        <v>0</v>
      </c>
      <c r="AF434" s="10" t="e">
        <f t="shared" si="19"/>
        <v>#N/A</v>
      </c>
      <c r="AG434" s="3" t="str">
        <f t="shared" si="20"/>
        <v/>
      </c>
    </row>
    <row r="435" spans="1:33" x14ac:dyDescent="0.25">
      <c r="A435" s="7"/>
      <c r="B435" s="8"/>
      <c r="C435" s="3"/>
      <c r="D435" s="3"/>
      <c r="E435" s="3" t="e">
        <f>VLOOKUP(D435,VIAJES!$D:$E,2,FALSE)</f>
        <v>#N/A</v>
      </c>
      <c r="F435" s="9" t="e">
        <f>VLOOKUP(D435,VIAJES!$D:$F,3,FALSE)</f>
        <v>#N/A</v>
      </c>
      <c r="G435" s="9" t="e">
        <f>VLOOKUP(D435,VIAJES!$D:$G,4,FALSE)</f>
        <v>#N/A</v>
      </c>
      <c r="H435" s="3" t="e">
        <f>VLOOKUP(D435,VIAJES!$D:$H,5,FALSE)</f>
        <v>#N/A</v>
      </c>
      <c r="S435" s="3">
        <f>IFERROR(INDEX(EVENTOS!$D:$D,MATCH(SCORE!S$2&amp;" "&amp;SCORE!$D435,EVENTOS!$F:$F,0)),0)</f>
        <v>0</v>
      </c>
      <c r="T435" s="3">
        <f>IFERROR(INDEX(EVENTOS!$D:$D,MATCH(SCORE!T$2&amp;" "&amp;SCORE!$D435,EVENTOS!$F:$F,0)),0)</f>
        <v>0</v>
      </c>
      <c r="U435" s="3">
        <f>IFERROR(INDEX(EVENTOS!$D:$D,MATCH(SCORE!U$2&amp;" "&amp;SCORE!$D435,EVENTOS!$F:$F,0)),0)</f>
        <v>0</v>
      </c>
      <c r="V435" s="3">
        <f>IFERROR(INDEX(EVENTOS!$D:$D,MATCH(SCORE!V$2&amp;" "&amp;SCORE!$D435,EVENTOS!$F:$F,0)),0)</f>
        <v>0</v>
      </c>
      <c r="W435" s="3">
        <f>IFERROR(INDEX(EVENTOS!$D:$D,MATCH(SCORE!W$2&amp;" "&amp;SCORE!$D435,EVENTOS!$F:$F,0)),0)</f>
        <v>0</v>
      </c>
      <c r="X435" s="3">
        <f>IFERROR(INDEX(EVENTOS!$D:$D,MATCH(SCORE!X$2&amp;" "&amp;SCORE!$D435,EVENTOS!$F:$F,0)),0)</f>
        <v>0</v>
      </c>
      <c r="Y435" s="3">
        <f>SUMIFS(EVENTOS!$D:$D, EVENTOS!$B:$B, D435, EVENTOS!$E:$E, "*GirAlto*")</f>
        <v>0</v>
      </c>
      <c r="Z435" s="3">
        <f>SUMIFS(EVENTOS!$D:$D, EVENTOS!$B:$B, D435, EVENTOS!$E:$E, "*GirMed*")</f>
        <v>0</v>
      </c>
      <c r="AA435" s="3">
        <f>SUMIFS(EVENTOS!$D:$D, EVENTOS!$B:$B, D435, EVENTOS!$E:$E, "*GirBajo*")</f>
        <v>0</v>
      </c>
      <c r="AB435" s="3">
        <f>IFERROR(INDEX(EVENTOS!$D:$D,MATCH(SCORE!AB$2&amp;" "&amp;SCORE!$D435,EVENTOS!$F:$F,0)),0)</f>
        <v>0</v>
      </c>
      <c r="AC435" s="3">
        <f>IFERROR(INDEX(EVENTOS!$D:$D,MATCH(SCORE!AC$2&amp;" "&amp;SCORE!$D435,EVENTOS!$F:$F,0)),0)</f>
        <v>0</v>
      </c>
      <c r="AD435" s="3">
        <f>IFERROR(INDEX(EVENTOS!$D:$D,MATCH(SCORE!AD$2&amp;" "&amp;SCORE!$D435,EVENTOS!$F:$F,0)),0)</f>
        <v>0</v>
      </c>
      <c r="AE435" s="3">
        <f t="shared" si="18"/>
        <v>0</v>
      </c>
      <c r="AF435" s="10" t="e">
        <f t="shared" si="19"/>
        <v>#N/A</v>
      </c>
      <c r="AG435" s="3" t="str">
        <f t="shared" si="20"/>
        <v/>
      </c>
    </row>
    <row r="436" spans="1:33" x14ac:dyDescent="0.25">
      <c r="A436" s="7"/>
      <c r="B436" s="8"/>
      <c r="C436" s="3"/>
      <c r="D436" s="3"/>
      <c r="E436" s="3" t="e">
        <f>VLOOKUP(D436,VIAJES!$D:$E,2,FALSE)</f>
        <v>#N/A</v>
      </c>
      <c r="F436" s="9" t="e">
        <f>VLOOKUP(D436,VIAJES!$D:$F,3,FALSE)</f>
        <v>#N/A</v>
      </c>
      <c r="G436" s="9" t="e">
        <f>VLOOKUP(D436,VIAJES!$D:$G,4,FALSE)</f>
        <v>#N/A</v>
      </c>
      <c r="H436" s="3" t="e">
        <f>VLOOKUP(D436,VIAJES!$D:$H,5,FALSE)</f>
        <v>#N/A</v>
      </c>
      <c r="S436" s="3">
        <f>IFERROR(INDEX(EVENTOS!$D:$D,MATCH(SCORE!S$2&amp;" "&amp;SCORE!$D436,EVENTOS!$F:$F,0)),0)</f>
        <v>0</v>
      </c>
      <c r="T436" s="3">
        <f>IFERROR(INDEX(EVENTOS!$D:$D,MATCH(SCORE!T$2&amp;" "&amp;SCORE!$D436,EVENTOS!$F:$F,0)),0)</f>
        <v>0</v>
      </c>
      <c r="U436" s="3">
        <f>IFERROR(INDEX(EVENTOS!$D:$D,MATCH(SCORE!U$2&amp;" "&amp;SCORE!$D436,EVENTOS!$F:$F,0)),0)</f>
        <v>0</v>
      </c>
      <c r="V436" s="3">
        <f>IFERROR(INDEX(EVENTOS!$D:$D,MATCH(SCORE!V$2&amp;" "&amp;SCORE!$D436,EVENTOS!$F:$F,0)),0)</f>
        <v>0</v>
      </c>
      <c r="W436" s="3">
        <f>IFERROR(INDEX(EVENTOS!$D:$D,MATCH(SCORE!W$2&amp;" "&amp;SCORE!$D436,EVENTOS!$F:$F,0)),0)</f>
        <v>0</v>
      </c>
      <c r="X436" s="3">
        <f>IFERROR(INDEX(EVENTOS!$D:$D,MATCH(SCORE!X$2&amp;" "&amp;SCORE!$D436,EVENTOS!$F:$F,0)),0)</f>
        <v>0</v>
      </c>
      <c r="Y436" s="3">
        <f>SUMIFS(EVENTOS!$D:$D, EVENTOS!$B:$B, D436, EVENTOS!$E:$E, "*GirAlto*")</f>
        <v>0</v>
      </c>
      <c r="Z436" s="3">
        <f>SUMIFS(EVENTOS!$D:$D, EVENTOS!$B:$B, D436, EVENTOS!$E:$E, "*GirMed*")</f>
        <v>0</v>
      </c>
      <c r="AA436" s="3">
        <f>SUMIFS(EVENTOS!$D:$D, EVENTOS!$B:$B, D436, EVENTOS!$E:$E, "*GirBajo*")</f>
        <v>0</v>
      </c>
      <c r="AB436" s="3">
        <f>IFERROR(INDEX(EVENTOS!$D:$D,MATCH(SCORE!AB$2&amp;" "&amp;SCORE!$D436,EVENTOS!$F:$F,0)),0)</f>
        <v>0</v>
      </c>
      <c r="AC436" s="3">
        <f>IFERROR(INDEX(EVENTOS!$D:$D,MATCH(SCORE!AC$2&amp;" "&amp;SCORE!$D436,EVENTOS!$F:$F,0)),0)</f>
        <v>0</v>
      </c>
      <c r="AD436" s="3">
        <f>IFERROR(INDEX(EVENTOS!$D:$D,MATCH(SCORE!AD$2&amp;" "&amp;SCORE!$D436,EVENTOS!$F:$F,0)),0)</f>
        <v>0</v>
      </c>
      <c r="AE436" s="3">
        <f t="shared" si="18"/>
        <v>0</v>
      </c>
      <c r="AF436" s="10" t="e">
        <f t="shared" si="19"/>
        <v>#N/A</v>
      </c>
      <c r="AG436" s="3" t="str">
        <f t="shared" si="20"/>
        <v/>
      </c>
    </row>
    <row r="437" spans="1:33" x14ac:dyDescent="0.25">
      <c r="A437" s="7"/>
      <c r="B437" s="8"/>
      <c r="C437" s="3"/>
      <c r="D437" s="3"/>
      <c r="E437" s="3" t="e">
        <f>VLOOKUP(D437,VIAJES!$D:$E,2,FALSE)</f>
        <v>#N/A</v>
      </c>
      <c r="F437" s="9" t="e">
        <f>VLOOKUP(D437,VIAJES!$D:$F,3,FALSE)</f>
        <v>#N/A</v>
      </c>
      <c r="G437" s="9" t="e">
        <f>VLOOKUP(D437,VIAJES!$D:$G,4,FALSE)</f>
        <v>#N/A</v>
      </c>
      <c r="H437" s="3" t="e">
        <f>VLOOKUP(D437,VIAJES!$D:$H,5,FALSE)</f>
        <v>#N/A</v>
      </c>
      <c r="S437" s="3">
        <f>IFERROR(INDEX(EVENTOS!$D:$D,MATCH(SCORE!S$2&amp;" "&amp;SCORE!$D437,EVENTOS!$F:$F,0)),0)</f>
        <v>0</v>
      </c>
      <c r="T437" s="3">
        <f>IFERROR(INDEX(EVENTOS!$D:$D,MATCH(SCORE!T$2&amp;" "&amp;SCORE!$D437,EVENTOS!$F:$F,0)),0)</f>
        <v>0</v>
      </c>
      <c r="U437" s="3">
        <f>IFERROR(INDEX(EVENTOS!$D:$D,MATCH(SCORE!U$2&amp;" "&amp;SCORE!$D437,EVENTOS!$F:$F,0)),0)</f>
        <v>0</v>
      </c>
      <c r="V437" s="3">
        <f>IFERROR(INDEX(EVENTOS!$D:$D,MATCH(SCORE!V$2&amp;" "&amp;SCORE!$D437,EVENTOS!$F:$F,0)),0)</f>
        <v>0</v>
      </c>
      <c r="W437" s="3">
        <f>IFERROR(INDEX(EVENTOS!$D:$D,MATCH(SCORE!W$2&amp;" "&amp;SCORE!$D437,EVENTOS!$F:$F,0)),0)</f>
        <v>0</v>
      </c>
      <c r="X437" s="3">
        <f>IFERROR(INDEX(EVENTOS!$D:$D,MATCH(SCORE!X$2&amp;" "&amp;SCORE!$D437,EVENTOS!$F:$F,0)),0)</f>
        <v>0</v>
      </c>
      <c r="Y437" s="3">
        <f>SUMIFS(EVENTOS!$D:$D, EVENTOS!$B:$B, D437, EVENTOS!$E:$E, "*GirAlto*")</f>
        <v>0</v>
      </c>
      <c r="Z437" s="3">
        <f>SUMIFS(EVENTOS!$D:$D, EVENTOS!$B:$B, D437, EVENTOS!$E:$E, "*GirMed*")</f>
        <v>0</v>
      </c>
      <c r="AA437" s="3">
        <f>SUMIFS(EVENTOS!$D:$D, EVENTOS!$B:$B, D437, EVENTOS!$E:$E, "*GirBajo*")</f>
        <v>0</v>
      </c>
      <c r="AB437" s="3">
        <f>IFERROR(INDEX(EVENTOS!$D:$D,MATCH(SCORE!AB$2&amp;" "&amp;SCORE!$D437,EVENTOS!$F:$F,0)),0)</f>
        <v>0</v>
      </c>
      <c r="AC437" s="3">
        <f>IFERROR(INDEX(EVENTOS!$D:$D,MATCH(SCORE!AC$2&amp;" "&amp;SCORE!$D437,EVENTOS!$F:$F,0)),0)</f>
        <v>0</v>
      </c>
      <c r="AD437" s="3">
        <f>IFERROR(INDEX(EVENTOS!$D:$D,MATCH(SCORE!AD$2&amp;" "&amp;SCORE!$D437,EVENTOS!$F:$F,0)),0)</f>
        <v>0</v>
      </c>
      <c r="AE437" s="3">
        <f t="shared" si="18"/>
        <v>0</v>
      </c>
      <c r="AF437" s="10" t="e">
        <f t="shared" si="19"/>
        <v>#N/A</v>
      </c>
      <c r="AG437" s="3" t="str">
        <f t="shared" si="20"/>
        <v/>
      </c>
    </row>
    <row r="438" spans="1:33" x14ac:dyDescent="0.25">
      <c r="A438" s="7"/>
      <c r="B438" s="8"/>
      <c r="C438" s="3"/>
      <c r="D438" s="3"/>
      <c r="E438" s="3" t="e">
        <f>VLOOKUP(D438,VIAJES!$D:$E,2,FALSE)</f>
        <v>#N/A</v>
      </c>
      <c r="F438" s="9" t="e">
        <f>VLOOKUP(D438,VIAJES!$D:$F,3,FALSE)</f>
        <v>#N/A</v>
      </c>
      <c r="G438" s="9" t="e">
        <f>VLOOKUP(D438,VIAJES!$D:$G,4,FALSE)</f>
        <v>#N/A</v>
      </c>
      <c r="H438" s="3" t="e">
        <f>VLOOKUP(D438,VIAJES!$D:$H,5,FALSE)</f>
        <v>#N/A</v>
      </c>
      <c r="S438" s="3">
        <f>IFERROR(INDEX(EVENTOS!$D:$D,MATCH(SCORE!S$2&amp;" "&amp;SCORE!$D438,EVENTOS!$F:$F,0)),0)</f>
        <v>0</v>
      </c>
      <c r="T438" s="3">
        <f>IFERROR(INDEX(EVENTOS!$D:$D,MATCH(SCORE!T$2&amp;" "&amp;SCORE!$D438,EVENTOS!$F:$F,0)),0)</f>
        <v>0</v>
      </c>
      <c r="U438" s="3">
        <f>IFERROR(INDEX(EVENTOS!$D:$D,MATCH(SCORE!U$2&amp;" "&amp;SCORE!$D438,EVENTOS!$F:$F,0)),0)</f>
        <v>0</v>
      </c>
      <c r="V438" s="3">
        <f>IFERROR(INDEX(EVENTOS!$D:$D,MATCH(SCORE!V$2&amp;" "&amp;SCORE!$D438,EVENTOS!$F:$F,0)),0)</f>
        <v>0</v>
      </c>
      <c r="W438" s="3">
        <f>IFERROR(INDEX(EVENTOS!$D:$D,MATCH(SCORE!W$2&amp;" "&amp;SCORE!$D438,EVENTOS!$F:$F,0)),0)</f>
        <v>0</v>
      </c>
      <c r="X438" s="3">
        <f>IFERROR(INDEX(EVENTOS!$D:$D,MATCH(SCORE!X$2&amp;" "&amp;SCORE!$D438,EVENTOS!$F:$F,0)),0)</f>
        <v>0</v>
      </c>
      <c r="Y438" s="3">
        <f>SUMIFS(EVENTOS!$D:$D, EVENTOS!$B:$B, D438, EVENTOS!$E:$E, "*GirAlto*")</f>
        <v>0</v>
      </c>
      <c r="Z438" s="3">
        <f>SUMIFS(EVENTOS!$D:$D, EVENTOS!$B:$B, D438, EVENTOS!$E:$E, "*GirMed*")</f>
        <v>0</v>
      </c>
      <c r="AA438" s="3">
        <f>SUMIFS(EVENTOS!$D:$D, EVENTOS!$B:$B, D438, EVENTOS!$E:$E, "*GirBajo*")</f>
        <v>0</v>
      </c>
      <c r="AB438" s="3">
        <f>IFERROR(INDEX(EVENTOS!$D:$D,MATCH(SCORE!AB$2&amp;" "&amp;SCORE!$D438,EVENTOS!$F:$F,0)),0)</f>
        <v>0</v>
      </c>
      <c r="AC438" s="3">
        <f>IFERROR(INDEX(EVENTOS!$D:$D,MATCH(SCORE!AC$2&amp;" "&amp;SCORE!$D438,EVENTOS!$F:$F,0)),0)</f>
        <v>0</v>
      </c>
      <c r="AD438" s="3">
        <f>IFERROR(INDEX(EVENTOS!$D:$D,MATCH(SCORE!AD$2&amp;" "&amp;SCORE!$D438,EVENTOS!$F:$F,0)),0)</f>
        <v>0</v>
      </c>
      <c r="AE438" s="3">
        <f t="shared" si="18"/>
        <v>0</v>
      </c>
      <c r="AF438" s="10" t="e">
        <f t="shared" si="19"/>
        <v>#N/A</v>
      </c>
      <c r="AG438" s="3" t="str">
        <f t="shared" si="20"/>
        <v/>
      </c>
    </row>
    <row r="439" spans="1:33" x14ac:dyDescent="0.25">
      <c r="A439" s="7"/>
      <c r="B439" s="8"/>
      <c r="C439" s="3"/>
      <c r="D439" s="3"/>
      <c r="E439" s="3" t="e">
        <f>VLOOKUP(D439,VIAJES!$D:$E,2,FALSE)</f>
        <v>#N/A</v>
      </c>
      <c r="F439" s="9" t="e">
        <f>VLOOKUP(D439,VIAJES!$D:$F,3,FALSE)</f>
        <v>#N/A</v>
      </c>
      <c r="G439" s="9" t="e">
        <f>VLOOKUP(D439,VIAJES!$D:$G,4,FALSE)</f>
        <v>#N/A</v>
      </c>
      <c r="H439" s="3" t="e">
        <f>VLOOKUP(D439,VIAJES!$D:$H,5,FALSE)</f>
        <v>#N/A</v>
      </c>
      <c r="S439" s="3">
        <f>IFERROR(INDEX(EVENTOS!$D:$D,MATCH(SCORE!S$2&amp;" "&amp;SCORE!$D439,EVENTOS!$F:$F,0)),0)</f>
        <v>0</v>
      </c>
      <c r="T439" s="3">
        <f>IFERROR(INDEX(EVENTOS!$D:$D,MATCH(SCORE!T$2&amp;" "&amp;SCORE!$D439,EVENTOS!$F:$F,0)),0)</f>
        <v>0</v>
      </c>
      <c r="U439" s="3">
        <f>IFERROR(INDEX(EVENTOS!$D:$D,MATCH(SCORE!U$2&amp;" "&amp;SCORE!$D439,EVENTOS!$F:$F,0)),0)</f>
        <v>0</v>
      </c>
      <c r="V439" s="3">
        <f>IFERROR(INDEX(EVENTOS!$D:$D,MATCH(SCORE!V$2&amp;" "&amp;SCORE!$D439,EVENTOS!$F:$F,0)),0)</f>
        <v>0</v>
      </c>
      <c r="W439" s="3">
        <f>IFERROR(INDEX(EVENTOS!$D:$D,MATCH(SCORE!W$2&amp;" "&amp;SCORE!$D439,EVENTOS!$F:$F,0)),0)</f>
        <v>0</v>
      </c>
      <c r="X439" s="3">
        <f>IFERROR(INDEX(EVENTOS!$D:$D,MATCH(SCORE!X$2&amp;" "&amp;SCORE!$D439,EVENTOS!$F:$F,0)),0)</f>
        <v>0</v>
      </c>
      <c r="Y439" s="3">
        <f>SUMIFS(EVENTOS!$D:$D, EVENTOS!$B:$B, D439, EVENTOS!$E:$E, "*GirAlto*")</f>
        <v>0</v>
      </c>
      <c r="Z439" s="3">
        <f>SUMIFS(EVENTOS!$D:$D, EVENTOS!$B:$B, D439, EVENTOS!$E:$E, "*GirMed*")</f>
        <v>0</v>
      </c>
      <c r="AA439" s="3">
        <f>SUMIFS(EVENTOS!$D:$D, EVENTOS!$B:$B, D439, EVENTOS!$E:$E, "*GirBajo*")</f>
        <v>0</v>
      </c>
      <c r="AB439" s="3">
        <f>IFERROR(INDEX(EVENTOS!$D:$D,MATCH(SCORE!AB$2&amp;" "&amp;SCORE!$D439,EVENTOS!$F:$F,0)),0)</f>
        <v>0</v>
      </c>
      <c r="AC439" s="3">
        <f>IFERROR(INDEX(EVENTOS!$D:$D,MATCH(SCORE!AC$2&amp;" "&amp;SCORE!$D439,EVENTOS!$F:$F,0)),0)</f>
        <v>0</v>
      </c>
      <c r="AD439" s="3">
        <f>IFERROR(INDEX(EVENTOS!$D:$D,MATCH(SCORE!AD$2&amp;" "&amp;SCORE!$D439,EVENTOS!$F:$F,0)),0)</f>
        <v>0</v>
      </c>
      <c r="AE439" s="3">
        <f t="shared" si="18"/>
        <v>0</v>
      </c>
      <c r="AF439" s="10" t="e">
        <f t="shared" si="19"/>
        <v>#N/A</v>
      </c>
      <c r="AG439" s="3" t="str">
        <f t="shared" si="20"/>
        <v/>
      </c>
    </row>
    <row r="440" spans="1:33" x14ac:dyDescent="0.25">
      <c r="A440" s="7"/>
      <c r="B440" s="8"/>
      <c r="C440" s="3"/>
      <c r="D440" s="3"/>
      <c r="E440" s="3" t="e">
        <f>VLOOKUP(D440,VIAJES!$D:$E,2,FALSE)</f>
        <v>#N/A</v>
      </c>
      <c r="F440" s="9" t="e">
        <f>VLOOKUP(D440,VIAJES!$D:$F,3,FALSE)</f>
        <v>#N/A</v>
      </c>
      <c r="G440" s="9" t="e">
        <f>VLOOKUP(D440,VIAJES!$D:$G,4,FALSE)</f>
        <v>#N/A</v>
      </c>
      <c r="H440" s="3" t="e">
        <f>VLOOKUP(D440,VIAJES!$D:$H,5,FALSE)</f>
        <v>#N/A</v>
      </c>
      <c r="S440" s="3">
        <f>IFERROR(INDEX(EVENTOS!$D:$D,MATCH(SCORE!S$2&amp;" "&amp;SCORE!$D440,EVENTOS!$F:$F,0)),0)</f>
        <v>0</v>
      </c>
      <c r="T440" s="3">
        <f>IFERROR(INDEX(EVENTOS!$D:$D,MATCH(SCORE!T$2&amp;" "&amp;SCORE!$D440,EVENTOS!$F:$F,0)),0)</f>
        <v>0</v>
      </c>
      <c r="U440" s="3">
        <f>IFERROR(INDEX(EVENTOS!$D:$D,MATCH(SCORE!U$2&amp;" "&amp;SCORE!$D440,EVENTOS!$F:$F,0)),0)</f>
        <v>0</v>
      </c>
      <c r="V440" s="3">
        <f>IFERROR(INDEX(EVENTOS!$D:$D,MATCH(SCORE!V$2&amp;" "&amp;SCORE!$D440,EVENTOS!$F:$F,0)),0)</f>
        <v>0</v>
      </c>
      <c r="W440" s="3">
        <f>IFERROR(INDEX(EVENTOS!$D:$D,MATCH(SCORE!W$2&amp;" "&amp;SCORE!$D440,EVENTOS!$F:$F,0)),0)</f>
        <v>0</v>
      </c>
      <c r="X440" s="3">
        <f>IFERROR(INDEX(EVENTOS!$D:$D,MATCH(SCORE!X$2&amp;" "&amp;SCORE!$D440,EVENTOS!$F:$F,0)),0)</f>
        <v>0</v>
      </c>
      <c r="Y440" s="3">
        <f>SUMIFS(EVENTOS!$D:$D, EVENTOS!$B:$B, D440, EVENTOS!$E:$E, "*GirAlto*")</f>
        <v>0</v>
      </c>
      <c r="Z440" s="3">
        <f>SUMIFS(EVENTOS!$D:$D, EVENTOS!$B:$B, D440, EVENTOS!$E:$E, "*GirMed*")</f>
        <v>0</v>
      </c>
      <c r="AA440" s="3">
        <f>SUMIFS(EVENTOS!$D:$D, EVENTOS!$B:$B, D440, EVENTOS!$E:$E, "*GirBajo*")</f>
        <v>0</v>
      </c>
      <c r="AB440" s="3">
        <f>IFERROR(INDEX(EVENTOS!$D:$D,MATCH(SCORE!AB$2&amp;" "&amp;SCORE!$D440,EVENTOS!$F:$F,0)),0)</f>
        <v>0</v>
      </c>
      <c r="AC440" s="3">
        <f>IFERROR(INDEX(EVENTOS!$D:$D,MATCH(SCORE!AC$2&amp;" "&amp;SCORE!$D440,EVENTOS!$F:$F,0)),0)</f>
        <v>0</v>
      </c>
      <c r="AD440" s="3">
        <f>IFERROR(INDEX(EVENTOS!$D:$D,MATCH(SCORE!AD$2&amp;" "&amp;SCORE!$D440,EVENTOS!$F:$F,0)),0)</f>
        <v>0</v>
      </c>
      <c r="AE440" s="3">
        <f t="shared" si="18"/>
        <v>0</v>
      </c>
      <c r="AF440" s="10" t="e">
        <f t="shared" si="19"/>
        <v>#N/A</v>
      </c>
      <c r="AG440" s="3" t="str">
        <f t="shared" si="20"/>
        <v/>
      </c>
    </row>
    <row r="441" spans="1:33" x14ac:dyDescent="0.25">
      <c r="A441" s="7"/>
      <c r="B441" s="8"/>
      <c r="C441" s="3"/>
      <c r="D441" s="3"/>
      <c r="E441" s="3" t="e">
        <f>VLOOKUP(D441,VIAJES!$D:$E,2,FALSE)</f>
        <v>#N/A</v>
      </c>
      <c r="F441" s="9" t="e">
        <f>VLOOKUP(D441,VIAJES!$D:$F,3,FALSE)</f>
        <v>#N/A</v>
      </c>
      <c r="G441" s="9" t="e">
        <f>VLOOKUP(D441,VIAJES!$D:$G,4,FALSE)</f>
        <v>#N/A</v>
      </c>
      <c r="H441" s="3" t="e">
        <f>VLOOKUP(D441,VIAJES!$D:$H,5,FALSE)</f>
        <v>#N/A</v>
      </c>
      <c r="S441" s="3">
        <f>IFERROR(INDEX(EVENTOS!$D:$D,MATCH(SCORE!S$2&amp;" "&amp;SCORE!$D441,EVENTOS!$F:$F,0)),0)</f>
        <v>0</v>
      </c>
      <c r="T441" s="3">
        <f>IFERROR(INDEX(EVENTOS!$D:$D,MATCH(SCORE!T$2&amp;" "&amp;SCORE!$D441,EVENTOS!$F:$F,0)),0)</f>
        <v>0</v>
      </c>
      <c r="U441" s="3">
        <f>IFERROR(INDEX(EVENTOS!$D:$D,MATCH(SCORE!U$2&amp;" "&amp;SCORE!$D441,EVENTOS!$F:$F,0)),0)</f>
        <v>0</v>
      </c>
      <c r="V441" s="3">
        <f>IFERROR(INDEX(EVENTOS!$D:$D,MATCH(SCORE!V$2&amp;" "&amp;SCORE!$D441,EVENTOS!$F:$F,0)),0)</f>
        <v>0</v>
      </c>
      <c r="W441" s="3">
        <f>IFERROR(INDEX(EVENTOS!$D:$D,MATCH(SCORE!W$2&amp;" "&amp;SCORE!$D441,EVENTOS!$F:$F,0)),0)</f>
        <v>0</v>
      </c>
      <c r="X441" s="3">
        <f>IFERROR(INDEX(EVENTOS!$D:$D,MATCH(SCORE!X$2&amp;" "&amp;SCORE!$D441,EVENTOS!$F:$F,0)),0)</f>
        <v>0</v>
      </c>
      <c r="Y441" s="3">
        <f>SUMIFS(EVENTOS!$D:$D, EVENTOS!$B:$B, D441, EVENTOS!$E:$E, "*GirAlto*")</f>
        <v>0</v>
      </c>
      <c r="Z441" s="3">
        <f>SUMIFS(EVENTOS!$D:$D, EVENTOS!$B:$B, D441, EVENTOS!$E:$E, "*GirMed*")</f>
        <v>0</v>
      </c>
      <c r="AA441" s="3">
        <f>SUMIFS(EVENTOS!$D:$D, EVENTOS!$B:$B, D441, EVENTOS!$E:$E, "*GirBajo*")</f>
        <v>0</v>
      </c>
      <c r="AB441" s="3">
        <f>IFERROR(INDEX(EVENTOS!$D:$D,MATCH(SCORE!AB$2&amp;" "&amp;SCORE!$D441,EVENTOS!$F:$F,0)),0)</f>
        <v>0</v>
      </c>
      <c r="AC441" s="3">
        <f>IFERROR(INDEX(EVENTOS!$D:$D,MATCH(SCORE!AC$2&amp;" "&amp;SCORE!$D441,EVENTOS!$F:$F,0)),0)</f>
        <v>0</v>
      </c>
      <c r="AD441" s="3">
        <f>IFERROR(INDEX(EVENTOS!$D:$D,MATCH(SCORE!AD$2&amp;" "&amp;SCORE!$D441,EVENTOS!$F:$F,0)),0)</f>
        <v>0</v>
      </c>
      <c r="AE441" s="3">
        <f t="shared" si="18"/>
        <v>0</v>
      </c>
      <c r="AF441" s="10" t="e">
        <f t="shared" si="19"/>
        <v>#N/A</v>
      </c>
      <c r="AG441" s="3" t="str">
        <f t="shared" si="20"/>
        <v/>
      </c>
    </row>
    <row r="442" spans="1:33" x14ac:dyDescent="0.25">
      <c r="A442" s="7"/>
      <c r="B442" s="8"/>
      <c r="C442" s="3"/>
      <c r="D442" s="3"/>
      <c r="E442" s="3" t="e">
        <f>VLOOKUP(D442,VIAJES!$D:$E,2,FALSE)</f>
        <v>#N/A</v>
      </c>
      <c r="F442" s="9" t="e">
        <f>VLOOKUP(D442,VIAJES!$D:$F,3,FALSE)</f>
        <v>#N/A</v>
      </c>
      <c r="G442" s="9" t="e">
        <f>VLOOKUP(D442,VIAJES!$D:$G,4,FALSE)</f>
        <v>#N/A</v>
      </c>
      <c r="H442" s="3" t="e">
        <f>VLOOKUP(D442,VIAJES!$D:$H,5,FALSE)</f>
        <v>#N/A</v>
      </c>
      <c r="S442" s="3">
        <f>IFERROR(INDEX(EVENTOS!$D:$D,MATCH(SCORE!S$2&amp;" "&amp;SCORE!$D442,EVENTOS!$F:$F,0)),0)</f>
        <v>0</v>
      </c>
      <c r="T442" s="3">
        <f>IFERROR(INDEX(EVENTOS!$D:$D,MATCH(SCORE!T$2&amp;" "&amp;SCORE!$D442,EVENTOS!$F:$F,0)),0)</f>
        <v>0</v>
      </c>
      <c r="U442" s="3">
        <f>IFERROR(INDEX(EVENTOS!$D:$D,MATCH(SCORE!U$2&amp;" "&amp;SCORE!$D442,EVENTOS!$F:$F,0)),0)</f>
        <v>0</v>
      </c>
      <c r="V442" s="3">
        <f>IFERROR(INDEX(EVENTOS!$D:$D,MATCH(SCORE!V$2&amp;" "&amp;SCORE!$D442,EVENTOS!$F:$F,0)),0)</f>
        <v>0</v>
      </c>
      <c r="W442" s="3">
        <f>IFERROR(INDEX(EVENTOS!$D:$D,MATCH(SCORE!W$2&amp;" "&amp;SCORE!$D442,EVENTOS!$F:$F,0)),0)</f>
        <v>0</v>
      </c>
      <c r="X442" s="3">
        <f>IFERROR(INDEX(EVENTOS!$D:$D,MATCH(SCORE!X$2&amp;" "&amp;SCORE!$D442,EVENTOS!$F:$F,0)),0)</f>
        <v>0</v>
      </c>
      <c r="Y442" s="3">
        <f>SUMIFS(EVENTOS!$D:$D, EVENTOS!$B:$B, D442, EVENTOS!$E:$E, "*GirAlto*")</f>
        <v>0</v>
      </c>
      <c r="Z442" s="3">
        <f>SUMIFS(EVENTOS!$D:$D, EVENTOS!$B:$B, D442, EVENTOS!$E:$E, "*GirMed*")</f>
        <v>0</v>
      </c>
      <c r="AA442" s="3">
        <f>SUMIFS(EVENTOS!$D:$D, EVENTOS!$B:$B, D442, EVENTOS!$E:$E, "*GirBajo*")</f>
        <v>0</v>
      </c>
      <c r="AB442" s="3">
        <f>IFERROR(INDEX(EVENTOS!$D:$D,MATCH(SCORE!AB$2&amp;" "&amp;SCORE!$D442,EVENTOS!$F:$F,0)),0)</f>
        <v>0</v>
      </c>
      <c r="AC442" s="3">
        <f>IFERROR(INDEX(EVENTOS!$D:$D,MATCH(SCORE!AC$2&amp;" "&amp;SCORE!$D442,EVENTOS!$F:$F,0)),0)</f>
        <v>0</v>
      </c>
      <c r="AD442" s="3">
        <f>IFERROR(INDEX(EVENTOS!$D:$D,MATCH(SCORE!AD$2&amp;" "&amp;SCORE!$D442,EVENTOS!$F:$F,0)),0)</f>
        <v>0</v>
      </c>
      <c r="AE442" s="3">
        <f t="shared" si="18"/>
        <v>0</v>
      </c>
      <c r="AF442" s="10" t="e">
        <f t="shared" si="19"/>
        <v>#N/A</v>
      </c>
      <c r="AG442" s="3" t="str">
        <f t="shared" si="20"/>
        <v/>
      </c>
    </row>
    <row r="443" spans="1:33" x14ac:dyDescent="0.25">
      <c r="A443" s="7"/>
      <c r="B443" s="8"/>
      <c r="C443" s="3"/>
      <c r="D443" s="3"/>
      <c r="E443" s="3" t="e">
        <f>VLOOKUP(D443,VIAJES!$D:$E,2,FALSE)</f>
        <v>#N/A</v>
      </c>
      <c r="F443" s="9" t="e">
        <f>VLOOKUP(D443,VIAJES!$D:$F,3,FALSE)</f>
        <v>#N/A</v>
      </c>
      <c r="G443" s="9" t="e">
        <f>VLOOKUP(D443,VIAJES!$D:$G,4,FALSE)</f>
        <v>#N/A</v>
      </c>
      <c r="H443" s="3" t="e">
        <f>VLOOKUP(D443,VIAJES!$D:$H,5,FALSE)</f>
        <v>#N/A</v>
      </c>
      <c r="S443" s="3">
        <f>IFERROR(INDEX(EVENTOS!$D:$D,MATCH(SCORE!S$2&amp;" "&amp;SCORE!$D443,EVENTOS!$F:$F,0)),0)</f>
        <v>0</v>
      </c>
      <c r="T443" s="3">
        <f>IFERROR(INDEX(EVENTOS!$D:$D,MATCH(SCORE!T$2&amp;" "&amp;SCORE!$D443,EVENTOS!$F:$F,0)),0)</f>
        <v>0</v>
      </c>
      <c r="U443" s="3">
        <f>IFERROR(INDEX(EVENTOS!$D:$D,MATCH(SCORE!U$2&amp;" "&amp;SCORE!$D443,EVENTOS!$F:$F,0)),0)</f>
        <v>0</v>
      </c>
      <c r="V443" s="3">
        <f>IFERROR(INDEX(EVENTOS!$D:$D,MATCH(SCORE!V$2&amp;" "&amp;SCORE!$D443,EVENTOS!$F:$F,0)),0)</f>
        <v>0</v>
      </c>
      <c r="W443" s="3">
        <f>IFERROR(INDEX(EVENTOS!$D:$D,MATCH(SCORE!W$2&amp;" "&amp;SCORE!$D443,EVENTOS!$F:$F,0)),0)</f>
        <v>0</v>
      </c>
      <c r="X443" s="3">
        <f>IFERROR(INDEX(EVENTOS!$D:$D,MATCH(SCORE!X$2&amp;" "&amp;SCORE!$D443,EVENTOS!$F:$F,0)),0)</f>
        <v>0</v>
      </c>
      <c r="Y443" s="3">
        <f>SUMIFS(EVENTOS!$D:$D, EVENTOS!$B:$B, D443, EVENTOS!$E:$E, "*GirAlto*")</f>
        <v>0</v>
      </c>
      <c r="Z443" s="3">
        <f>SUMIFS(EVENTOS!$D:$D, EVENTOS!$B:$B, D443, EVENTOS!$E:$E, "*GirMed*")</f>
        <v>0</v>
      </c>
      <c r="AA443" s="3">
        <f>SUMIFS(EVENTOS!$D:$D, EVENTOS!$B:$B, D443, EVENTOS!$E:$E, "*GirBajo*")</f>
        <v>0</v>
      </c>
      <c r="AB443" s="3">
        <f>IFERROR(INDEX(EVENTOS!$D:$D,MATCH(SCORE!AB$2&amp;" "&amp;SCORE!$D443,EVENTOS!$F:$F,0)),0)</f>
        <v>0</v>
      </c>
      <c r="AC443" s="3">
        <f>IFERROR(INDEX(EVENTOS!$D:$D,MATCH(SCORE!AC$2&amp;" "&amp;SCORE!$D443,EVENTOS!$F:$F,0)),0)</f>
        <v>0</v>
      </c>
      <c r="AD443" s="3">
        <f>IFERROR(INDEX(EVENTOS!$D:$D,MATCH(SCORE!AD$2&amp;" "&amp;SCORE!$D443,EVENTOS!$F:$F,0)),0)</f>
        <v>0</v>
      </c>
      <c r="AE443" s="3">
        <f t="shared" si="18"/>
        <v>0</v>
      </c>
      <c r="AF443" s="10" t="e">
        <f t="shared" si="19"/>
        <v>#N/A</v>
      </c>
      <c r="AG443" s="3" t="str">
        <f t="shared" si="20"/>
        <v/>
      </c>
    </row>
    <row r="444" spans="1:33" x14ac:dyDescent="0.25">
      <c r="A444" s="7"/>
      <c r="B444" s="8"/>
      <c r="C444" s="3"/>
      <c r="D444" s="3"/>
      <c r="E444" s="3" t="e">
        <f>VLOOKUP(D444,VIAJES!$D:$E,2,FALSE)</f>
        <v>#N/A</v>
      </c>
      <c r="F444" s="9" t="e">
        <f>VLOOKUP(D444,VIAJES!$D:$F,3,FALSE)</f>
        <v>#N/A</v>
      </c>
      <c r="G444" s="9" t="e">
        <f>VLOOKUP(D444,VIAJES!$D:$G,4,FALSE)</f>
        <v>#N/A</v>
      </c>
      <c r="H444" s="3" t="e">
        <f>VLOOKUP(D444,VIAJES!$D:$H,5,FALSE)</f>
        <v>#N/A</v>
      </c>
      <c r="S444" s="3">
        <f>IFERROR(INDEX(EVENTOS!$D:$D,MATCH(SCORE!S$2&amp;" "&amp;SCORE!$D444,EVENTOS!$F:$F,0)),0)</f>
        <v>0</v>
      </c>
      <c r="T444" s="3">
        <f>IFERROR(INDEX(EVENTOS!$D:$D,MATCH(SCORE!T$2&amp;" "&amp;SCORE!$D444,EVENTOS!$F:$F,0)),0)</f>
        <v>0</v>
      </c>
      <c r="U444" s="3">
        <f>IFERROR(INDEX(EVENTOS!$D:$D,MATCH(SCORE!U$2&amp;" "&amp;SCORE!$D444,EVENTOS!$F:$F,0)),0)</f>
        <v>0</v>
      </c>
      <c r="V444" s="3">
        <f>IFERROR(INDEX(EVENTOS!$D:$D,MATCH(SCORE!V$2&amp;" "&amp;SCORE!$D444,EVENTOS!$F:$F,0)),0)</f>
        <v>0</v>
      </c>
      <c r="W444" s="3">
        <f>IFERROR(INDEX(EVENTOS!$D:$D,MATCH(SCORE!W$2&amp;" "&amp;SCORE!$D444,EVENTOS!$F:$F,0)),0)</f>
        <v>0</v>
      </c>
      <c r="X444" s="3">
        <f>IFERROR(INDEX(EVENTOS!$D:$D,MATCH(SCORE!X$2&amp;" "&amp;SCORE!$D444,EVENTOS!$F:$F,0)),0)</f>
        <v>0</v>
      </c>
      <c r="Y444" s="3">
        <f>SUMIFS(EVENTOS!$D:$D, EVENTOS!$B:$B, D444, EVENTOS!$E:$E, "*GirAlto*")</f>
        <v>0</v>
      </c>
      <c r="Z444" s="3">
        <f>SUMIFS(EVENTOS!$D:$D, EVENTOS!$B:$B, D444, EVENTOS!$E:$E, "*GirMed*")</f>
        <v>0</v>
      </c>
      <c r="AA444" s="3">
        <f>SUMIFS(EVENTOS!$D:$D, EVENTOS!$B:$B, D444, EVENTOS!$E:$E, "*GirBajo*")</f>
        <v>0</v>
      </c>
      <c r="AB444" s="3">
        <f>IFERROR(INDEX(EVENTOS!$D:$D,MATCH(SCORE!AB$2&amp;" "&amp;SCORE!$D444,EVENTOS!$F:$F,0)),0)</f>
        <v>0</v>
      </c>
      <c r="AC444" s="3">
        <f>IFERROR(INDEX(EVENTOS!$D:$D,MATCH(SCORE!AC$2&amp;" "&amp;SCORE!$D444,EVENTOS!$F:$F,0)),0)</f>
        <v>0</v>
      </c>
      <c r="AD444" s="3">
        <f>IFERROR(INDEX(EVENTOS!$D:$D,MATCH(SCORE!AD$2&amp;" "&amp;SCORE!$D444,EVENTOS!$F:$F,0)),0)</f>
        <v>0</v>
      </c>
      <c r="AE444" s="3">
        <f t="shared" si="18"/>
        <v>0</v>
      </c>
      <c r="AF444" s="10" t="e">
        <f t="shared" si="19"/>
        <v>#N/A</v>
      </c>
      <c r="AG444" s="3" t="str">
        <f t="shared" si="20"/>
        <v/>
      </c>
    </row>
    <row r="445" spans="1:33" x14ac:dyDescent="0.25">
      <c r="A445" s="7"/>
      <c r="B445" s="8"/>
      <c r="C445" s="3"/>
      <c r="D445" s="3"/>
      <c r="E445" s="3" t="e">
        <f>VLOOKUP(D445,VIAJES!$D:$E,2,FALSE)</f>
        <v>#N/A</v>
      </c>
      <c r="F445" s="9" t="e">
        <f>VLOOKUP(D445,VIAJES!$D:$F,3,FALSE)</f>
        <v>#N/A</v>
      </c>
      <c r="G445" s="9" t="e">
        <f>VLOOKUP(D445,VIAJES!$D:$G,4,FALSE)</f>
        <v>#N/A</v>
      </c>
      <c r="H445" s="3" t="e">
        <f>VLOOKUP(D445,VIAJES!$D:$H,5,FALSE)</f>
        <v>#N/A</v>
      </c>
      <c r="S445" s="3">
        <f>IFERROR(INDEX(EVENTOS!$D:$D,MATCH(SCORE!S$2&amp;" "&amp;SCORE!$D445,EVENTOS!$F:$F,0)),0)</f>
        <v>0</v>
      </c>
      <c r="T445" s="3">
        <f>IFERROR(INDEX(EVENTOS!$D:$D,MATCH(SCORE!T$2&amp;" "&amp;SCORE!$D445,EVENTOS!$F:$F,0)),0)</f>
        <v>0</v>
      </c>
      <c r="U445" s="3">
        <f>IFERROR(INDEX(EVENTOS!$D:$D,MATCH(SCORE!U$2&amp;" "&amp;SCORE!$D445,EVENTOS!$F:$F,0)),0)</f>
        <v>0</v>
      </c>
      <c r="V445" s="3">
        <f>IFERROR(INDEX(EVENTOS!$D:$D,MATCH(SCORE!V$2&amp;" "&amp;SCORE!$D445,EVENTOS!$F:$F,0)),0)</f>
        <v>0</v>
      </c>
      <c r="W445" s="3">
        <f>IFERROR(INDEX(EVENTOS!$D:$D,MATCH(SCORE!W$2&amp;" "&amp;SCORE!$D445,EVENTOS!$F:$F,0)),0)</f>
        <v>0</v>
      </c>
      <c r="X445" s="3">
        <f>IFERROR(INDEX(EVENTOS!$D:$D,MATCH(SCORE!X$2&amp;" "&amp;SCORE!$D445,EVENTOS!$F:$F,0)),0)</f>
        <v>0</v>
      </c>
      <c r="Y445" s="3">
        <f>SUMIFS(EVENTOS!$D:$D, EVENTOS!$B:$B, D445, EVENTOS!$E:$E, "*GirAlto*")</f>
        <v>0</v>
      </c>
      <c r="Z445" s="3">
        <f>SUMIFS(EVENTOS!$D:$D, EVENTOS!$B:$B, D445, EVENTOS!$E:$E, "*GirMed*")</f>
        <v>0</v>
      </c>
      <c r="AA445" s="3">
        <f>SUMIFS(EVENTOS!$D:$D, EVENTOS!$B:$B, D445, EVENTOS!$E:$E, "*GirBajo*")</f>
        <v>0</v>
      </c>
      <c r="AB445" s="3">
        <f>IFERROR(INDEX(EVENTOS!$D:$D,MATCH(SCORE!AB$2&amp;" "&amp;SCORE!$D445,EVENTOS!$F:$F,0)),0)</f>
        <v>0</v>
      </c>
      <c r="AC445" s="3">
        <f>IFERROR(INDEX(EVENTOS!$D:$D,MATCH(SCORE!AC$2&amp;" "&amp;SCORE!$D445,EVENTOS!$F:$F,0)),0)</f>
        <v>0</v>
      </c>
      <c r="AD445" s="3">
        <f>IFERROR(INDEX(EVENTOS!$D:$D,MATCH(SCORE!AD$2&amp;" "&amp;SCORE!$D445,EVENTOS!$F:$F,0)),0)</f>
        <v>0</v>
      </c>
      <c r="AE445" s="3">
        <f t="shared" si="18"/>
        <v>0</v>
      </c>
      <c r="AF445" s="10" t="e">
        <f t="shared" si="19"/>
        <v>#N/A</v>
      </c>
      <c r="AG445" s="3" t="str">
        <f t="shared" si="20"/>
        <v/>
      </c>
    </row>
    <row r="446" spans="1:33" x14ac:dyDescent="0.25">
      <c r="A446" s="7"/>
      <c r="B446" s="8"/>
      <c r="C446" s="3"/>
      <c r="D446" s="3"/>
      <c r="E446" s="3" t="e">
        <f>VLOOKUP(D446,VIAJES!$D:$E,2,FALSE)</f>
        <v>#N/A</v>
      </c>
      <c r="F446" s="9" t="e">
        <f>VLOOKUP(D446,VIAJES!$D:$F,3,FALSE)</f>
        <v>#N/A</v>
      </c>
      <c r="G446" s="9" t="e">
        <f>VLOOKUP(D446,VIAJES!$D:$G,4,FALSE)</f>
        <v>#N/A</v>
      </c>
      <c r="H446" s="3" t="e">
        <f>VLOOKUP(D446,VIAJES!$D:$H,5,FALSE)</f>
        <v>#N/A</v>
      </c>
      <c r="S446" s="3">
        <f>IFERROR(INDEX(EVENTOS!$D:$D,MATCH(SCORE!S$2&amp;" "&amp;SCORE!$D446,EVENTOS!$F:$F,0)),0)</f>
        <v>0</v>
      </c>
      <c r="T446" s="3">
        <f>IFERROR(INDEX(EVENTOS!$D:$D,MATCH(SCORE!T$2&amp;" "&amp;SCORE!$D446,EVENTOS!$F:$F,0)),0)</f>
        <v>0</v>
      </c>
      <c r="U446" s="3">
        <f>IFERROR(INDEX(EVENTOS!$D:$D,MATCH(SCORE!U$2&amp;" "&amp;SCORE!$D446,EVENTOS!$F:$F,0)),0)</f>
        <v>0</v>
      </c>
      <c r="V446" s="3">
        <f>IFERROR(INDEX(EVENTOS!$D:$D,MATCH(SCORE!V$2&amp;" "&amp;SCORE!$D446,EVENTOS!$F:$F,0)),0)</f>
        <v>0</v>
      </c>
      <c r="W446" s="3">
        <f>IFERROR(INDEX(EVENTOS!$D:$D,MATCH(SCORE!W$2&amp;" "&amp;SCORE!$D446,EVENTOS!$F:$F,0)),0)</f>
        <v>0</v>
      </c>
      <c r="X446" s="3">
        <f>IFERROR(INDEX(EVENTOS!$D:$D,MATCH(SCORE!X$2&amp;" "&amp;SCORE!$D446,EVENTOS!$F:$F,0)),0)</f>
        <v>0</v>
      </c>
      <c r="Y446" s="3">
        <f>SUMIFS(EVENTOS!$D:$D, EVENTOS!$B:$B, D446, EVENTOS!$E:$E, "*GirAlto*")</f>
        <v>0</v>
      </c>
      <c r="Z446" s="3">
        <f>SUMIFS(EVENTOS!$D:$D, EVENTOS!$B:$B, D446, EVENTOS!$E:$E, "*GirMed*")</f>
        <v>0</v>
      </c>
      <c r="AA446" s="3">
        <f>SUMIFS(EVENTOS!$D:$D, EVENTOS!$B:$B, D446, EVENTOS!$E:$E, "*GirBajo*")</f>
        <v>0</v>
      </c>
      <c r="AB446" s="3">
        <f>IFERROR(INDEX(EVENTOS!$D:$D,MATCH(SCORE!AB$2&amp;" "&amp;SCORE!$D446,EVENTOS!$F:$F,0)),0)</f>
        <v>0</v>
      </c>
      <c r="AC446" s="3">
        <f>IFERROR(INDEX(EVENTOS!$D:$D,MATCH(SCORE!AC$2&amp;" "&amp;SCORE!$D446,EVENTOS!$F:$F,0)),0)</f>
        <v>0</v>
      </c>
      <c r="AD446" s="3">
        <f>IFERROR(INDEX(EVENTOS!$D:$D,MATCH(SCORE!AD$2&amp;" "&amp;SCORE!$D446,EVENTOS!$F:$F,0)),0)</f>
        <v>0</v>
      </c>
      <c r="AE446" s="3">
        <f t="shared" si="18"/>
        <v>0</v>
      </c>
      <c r="AF446" s="10" t="e">
        <f t="shared" si="19"/>
        <v>#N/A</v>
      </c>
      <c r="AG446" s="3" t="str">
        <f t="shared" si="20"/>
        <v/>
      </c>
    </row>
    <row r="447" spans="1:33" x14ac:dyDescent="0.25">
      <c r="A447" s="7"/>
      <c r="B447" s="8"/>
      <c r="C447" s="3"/>
      <c r="D447" s="3"/>
      <c r="E447" s="3" t="e">
        <f>VLOOKUP(D447,VIAJES!$D:$E,2,FALSE)</f>
        <v>#N/A</v>
      </c>
      <c r="F447" s="9" t="e">
        <f>VLOOKUP(D447,VIAJES!$D:$F,3,FALSE)</f>
        <v>#N/A</v>
      </c>
      <c r="G447" s="9" t="e">
        <f>VLOOKUP(D447,VIAJES!$D:$G,4,FALSE)</f>
        <v>#N/A</v>
      </c>
      <c r="H447" s="3" t="e">
        <f>VLOOKUP(D447,VIAJES!$D:$H,5,FALSE)</f>
        <v>#N/A</v>
      </c>
      <c r="S447" s="3">
        <f>IFERROR(INDEX(EVENTOS!$D:$D,MATCH(SCORE!S$2&amp;" "&amp;SCORE!$D447,EVENTOS!$F:$F,0)),0)</f>
        <v>0</v>
      </c>
      <c r="T447" s="3">
        <f>IFERROR(INDEX(EVENTOS!$D:$D,MATCH(SCORE!T$2&amp;" "&amp;SCORE!$D447,EVENTOS!$F:$F,0)),0)</f>
        <v>0</v>
      </c>
      <c r="U447" s="3">
        <f>IFERROR(INDEX(EVENTOS!$D:$D,MATCH(SCORE!U$2&amp;" "&amp;SCORE!$D447,EVENTOS!$F:$F,0)),0)</f>
        <v>0</v>
      </c>
      <c r="V447" s="3">
        <f>IFERROR(INDEX(EVENTOS!$D:$D,MATCH(SCORE!V$2&amp;" "&amp;SCORE!$D447,EVENTOS!$F:$F,0)),0)</f>
        <v>0</v>
      </c>
      <c r="W447" s="3">
        <f>IFERROR(INDEX(EVENTOS!$D:$D,MATCH(SCORE!W$2&amp;" "&amp;SCORE!$D447,EVENTOS!$F:$F,0)),0)</f>
        <v>0</v>
      </c>
      <c r="X447" s="3">
        <f>IFERROR(INDEX(EVENTOS!$D:$D,MATCH(SCORE!X$2&amp;" "&amp;SCORE!$D447,EVENTOS!$F:$F,0)),0)</f>
        <v>0</v>
      </c>
      <c r="Y447" s="3">
        <f>SUMIFS(EVENTOS!$D:$D, EVENTOS!$B:$B, D447, EVENTOS!$E:$E, "*GirAlto*")</f>
        <v>0</v>
      </c>
      <c r="Z447" s="3">
        <f>SUMIFS(EVENTOS!$D:$D, EVENTOS!$B:$B, D447, EVENTOS!$E:$E, "*GirMed*")</f>
        <v>0</v>
      </c>
      <c r="AA447" s="3">
        <f>SUMIFS(EVENTOS!$D:$D, EVENTOS!$B:$B, D447, EVENTOS!$E:$E, "*GirBajo*")</f>
        <v>0</v>
      </c>
      <c r="AB447" s="3">
        <f>IFERROR(INDEX(EVENTOS!$D:$D,MATCH(SCORE!AB$2&amp;" "&amp;SCORE!$D447,EVENTOS!$F:$F,0)),0)</f>
        <v>0</v>
      </c>
      <c r="AC447" s="3">
        <f>IFERROR(INDEX(EVENTOS!$D:$D,MATCH(SCORE!AC$2&amp;" "&amp;SCORE!$D447,EVENTOS!$F:$F,0)),0)</f>
        <v>0</v>
      </c>
      <c r="AD447" s="3">
        <f>IFERROR(INDEX(EVENTOS!$D:$D,MATCH(SCORE!AD$2&amp;" "&amp;SCORE!$D447,EVENTOS!$F:$F,0)),0)</f>
        <v>0</v>
      </c>
      <c r="AE447" s="3">
        <f t="shared" si="18"/>
        <v>0</v>
      </c>
      <c r="AF447" s="10" t="e">
        <f t="shared" si="19"/>
        <v>#N/A</v>
      </c>
      <c r="AG447" s="3" t="str">
        <f t="shared" si="20"/>
        <v/>
      </c>
    </row>
    <row r="448" spans="1:33" x14ac:dyDescent="0.25">
      <c r="A448" s="7"/>
      <c r="B448" s="8"/>
      <c r="C448" s="3"/>
      <c r="D448" s="3"/>
      <c r="E448" s="3" t="e">
        <f>VLOOKUP(D448,VIAJES!$D:$E,2,FALSE)</f>
        <v>#N/A</v>
      </c>
      <c r="F448" s="9" t="e">
        <f>VLOOKUP(D448,VIAJES!$D:$F,3,FALSE)</f>
        <v>#N/A</v>
      </c>
      <c r="G448" s="9" t="e">
        <f>VLOOKUP(D448,VIAJES!$D:$G,4,FALSE)</f>
        <v>#N/A</v>
      </c>
      <c r="H448" s="3" t="e">
        <f>VLOOKUP(D448,VIAJES!$D:$H,5,FALSE)</f>
        <v>#N/A</v>
      </c>
      <c r="S448" s="3">
        <f>IFERROR(INDEX(EVENTOS!$D:$D,MATCH(SCORE!S$2&amp;" "&amp;SCORE!$D448,EVENTOS!$F:$F,0)),0)</f>
        <v>0</v>
      </c>
      <c r="T448" s="3">
        <f>IFERROR(INDEX(EVENTOS!$D:$D,MATCH(SCORE!T$2&amp;" "&amp;SCORE!$D448,EVENTOS!$F:$F,0)),0)</f>
        <v>0</v>
      </c>
      <c r="U448" s="3">
        <f>IFERROR(INDEX(EVENTOS!$D:$D,MATCH(SCORE!U$2&amp;" "&amp;SCORE!$D448,EVENTOS!$F:$F,0)),0)</f>
        <v>0</v>
      </c>
      <c r="V448" s="3">
        <f>IFERROR(INDEX(EVENTOS!$D:$D,MATCH(SCORE!V$2&amp;" "&amp;SCORE!$D448,EVENTOS!$F:$F,0)),0)</f>
        <v>0</v>
      </c>
      <c r="W448" s="3">
        <f>IFERROR(INDEX(EVENTOS!$D:$D,MATCH(SCORE!W$2&amp;" "&amp;SCORE!$D448,EVENTOS!$F:$F,0)),0)</f>
        <v>0</v>
      </c>
      <c r="X448" s="3">
        <f>IFERROR(INDEX(EVENTOS!$D:$D,MATCH(SCORE!X$2&amp;" "&amp;SCORE!$D448,EVENTOS!$F:$F,0)),0)</f>
        <v>0</v>
      </c>
      <c r="Y448" s="3">
        <f>SUMIFS(EVENTOS!$D:$D, EVENTOS!$B:$B, D448, EVENTOS!$E:$E, "*GirAlto*")</f>
        <v>0</v>
      </c>
      <c r="Z448" s="3">
        <f>SUMIFS(EVENTOS!$D:$D, EVENTOS!$B:$B, D448, EVENTOS!$E:$E, "*GirMed*")</f>
        <v>0</v>
      </c>
      <c r="AA448" s="3">
        <f>SUMIFS(EVENTOS!$D:$D, EVENTOS!$B:$B, D448, EVENTOS!$E:$E, "*GirBajo*")</f>
        <v>0</v>
      </c>
      <c r="AB448" s="3">
        <f>IFERROR(INDEX(EVENTOS!$D:$D,MATCH(SCORE!AB$2&amp;" "&amp;SCORE!$D448,EVENTOS!$F:$F,0)),0)</f>
        <v>0</v>
      </c>
      <c r="AC448" s="3">
        <f>IFERROR(INDEX(EVENTOS!$D:$D,MATCH(SCORE!AC$2&amp;" "&amp;SCORE!$D448,EVENTOS!$F:$F,0)),0)</f>
        <v>0</v>
      </c>
      <c r="AD448" s="3">
        <f>IFERROR(INDEX(EVENTOS!$D:$D,MATCH(SCORE!AD$2&amp;" "&amp;SCORE!$D448,EVENTOS!$F:$F,0)),0)</f>
        <v>0</v>
      </c>
      <c r="AE448" s="3">
        <f t="shared" si="18"/>
        <v>0</v>
      </c>
      <c r="AF448" s="10" t="e">
        <f t="shared" si="19"/>
        <v>#N/A</v>
      </c>
      <c r="AG448" s="3" t="str">
        <f t="shared" si="20"/>
        <v/>
      </c>
    </row>
    <row r="449" spans="1:33" x14ac:dyDescent="0.25">
      <c r="A449" s="7"/>
      <c r="B449" s="8"/>
      <c r="C449" s="3"/>
      <c r="D449" s="3"/>
      <c r="E449" s="3" t="e">
        <f>VLOOKUP(D449,VIAJES!$D:$E,2,FALSE)</f>
        <v>#N/A</v>
      </c>
      <c r="F449" s="9" t="e">
        <f>VLOOKUP(D449,VIAJES!$D:$F,3,FALSE)</f>
        <v>#N/A</v>
      </c>
      <c r="G449" s="9" t="e">
        <f>VLOOKUP(D449,VIAJES!$D:$G,4,FALSE)</f>
        <v>#N/A</v>
      </c>
      <c r="H449" s="3" t="e">
        <f>VLOOKUP(D449,VIAJES!$D:$H,5,FALSE)</f>
        <v>#N/A</v>
      </c>
      <c r="S449" s="3">
        <f>IFERROR(INDEX(EVENTOS!$D:$D,MATCH(SCORE!S$2&amp;" "&amp;SCORE!$D449,EVENTOS!$F:$F,0)),0)</f>
        <v>0</v>
      </c>
      <c r="T449" s="3">
        <f>IFERROR(INDEX(EVENTOS!$D:$D,MATCH(SCORE!T$2&amp;" "&amp;SCORE!$D449,EVENTOS!$F:$F,0)),0)</f>
        <v>0</v>
      </c>
      <c r="U449" s="3">
        <f>IFERROR(INDEX(EVENTOS!$D:$D,MATCH(SCORE!U$2&amp;" "&amp;SCORE!$D449,EVENTOS!$F:$F,0)),0)</f>
        <v>0</v>
      </c>
      <c r="V449" s="3">
        <f>IFERROR(INDEX(EVENTOS!$D:$D,MATCH(SCORE!V$2&amp;" "&amp;SCORE!$D449,EVENTOS!$F:$F,0)),0)</f>
        <v>0</v>
      </c>
      <c r="W449" s="3">
        <f>IFERROR(INDEX(EVENTOS!$D:$D,MATCH(SCORE!W$2&amp;" "&amp;SCORE!$D449,EVENTOS!$F:$F,0)),0)</f>
        <v>0</v>
      </c>
      <c r="X449" s="3">
        <f>IFERROR(INDEX(EVENTOS!$D:$D,MATCH(SCORE!X$2&amp;" "&amp;SCORE!$D449,EVENTOS!$F:$F,0)),0)</f>
        <v>0</v>
      </c>
      <c r="Y449" s="3">
        <f>SUMIFS(EVENTOS!$D:$D, EVENTOS!$B:$B, D449, EVENTOS!$E:$E, "*GirAlto*")</f>
        <v>0</v>
      </c>
      <c r="Z449" s="3">
        <f>SUMIFS(EVENTOS!$D:$D, EVENTOS!$B:$B, D449, EVENTOS!$E:$E, "*GirMed*")</f>
        <v>0</v>
      </c>
      <c r="AA449" s="3">
        <f>SUMIFS(EVENTOS!$D:$D, EVENTOS!$B:$B, D449, EVENTOS!$E:$E, "*GirBajo*")</f>
        <v>0</v>
      </c>
      <c r="AB449" s="3">
        <f>IFERROR(INDEX(EVENTOS!$D:$D,MATCH(SCORE!AB$2&amp;" "&amp;SCORE!$D449,EVENTOS!$F:$F,0)),0)</f>
        <v>0</v>
      </c>
      <c r="AC449" s="3">
        <f>IFERROR(INDEX(EVENTOS!$D:$D,MATCH(SCORE!AC$2&amp;" "&amp;SCORE!$D449,EVENTOS!$F:$F,0)),0)</f>
        <v>0</v>
      </c>
      <c r="AD449" s="3">
        <f>IFERROR(INDEX(EVENTOS!$D:$D,MATCH(SCORE!AD$2&amp;" "&amp;SCORE!$D449,EVENTOS!$F:$F,0)),0)</f>
        <v>0</v>
      </c>
      <c r="AE449" s="3">
        <f t="shared" si="18"/>
        <v>0</v>
      </c>
      <c r="AF449" s="10" t="e">
        <f t="shared" si="19"/>
        <v>#N/A</v>
      </c>
      <c r="AG449" s="3" t="str">
        <f t="shared" si="20"/>
        <v/>
      </c>
    </row>
    <row r="450" spans="1:33" x14ac:dyDescent="0.25">
      <c r="A450" s="7"/>
      <c r="B450" s="8"/>
      <c r="C450" s="3"/>
      <c r="D450" s="3"/>
      <c r="E450" s="3" t="e">
        <f>VLOOKUP(D450,VIAJES!$D:$E,2,FALSE)</f>
        <v>#N/A</v>
      </c>
      <c r="F450" s="9" t="e">
        <f>VLOOKUP(D450,VIAJES!$D:$F,3,FALSE)</f>
        <v>#N/A</v>
      </c>
      <c r="G450" s="9" t="e">
        <f>VLOOKUP(D450,VIAJES!$D:$G,4,FALSE)</f>
        <v>#N/A</v>
      </c>
      <c r="H450" s="3" t="e">
        <f>VLOOKUP(D450,VIAJES!$D:$H,5,FALSE)</f>
        <v>#N/A</v>
      </c>
      <c r="S450" s="3">
        <f>IFERROR(INDEX(EVENTOS!$D:$D,MATCH(SCORE!S$2&amp;" "&amp;SCORE!$D450,EVENTOS!$F:$F,0)),0)</f>
        <v>0</v>
      </c>
      <c r="T450" s="3">
        <f>IFERROR(INDEX(EVENTOS!$D:$D,MATCH(SCORE!T$2&amp;" "&amp;SCORE!$D450,EVENTOS!$F:$F,0)),0)</f>
        <v>0</v>
      </c>
      <c r="U450" s="3">
        <f>IFERROR(INDEX(EVENTOS!$D:$D,MATCH(SCORE!U$2&amp;" "&amp;SCORE!$D450,EVENTOS!$F:$F,0)),0)</f>
        <v>0</v>
      </c>
      <c r="V450" s="3">
        <f>IFERROR(INDEX(EVENTOS!$D:$D,MATCH(SCORE!V$2&amp;" "&amp;SCORE!$D450,EVENTOS!$F:$F,0)),0)</f>
        <v>0</v>
      </c>
      <c r="W450" s="3">
        <f>IFERROR(INDEX(EVENTOS!$D:$D,MATCH(SCORE!W$2&amp;" "&amp;SCORE!$D450,EVENTOS!$F:$F,0)),0)</f>
        <v>0</v>
      </c>
      <c r="X450" s="3">
        <f>IFERROR(INDEX(EVENTOS!$D:$D,MATCH(SCORE!X$2&amp;" "&amp;SCORE!$D450,EVENTOS!$F:$F,0)),0)</f>
        <v>0</v>
      </c>
      <c r="Y450" s="3">
        <f>SUMIFS(EVENTOS!$D:$D, EVENTOS!$B:$B, D450, EVENTOS!$E:$E, "*GirAlto*")</f>
        <v>0</v>
      </c>
      <c r="Z450" s="3">
        <f>SUMIFS(EVENTOS!$D:$D, EVENTOS!$B:$B, D450, EVENTOS!$E:$E, "*GirMed*")</f>
        <v>0</v>
      </c>
      <c r="AA450" s="3">
        <f>SUMIFS(EVENTOS!$D:$D, EVENTOS!$B:$B, D450, EVENTOS!$E:$E, "*GirBajo*")</f>
        <v>0</v>
      </c>
      <c r="AB450" s="3">
        <f>IFERROR(INDEX(EVENTOS!$D:$D,MATCH(SCORE!AB$2&amp;" "&amp;SCORE!$D450,EVENTOS!$F:$F,0)),0)</f>
        <v>0</v>
      </c>
      <c r="AC450" s="3">
        <f>IFERROR(INDEX(EVENTOS!$D:$D,MATCH(SCORE!AC$2&amp;" "&amp;SCORE!$D450,EVENTOS!$F:$F,0)),0)</f>
        <v>0</v>
      </c>
      <c r="AD450" s="3">
        <f>IFERROR(INDEX(EVENTOS!$D:$D,MATCH(SCORE!AD$2&amp;" "&amp;SCORE!$D450,EVENTOS!$F:$F,0)),0)</f>
        <v>0</v>
      </c>
      <c r="AE450" s="3">
        <f t="shared" si="18"/>
        <v>0</v>
      </c>
      <c r="AF450" s="10" t="e">
        <f t="shared" si="19"/>
        <v>#N/A</v>
      </c>
      <c r="AG450" s="3" t="str">
        <f t="shared" si="20"/>
        <v/>
      </c>
    </row>
    <row r="451" spans="1:33" x14ac:dyDescent="0.25">
      <c r="A451" s="7"/>
      <c r="B451" s="8"/>
      <c r="C451" s="3"/>
      <c r="D451" s="3"/>
      <c r="E451" s="3" t="e">
        <f>VLOOKUP(D451,VIAJES!$D:$E,2,FALSE)</f>
        <v>#N/A</v>
      </c>
      <c r="F451" s="9" t="e">
        <f>VLOOKUP(D451,VIAJES!$D:$F,3,FALSE)</f>
        <v>#N/A</v>
      </c>
      <c r="G451" s="9" t="e">
        <f>VLOOKUP(D451,VIAJES!$D:$G,4,FALSE)</f>
        <v>#N/A</v>
      </c>
      <c r="H451" s="3" t="e">
        <f>VLOOKUP(D451,VIAJES!$D:$H,5,FALSE)</f>
        <v>#N/A</v>
      </c>
      <c r="S451" s="3">
        <f>IFERROR(INDEX(EVENTOS!$D:$D,MATCH(SCORE!S$2&amp;" "&amp;SCORE!$D451,EVENTOS!$F:$F,0)),0)</f>
        <v>0</v>
      </c>
      <c r="T451" s="3">
        <f>IFERROR(INDEX(EVENTOS!$D:$D,MATCH(SCORE!T$2&amp;" "&amp;SCORE!$D451,EVENTOS!$F:$F,0)),0)</f>
        <v>0</v>
      </c>
      <c r="U451" s="3">
        <f>IFERROR(INDEX(EVENTOS!$D:$D,MATCH(SCORE!U$2&amp;" "&amp;SCORE!$D451,EVENTOS!$F:$F,0)),0)</f>
        <v>0</v>
      </c>
      <c r="V451" s="3">
        <f>IFERROR(INDEX(EVENTOS!$D:$D,MATCH(SCORE!V$2&amp;" "&amp;SCORE!$D451,EVENTOS!$F:$F,0)),0)</f>
        <v>0</v>
      </c>
      <c r="W451" s="3">
        <f>IFERROR(INDEX(EVENTOS!$D:$D,MATCH(SCORE!W$2&amp;" "&amp;SCORE!$D451,EVENTOS!$F:$F,0)),0)</f>
        <v>0</v>
      </c>
      <c r="X451" s="3">
        <f>IFERROR(INDEX(EVENTOS!$D:$D,MATCH(SCORE!X$2&amp;" "&amp;SCORE!$D451,EVENTOS!$F:$F,0)),0)</f>
        <v>0</v>
      </c>
      <c r="Y451" s="3">
        <f>SUMIFS(EVENTOS!$D:$D, EVENTOS!$B:$B, D451, EVENTOS!$E:$E, "*GirAlto*")</f>
        <v>0</v>
      </c>
      <c r="Z451" s="3">
        <f>SUMIFS(EVENTOS!$D:$D, EVENTOS!$B:$B, D451, EVENTOS!$E:$E, "*GirMed*")</f>
        <v>0</v>
      </c>
      <c r="AA451" s="3">
        <f>SUMIFS(EVENTOS!$D:$D, EVENTOS!$B:$B, D451, EVENTOS!$E:$E, "*GirBajo*")</f>
        <v>0</v>
      </c>
      <c r="AB451" s="3">
        <f>IFERROR(INDEX(EVENTOS!$D:$D,MATCH(SCORE!AB$2&amp;" "&amp;SCORE!$D451,EVENTOS!$F:$F,0)),0)</f>
        <v>0</v>
      </c>
      <c r="AC451" s="3">
        <f>IFERROR(INDEX(EVENTOS!$D:$D,MATCH(SCORE!AC$2&amp;" "&amp;SCORE!$D451,EVENTOS!$F:$F,0)),0)</f>
        <v>0</v>
      </c>
      <c r="AD451" s="3">
        <f>IFERROR(INDEX(EVENTOS!$D:$D,MATCH(SCORE!AD$2&amp;" "&amp;SCORE!$D451,EVENTOS!$F:$F,0)),0)</f>
        <v>0</v>
      </c>
      <c r="AE451" s="3">
        <f t="shared" ref="AE451:AE514" si="21">((S451+V451+Y451+AB451)*50)+((T451+W451+Z451+AC451)*25)+((U451+X451+AA451+AD451)*5)</f>
        <v>0</v>
      </c>
      <c r="AF451" s="10" t="e">
        <f t="shared" ref="AF451:AF514" si="22">AE451/(G451*24)*100</f>
        <v>#N/A</v>
      </c>
      <c r="AG451" s="3" t="str">
        <f t="shared" ref="AG451:AG514" si="23">IF(D451&lt;&gt;"",IF(AF451&gt;=30000,5,ROUNDDOWN((((5-95)*(AF451-0))/(30000-0))+95,0)),"")</f>
        <v/>
      </c>
    </row>
    <row r="452" spans="1:33" x14ac:dyDescent="0.25">
      <c r="A452" s="7"/>
      <c r="B452" s="8"/>
      <c r="C452" s="3"/>
      <c r="D452" s="3"/>
      <c r="E452" s="3" t="e">
        <f>VLOOKUP(D452,VIAJES!$D:$E,2,FALSE)</f>
        <v>#N/A</v>
      </c>
      <c r="F452" s="9" t="e">
        <f>VLOOKUP(D452,VIAJES!$D:$F,3,FALSE)</f>
        <v>#N/A</v>
      </c>
      <c r="G452" s="9" t="e">
        <f>VLOOKUP(D452,VIAJES!$D:$G,4,FALSE)</f>
        <v>#N/A</v>
      </c>
      <c r="H452" s="3" t="e">
        <f>VLOOKUP(D452,VIAJES!$D:$H,5,FALSE)</f>
        <v>#N/A</v>
      </c>
      <c r="S452" s="3">
        <f>IFERROR(INDEX(EVENTOS!$D:$D,MATCH(SCORE!S$2&amp;" "&amp;SCORE!$D452,EVENTOS!$F:$F,0)),0)</f>
        <v>0</v>
      </c>
      <c r="T452" s="3">
        <f>IFERROR(INDEX(EVENTOS!$D:$D,MATCH(SCORE!T$2&amp;" "&amp;SCORE!$D452,EVENTOS!$F:$F,0)),0)</f>
        <v>0</v>
      </c>
      <c r="U452" s="3">
        <f>IFERROR(INDEX(EVENTOS!$D:$D,MATCH(SCORE!U$2&amp;" "&amp;SCORE!$D452,EVENTOS!$F:$F,0)),0)</f>
        <v>0</v>
      </c>
      <c r="V452" s="3">
        <f>IFERROR(INDEX(EVENTOS!$D:$D,MATCH(SCORE!V$2&amp;" "&amp;SCORE!$D452,EVENTOS!$F:$F,0)),0)</f>
        <v>0</v>
      </c>
      <c r="W452" s="3">
        <f>IFERROR(INDEX(EVENTOS!$D:$D,MATCH(SCORE!W$2&amp;" "&amp;SCORE!$D452,EVENTOS!$F:$F,0)),0)</f>
        <v>0</v>
      </c>
      <c r="X452" s="3">
        <f>IFERROR(INDEX(EVENTOS!$D:$D,MATCH(SCORE!X$2&amp;" "&amp;SCORE!$D452,EVENTOS!$F:$F,0)),0)</f>
        <v>0</v>
      </c>
      <c r="Y452" s="3">
        <f>SUMIFS(EVENTOS!$D:$D, EVENTOS!$B:$B, D452, EVENTOS!$E:$E, "*GirAlto*")</f>
        <v>0</v>
      </c>
      <c r="Z452" s="3">
        <f>SUMIFS(EVENTOS!$D:$D, EVENTOS!$B:$B, D452, EVENTOS!$E:$E, "*GirMed*")</f>
        <v>0</v>
      </c>
      <c r="AA452" s="3">
        <f>SUMIFS(EVENTOS!$D:$D, EVENTOS!$B:$B, D452, EVENTOS!$E:$E, "*GirBajo*")</f>
        <v>0</v>
      </c>
      <c r="AB452" s="3">
        <f>IFERROR(INDEX(EVENTOS!$D:$D,MATCH(SCORE!AB$2&amp;" "&amp;SCORE!$D452,EVENTOS!$F:$F,0)),0)</f>
        <v>0</v>
      </c>
      <c r="AC452" s="3">
        <f>IFERROR(INDEX(EVENTOS!$D:$D,MATCH(SCORE!AC$2&amp;" "&amp;SCORE!$D452,EVENTOS!$F:$F,0)),0)</f>
        <v>0</v>
      </c>
      <c r="AD452" s="3">
        <f>IFERROR(INDEX(EVENTOS!$D:$D,MATCH(SCORE!AD$2&amp;" "&amp;SCORE!$D452,EVENTOS!$F:$F,0)),0)</f>
        <v>0</v>
      </c>
      <c r="AE452" s="3">
        <f t="shared" si="21"/>
        <v>0</v>
      </c>
      <c r="AF452" s="10" t="e">
        <f t="shared" si="22"/>
        <v>#N/A</v>
      </c>
      <c r="AG452" s="3" t="str">
        <f t="shared" si="23"/>
        <v/>
      </c>
    </row>
    <row r="453" spans="1:33" x14ac:dyDescent="0.25">
      <c r="A453" s="7"/>
      <c r="B453" s="8"/>
      <c r="C453" s="3"/>
      <c r="D453" s="3"/>
      <c r="E453" s="3" t="e">
        <f>VLOOKUP(D453,VIAJES!$D:$E,2,FALSE)</f>
        <v>#N/A</v>
      </c>
      <c r="F453" s="9" t="e">
        <f>VLOOKUP(D453,VIAJES!$D:$F,3,FALSE)</f>
        <v>#N/A</v>
      </c>
      <c r="G453" s="9" t="e">
        <f>VLOOKUP(D453,VIAJES!$D:$G,4,FALSE)</f>
        <v>#N/A</v>
      </c>
      <c r="H453" s="3" t="e">
        <f>VLOOKUP(D453,VIAJES!$D:$H,5,FALSE)</f>
        <v>#N/A</v>
      </c>
      <c r="S453" s="3">
        <f>IFERROR(INDEX(EVENTOS!$D:$D,MATCH(SCORE!S$2&amp;" "&amp;SCORE!$D453,EVENTOS!$F:$F,0)),0)</f>
        <v>0</v>
      </c>
      <c r="T453" s="3">
        <f>IFERROR(INDEX(EVENTOS!$D:$D,MATCH(SCORE!T$2&amp;" "&amp;SCORE!$D453,EVENTOS!$F:$F,0)),0)</f>
        <v>0</v>
      </c>
      <c r="U453" s="3">
        <f>IFERROR(INDEX(EVENTOS!$D:$D,MATCH(SCORE!U$2&amp;" "&amp;SCORE!$D453,EVENTOS!$F:$F,0)),0)</f>
        <v>0</v>
      </c>
      <c r="V453" s="3">
        <f>IFERROR(INDEX(EVENTOS!$D:$D,MATCH(SCORE!V$2&amp;" "&amp;SCORE!$D453,EVENTOS!$F:$F,0)),0)</f>
        <v>0</v>
      </c>
      <c r="W453" s="3">
        <f>IFERROR(INDEX(EVENTOS!$D:$D,MATCH(SCORE!W$2&amp;" "&amp;SCORE!$D453,EVENTOS!$F:$F,0)),0)</f>
        <v>0</v>
      </c>
      <c r="X453" s="3">
        <f>IFERROR(INDEX(EVENTOS!$D:$D,MATCH(SCORE!X$2&amp;" "&amp;SCORE!$D453,EVENTOS!$F:$F,0)),0)</f>
        <v>0</v>
      </c>
      <c r="Y453" s="3">
        <f>SUMIFS(EVENTOS!$D:$D, EVENTOS!$B:$B, D453, EVENTOS!$E:$E, "*GirAlto*")</f>
        <v>0</v>
      </c>
      <c r="Z453" s="3">
        <f>SUMIFS(EVENTOS!$D:$D, EVENTOS!$B:$B, D453, EVENTOS!$E:$E, "*GirMed*")</f>
        <v>0</v>
      </c>
      <c r="AA453" s="3">
        <f>SUMIFS(EVENTOS!$D:$D, EVENTOS!$B:$B, D453, EVENTOS!$E:$E, "*GirBajo*")</f>
        <v>0</v>
      </c>
      <c r="AB453" s="3">
        <f>IFERROR(INDEX(EVENTOS!$D:$D,MATCH(SCORE!AB$2&amp;" "&amp;SCORE!$D453,EVENTOS!$F:$F,0)),0)</f>
        <v>0</v>
      </c>
      <c r="AC453" s="3">
        <f>IFERROR(INDEX(EVENTOS!$D:$D,MATCH(SCORE!AC$2&amp;" "&amp;SCORE!$D453,EVENTOS!$F:$F,0)),0)</f>
        <v>0</v>
      </c>
      <c r="AD453" s="3">
        <f>IFERROR(INDEX(EVENTOS!$D:$D,MATCH(SCORE!AD$2&amp;" "&amp;SCORE!$D453,EVENTOS!$F:$F,0)),0)</f>
        <v>0</v>
      </c>
      <c r="AE453" s="3">
        <f t="shared" si="21"/>
        <v>0</v>
      </c>
      <c r="AF453" s="10" t="e">
        <f t="shared" si="22"/>
        <v>#N/A</v>
      </c>
      <c r="AG453" s="3" t="str">
        <f t="shared" si="23"/>
        <v/>
      </c>
    </row>
    <row r="454" spans="1:33" x14ac:dyDescent="0.25">
      <c r="A454" s="7"/>
      <c r="B454" s="8"/>
      <c r="C454" s="3"/>
      <c r="D454" s="3"/>
      <c r="E454" s="3" t="e">
        <f>VLOOKUP(D454,VIAJES!$D:$E,2,FALSE)</f>
        <v>#N/A</v>
      </c>
      <c r="F454" s="9" t="e">
        <f>VLOOKUP(D454,VIAJES!$D:$F,3,FALSE)</f>
        <v>#N/A</v>
      </c>
      <c r="G454" s="9" t="e">
        <f>VLOOKUP(D454,VIAJES!$D:$G,4,FALSE)</f>
        <v>#N/A</v>
      </c>
      <c r="H454" s="3" t="e">
        <f>VLOOKUP(D454,VIAJES!$D:$H,5,FALSE)</f>
        <v>#N/A</v>
      </c>
      <c r="S454" s="3">
        <f>IFERROR(INDEX(EVENTOS!$D:$D,MATCH(SCORE!S$2&amp;" "&amp;SCORE!$D454,EVENTOS!$F:$F,0)),0)</f>
        <v>0</v>
      </c>
      <c r="T454" s="3">
        <f>IFERROR(INDEX(EVENTOS!$D:$D,MATCH(SCORE!T$2&amp;" "&amp;SCORE!$D454,EVENTOS!$F:$F,0)),0)</f>
        <v>0</v>
      </c>
      <c r="U454" s="3">
        <f>IFERROR(INDEX(EVENTOS!$D:$D,MATCH(SCORE!U$2&amp;" "&amp;SCORE!$D454,EVENTOS!$F:$F,0)),0)</f>
        <v>0</v>
      </c>
      <c r="V454" s="3">
        <f>IFERROR(INDEX(EVENTOS!$D:$D,MATCH(SCORE!V$2&amp;" "&amp;SCORE!$D454,EVENTOS!$F:$F,0)),0)</f>
        <v>0</v>
      </c>
      <c r="W454" s="3">
        <f>IFERROR(INDEX(EVENTOS!$D:$D,MATCH(SCORE!W$2&amp;" "&amp;SCORE!$D454,EVENTOS!$F:$F,0)),0)</f>
        <v>0</v>
      </c>
      <c r="X454" s="3">
        <f>IFERROR(INDEX(EVENTOS!$D:$D,MATCH(SCORE!X$2&amp;" "&amp;SCORE!$D454,EVENTOS!$F:$F,0)),0)</f>
        <v>0</v>
      </c>
      <c r="Y454" s="3">
        <f>SUMIFS(EVENTOS!$D:$D, EVENTOS!$B:$B, D454, EVENTOS!$E:$E, "*GirAlto*")</f>
        <v>0</v>
      </c>
      <c r="Z454" s="3">
        <f>SUMIFS(EVENTOS!$D:$D, EVENTOS!$B:$B, D454, EVENTOS!$E:$E, "*GirMed*")</f>
        <v>0</v>
      </c>
      <c r="AA454" s="3">
        <f>SUMIFS(EVENTOS!$D:$D, EVENTOS!$B:$B, D454, EVENTOS!$E:$E, "*GirBajo*")</f>
        <v>0</v>
      </c>
      <c r="AB454" s="3">
        <f>IFERROR(INDEX(EVENTOS!$D:$D,MATCH(SCORE!AB$2&amp;" "&amp;SCORE!$D454,EVENTOS!$F:$F,0)),0)</f>
        <v>0</v>
      </c>
      <c r="AC454" s="3">
        <f>IFERROR(INDEX(EVENTOS!$D:$D,MATCH(SCORE!AC$2&amp;" "&amp;SCORE!$D454,EVENTOS!$F:$F,0)),0)</f>
        <v>0</v>
      </c>
      <c r="AD454" s="3">
        <f>IFERROR(INDEX(EVENTOS!$D:$D,MATCH(SCORE!AD$2&amp;" "&amp;SCORE!$D454,EVENTOS!$F:$F,0)),0)</f>
        <v>0</v>
      </c>
      <c r="AE454" s="3">
        <f t="shared" si="21"/>
        <v>0</v>
      </c>
      <c r="AF454" s="10" t="e">
        <f t="shared" si="22"/>
        <v>#N/A</v>
      </c>
      <c r="AG454" s="3" t="str">
        <f t="shared" si="23"/>
        <v/>
      </c>
    </row>
    <row r="455" spans="1:33" x14ac:dyDescent="0.25">
      <c r="A455" s="7"/>
      <c r="B455" s="8"/>
      <c r="C455" s="3"/>
      <c r="D455" s="3"/>
      <c r="E455" s="3" t="e">
        <f>VLOOKUP(D455,VIAJES!$D:$E,2,FALSE)</f>
        <v>#N/A</v>
      </c>
      <c r="F455" s="9" t="e">
        <f>VLOOKUP(D455,VIAJES!$D:$F,3,FALSE)</f>
        <v>#N/A</v>
      </c>
      <c r="G455" s="9" t="e">
        <f>VLOOKUP(D455,VIAJES!$D:$G,4,FALSE)</f>
        <v>#N/A</v>
      </c>
      <c r="H455" s="3" t="e">
        <f>VLOOKUP(D455,VIAJES!$D:$H,5,FALSE)</f>
        <v>#N/A</v>
      </c>
      <c r="S455" s="3">
        <f>IFERROR(INDEX(EVENTOS!$D:$D,MATCH(SCORE!S$2&amp;" "&amp;SCORE!$D455,EVENTOS!$F:$F,0)),0)</f>
        <v>0</v>
      </c>
      <c r="T455" s="3">
        <f>IFERROR(INDEX(EVENTOS!$D:$D,MATCH(SCORE!T$2&amp;" "&amp;SCORE!$D455,EVENTOS!$F:$F,0)),0)</f>
        <v>0</v>
      </c>
      <c r="U455" s="3">
        <f>IFERROR(INDEX(EVENTOS!$D:$D,MATCH(SCORE!U$2&amp;" "&amp;SCORE!$D455,EVENTOS!$F:$F,0)),0)</f>
        <v>0</v>
      </c>
      <c r="V455" s="3">
        <f>IFERROR(INDEX(EVENTOS!$D:$D,MATCH(SCORE!V$2&amp;" "&amp;SCORE!$D455,EVENTOS!$F:$F,0)),0)</f>
        <v>0</v>
      </c>
      <c r="W455" s="3">
        <f>IFERROR(INDEX(EVENTOS!$D:$D,MATCH(SCORE!W$2&amp;" "&amp;SCORE!$D455,EVENTOS!$F:$F,0)),0)</f>
        <v>0</v>
      </c>
      <c r="X455" s="3">
        <f>IFERROR(INDEX(EVENTOS!$D:$D,MATCH(SCORE!X$2&amp;" "&amp;SCORE!$D455,EVENTOS!$F:$F,0)),0)</f>
        <v>0</v>
      </c>
      <c r="Y455" s="3">
        <f>SUMIFS(EVENTOS!$D:$D, EVENTOS!$B:$B, D455, EVENTOS!$E:$E, "*GirAlto*")</f>
        <v>0</v>
      </c>
      <c r="Z455" s="3">
        <f>SUMIFS(EVENTOS!$D:$D, EVENTOS!$B:$B, D455, EVENTOS!$E:$E, "*GirMed*")</f>
        <v>0</v>
      </c>
      <c r="AA455" s="3">
        <f>SUMIFS(EVENTOS!$D:$D, EVENTOS!$B:$B, D455, EVENTOS!$E:$E, "*GirBajo*")</f>
        <v>0</v>
      </c>
      <c r="AB455" s="3">
        <f>IFERROR(INDEX(EVENTOS!$D:$D,MATCH(SCORE!AB$2&amp;" "&amp;SCORE!$D455,EVENTOS!$F:$F,0)),0)</f>
        <v>0</v>
      </c>
      <c r="AC455" s="3">
        <f>IFERROR(INDEX(EVENTOS!$D:$D,MATCH(SCORE!AC$2&amp;" "&amp;SCORE!$D455,EVENTOS!$F:$F,0)),0)</f>
        <v>0</v>
      </c>
      <c r="AD455" s="3">
        <f>IFERROR(INDEX(EVENTOS!$D:$D,MATCH(SCORE!AD$2&amp;" "&amp;SCORE!$D455,EVENTOS!$F:$F,0)),0)</f>
        <v>0</v>
      </c>
      <c r="AE455" s="3">
        <f t="shared" si="21"/>
        <v>0</v>
      </c>
      <c r="AF455" s="10" t="e">
        <f t="shared" si="22"/>
        <v>#N/A</v>
      </c>
      <c r="AG455" s="3" t="str">
        <f t="shared" si="23"/>
        <v/>
      </c>
    </row>
    <row r="456" spans="1:33" x14ac:dyDescent="0.25">
      <c r="A456" s="7"/>
      <c r="B456" s="8"/>
      <c r="C456" s="3"/>
      <c r="D456" s="3"/>
      <c r="E456" s="3" t="e">
        <f>VLOOKUP(D456,VIAJES!$D:$E,2,FALSE)</f>
        <v>#N/A</v>
      </c>
      <c r="F456" s="9" t="e">
        <f>VLOOKUP(D456,VIAJES!$D:$F,3,FALSE)</f>
        <v>#N/A</v>
      </c>
      <c r="G456" s="9" t="e">
        <f>VLOOKUP(D456,VIAJES!$D:$G,4,FALSE)</f>
        <v>#N/A</v>
      </c>
      <c r="H456" s="3" t="e">
        <f>VLOOKUP(D456,VIAJES!$D:$H,5,FALSE)</f>
        <v>#N/A</v>
      </c>
      <c r="S456" s="3">
        <f>IFERROR(INDEX(EVENTOS!$D:$D,MATCH(SCORE!S$2&amp;" "&amp;SCORE!$D456,EVENTOS!$F:$F,0)),0)</f>
        <v>0</v>
      </c>
      <c r="T456" s="3">
        <f>IFERROR(INDEX(EVENTOS!$D:$D,MATCH(SCORE!T$2&amp;" "&amp;SCORE!$D456,EVENTOS!$F:$F,0)),0)</f>
        <v>0</v>
      </c>
      <c r="U456" s="3">
        <f>IFERROR(INDEX(EVENTOS!$D:$D,MATCH(SCORE!U$2&amp;" "&amp;SCORE!$D456,EVENTOS!$F:$F,0)),0)</f>
        <v>0</v>
      </c>
      <c r="V456" s="3">
        <f>IFERROR(INDEX(EVENTOS!$D:$D,MATCH(SCORE!V$2&amp;" "&amp;SCORE!$D456,EVENTOS!$F:$F,0)),0)</f>
        <v>0</v>
      </c>
      <c r="W456" s="3">
        <f>IFERROR(INDEX(EVENTOS!$D:$D,MATCH(SCORE!W$2&amp;" "&amp;SCORE!$D456,EVENTOS!$F:$F,0)),0)</f>
        <v>0</v>
      </c>
      <c r="X456" s="3">
        <f>IFERROR(INDEX(EVENTOS!$D:$D,MATCH(SCORE!X$2&amp;" "&amp;SCORE!$D456,EVENTOS!$F:$F,0)),0)</f>
        <v>0</v>
      </c>
      <c r="Y456" s="3">
        <f>SUMIFS(EVENTOS!$D:$D, EVENTOS!$B:$B, D456, EVENTOS!$E:$E, "*GirAlto*")</f>
        <v>0</v>
      </c>
      <c r="Z456" s="3">
        <f>SUMIFS(EVENTOS!$D:$D, EVENTOS!$B:$B, D456, EVENTOS!$E:$E, "*GirMed*")</f>
        <v>0</v>
      </c>
      <c r="AA456" s="3">
        <f>SUMIFS(EVENTOS!$D:$D, EVENTOS!$B:$B, D456, EVENTOS!$E:$E, "*GirBajo*")</f>
        <v>0</v>
      </c>
      <c r="AB456" s="3">
        <f>IFERROR(INDEX(EVENTOS!$D:$D,MATCH(SCORE!AB$2&amp;" "&amp;SCORE!$D456,EVENTOS!$F:$F,0)),0)</f>
        <v>0</v>
      </c>
      <c r="AC456" s="3">
        <f>IFERROR(INDEX(EVENTOS!$D:$D,MATCH(SCORE!AC$2&amp;" "&amp;SCORE!$D456,EVENTOS!$F:$F,0)),0)</f>
        <v>0</v>
      </c>
      <c r="AD456" s="3">
        <f>IFERROR(INDEX(EVENTOS!$D:$D,MATCH(SCORE!AD$2&amp;" "&amp;SCORE!$D456,EVENTOS!$F:$F,0)),0)</f>
        <v>0</v>
      </c>
      <c r="AE456" s="3">
        <f t="shared" si="21"/>
        <v>0</v>
      </c>
      <c r="AF456" s="10" t="e">
        <f t="shared" si="22"/>
        <v>#N/A</v>
      </c>
      <c r="AG456" s="3" t="str">
        <f t="shared" si="23"/>
        <v/>
      </c>
    </row>
    <row r="457" spans="1:33" x14ac:dyDescent="0.25">
      <c r="A457" s="7"/>
      <c r="B457" s="8"/>
      <c r="C457" s="3"/>
      <c r="D457" s="3"/>
      <c r="E457" s="3" t="e">
        <f>VLOOKUP(D457,VIAJES!$D:$E,2,FALSE)</f>
        <v>#N/A</v>
      </c>
      <c r="F457" s="9" t="e">
        <f>VLOOKUP(D457,VIAJES!$D:$F,3,FALSE)</f>
        <v>#N/A</v>
      </c>
      <c r="G457" s="9" t="e">
        <f>VLOOKUP(D457,VIAJES!$D:$G,4,FALSE)</f>
        <v>#N/A</v>
      </c>
      <c r="H457" s="3" t="e">
        <f>VLOOKUP(D457,VIAJES!$D:$H,5,FALSE)</f>
        <v>#N/A</v>
      </c>
      <c r="S457" s="3">
        <f>IFERROR(INDEX(EVENTOS!$D:$D,MATCH(SCORE!S$2&amp;" "&amp;SCORE!$D457,EVENTOS!$F:$F,0)),0)</f>
        <v>0</v>
      </c>
      <c r="T457" s="3">
        <f>IFERROR(INDEX(EVENTOS!$D:$D,MATCH(SCORE!T$2&amp;" "&amp;SCORE!$D457,EVENTOS!$F:$F,0)),0)</f>
        <v>0</v>
      </c>
      <c r="U457" s="3">
        <f>IFERROR(INDEX(EVENTOS!$D:$D,MATCH(SCORE!U$2&amp;" "&amp;SCORE!$D457,EVENTOS!$F:$F,0)),0)</f>
        <v>0</v>
      </c>
      <c r="V457" s="3">
        <f>IFERROR(INDEX(EVENTOS!$D:$D,MATCH(SCORE!V$2&amp;" "&amp;SCORE!$D457,EVENTOS!$F:$F,0)),0)</f>
        <v>0</v>
      </c>
      <c r="W457" s="3">
        <f>IFERROR(INDEX(EVENTOS!$D:$D,MATCH(SCORE!W$2&amp;" "&amp;SCORE!$D457,EVENTOS!$F:$F,0)),0)</f>
        <v>0</v>
      </c>
      <c r="X457" s="3">
        <f>IFERROR(INDEX(EVENTOS!$D:$D,MATCH(SCORE!X$2&amp;" "&amp;SCORE!$D457,EVENTOS!$F:$F,0)),0)</f>
        <v>0</v>
      </c>
      <c r="Y457" s="3">
        <f>SUMIFS(EVENTOS!$D:$D, EVENTOS!$B:$B, D457, EVENTOS!$E:$E, "*GirAlto*")</f>
        <v>0</v>
      </c>
      <c r="Z457" s="3">
        <f>SUMIFS(EVENTOS!$D:$D, EVENTOS!$B:$B, D457, EVENTOS!$E:$E, "*GirMed*")</f>
        <v>0</v>
      </c>
      <c r="AA457" s="3">
        <f>SUMIFS(EVENTOS!$D:$D, EVENTOS!$B:$B, D457, EVENTOS!$E:$E, "*GirBajo*")</f>
        <v>0</v>
      </c>
      <c r="AB457" s="3">
        <f>IFERROR(INDEX(EVENTOS!$D:$D,MATCH(SCORE!AB$2&amp;" "&amp;SCORE!$D457,EVENTOS!$F:$F,0)),0)</f>
        <v>0</v>
      </c>
      <c r="AC457" s="3">
        <f>IFERROR(INDEX(EVENTOS!$D:$D,MATCH(SCORE!AC$2&amp;" "&amp;SCORE!$D457,EVENTOS!$F:$F,0)),0)</f>
        <v>0</v>
      </c>
      <c r="AD457" s="3">
        <f>IFERROR(INDEX(EVENTOS!$D:$D,MATCH(SCORE!AD$2&amp;" "&amp;SCORE!$D457,EVENTOS!$F:$F,0)),0)</f>
        <v>0</v>
      </c>
      <c r="AE457" s="3">
        <f t="shared" si="21"/>
        <v>0</v>
      </c>
      <c r="AF457" s="10" t="e">
        <f t="shared" si="22"/>
        <v>#N/A</v>
      </c>
      <c r="AG457" s="3" t="str">
        <f t="shared" si="23"/>
        <v/>
      </c>
    </row>
    <row r="458" spans="1:33" x14ac:dyDescent="0.25">
      <c r="A458" s="7"/>
      <c r="B458" s="8"/>
      <c r="C458" s="3"/>
      <c r="D458" s="3"/>
      <c r="E458" s="3" t="e">
        <f>VLOOKUP(D458,VIAJES!$D:$E,2,FALSE)</f>
        <v>#N/A</v>
      </c>
      <c r="F458" s="9" t="e">
        <f>VLOOKUP(D458,VIAJES!$D:$F,3,FALSE)</f>
        <v>#N/A</v>
      </c>
      <c r="G458" s="9" t="e">
        <f>VLOOKUP(D458,VIAJES!$D:$G,4,FALSE)</f>
        <v>#N/A</v>
      </c>
      <c r="H458" s="3" t="e">
        <f>VLOOKUP(D458,VIAJES!$D:$H,5,FALSE)</f>
        <v>#N/A</v>
      </c>
      <c r="S458" s="3">
        <f>IFERROR(INDEX(EVENTOS!$D:$D,MATCH(SCORE!S$2&amp;" "&amp;SCORE!$D458,EVENTOS!$F:$F,0)),0)</f>
        <v>0</v>
      </c>
      <c r="T458" s="3">
        <f>IFERROR(INDEX(EVENTOS!$D:$D,MATCH(SCORE!T$2&amp;" "&amp;SCORE!$D458,EVENTOS!$F:$F,0)),0)</f>
        <v>0</v>
      </c>
      <c r="U458" s="3">
        <f>IFERROR(INDEX(EVENTOS!$D:$D,MATCH(SCORE!U$2&amp;" "&amp;SCORE!$D458,EVENTOS!$F:$F,0)),0)</f>
        <v>0</v>
      </c>
      <c r="V458" s="3">
        <f>IFERROR(INDEX(EVENTOS!$D:$D,MATCH(SCORE!V$2&amp;" "&amp;SCORE!$D458,EVENTOS!$F:$F,0)),0)</f>
        <v>0</v>
      </c>
      <c r="W458" s="3">
        <f>IFERROR(INDEX(EVENTOS!$D:$D,MATCH(SCORE!W$2&amp;" "&amp;SCORE!$D458,EVENTOS!$F:$F,0)),0)</f>
        <v>0</v>
      </c>
      <c r="X458" s="3">
        <f>IFERROR(INDEX(EVENTOS!$D:$D,MATCH(SCORE!X$2&amp;" "&amp;SCORE!$D458,EVENTOS!$F:$F,0)),0)</f>
        <v>0</v>
      </c>
      <c r="Y458" s="3">
        <f>SUMIFS(EVENTOS!$D:$D, EVENTOS!$B:$B, D458, EVENTOS!$E:$E, "*GirAlto*")</f>
        <v>0</v>
      </c>
      <c r="Z458" s="3">
        <f>SUMIFS(EVENTOS!$D:$D, EVENTOS!$B:$B, D458, EVENTOS!$E:$E, "*GirMed*")</f>
        <v>0</v>
      </c>
      <c r="AA458" s="3">
        <f>SUMIFS(EVENTOS!$D:$D, EVENTOS!$B:$B, D458, EVENTOS!$E:$E, "*GirBajo*")</f>
        <v>0</v>
      </c>
      <c r="AB458" s="3">
        <f>IFERROR(INDEX(EVENTOS!$D:$D,MATCH(SCORE!AB$2&amp;" "&amp;SCORE!$D458,EVENTOS!$F:$F,0)),0)</f>
        <v>0</v>
      </c>
      <c r="AC458" s="3">
        <f>IFERROR(INDEX(EVENTOS!$D:$D,MATCH(SCORE!AC$2&amp;" "&amp;SCORE!$D458,EVENTOS!$F:$F,0)),0)</f>
        <v>0</v>
      </c>
      <c r="AD458" s="3">
        <f>IFERROR(INDEX(EVENTOS!$D:$D,MATCH(SCORE!AD$2&amp;" "&amp;SCORE!$D458,EVENTOS!$F:$F,0)),0)</f>
        <v>0</v>
      </c>
      <c r="AE458" s="3">
        <f t="shared" si="21"/>
        <v>0</v>
      </c>
      <c r="AF458" s="10" t="e">
        <f t="shared" si="22"/>
        <v>#N/A</v>
      </c>
      <c r="AG458" s="3" t="str">
        <f t="shared" si="23"/>
        <v/>
      </c>
    </row>
    <row r="459" spans="1:33" x14ac:dyDescent="0.25">
      <c r="A459" s="7"/>
      <c r="B459" s="8"/>
      <c r="C459" s="3"/>
      <c r="D459" s="3"/>
      <c r="E459" s="3" t="e">
        <f>VLOOKUP(D459,VIAJES!$D:$E,2,FALSE)</f>
        <v>#N/A</v>
      </c>
      <c r="F459" s="9" t="e">
        <f>VLOOKUP(D459,VIAJES!$D:$F,3,FALSE)</f>
        <v>#N/A</v>
      </c>
      <c r="G459" s="9" t="e">
        <f>VLOOKUP(D459,VIAJES!$D:$G,4,FALSE)</f>
        <v>#N/A</v>
      </c>
      <c r="H459" s="3" t="e">
        <f>VLOOKUP(D459,VIAJES!$D:$H,5,FALSE)</f>
        <v>#N/A</v>
      </c>
      <c r="S459" s="3">
        <f>IFERROR(INDEX(EVENTOS!$D:$D,MATCH(SCORE!S$2&amp;" "&amp;SCORE!$D459,EVENTOS!$F:$F,0)),0)</f>
        <v>0</v>
      </c>
      <c r="T459" s="3">
        <f>IFERROR(INDEX(EVENTOS!$D:$D,MATCH(SCORE!T$2&amp;" "&amp;SCORE!$D459,EVENTOS!$F:$F,0)),0)</f>
        <v>0</v>
      </c>
      <c r="U459" s="3">
        <f>IFERROR(INDEX(EVENTOS!$D:$D,MATCH(SCORE!U$2&amp;" "&amp;SCORE!$D459,EVENTOS!$F:$F,0)),0)</f>
        <v>0</v>
      </c>
      <c r="V459" s="3">
        <f>IFERROR(INDEX(EVENTOS!$D:$D,MATCH(SCORE!V$2&amp;" "&amp;SCORE!$D459,EVENTOS!$F:$F,0)),0)</f>
        <v>0</v>
      </c>
      <c r="W459" s="3">
        <f>IFERROR(INDEX(EVENTOS!$D:$D,MATCH(SCORE!W$2&amp;" "&amp;SCORE!$D459,EVENTOS!$F:$F,0)),0)</f>
        <v>0</v>
      </c>
      <c r="X459" s="3">
        <f>IFERROR(INDEX(EVENTOS!$D:$D,MATCH(SCORE!X$2&amp;" "&amp;SCORE!$D459,EVENTOS!$F:$F,0)),0)</f>
        <v>0</v>
      </c>
      <c r="Y459" s="3">
        <f>SUMIFS(EVENTOS!$D:$D, EVENTOS!$B:$B, D459, EVENTOS!$E:$E, "*GirAlto*")</f>
        <v>0</v>
      </c>
      <c r="Z459" s="3">
        <f>SUMIFS(EVENTOS!$D:$D, EVENTOS!$B:$B, D459, EVENTOS!$E:$E, "*GirMed*")</f>
        <v>0</v>
      </c>
      <c r="AA459" s="3">
        <f>SUMIFS(EVENTOS!$D:$D, EVENTOS!$B:$B, D459, EVENTOS!$E:$E, "*GirBajo*")</f>
        <v>0</v>
      </c>
      <c r="AB459" s="3">
        <f>IFERROR(INDEX(EVENTOS!$D:$D,MATCH(SCORE!AB$2&amp;" "&amp;SCORE!$D459,EVENTOS!$F:$F,0)),0)</f>
        <v>0</v>
      </c>
      <c r="AC459" s="3">
        <f>IFERROR(INDEX(EVENTOS!$D:$D,MATCH(SCORE!AC$2&amp;" "&amp;SCORE!$D459,EVENTOS!$F:$F,0)),0)</f>
        <v>0</v>
      </c>
      <c r="AD459" s="3">
        <f>IFERROR(INDEX(EVENTOS!$D:$D,MATCH(SCORE!AD$2&amp;" "&amp;SCORE!$D459,EVENTOS!$F:$F,0)),0)</f>
        <v>0</v>
      </c>
      <c r="AE459" s="3">
        <f t="shared" si="21"/>
        <v>0</v>
      </c>
      <c r="AF459" s="10" t="e">
        <f t="shared" si="22"/>
        <v>#N/A</v>
      </c>
      <c r="AG459" s="3" t="str">
        <f t="shared" si="23"/>
        <v/>
      </c>
    </row>
    <row r="460" spans="1:33" x14ac:dyDescent="0.25">
      <c r="A460" s="7"/>
      <c r="B460" s="8"/>
      <c r="C460" s="3"/>
      <c r="D460" s="3"/>
      <c r="E460" s="3" t="e">
        <f>VLOOKUP(D460,VIAJES!$D:$E,2,FALSE)</f>
        <v>#N/A</v>
      </c>
      <c r="F460" s="9" t="e">
        <f>VLOOKUP(D460,VIAJES!$D:$F,3,FALSE)</f>
        <v>#N/A</v>
      </c>
      <c r="G460" s="9" t="e">
        <f>VLOOKUP(D460,VIAJES!$D:$G,4,FALSE)</f>
        <v>#N/A</v>
      </c>
      <c r="H460" s="3" t="e">
        <f>VLOOKUP(D460,VIAJES!$D:$H,5,FALSE)</f>
        <v>#N/A</v>
      </c>
      <c r="S460" s="3">
        <f>IFERROR(INDEX(EVENTOS!$D:$D,MATCH(SCORE!S$2&amp;" "&amp;SCORE!$D460,EVENTOS!$F:$F,0)),0)</f>
        <v>0</v>
      </c>
      <c r="T460" s="3">
        <f>IFERROR(INDEX(EVENTOS!$D:$D,MATCH(SCORE!T$2&amp;" "&amp;SCORE!$D460,EVENTOS!$F:$F,0)),0)</f>
        <v>0</v>
      </c>
      <c r="U460" s="3">
        <f>IFERROR(INDEX(EVENTOS!$D:$D,MATCH(SCORE!U$2&amp;" "&amp;SCORE!$D460,EVENTOS!$F:$F,0)),0)</f>
        <v>0</v>
      </c>
      <c r="V460" s="3">
        <f>IFERROR(INDEX(EVENTOS!$D:$D,MATCH(SCORE!V$2&amp;" "&amp;SCORE!$D460,EVENTOS!$F:$F,0)),0)</f>
        <v>0</v>
      </c>
      <c r="W460" s="3">
        <f>IFERROR(INDEX(EVENTOS!$D:$D,MATCH(SCORE!W$2&amp;" "&amp;SCORE!$D460,EVENTOS!$F:$F,0)),0)</f>
        <v>0</v>
      </c>
      <c r="X460" s="3">
        <f>IFERROR(INDEX(EVENTOS!$D:$D,MATCH(SCORE!X$2&amp;" "&amp;SCORE!$D460,EVENTOS!$F:$F,0)),0)</f>
        <v>0</v>
      </c>
      <c r="Y460" s="3">
        <f>SUMIFS(EVENTOS!$D:$D, EVENTOS!$B:$B, D460, EVENTOS!$E:$E, "*GirAlto*")</f>
        <v>0</v>
      </c>
      <c r="Z460" s="3">
        <f>SUMIFS(EVENTOS!$D:$D, EVENTOS!$B:$B, D460, EVENTOS!$E:$E, "*GirMed*")</f>
        <v>0</v>
      </c>
      <c r="AA460" s="3">
        <f>SUMIFS(EVENTOS!$D:$D, EVENTOS!$B:$B, D460, EVENTOS!$E:$E, "*GirBajo*")</f>
        <v>0</v>
      </c>
      <c r="AB460" s="3">
        <f>IFERROR(INDEX(EVENTOS!$D:$D,MATCH(SCORE!AB$2&amp;" "&amp;SCORE!$D460,EVENTOS!$F:$F,0)),0)</f>
        <v>0</v>
      </c>
      <c r="AC460" s="3">
        <f>IFERROR(INDEX(EVENTOS!$D:$D,MATCH(SCORE!AC$2&amp;" "&amp;SCORE!$D460,EVENTOS!$F:$F,0)),0)</f>
        <v>0</v>
      </c>
      <c r="AD460" s="3">
        <f>IFERROR(INDEX(EVENTOS!$D:$D,MATCH(SCORE!AD$2&amp;" "&amp;SCORE!$D460,EVENTOS!$F:$F,0)),0)</f>
        <v>0</v>
      </c>
      <c r="AE460" s="3">
        <f t="shared" si="21"/>
        <v>0</v>
      </c>
      <c r="AF460" s="10" t="e">
        <f t="shared" si="22"/>
        <v>#N/A</v>
      </c>
      <c r="AG460" s="3" t="str">
        <f t="shared" si="23"/>
        <v/>
      </c>
    </row>
    <row r="461" spans="1:33" x14ac:dyDescent="0.25">
      <c r="A461" s="7"/>
      <c r="B461" s="8"/>
      <c r="C461" s="3"/>
      <c r="D461" s="3"/>
      <c r="E461" s="3" t="e">
        <f>VLOOKUP(D461,VIAJES!$D:$E,2,FALSE)</f>
        <v>#N/A</v>
      </c>
      <c r="F461" s="9" t="e">
        <f>VLOOKUP(D461,VIAJES!$D:$F,3,FALSE)</f>
        <v>#N/A</v>
      </c>
      <c r="G461" s="9" t="e">
        <f>VLOOKUP(D461,VIAJES!$D:$G,4,FALSE)</f>
        <v>#N/A</v>
      </c>
      <c r="H461" s="3" t="e">
        <f>VLOOKUP(D461,VIAJES!$D:$H,5,FALSE)</f>
        <v>#N/A</v>
      </c>
      <c r="S461" s="3">
        <f>IFERROR(INDEX(EVENTOS!$D:$D,MATCH(SCORE!S$2&amp;" "&amp;SCORE!$D461,EVENTOS!$F:$F,0)),0)</f>
        <v>0</v>
      </c>
      <c r="T461" s="3">
        <f>IFERROR(INDEX(EVENTOS!$D:$D,MATCH(SCORE!T$2&amp;" "&amp;SCORE!$D461,EVENTOS!$F:$F,0)),0)</f>
        <v>0</v>
      </c>
      <c r="U461" s="3">
        <f>IFERROR(INDEX(EVENTOS!$D:$D,MATCH(SCORE!U$2&amp;" "&amp;SCORE!$D461,EVENTOS!$F:$F,0)),0)</f>
        <v>0</v>
      </c>
      <c r="V461" s="3">
        <f>IFERROR(INDEX(EVENTOS!$D:$D,MATCH(SCORE!V$2&amp;" "&amp;SCORE!$D461,EVENTOS!$F:$F,0)),0)</f>
        <v>0</v>
      </c>
      <c r="W461" s="3">
        <f>IFERROR(INDEX(EVENTOS!$D:$D,MATCH(SCORE!W$2&amp;" "&amp;SCORE!$D461,EVENTOS!$F:$F,0)),0)</f>
        <v>0</v>
      </c>
      <c r="X461" s="3">
        <f>IFERROR(INDEX(EVENTOS!$D:$D,MATCH(SCORE!X$2&amp;" "&amp;SCORE!$D461,EVENTOS!$F:$F,0)),0)</f>
        <v>0</v>
      </c>
      <c r="Y461" s="3">
        <f>SUMIFS(EVENTOS!$D:$D, EVENTOS!$B:$B, D461, EVENTOS!$E:$E, "*GirAlto*")</f>
        <v>0</v>
      </c>
      <c r="Z461" s="3">
        <f>SUMIFS(EVENTOS!$D:$D, EVENTOS!$B:$B, D461, EVENTOS!$E:$E, "*GirMed*")</f>
        <v>0</v>
      </c>
      <c r="AA461" s="3">
        <f>SUMIFS(EVENTOS!$D:$D, EVENTOS!$B:$B, D461, EVENTOS!$E:$E, "*GirBajo*")</f>
        <v>0</v>
      </c>
      <c r="AB461" s="3">
        <f>IFERROR(INDEX(EVENTOS!$D:$D,MATCH(SCORE!AB$2&amp;" "&amp;SCORE!$D461,EVENTOS!$F:$F,0)),0)</f>
        <v>0</v>
      </c>
      <c r="AC461" s="3">
        <f>IFERROR(INDEX(EVENTOS!$D:$D,MATCH(SCORE!AC$2&amp;" "&amp;SCORE!$D461,EVENTOS!$F:$F,0)),0)</f>
        <v>0</v>
      </c>
      <c r="AD461" s="3">
        <f>IFERROR(INDEX(EVENTOS!$D:$D,MATCH(SCORE!AD$2&amp;" "&amp;SCORE!$D461,EVENTOS!$F:$F,0)),0)</f>
        <v>0</v>
      </c>
      <c r="AE461" s="3">
        <f t="shared" si="21"/>
        <v>0</v>
      </c>
      <c r="AF461" s="10" t="e">
        <f t="shared" si="22"/>
        <v>#N/A</v>
      </c>
      <c r="AG461" s="3" t="str">
        <f t="shared" si="23"/>
        <v/>
      </c>
    </row>
    <row r="462" spans="1:33" x14ac:dyDescent="0.25">
      <c r="A462" s="7"/>
      <c r="B462" s="8"/>
      <c r="C462" s="3"/>
      <c r="D462" s="3"/>
      <c r="E462" s="3" t="e">
        <f>VLOOKUP(D462,VIAJES!$D:$E,2,FALSE)</f>
        <v>#N/A</v>
      </c>
      <c r="F462" s="9" t="e">
        <f>VLOOKUP(D462,VIAJES!$D:$F,3,FALSE)</f>
        <v>#N/A</v>
      </c>
      <c r="G462" s="9" t="e">
        <f>VLOOKUP(D462,VIAJES!$D:$G,4,FALSE)</f>
        <v>#N/A</v>
      </c>
      <c r="H462" s="3" t="e">
        <f>VLOOKUP(D462,VIAJES!$D:$H,5,FALSE)</f>
        <v>#N/A</v>
      </c>
      <c r="S462" s="3">
        <f>IFERROR(INDEX(EVENTOS!$D:$D,MATCH(SCORE!S$2&amp;" "&amp;SCORE!$D462,EVENTOS!$F:$F,0)),0)</f>
        <v>0</v>
      </c>
      <c r="T462" s="3">
        <f>IFERROR(INDEX(EVENTOS!$D:$D,MATCH(SCORE!T$2&amp;" "&amp;SCORE!$D462,EVENTOS!$F:$F,0)),0)</f>
        <v>0</v>
      </c>
      <c r="U462" s="3">
        <f>IFERROR(INDEX(EVENTOS!$D:$D,MATCH(SCORE!U$2&amp;" "&amp;SCORE!$D462,EVENTOS!$F:$F,0)),0)</f>
        <v>0</v>
      </c>
      <c r="V462" s="3">
        <f>IFERROR(INDEX(EVENTOS!$D:$D,MATCH(SCORE!V$2&amp;" "&amp;SCORE!$D462,EVENTOS!$F:$F,0)),0)</f>
        <v>0</v>
      </c>
      <c r="W462" s="3">
        <f>IFERROR(INDEX(EVENTOS!$D:$D,MATCH(SCORE!W$2&amp;" "&amp;SCORE!$D462,EVENTOS!$F:$F,0)),0)</f>
        <v>0</v>
      </c>
      <c r="X462" s="3">
        <f>IFERROR(INDEX(EVENTOS!$D:$D,MATCH(SCORE!X$2&amp;" "&amp;SCORE!$D462,EVENTOS!$F:$F,0)),0)</f>
        <v>0</v>
      </c>
      <c r="Y462" s="3">
        <f>SUMIFS(EVENTOS!$D:$D, EVENTOS!$B:$B, D462, EVENTOS!$E:$E, "*GirAlto*")</f>
        <v>0</v>
      </c>
      <c r="Z462" s="3">
        <f>SUMIFS(EVENTOS!$D:$D, EVENTOS!$B:$B, D462, EVENTOS!$E:$E, "*GirMed*")</f>
        <v>0</v>
      </c>
      <c r="AA462" s="3">
        <f>SUMIFS(EVENTOS!$D:$D, EVENTOS!$B:$B, D462, EVENTOS!$E:$E, "*GirBajo*")</f>
        <v>0</v>
      </c>
      <c r="AB462" s="3">
        <f>IFERROR(INDEX(EVENTOS!$D:$D,MATCH(SCORE!AB$2&amp;" "&amp;SCORE!$D462,EVENTOS!$F:$F,0)),0)</f>
        <v>0</v>
      </c>
      <c r="AC462" s="3">
        <f>IFERROR(INDEX(EVENTOS!$D:$D,MATCH(SCORE!AC$2&amp;" "&amp;SCORE!$D462,EVENTOS!$F:$F,0)),0)</f>
        <v>0</v>
      </c>
      <c r="AD462" s="3">
        <f>IFERROR(INDEX(EVENTOS!$D:$D,MATCH(SCORE!AD$2&amp;" "&amp;SCORE!$D462,EVENTOS!$F:$F,0)),0)</f>
        <v>0</v>
      </c>
      <c r="AE462" s="3">
        <f t="shared" si="21"/>
        <v>0</v>
      </c>
      <c r="AF462" s="10" t="e">
        <f t="shared" si="22"/>
        <v>#N/A</v>
      </c>
      <c r="AG462" s="3" t="str">
        <f t="shared" si="23"/>
        <v/>
      </c>
    </row>
    <row r="463" spans="1:33" x14ac:dyDescent="0.25">
      <c r="A463" s="7"/>
      <c r="B463" s="8"/>
      <c r="C463" s="3"/>
      <c r="D463" s="3"/>
      <c r="E463" s="3" t="e">
        <f>VLOOKUP(D463,VIAJES!$D:$E,2,FALSE)</f>
        <v>#N/A</v>
      </c>
      <c r="F463" s="9" t="e">
        <f>VLOOKUP(D463,VIAJES!$D:$F,3,FALSE)</f>
        <v>#N/A</v>
      </c>
      <c r="G463" s="9" t="e">
        <f>VLOOKUP(D463,VIAJES!$D:$G,4,FALSE)</f>
        <v>#N/A</v>
      </c>
      <c r="H463" s="3" t="e">
        <f>VLOOKUP(D463,VIAJES!$D:$H,5,FALSE)</f>
        <v>#N/A</v>
      </c>
      <c r="S463" s="3">
        <f>IFERROR(INDEX(EVENTOS!$D:$D,MATCH(SCORE!S$2&amp;" "&amp;SCORE!$D463,EVENTOS!$F:$F,0)),0)</f>
        <v>0</v>
      </c>
      <c r="T463" s="3">
        <f>IFERROR(INDEX(EVENTOS!$D:$D,MATCH(SCORE!T$2&amp;" "&amp;SCORE!$D463,EVENTOS!$F:$F,0)),0)</f>
        <v>0</v>
      </c>
      <c r="U463" s="3">
        <f>IFERROR(INDEX(EVENTOS!$D:$D,MATCH(SCORE!U$2&amp;" "&amp;SCORE!$D463,EVENTOS!$F:$F,0)),0)</f>
        <v>0</v>
      </c>
      <c r="V463" s="3">
        <f>IFERROR(INDEX(EVENTOS!$D:$D,MATCH(SCORE!V$2&amp;" "&amp;SCORE!$D463,EVENTOS!$F:$F,0)),0)</f>
        <v>0</v>
      </c>
      <c r="W463" s="3">
        <f>IFERROR(INDEX(EVENTOS!$D:$D,MATCH(SCORE!W$2&amp;" "&amp;SCORE!$D463,EVENTOS!$F:$F,0)),0)</f>
        <v>0</v>
      </c>
      <c r="X463" s="3">
        <f>IFERROR(INDEX(EVENTOS!$D:$D,MATCH(SCORE!X$2&amp;" "&amp;SCORE!$D463,EVENTOS!$F:$F,0)),0)</f>
        <v>0</v>
      </c>
      <c r="Y463" s="3">
        <f>SUMIFS(EVENTOS!$D:$D, EVENTOS!$B:$B, D463, EVENTOS!$E:$E, "*GirAlto*")</f>
        <v>0</v>
      </c>
      <c r="Z463" s="3">
        <f>SUMIFS(EVENTOS!$D:$D, EVENTOS!$B:$B, D463, EVENTOS!$E:$E, "*GirMed*")</f>
        <v>0</v>
      </c>
      <c r="AA463" s="3">
        <f>SUMIFS(EVENTOS!$D:$D, EVENTOS!$B:$B, D463, EVENTOS!$E:$E, "*GirBajo*")</f>
        <v>0</v>
      </c>
      <c r="AB463" s="3">
        <f>IFERROR(INDEX(EVENTOS!$D:$D,MATCH(SCORE!AB$2&amp;" "&amp;SCORE!$D463,EVENTOS!$F:$F,0)),0)</f>
        <v>0</v>
      </c>
      <c r="AC463" s="3">
        <f>IFERROR(INDEX(EVENTOS!$D:$D,MATCH(SCORE!AC$2&amp;" "&amp;SCORE!$D463,EVENTOS!$F:$F,0)),0)</f>
        <v>0</v>
      </c>
      <c r="AD463" s="3">
        <f>IFERROR(INDEX(EVENTOS!$D:$D,MATCH(SCORE!AD$2&amp;" "&amp;SCORE!$D463,EVENTOS!$F:$F,0)),0)</f>
        <v>0</v>
      </c>
      <c r="AE463" s="3">
        <f t="shared" si="21"/>
        <v>0</v>
      </c>
      <c r="AF463" s="10" t="e">
        <f t="shared" si="22"/>
        <v>#N/A</v>
      </c>
      <c r="AG463" s="3" t="str">
        <f t="shared" si="23"/>
        <v/>
      </c>
    </row>
    <row r="464" spans="1:33" x14ac:dyDescent="0.25">
      <c r="A464" s="7"/>
      <c r="B464" s="8"/>
      <c r="C464" s="3"/>
      <c r="D464" s="3"/>
      <c r="E464" s="3" t="e">
        <f>VLOOKUP(D464,VIAJES!$D:$E,2,FALSE)</f>
        <v>#N/A</v>
      </c>
      <c r="F464" s="9" t="e">
        <f>VLOOKUP(D464,VIAJES!$D:$F,3,FALSE)</f>
        <v>#N/A</v>
      </c>
      <c r="G464" s="9" t="e">
        <f>VLOOKUP(D464,VIAJES!$D:$G,4,FALSE)</f>
        <v>#N/A</v>
      </c>
      <c r="H464" s="3" t="e">
        <f>VLOOKUP(D464,VIAJES!$D:$H,5,FALSE)</f>
        <v>#N/A</v>
      </c>
      <c r="S464" s="3">
        <f>IFERROR(INDEX(EVENTOS!$D:$D,MATCH(SCORE!S$2&amp;" "&amp;SCORE!$D464,EVENTOS!$F:$F,0)),0)</f>
        <v>0</v>
      </c>
      <c r="T464" s="3">
        <f>IFERROR(INDEX(EVENTOS!$D:$D,MATCH(SCORE!T$2&amp;" "&amp;SCORE!$D464,EVENTOS!$F:$F,0)),0)</f>
        <v>0</v>
      </c>
      <c r="U464" s="3">
        <f>IFERROR(INDEX(EVENTOS!$D:$D,MATCH(SCORE!U$2&amp;" "&amp;SCORE!$D464,EVENTOS!$F:$F,0)),0)</f>
        <v>0</v>
      </c>
      <c r="V464" s="3">
        <f>IFERROR(INDEX(EVENTOS!$D:$D,MATCH(SCORE!V$2&amp;" "&amp;SCORE!$D464,EVENTOS!$F:$F,0)),0)</f>
        <v>0</v>
      </c>
      <c r="W464" s="3">
        <f>IFERROR(INDEX(EVENTOS!$D:$D,MATCH(SCORE!W$2&amp;" "&amp;SCORE!$D464,EVENTOS!$F:$F,0)),0)</f>
        <v>0</v>
      </c>
      <c r="X464" s="3">
        <f>IFERROR(INDEX(EVENTOS!$D:$D,MATCH(SCORE!X$2&amp;" "&amp;SCORE!$D464,EVENTOS!$F:$F,0)),0)</f>
        <v>0</v>
      </c>
      <c r="Y464" s="3">
        <f>SUMIFS(EVENTOS!$D:$D, EVENTOS!$B:$B, D464, EVENTOS!$E:$E, "*GirAlto*")</f>
        <v>0</v>
      </c>
      <c r="Z464" s="3">
        <f>SUMIFS(EVENTOS!$D:$D, EVENTOS!$B:$B, D464, EVENTOS!$E:$E, "*GirMed*")</f>
        <v>0</v>
      </c>
      <c r="AA464" s="3">
        <f>SUMIFS(EVENTOS!$D:$D, EVENTOS!$B:$B, D464, EVENTOS!$E:$E, "*GirBajo*")</f>
        <v>0</v>
      </c>
      <c r="AB464" s="3">
        <f>IFERROR(INDEX(EVENTOS!$D:$D,MATCH(SCORE!AB$2&amp;" "&amp;SCORE!$D464,EVENTOS!$F:$F,0)),0)</f>
        <v>0</v>
      </c>
      <c r="AC464" s="3">
        <f>IFERROR(INDEX(EVENTOS!$D:$D,MATCH(SCORE!AC$2&amp;" "&amp;SCORE!$D464,EVENTOS!$F:$F,0)),0)</f>
        <v>0</v>
      </c>
      <c r="AD464" s="3">
        <f>IFERROR(INDEX(EVENTOS!$D:$D,MATCH(SCORE!AD$2&amp;" "&amp;SCORE!$D464,EVENTOS!$F:$F,0)),0)</f>
        <v>0</v>
      </c>
      <c r="AE464" s="3">
        <f t="shared" si="21"/>
        <v>0</v>
      </c>
      <c r="AF464" s="10" t="e">
        <f t="shared" si="22"/>
        <v>#N/A</v>
      </c>
      <c r="AG464" s="3" t="str">
        <f t="shared" si="23"/>
        <v/>
      </c>
    </row>
    <row r="465" spans="1:33" x14ac:dyDescent="0.25">
      <c r="A465" s="7"/>
      <c r="B465" s="8"/>
      <c r="C465" s="3"/>
      <c r="D465" s="3"/>
      <c r="E465" s="3" t="e">
        <f>VLOOKUP(D465,VIAJES!$D:$E,2,FALSE)</f>
        <v>#N/A</v>
      </c>
      <c r="F465" s="9" t="e">
        <f>VLOOKUP(D465,VIAJES!$D:$F,3,FALSE)</f>
        <v>#N/A</v>
      </c>
      <c r="G465" s="9" t="e">
        <f>VLOOKUP(D465,VIAJES!$D:$G,4,FALSE)</f>
        <v>#N/A</v>
      </c>
      <c r="H465" s="3" t="e">
        <f>VLOOKUP(D465,VIAJES!$D:$H,5,FALSE)</f>
        <v>#N/A</v>
      </c>
      <c r="S465" s="3">
        <f>IFERROR(INDEX(EVENTOS!$D:$D,MATCH(SCORE!S$2&amp;" "&amp;SCORE!$D465,EVENTOS!$F:$F,0)),0)</f>
        <v>0</v>
      </c>
      <c r="T465" s="3">
        <f>IFERROR(INDEX(EVENTOS!$D:$D,MATCH(SCORE!T$2&amp;" "&amp;SCORE!$D465,EVENTOS!$F:$F,0)),0)</f>
        <v>0</v>
      </c>
      <c r="U465" s="3">
        <f>IFERROR(INDEX(EVENTOS!$D:$D,MATCH(SCORE!U$2&amp;" "&amp;SCORE!$D465,EVENTOS!$F:$F,0)),0)</f>
        <v>0</v>
      </c>
      <c r="V465" s="3">
        <f>IFERROR(INDEX(EVENTOS!$D:$D,MATCH(SCORE!V$2&amp;" "&amp;SCORE!$D465,EVENTOS!$F:$F,0)),0)</f>
        <v>0</v>
      </c>
      <c r="W465" s="3">
        <f>IFERROR(INDEX(EVENTOS!$D:$D,MATCH(SCORE!W$2&amp;" "&amp;SCORE!$D465,EVENTOS!$F:$F,0)),0)</f>
        <v>0</v>
      </c>
      <c r="X465" s="3">
        <f>IFERROR(INDEX(EVENTOS!$D:$D,MATCH(SCORE!X$2&amp;" "&amp;SCORE!$D465,EVENTOS!$F:$F,0)),0)</f>
        <v>0</v>
      </c>
      <c r="Y465" s="3">
        <f>SUMIFS(EVENTOS!$D:$D, EVENTOS!$B:$B, D465, EVENTOS!$E:$E, "*GirAlto*")</f>
        <v>0</v>
      </c>
      <c r="Z465" s="3">
        <f>SUMIFS(EVENTOS!$D:$D, EVENTOS!$B:$B, D465, EVENTOS!$E:$E, "*GirMed*")</f>
        <v>0</v>
      </c>
      <c r="AA465" s="3">
        <f>SUMIFS(EVENTOS!$D:$D, EVENTOS!$B:$B, D465, EVENTOS!$E:$E, "*GirBajo*")</f>
        <v>0</v>
      </c>
      <c r="AB465" s="3">
        <f>IFERROR(INDEX(EVENTOS!$D:$D,MATCH(SCORE!AB$2&amp;" "&amp;SCORE!$D465,EVENTOS!$F:$F,0)),0)</f>
        <v>0</v>
      </c>
      <c r="AC465" s="3">
        <f>IFERROR(INDEX(EVENTOS!$D:$D,MATCH(SCORE!AC$2&amp;" "&amp;SCORE!$D465,EVENTOS!$F:$F,0)),0)</f>
        <v>0</v>
      </c>
      <c r="AD465" s="3">
        <f>IFERROR(INDEX(EVENTOS!$D:$D,MATCH(SCORE!AD$2&amp;" "&amp;SCORE!$D465,EVENTOS!$F:$F,0)),0)</f>
        <v>0</v>
      </c>
      <c r="AE465" s="3">
        <f t="shared" si="21"/>
        <v>0</v>
      </c>
      <c r="AF465" s="10" t="e">
        <f t="shared" si="22"/>
        <v>#N/A</v>
      </c>
      <c r="AG465" s="3" t="str">
        <f t="shared" si="23"/>
        <v/>
      </c>
    </row>
    <row r="466" spans="1:33" x14ac:dyDescent="0.25">
      <c r="A466" s="7"/>
      <c r="B466" s="8"/>
      <c r="C466" s="3"/>
      <c r="D466" s="3"/>
      <c r="E466" s="3" t="e">
        <f>VLOOKUP(D466,VIAJES!$D:$E,2,FALSE)</f>
        <v>#N/A</v>
      </c>
      <c r="F466" s="9" t="e">
        <f>VLOOKUP(D466,VIAJES!$D:$F,3,FALSE)</f>
        <v>#N/A</v>
      </c>
      <c r="G466" s="9" t="e">
        <f>VLOOKUP(D466,VIAJES!$D:$G,4,FALSE)</f>
        <v>#N/A</v>
      </c>
      <c r="H466" s="3" t="e">
        <f>VLOOKUP(D466,VIAJES!$D:$H,5,FALSE)</f>
        <v>#N/A</v>
      </c>
      <c r="S466" s="3">
        <f>IFERROR(INDEX(EVENTOS!$D:$D,MATCH(SCORE!S$2&amp;" "&amp;SCORE!$D466,EVENTOS!$F:$F,0)),0)</f>
        <v>0</v>
      </c>
      <c r="T466" s="3">
        <f>IFERROR(INDEX(EVENTOS!$D:$D,MATCH(SCORE!T$2&amp;" "&amp;SCORE!$D466,EVENTOS!$F:$F,0)),0)</f>
        <v>0</v>
      </c>
      <c r="U466" s="3">
        <f>IFERROR(INDEX(EVENTOS!$D:$D,MATCH(SCORE!U$2&amp;" "&amp;SCORE!$D466,EVENTOS!$F:$F,0)),0)</f>
        <v>0</v>
      </c>
      <c r="V466" s="3">
        <f>IFERROR(INDEX(EVENTOS!$D:$D,MATCH(SCORE!V$2&amp;" "&amp;SCORE!$D466,EVENTOS!$F:$F,0)),0)</f>
        <v>0</v>
      </c>
      <c r="W466" s="3">
        <f>IFERROR(INDEX(EVENTOS!$D:$D,MATCH(SCORE!W$2&amp;" "&amp;SCORE!$D466,EVENTOS!$F:$F,0)),0)</f>
        <v>0</v>
      </c>
      <c r="X466" s="3">
        <f>IFERROR(INDEX(EVENTOS!$D:$D,MATCH(SCORE!X$2&amp;" "&amp;SCORE!$D466,EVENTOS!$F:$F,0)),0)</f>
        <v>0</v>
      </c>
      <c r="Y466" s="3">
        <f>SUMIFS(EVENTOS!$D:$D, EVENTOS!$B:$B, D466, EVENTOS!$E:$E, "*GirAlto*")</f>
        <v>0</v>
      </c>
      <c r="Z466" s="3">
        <f>SUMIFS(EVENTOS!$D:$D, EVENTOS!$B:$B, D466, EVENTOS!$E:$E, "*GirMed*")</f>
        <v>0</v>
      </c>
      <c r="AA466" s="3">
        <f>SUMIFS(EVENTOS!$D:$D, EVENTOS!$B:$B, D466, EVENTOS!$E:$E, "*GirBajo*")</f>
        <v>0</v>
      </c>
      <c r="AB466" s="3">
        <f>IFERROR(INDEX(EVENTOS!$D:$D,MATCH(SCORE!AB$2&amp;" "&amp;SCORE!$D466,EVENTOS!$F:$F,0)),0)</f>
        <v>0</v>
      </c>
      <c r="AC466" s="3">
        <f>IFERROR(INDEX(EVENTOS!$D:$D,MATCH(SCORE!AC$2&amp;" "&amp;SCORE!$D466,EVENTOS!$F:$F,0)),0)</f>
        <v>0</v>
      </c>
      <c r="AD466" s="3">
        <f>IFERROR(INDEX(EVENTOS!$D:$D,MATCH(SCORE!AD$2&amp;" "&amp;SCORE!$D466,EVENTOS!$F:$F,0)),0)</f>
        <v>0</v>
      </c>
      <c r="AE466" s="3">
        <f t="shared" si="21"/>
        <v>0</v>
      </c>
      <c r="AF466" s="10" t="e">
        <f t="shared" si="22"/>
        <v>#N/A</v>
      </c>
      <c r="AG466" s="3" t="str">
        <f t="shared" si="23"/>
        <v/>
      </c>
    </row>
    <row r="467" spans="1:33" x14ac:dyDescent="0.25">
      <c r="A467" s="7"/>
      <c r="B467" s="8"/>
      <c r="C467" s="3"/>
      <c r="D467" s="3"/>
      <c r="E467" s="3" t="e">
        <f>VLOOKUP(D467,VIAJES!$D:$E,2,FALSE)</f>
        <v>#N/A</v>
      </c>
      <c r="F467" s="9" t="e">
        <f>VLOOKUP(D467,VIAJES!$D:$F,3,FALSE)</f>
        <v>#N/A</v>
      </c>
      <c r="G467" s="9" t="e">
        <f>VLOOKUP(D467,VIAJES!$D:$G,4,FALSE)</f>
        <v>#N/A</v>
      </c>
      <c r="H467" s="3" t="e">
        <f>VLOOKUP(D467,VIAJES!$D:$H,5,FALSE)</f>
        <v>#N/A</v>
      </c>
      <c r="S467" s="3">
        <f>IFERROR(INDEX(EVENTOS!$D:$D,MATCH(SCORE!S$2&amp;" "&amp;SCORE!$D467,EVENTOS!$F:$F,0)),0)</f>
        <v>0</v>
      </c>
      <c r="T467" s="3">
        <f>IFERROR(INDEX(EVENTOS!$D:$D,MATCH(SCORE!T$2&amp;" "&amp;SCORE!$D467,EVENTOS!$F:$F,0)),0)</f>
        <v>0</v>
      </c>
      <c r="U467" s="3">
        <f>IFERROR(INDEX(EVENTOS!$D:$D,MATCH(SCORE!U$2&amp;" "&amp;SCORE!$D467,EVENTOS!$F:$F,0)),0)</f>
        <v>0</v>
      </c>
      <c r="V467" s="3">
        <f>IFERROR(INDEX(EVENTOS!$D:$D,MATCH(SCORE!V$2&amp;" "&amp;SCORE!$D467,EVENTOS!$F:$F,0)),0)</f>
        <v>0</v>
      </c>
      <c r="W467" s="3">
        <f>IFERROR(INDEX(EVENTOS!$D:$D,MATCH(SCORE!W$2&amp;" "&amp;SCORE!$D467,EVENTOS!$F:$F,0)),0)</f>
        <v>0</v>
      </c>
      <c r="X467" s="3">
        <f>IFERROR(INDEX(EVENTOS!$D:$D,MATCH(SCORE!X$2&amp;" "&amp;SCORE!$D467,EVENTOS!$F:$F,0)),0)</f>
        <v>0</v>
      </c>
      <c r="Y467" s="3">
        <f>SUMIFS(EVENTOS!$D:$D, EVENTOS!$B:$B, D467, EVENTOS!$E:$E, "*GirAlto*")</f>
        <v>0</v>
      </c>
      <c r="Z467" s="3">
        <f>SUMIFS(EVENTOS!$D:$D, EVENTOS!$B:$B, D467, EVENTOS!$E:$E, "*GirMed*")</f>
        <v>0</v>
      </c>
      <c r="AA467" s="3">
        <f>SUMIFS(EVENTOS!$D:$D, EVENTOS!$B:$B, D467, EVENTOS!$E:$E, "*GirBajo*")</f>
        <v>0</v>
      </c>
      <c r="AB467" s="3">
        <f>IFERROR(INDEX(EVENTOS!$D:$D,MATCH(SCORE!AB$2&amp;" "&amp;SCORE!$D467,EVENTOS!$F:$F,0)),0)</f>
        <v>0</v>
      </c>
      <c r="AC467" s="3">
        <f>IFERROR(INDEX(EVENTOS!$D:$D,MATCH(SCORE!AC$2&amp;" "&amp;SCORE!$D467,EVENTOS!$F:$F,0)),0)</f>
        <v>0</v>
      </c>
      <c r="AD467" s="3">
        <f>IFERROR(INDEX(EVENTOS!$D:$D,MATCH(SCORE!AD$2&amp;" "&amp;SCORE!$D467,EVENTOS!$F:$F,0)),0)</f>
        <v>0</v>
      </c>
      <c r="AE467" s="3">
        <f t="shared" si="21"/>
        <v>0</v>
      </c>
      <c r="AF467" s="10" t="e">
        <f t="shared" si="22"/>
        <v>#N/A</v>
      </c>
      <c r="AG467" s="3" t="str">
        <f t="shared" si="23"/>
        <v/>
      </c>
    </row>
    <row r="468" spans="1:33" x14ac:dyDescent="0.25">
      <c r="A468" s="7"/>
      <c r="B468" s="8"/>
      <c r="C468" s="3"/>
      <c r="D468" s="3"/>
      <c r="E468" s="3" t="e">
        <f>VLOOKUP(D468,VIAJES!$D:$E,2,FALSE)</f>
        <v>#N/A</v>
      </c>
      <c r="F468" s="9" t="e">
        <f>VLOOKUP(D468,VIAJES!$D:$F,3,FALSE)</f>
        <v>#N/A</v>
      </c>
      <c r="G468" s="9" t="e">
        <f>VLOOKUP(D468,VIAJES!$D:$G,4,FALSE)</f>
        <v>#N/A</v>
      </c>
      <c r="H468" s="3" t="e">
        <f>VLOOKUP(D468,VIAJES!$D:$H,5,FALSE)</f>
        <v>#N/A</v>
      </c>
      <c r="S468" s="3">
        <f>IFERROR(INDEX(EVENTOS!$D:$D,MATCH(SCORE!S$2&amp;" "&amp;SCORE!$D468,EVENTOS!$F:$F,0)),0)</f>
        <v>0</v>
      </c>
      <c r="T468" s="3">
        <f>IFERROR(INDEX(EVENTOS!$D:$D,MATCH(SCORE!T$2&amp;" "&amp;SCORE!$D468,EVENTOS!$F:$F,0)),0)</f>
        <v>0</v>
      </c>
      <c r="U468" s="3">
        <f>IFERROR(INDEX(EVENTOS!$D:$D,MATCH(SCORE!U$2&amp;" "&amp;SCORE!$D468,EVENTOS!$F:$F,0)),0)</f>
        <v>0</v>
      </c>
      <c r="V468" s="3">
        <f>IFERROR(INDEX(EVENTOS!$D:$D,MATCH(SCORE!V$2&amp;" "&amp;SCORE!$D468,EVENTOS!$F:$F,0)),0)</f>
        <v>0</v>
      </c>
      <c r="W468" s="3">
        <f>IFERROR(INDEX(EVENTOS!$D:$D,MATCH(SCORE!W$2&amp;" "&amp;SCORE!$D468,EVENTOS!$F:$F,0)),0)</f>
        <v>0</v>
      </c>
      <c r="X468" s="3">
        <f>IFERROR(INDEX(EVENTOS!$D:$D,MATCH(SCORE!X$2&amp;" "&amp;SCORE!$D468,EVENTOS!$F:$F,0)),0)</f>
        <v>0</v>
      </c>
      <c r="Y468" s="3">
        <f>SUMIFS(EVENTOS!$D:$D, EVENTOS!$B:$B, D468, EVENTOS!$E:$E, "*GirAlto*")</f>
        <v>0</v>
      </c>
      <c r="Z468" s="3">
        <f>SUMIFS(EVENTOS!$D:$D, EVENTOS!$B:$B, D468, EVENTOS!$E:$E, "*GirMed*")</f>
        <v>0</v>
      </c>
      <c r="AA468" s="3">
        <f>SUMIFS(EVENTOS!$D:$D, EVENTOS!$B:$B, D468, EVENTOS!$E:$E, "*GirBajo*")</f>
        <v>0</v>
      </c>
      <c r="AB468" s="3">
        <f>IFERROR(INDEX(EVENTOS!$D:$D,MATCH(SCORE!AB$2&amp;" "&amp;SCORE!$D468,EVENTOS!$F:$F,0)),0)</f>
        <v>0</v>
      </c>
      <c r="AC468" s="3">
        <f>IFERROR(INDEX(EVENTOS!$D:$D,MATCH(SCORE!AC$2&amp;" "&amp;SCORE!$D468,EVENTOS!$F:$F,0)),0)</f>
        <v>0</v>
      </c>
      <c r="AD468" s="3">
        <f>IFERROR(INDEX(EVENTOS!$D:$D,MATCH(SCORE!AD$2&amp;" "&amp;SCORE!$D468,EVENTOS!$F:$F,0)),0)</f>
        <v>0</v>
      </c>
      <c r="AE468" s="3">
        <f t="shared" si="21"/>
        <v>0</v>
      </c>
      <c r="AF468" s="10" t="e">
        <f t="shared" si="22"/>
        <v>#N/A</v>
      </c>
      <c r="AG468" s="3" t="str">
        <f t="shared" si="23"/>
        <v/>
      </c>
    </row>
    <row r="469" spans="1:33" x14ac:dyDescent="0.25">
      <c r="A469" s="7"/>
      <c r="B469" s="8"/>
      <c r="C469" s="3"/>
      <c r="D469" s="3"/>
      <c r="E469" s="3" t="e">
        <f>VLOOKUP(D469,VIAJES!$D:$E,2,FALSE)</f>
        <v>#N/A</v>
      </c>
      <c r="F469" s="9" t="e">
        <f>VLOOKUP(D469,VIAJES!$D:$F,3,FALSE)</f>
        <v>#N/A</v>
      </c>
      <c r="G469" s="9" t="e">
        <f>VLOOKUP(D469,VIAJES!$D:$G,4,FALSE)</f>
        <v>#N/A</v>
      </c>
      <c r="H469" s="3" t="e">
        <f>VLOOKUP(D469,VIAJES!$D:$H,5,FALSE)</f>
        <v>#N/A</v>
      </c>
      <c r="S469" s="3">
        <f>IFERROR(INDEX(EVENTOS!$D:$D,MATCH(SCORE!S$2&amp;" "&amp;SCORE!$D469,EVENTOS!$F:$F,0)),0)</f>
        <v>0</v>
      </c>
      <c r="T469" s="3">
        <f>IFERROR(INDEX(EVENTOS!$D:$D,MATCH(SCORE!T$2&amp;" "&amp;SCORE!$D469,EVENTOS!$F:$F,0)),0)</f>
        <v>0</v>
      </c>
      <c r="U469" s="3">
        <f>IFERROR(INDEX(EVENTOS!$D:$D,MATCH(SCORE!U$2&amp;" "&amp;SCORE!$D469,EVENTOS!$F:$F,0)),0)</f>
        <v>0</v>
      </c>
      <c r="V469" s="3">
        <f>IFERROR(INDEX(EVENTOS!$D:$D,MATCH(SCORE!V$2&amp;" "&amp;SCORE!$D469,EVENTOS!$F:$F,0)),0)</f>
        <v>0</v>
      </c>
      <c r="W469" s="3">
        <f>IFERROR(INDEX(EVENTOS!$D:$D,MATCH(SCORE!W$2&amp;" "&amp;SCORE!$D469,EVENTOS!$F:$F,0)),0)</f>
        <v>0</v>
      </c>
      <c r="X469" s="3">
        <f>IFERROR(INDEX(EVENTOS!$D:$D,MATCH(SCORE!X$2&amp;" "&amp;SCORE!$D469,EVENTOS!$F:$F,0)),0)</f>
        <v>0</v>
      </c>
      <c r="Y469" s="3">
        <f>SUMIFS(EVENTOS!$D:$D, EVENTOS!$B:$B, D469, EVENTOS!$E:$E, "*GirAlto*")</f>
        <v>0</v>
      </c>
      <c r="Z469" s="3">
        <f>SUMIFS(EVENTOS!$D:$D, EVENTOS!$B:$B, D469, EVENTOS!$E:$E, "*GirMed*")</f>
        <v>0</v>
      </c>
      <c r="AA469" s="3">
        <f>SUMIFS(EVENTOS!$D:$D, EVENTOS!$B:$B, D469, EVENTOS!$E:$E, "*GirBajo*")</f>
        <v>0</v>
      </c>
      <c r="AB469" s="3">
        <f>IFERROR(INDEX(EVENTOS!$D:$D,MATCH(SCORE!AB$2&amp;" "&amp;SCORE!$D469,EVENTOS!$F:$F,0)),0)</f>
        <v>0</v>
      </c>
      <c r="AC469" s="3">
        <f>IFERROR(INDEX(EVENTOS!$D:$D,MATCH(SCORE!AC$2&amp;" "&amp;SCORE!$D469,EVENTOS!$F:$F,0)),0)</f>
        <v>0</v>
      </c>
      <c r="AD469" s="3">
        <f>IFERROR(INDEX(EVENTOS!$D:$D,MATCH(SCORE!AD$2&amp;" "&amp;SCORE!$D469,EVENTOS!$F:$F,0)),0)</f>
        <v>0</v>
      </c>
      <c r="AE469" s="3">
        <f t="shared" si="21"/>
        <v>0</v>
      </c>
      <c r="AF469" s="10" t="e">
        <f t="shared" si="22"/>
        <v>#N/A</v>
      </c>
      <c r="AG469" s="3" t="str">
        <f t="shared" si="23"/>
        <v/>
      </c>
    </row>
    <row r="470" spans="1:33" x14ac:dyDescent="0.25">
      <c r="A470" s="7"/>
      <c r="B470" s="8"/>
      <c r="C470" s="3"/>
      <c r="D470" s="3"/>
      <c r="E470" s="3" t="e">
        <f>VLOOKUP(D470,VIAJES!$D:$E,2,FALSE)</f>
        <v>#N/A</v>
      </c>
      <c r="F470" s="9" t="e">
        <f>VLOOKUP(D470,VIAJES!$D:$F,3,FALSE)</f>
        <v>#N/A</v>
      </c>
      <c r="G470" s="9" t="e">
        <f>VLOOKUP(D470,VIAJES!$D:$G,4,FALSE)</f>
        <v>#N/A</v>
      </c>
      <c r="H470" s="3" t="e">
        <f>VLOOKUP(D470,VIAJES!$D:$H,5,FALSE)</f>
        <v>#N/A</v>
      </c>
      <c r="S470" s="3">
        <f>IFERROR(INDEX(EVENTOS!$D:$D,MATCH(SCORE!S$2&amp;" "&amp;SCORE!$D470,EVENTOS!$F:$F,0)),0)</f>
        <v>0</v>
      </c>
      <c r="T470" s="3">
        <f>IFERROR(INDEX(EVENTOS!$D:$D,MATCH(SCORE!T$2&amp;" "&amp;SCORE!$D470,EVENTOS!$F:$F,0)),0)</f>
        <v>0</v>
      </c>
      <c r="U470" s="3">
        <f>IFERROR(INDEX(EVENTOS!$D:$D,MATCH(SCORE!U$2&amp;" "&amp;SCORE!$D470,EVENTOS!$F:$F,0)),0)</f>
        <v>0</v>
      </c>
      <c r="V470" s="3">
        <f>IFERROR(INDEX(EVENTOS!$D:$D,MATCH(SCORE!V$2&amp;" "&amp;SCORE!$D470,EVENTOS!$F:$F,0)),0)</f>
        <v>0</v>
      </c>
      <c r="W470" s="3">
        <f>IFERROR(INDEX(EVENTOS!$D:$D,MATCH(SCORE!W$2&amp;" "&amp;SCORE!$D470,EVENTOS!$F:$F,0)),0)</f>
        <v>0</v>
      </c>
      <c r="X470" s="3">
        <f>IFERROR(INDEX(EVENTOS!$D:$D,MATCH(SCORE!X$2&amp;" "&amp;SCORE!$D470,EVENTOS!$F:$F,0)),0)</f>
        <v>0</v>
      </c>
      <c r="Y470" s="3">
        <f>SUMIFS(EVENTOS!$D:$D, EVENTOS!$B:$B, D470, EVENTOS!$E:$E, "*GirAlto*")</f>
        <v>0</v>
      </c>
      <c r="Z470" s="3">
        <f>SUMIFS(EVENTOS!$D:$D, EVENTOS!$B:$B, D470, EVENTOS!$E:$E, "*GirMed*")</f>
        <v>0</v>
      </c>
      <c r="AA470" s="3">
        <f>SUMIFS(EVENTOS!$D:$D, EVENTOS!$B:$B, D470, EVENTOS!$E:$E, "*GirBajo*")</f>
        <v>0</v>
      </c>
      <c r="AB470" s="3">
        <f>IFERROR(INDEX(EVENTOS!$D:$D,MATCH(SCORE!AB$2&amp;" "&amp;SCORE!$D470,EVENTOS!$F:$F,0)),0)</f>
        <v>0</v>
      </c>
      <c r="AC470" s="3">
        <f>IFERROR(INDEX(EVENTOS!$D:$D,MATCH(SCORE!AC$2&amp;" "&amp;SCORE!$D470,EVENTOS!$F:$F,0)),0)</f>
        <v>0</v>
      </c>
      <c r="AD470" s="3">
        <f>IFERROR(INDEX(EVENTOS!$D:$D,MATCH(SCORE!AD$2&amp;" "&amp;SCORE!$D470,EVENTOS!$F:$F,0)),0)</f>
        <v>0</v>
      </c>
      <c r="AE470" s="3">
        <f t="shared" si="21"/>
        <v>0</v>
      </c>
      <c r="AF470" s="10" t="e">
        <f t="shared" si="22"/>
        <v>#N/A</v>
      </c>
      <c r="AG470" s="3" t="str">
        <f t="shared" si="23"/>
        <v/>
      </c>
    </row>
    <row r="471" spans="1:33" x14ac:dyDescent="0.25">
      <c r="A471" s="7"/>
      <c r="B471" s="8"/>
      <c r="C471" s="3"/>
      <c r="D471" s="3"/>
      <c r="E471" s="3" t="e">
        <f>VLOOKUP(D471,VIAJES!$D:$E,2,FALSE)</f>
        <v>#N/A</v>
      </c>
      <c r="F471" s="9" t="e">
        <f>VLOOKUP(D471,VIAJES!$D:$F,3,FALSE)</f>
        <v>#N/A</v>
      </c>
      <c r="G471" s="9" t="e">
        <f>VLOOKUP(D471,VIAJES!$D:$G,4,FALSE)</f>
        <v>#N/A</v>
      </c>
      <c r="H471" s="3" t="e">
        <f>VLOOKUP(D471,VIAJES!$D:$H,5,FALSE)</f>
        <v>#N/A</v>
      </c>
      <c r="S471" s="3">
        <f>IFERROR(INDEX(EVENTOS!$D:$D,MATCH(SCORE!S$2&amp;" "&amp;SCORE!$D471,EVENTOS!$F:$F,0)),0)</f>
        <v>0</v>
      </c>
      <c r="T471" s="3">
        <f>IFERROR(INDEX(EVENTOS!$D:$D,MATCH(SCORE!T$2&amp;" "&amp;SCORE!$D471,EVENTOS!$F:$F,0)),0)</f>
        <v>0</v>
      </c>
      <c r="U471" s="3">
        <f>IFERROR(INDEX(EVENTOS!$D:$D,MATCH(SCORE!U$2&amp;" "&amp;SCORE!$D471,EVENTOS!$F:$F,0)),0)</f>
        <v>0</v>
      </c>
      <c r="V471" s="3">
        <f>IFERROR(INDEX(EVENTOS!$D:$D,MATCH(SCORE!V$2&amp;" "&amp;SCORE!$D471,EVENTOS!$F:$F,0)),0)</f>
        <v>0</v>
      </c>
      <c r="W471" s="3">
        <f>IFERROR(INDEX(EVENTOS!$D:$D,MATCH(SCORE!W$2&amp;" "&amp;SCORE!$D471,EVENTOS!$F:$F,0)),0)</f>
        <v>0</v>
      </c>
      <c r="X471" s="3">
        <f>IFERROR(INDEX(EVENTOS!$D:$D,MATCH(SCORE!X$2&amp;" "&amp;SCORE!$D471,EVENTOS!$F:$F,0)),0)</f>
        <v>0</v>
      </c>
      <c r="Y471" s="3">
        <f>SUMIFS(EVENTOS!$D:$D, EVENTOS!$B:$B, D471, EVENTOS!$E:$E, "*GirAlto*")</f>
        <v>0</v>
      </c>
      <c r="Z471" s="3">
        <f>SUMIFS(EVENTOS!$D:$D, EVENTOS!$B:$B, D471, EVENTOS!$E:$E, "*GirMed*")</f>
        <v>0</v>
      </c>
      <c r="AA471" s="3">
        <f>SUMIFS(EVENTOS!$D:$D, EVENTOS!$B:$B, D471, EVENTOS!$E:$E, "*GirBajo*")</f>
        <v>0</v>
      </c>
      <c r="AB471" s="3">
        <f>IFERROR(INDEX(EVENTOS!$D:$D,MATCH(SCORE!AB$2&amp;" "&amp;SCORE!$D471,EVENTOS!$F:$F,0)),0)</f>
        <v>0</v>
      </c>
      <c r="AC471" s="3">
        <f>IFERROR(INDEX(EVENTOS!$D:$D,MATCH(SCORE!AC$2&amp;" "&amp;SCORE!$D471,EVENTOS!$F:$F,0)),0)</f>
        <v>0</v>
      </c>
      <c r="AD471" s="3">
        <f>IFERROR(INDEX(EVENTOS!$D:$D,MATCH(SCORE!AD$2&amp;" "&amp;SCORE!$D471,EVENTOS!$F:$F,0)),0)</f>
        <v>0</v>
      </c>
      <c r="AE471" s="3">
        <f t="shared" si="21"/>
        <v>0</v>
      </c>
      <c r="AF471" s="10" t="e">
        <f t="shared" si="22"/>
        <v>#N/A</v>
      </c>
      <c r="AG471" s="3" t="str">
        <f t="shared" si="23"/>
        <v/>
      </c>
    </row>
    <row r="472" spans="1:33" x14ac:dyDescent="0.25">
      <c r="A472" s="7"/>
      <c r="B472" s="8"/>
      <c r="C472" s="3"/>
      <c r="D472" s="3"/>
      <c r="E472" s="3" t="e">
        <f>VLOOKUP(D472,VIAJES!$D:$E,2,FALSE)</f>
        <v>#N/A</v>
      </c>
      <c r="F472" s="9" t="e">
        <f>VLOOKUP(D472,VIAJES!$D:$F,3,FALSE)</f>
        <v>#N/A</v>
      </c>
      <c r="G472" s="9" t="e">
        <f>VLOOKUP(D472,VIAJES!$D:$G,4,FALSE)</f>
        <v>#N/A</v>
      </c>
      <c r="H472" s="3" t="e">
        <f>VLOOKUP(D472,VIAJES!$D:$H,5,FALSE)</f>
        <v>#N/A</v>
      </c>
      <c r="S472" s="3">
        <f>IFERROR(INDEX(EVENTOS!$D:$D,MATCH(SCORE!S$2&amp;" "&amp;SCORE!$D472,EVENTOS!$F:$F,0)),0)</f>
        <v>0</v>
      </c>
      <c r="T472" s="3">
        <f>IFERROR(INDEX(EVENTOS!$D:$D,MATCH(SCORE!T$2&amp;" "&amp;SCORE!$D472,EVENTOS!$F:$F,0)),0)</f>
        <v>0</v>
      </c>
      <c r="U472" s="3">
        <f>IFERROR(INDEX(EVENTOS!$D:$D,MATCH(SCORE!U$2&amp;" "&amp;SCORE!$D472,EVENTOS!$F:$F,0)),0)</f>
        <v>0</v>
      </c>
      <c r="V472" s="3">
        <f>IFERROR(INDEX(EVENTOS!$D:$D,MATCH(SCORE!V$2&amp;" "&amp;SCORE!$D472,EVENTOS!$F:$F,0)),0)</f>
        <v>0</v>
      </c>
      <c r="W472" s="3">
        <f>IFERROR(INDEX(EVENTOS!$D:$D,MATCH(SCORE!W$2&amp;" "&amp;SCORE!$D472,EVENTOS!$F:$F,0)),0)</f>
        <v>0</v>
      </c>
      <c r="X472" s="3">
        <f>IFERROR(INDEX(EVENTOS!$D:$D,MATCH(SCORE!X$2&amp;" "&amp;SCORE!$D472,EVENTOS!$F:$F,0)),0)</f>
        <v>0</v>
      </c>
      <c r="Y472" s="3">
        <f>SUMIFS(EVENTOS!$D:$D, EVENTOS!$B:$B, D472, EVENTOS!$E:$E, "*GirAlto*")</f>
        <v>0</v>
      </c>
      <c r="Z472" s="3">
        <f>SUMIFS(EVENTOS!$D:$D, EVENTOS!$B:$B, D472, EVENTOS!$E:$E, "*GirMed*")</f>
        <v>0</v>
      </c>
      <c r="AA472" s="3">
        <f>SUMIFS(EVENTOS!$D:$D, EVENTOS!$B:$B, D472, EVENTOS!$E:$E, "*GirBajo*")</f>
        <v>0</v>
      </c>
      <c r="AB472" s="3">
        <f>IFERROR(INDEX(EVENTOS!$D:$D,MATCH(SCORE!AB$2&amp;" "&amp;SCORE!$D472,EVENTOS!$F:$F,0)),0)</f>
        <v>0</v>
      </c>
      <c r="AC472" s="3">
        <f>IFERROR(INDEX(EVENTOS!$D:$D,MATCH(SCORE!AC$2&amp;" "&amp;SCORE!$D472,EVENTOS!$F:$F,0)),0)</f>
        <v>0</v>
      </c>
      <c r="AD472" s="3">
        <f>IFERROR(INDEX(EVENTOS!$D:$D,MATCH(SCORE!AD$2&amp;" "&amp;SCORE!$D472,EVENTOS!$F:$F,0)),0)</f>
        <v>0</v>
      </c>
      <c r="AE472" s="3">
        <f t="shared" si="21"/>
        <v>0</v>
      </c>
      <c r="AF472" s="10" t="e">
        <f t="shared" si="22"/>
        <v>#N/A</v>
      </c>
      <c r="AG472" s="3" t="str">
        <f t="shared" si="23"/>
        <v/>
      </c>
    </row>
    <row r="473" spans="1:33" x14ac:dyDescent="0.25">
      <c r="A473" s="7"/>
      <c r="B473" s="8"/>
      <c r="C473" s="3"/>
      <c r="D473" s="3"/>
      <c r="E473" s="3" t="e">
        <f>VLOOKUP(D473,VIAJES!$D:$E,2,FALSE)</f>
        <v>#N/A</v>
      </c>
      <c r="F473" s="9" t="e">
        <f>VLOOKUP(D473,VIAJES!$D:$F,3,FALSE)</f>
        <v>#N/A</v>
      </c>
      <c r="G473" s="9" t="e">
        <f>VLOOKUP(D473,VIAJES!$D:$G,4,FALSE)</f>
        <v>#N/A</v>
      </c>
      <c r="H473" s="3" t="e">
        <f>VLOOKUP(D473,VIAJES!$D:$H,5,FALSE)</f>
        <v>#N/A</v>
      </c>
      <c r="S473" s="3">
        <f>IFERROR(INDEX(EVENTOS!$D:$D,MATCH(SCORE!S$2&amp;" "&amp;SCORE!$D473,EVENTOS!$F:$F,0)),0)</f>
        <v>0</v>
      </c>
      <c r="T473" s="3">
        <f>IFERROR(INDEX(EVENTOS!$D:$D,MATCH(SCORE!T$2&amp;" "&amp;SCORE!$D473,EVENTOS!$F:$F,0)),0)</f>
        <v>0</v>
      </c>
      <c r="U473" s="3">
        <f>IFERROR(INDEX(EVENTOS!$D:$D,MATCH(SCORE!U$2&amp;" "&amp;SCORE!$D473,EVENTOS!$F:$F,0)),0)</f>
        <v>0</v>
      </c>
      <c r="V473" s="3">
        <f>IFERROR(INDEX(EVENTOS!$D:$D,MATCH(SCORE!V$2&amp;" "&amp;SCORE!$D473,EVENTOS!$F:$F,0)),0)</f>
        <v>0</v>
      </c>
      <c r="W473" s="3">
        <f>IFERROR(INDEX(EVENTOS!$D:$D,MATCH(SCORE!W$2&amp;" "&amp;SCORE!$D473,EVENTOS!$F:$F,0)),0)</f>
        <v>0</v>
      </c>
      <c r="X473" s="3">
        <f>IFERROR(INDEX(EVENTOS!$D:$D,MATCH(SCORE!X$2&amp;" "&amp;SCORE!$D473,EVENTOS!$F:$F,0)),0)</f>
        <v>0</v>
      </c>
      <c r="Y473" s="3">
        <f>SUMIFS(EVENTOS!$D:$D, EVENTOS!$B:$B, D473, EVENTOS!$E:$E, "*GirAlto*")</f>
        <v>0</v>
      </c>
      <c r="Z473" s="3">
        <f>SUMIFS(EVENTOS!$D:$D, EVENTOS!$B:$B, D473, EVENTOS!$E:$E, "*GirMed*")</f>
        <v>0</v>
      </c>
      <c r="AA473" s="3">
        <f>SUMIFS(EVENTOS!$D:$D, EVENTOS!$B:$B, D473, EVENTOS!$E:$E, "*GirBajo*")</f>
        <v>0</v>
      </c>
      <c r="AB473" s="3">
        <f>IFERROR(INDEX(EVENTOS!$D:$D,MATCH(SCORE!AB$2&amp;" "&amp;SCORE!$D473,EVENTOS!$F:$F,0)),0)</f>
        <v>0</v>
      </c>
      <c r="AC473" s="3">
        <f>IFERROR(INDEX(EVENTOS!$D:$D,MATCH(SCORE!AC$2&amp;" "&amp;SCORE!$D473,EVENTOS!$F:$F,0)),0)</f>
        <v>0</v>
      </c>
      <c r="AD473" s="3">
        <f>IFERROR(INDEX(EVENTOS!$D:$D,MATCH(SCORE!AD$2&amp;" "&amp;SCORE!$D473,EVENTOS!$F:$F,0)),0)</f>
        <v>0</v>
      </c>
      <c r="AE473" s="3">
        <f t="shared" si="21"/>
        <v>0</v>
      </c>
      <c r="AF473" s="10" t="e">
        <f t="shared" si="22"/>
        <v>#N/A</v>
      </c>
      <c r="AG473" s="3" t="str">
        <f t="shared" si="23"/>
        <v/>
      </c>
    </row>
    <row r="474" spans="1:33" x14ac:dyDescent="0.25">
      <c r="A474" s="7"/>
      <c r="B474" s="8"/>
      <c r="C474" s="3"/>
      <c r="D474" s="3"/>
      <c r="E474" s="3" t="e">
        <f>VLOOKUP(D474,VIAJES!$D:$E,2,FALSE)</f>
        <v>#N/A</v>
      </c>
      <c r="F474" s="9" t="e">
        <f>VLOOKUP(D474,VIAJES!$D:$F,3,FALSE)</f>
        <v>#N/A</v>
      </c>
      <c r="G474" s="9" t="e">
        <f>VLOOKUP(D474,VIAJES!$D:$G,4,FALSE)</f>
        <v>#N/A</v>
      </c>
      <c r="H474" s="3" t="e">
        <f>VLOOKUP(D474,VIAJES!$D:$H,5,FALSE)</f>
        <v>#N/A</v>
      </c>
      <c r="S474" s="3">
        <f>IFERROR(INDEX(EVENTOS!$D:$D,MATCH(SCORE!S$2&amp;" "&amp;SCORE!$D474,EVENTOS!$F:$F,0)),0)</f>
        <v>0</v>
      </c>
      <c r="T474" s="3">
        <f>IFERROR(INDEX(EVENTOS!$D:$D,MATCH(SCORE!T$2&amp;" "&amp;SCORE!$D474,EVENTOS!$F:$F,0)),0)</f>
        <v>0</v>
      </c>
      <c r="U474" s="3">
        <f>IFERROR(INDEX(EVENTOS!$D:$D,MATCH(SCORE!U$2&amp;" "&amp;SCORE!$D474,EVENTOS!$F:$F,0)),0)</f>
        <v>0</v>
      </c>
      <c r="V474" s="3">
        <f>IFERROR(INDEX(EVENTOS!$D:$D,MATCH(SCORE!V$2&amp;" "&amp;SCORE!$D474,EVENTOS!$F:$F,0)),0)</f>
        <v>0</v>
      </c>
      <c r="W474" s="3">
        <f>IFERROR(INDEX(EVENTOS!$D:$D,MATCH(SCORE!W$2&amp;" "&amp;SCORE!$D474,EVENTOS!$F:$F,0)),0)</f>
        <v>0</v>
      </c>
      <c r="X474" s="3">
        <f>IFERROR(INDEX(EVENTOS!$D:$D,MATCH(SCORE!X$2&amp;" "&amp;SCORE!$D474,EVENTOS!$F:$F,0)),0)</f>
        <v>0</v>
      </c>
      <c r="Y474" s="3">
        <f>SUMIFS(EVENTOS!$D:$D, EVENTOS!$B:$B, D474, EVENTOS!$E:$E, "*GirAlto*")</f>
        <v>0</v>
      </c>
      <c r="Z474" s="3">
        <f>SUMIFS(EVENTOS!$D:$D, EVENTOS!$B:$B, D474, EVENTOS!$E:$E, "*GirMed*")</f>
        <v>0</v>
      </c>
      <c r="AA474" s="3">
        <f>SUMIFS(EVENTOS!$D:$D, EVENTOS!$B:$B, D474, EVENTOS!$E:$E, "*GirBajo*")</f>
        <v>0</v>
      </c>
      <c r="AB474" s="3">
        <f>IFERROR(INDEX(EVENTOS!$D:$D,MATCH(SCORE!AB$2&amp;" "&amp;SCORE!$D474,EVENTOS!$F:$F,0)),0)</f>
        <v>0</v>
      </c>
      <c r="AC474" s="3">
        <f>IFERROR(INDEX(EVENTOS!$D:$D,MATCH(SCORE!AC$2&amp;" "&amp;SCORE!$D474,EVENTOS!$F:$F,0)),0)</f>
        <v>0</v>
      </c>
      <c r="AD474" s="3">
        <f>IFERROR(INDEX(EVENTOS!$D:$D,MATCH(SCORE!AD$2&amp;" "&amp;SCORE!$D474,EVENTOS!$F:$F,0)),0)</f>
        <v>0</v>
      </c>
      <c r="AE474" s="3">
        <f t="shared" si="21"/>
        <v>0</v>
      </c>
      <c r="AF474" s="10" t="e">
        <f t="shared" si="22"/>
        <v>#N/A</v>
      </c>
      <c r="AG474" s="3" t="str">
        <f t="shared" si="23"/>
        <v/>
      </c>
    </row>
    <row r="475" spans="1:33" x14ac:dyDescent="0.25">
      <c r="A475" s="7"/>
      <c r="B475" s="8"/>
      <c r="C475" s="3"/>
      <c r="D475" s="3"/>
      <c r="E475" s="3" t="e">
        <f>VLOOKUP(D475,VIAJES!$D:$E,2,FALSE)</f>
        <v>#N/A</v>
      </c>
      <c r="F475" s="9" t="e">
        <f>VLOOKUP(D475,VIAJES!$D:$F,3,FALSE)</f>
        <v>#N/A</v>
      </c>
      <c r="G475" s="9" t="e">
        <f>VLOOKUP(D475,VIAJES!$D:$G,4,FALSE)</f>
        <v>#N/A</v>
      </c>
      <c r="H475" s="3" t="e">
        <f>VLOOKUP(D475,VIAJES!$D:$H,5,FALSE)</f>
        <v>#N/A</v>
      </c>
      <c r="S475" s="3">
        <f>IFERROR(INDEX(EVENTOS!$D:$D,MATCH(SCORE!S$2&amp;" "&amp;SCORE!$D475,EVENTOS!$F:$F,0)),0)</f>
        <v>0</v>
      </c>
      <c r="T475" s="3">
        <f>IFERROR(INDEX(EVENTOS!$D:$D,MATCH(SCORE!T$2&amp;" "&amp;SCORE!$D475,EVENTOS!$F:$F,0)),0)</f>
        <v>0</v>
      </c>
      <c r="U475" s="3">
        <f>IFERROR(INDEX(EVENTOS!$D:$D,MATCH(SCORE!U$2&amp;" "&amp;SCORE!$D475,EVENTOS!$F:$F,0)),0)</f>
        <v>0</v>
      </c>
      <c r="V475" s="3">
        <f>IFERROR(INDEX(EVENTOS!$D:$D,MATCH(SCORE!V$2&amp;" "&amp;SCORE!$D475,EVENTOS!$F:$F,0)),0)</f>
        <v>0</v>
      </c>
      <c r="W475" s="3">
        <f>IFERROR(INDEX(EVENTOS!$D:$D,MATCH(SCORE!W$2&amp;" "&amp;SCORE!$D475,EVENTOS!$F:$F,0)),0)</f>
        <v>0</v>
      </c>
      <c r="X475" s="3">
        <f>IFERROR(INDEX(EVENTOS!$D:$D,MATCH(SCORE!X$2&amp;" "&amp;SCORE!$D475,EVENTOS!$F:$F,0)),0)</f>
        <v>0</v>
      </c>
      <c r="Y475" s="3">
        <f>SUMIFS(EVENTOS!$D:$D, EVENTOS!$B:$B, D475, EVENTOS!$E:$E, "*GirAlto*")</f>
        <v>0</v>
      </c>
      <c r="Z475" s="3">
        <f>SUMIFS(EVENTOS!$D:$D, EVENTOS!$B:$B, D475, EVENTOS!$E:$E, "*GirMed*")</f>
        <v>0</v>
      </c>
      <c r="AA475" s="3">
        <f>SUMIFS(EVENTOS!$D:$D, EVENTOS!$B:$B, D475, EVENTOS!$E:$E, "*GirBajo*")</f>
        <v>0</v>
      </c>
      <c r="AB475" s="3">
        <f>IFERROR(INDEX(EVENTOS!$D:$D,MATCH(SCORE!AB$2&amp;" "&amp;SCORE!$D475,EVENTOS!$F:$F,0)),0)</f>
        <v>0</v>
      </c>
      <c r="AC475" s="3">
        <f>IFERROR(INDEX(EVENTOS!$D:$D,MATCH(SCORE!AC$2&amp;" "&amp;SCORE!$D475,EVENTOS!$F:$F,0)),0)</f>
        <v>0</v>
      </c>
      <c r="AD475" s="3">
        <f>IFERROR(INDEX(EVENTOS!$D:$D,MATCH(SCORE!AD$2&amp;" "&amp;SCORE!$D475,EVENTOS!$F:$F,0)),0)</f>
        <v>0</v>
      </c>
      <c r="AE475" s="3">
        <f t="shared" si="21"/>
        <v>0</v>
      </c>
      <c r="AF475" s="10" t="e">
        <f t="shared" si="22"/>
        <v>#N/A</v>
      </c>
      <c r="AG475" s="3" t="str">
        <f t="shared" si="23"/>
        <v/>
      </c>
    </row>
    <row r="476" spans="1:33" x14ac:dyDescent="0.25">
      <c r="A476" s="7"/>
      <c r="B476" s="8"/>
      <c r="C476" s="3"/>
      <c r="D476" s="3"/>
      <c r="E476" s="3" t="e">
        <f>VLOOKUP(D476,VIAJES!$D:$E,2,FALSE)</f>
        <v>#N/A</v>
      </c>
      <c r="F476" s="9" t="e">
        <f>VLOOKUP(D476,VIAJES!$D:$F,3,FALSE)</f>
        <v>#N/A</v>
      </c>
      <c r="G476" s="9" t="e">
        <f>VLOOKUP(D476,VIAJES!$D:$G,4,FALSE)</f>
        <v>#N/A</v>
      </c>
      <c r="H476" s="3" t="e">
        <f>VLOOKUP(D476,VIAJES!$D:$H,5,FALSE)</f>
        <v>#N/A</v>
      </c>
      <c r="S476" s="3">
        <f>IFERROR(INDEX(EVENTOS!$D:$D,MATCH(SCORE!S$2&amp;" "&amp;SCORE!$D476,EVENTOS!$F:$F,0)),0)</f>
        <v>0</v>
      </c>
      <c r="T476" s="3">
        <f>IFERROR(INDEX(EVENTOS!$D:$D,MATCH(SCORE!T$2&amp;" "&amp;SCORE!$D476,EVENTOS!$F:$F,0)),0)</f>
        <v>0</v>
      </c>
      <c r="U476" s="3">
        <f>IFERROR(INDEX(EVENTOS!$D:$D,MATCH(SCORE!U$2&amp;" "&amp;SCORE!$D476,EVENTOS!$F:$F,0)),0)</f>
        <v>0</v>
      </c>
      <c r="V476" s="3">
        <f>IFERROR(INDEX(EVENTOS!$D:$D,MATCH(SCORE!V$2&amp;" "&amp;SCORE!$D476,EVENTOS!$F:$F,0)),0)</f>
        <v>0</v>
      </c>
      <c r="W476" s="3">
        <f>IFERROR(INDEX(EVENTOS!$D:$D,MATCH(SCORE!W$2&amp;" "&amp;SCORE!$D476,EVENTOS!$F:$F,0)),0)</f>
        <v>0</v>
      </c>
      <c r="X476" s="3">
        <f>IFERROR(INDEX(EVENTOS!$D:$D,MATCH(SCORE!X$2&amp;" "&amp;SCORE!$D476,EVENTOS!$F:$F,0)),0)</f>
        <v>0</v>
      </c>
      <c r="Y476" s="3">
        <f>SUMIFS(EVENTOS!$D:$D, EVENTOS!$B:$B, D476, EVENTOS!$E:$E, "*GirAlto*")</f>
        <v>0</v>
      </c>
      <c r="Z476" s="3">
        <f>SUMIFS(EVENTOS!$D:$D, EVENTOS!$B:$B, D476, EVENTOS!$E:$E, "*GirMed*")</f>
        <v>0</v>
      </c>
      <c r="AA476" s="3">
        <f>SUMIFS(EVENTOS!$D:$D, EVENTOS!$B:$B, D476, EVENTOS!$E:$E, "*GirBajo*")</f>
        <v>0</v>
      </c>
      <c r="AB476" s="3">
        <f>IFERROR(INDEX(EVENTOS!$D:$D,MATCH(SCORE!AB$2&amp;" "&amp;SCORE!$D476,EVENTOS!$F:$F,0)),0)</f>
        <v>0</v>
      </c>
      <c r="AC476" s="3">
        <f>IFERROR(INDEX(EVENTOS!$D:$D,MATCH(SCORE!AC$2&amp;" "&amp;SCORE!$D476,EVENTOS!$F:$F,0)),0)</f>
        <v>0</v>
      </c>
      <c r="AD476" s="3">
        <f>IFERROR(INDEX(EVENTOS!$D:$D,MATCH(SCORE!AD$2&amp;" "&amp;SCORE!$D476,EVENTOS!$F:$F,0)),0)</f>
        <v>0</v>
      </c>
      <c r="AE476" s="3">
        <f t="shared" si="21"/>
        <v>0</v>
      </c>
      <c r="AF476" s="10" t="e">
        <f t="shared" si="22"/>
        <v>#N/A</v>
      </c>
      <c r="AG476" s="3" t="str">
        <f t="shared" si="23"/>
        <v/>
      </c>
    </row>
    <row r="477" spans="1:33" x14ac:dyDescent="0.25">
      <c r="A477" s="7"/>
      <c r="B477" s="8"/>
      <c r="C477" s="3"/>
      <c r="D477" s="3"/>
      <c r="E477" s="3" t="e">
        <f>VLOOKUP(D477,VIAJES!$D:$E,2,FALSE)</f>
        <v>#N/A</v>
      </c>
      <c r="F477" s="9" t="e">
        <f>VLOOKUP(D477,VIAJES!$D:$F,3,FALSE)</f>
        <v>#N/A</v>
      </c>
      <c r="G477" s="9" t="e">
        <f>VLOOKUP(D477,VIAJES!$D:$G,4,FALSE)</f>
        <v>#N/A</v>
      </c>
      <c r="H477" s="3" t="e">
        <f>VLOOKUP(D477,VIAJES!$D:$H,5,FALSE)</f>
        <v>#N/A</v>
      </c>
      <c r="S477" s="3">
        <f>IFERROR(INDEX(EVENTOS!$D:$D,MATCH(SCORE!S$2&amp;" "&amp;SCORE!$D477,EVENTOS!$F:$F,0)),0)</f>
        <v>0</v>
      </c>
      <c r="T477" s="3">
        <f>IFERROR(INDEX(EVENTOS!$D:$D,MATCH(SCORE!T$2&amp;" "&amp;SCORE!$D477,EVENTOS!$F:$F,0)),0)</f>
        <v>0</v>
      </c>
      <c r="U477" s="3">
        <f>IFERROR(INDEX(EVENTOS!$D:$D,MATCH(SCORE!U$2&amp;" "&amp;SCORE!$D477,EVENTOS!$F:$F,0)),0)</f>
        <v>0</v>
      </c>
      <c r="V477" s="3">
        <f>IFERROR(INDEX(EVENTOS!$D:$D,MATCH(SCORE!V$2&amp;" "&amp;SCORE!$D477,EVENTOS!$F:$F,0)),0)</f>
        <v>0</v>
      </c>
      <c r="W477" s="3">
        <f>IFERROR(INDEX(EVENTOS!$D:$D,MATCH(SCORE!W$2&amp;" "&amp;SCORE!$D477,EVENTOS!$F:$F,0)),0)</f>
        <v>0</v>
      </c>
      <c r="X477" s="3">
        <f>IFERROR(INDEX(EVENTOS!$D:$D,MATCH(SCORE!X$2&amp;" "&amp;SCORE!$D477,EVENTOS!$F:$F,0)),0)</f>
        <v>0</v>
      </c>
      <c r="Y477" s="3">
        <f>SUMIFS(EVENTOS!$D:$D, EVENTOS!$B:$B, D477, EVENTOS!$E:$E, "*GirAlto*")</f>
        <v>0</v>
      </c>
      <c r="Z477" s="3">
        <f>SUMIFS(EVENTOS!$D:$D, EVENTOS!$B:$B, D477, EVENTOS!$E:$E, "*GirMed*")</f>
        <v>0</v>
      </c>
      <c r="AA477" s="3">
        <f>SUMIFS(EVENTOS!$D:$D, EVENTOS!$B:$B, D477, EVENTOS!$E:$E, "*GirBajo*")</f>
        <v>0</v>
      </c>
      <c r="AB477" s="3">
        <f>IFERROR(INDEX(EVENTOS!$D:$D,MATCH(SCORE!AB$2&amp;" "&amp;SCORE!$D477,EVENTOS!$F:$F,0)),0)</f>
        <v>0</v>
      </c>
      <c r="AC477" s="3">
        <f>IFERROR(INDEX(EVENTOS!$D:$D,MATCH(SCORE!AC$2&amp;" "&amp;SCORE!$D477,EVENTOS!$F:$F,0)),0)</f>
        <v>0</v>
      </c>
      <c r="AD477" s="3">
        <f>IFERROR(INDEX(EVENTOS!$D:$D,MATCH(SCORE!AD$2&amp;" "&amp;SCORE!$D477,EVENTOS!$F:$F,0)),0)</f>
        <v>0</v>
      </c>
      <c r="AE477" s="3">
        <f t="shared" si="21"/>
        <v>0</v>
      </c>
      <c r="AF477" s="10" t="e">
        <f t="shared" si="22"/>
        <v>#N/A</v>
      </c>
      <c r="AG477" s="3" t="str">
        <f t="shared" si="23"/>
        <v/>
      </c>
    </row>
    <row r="478" spans="1:33" x14ac:dyDescent="0.25">
      <c r="A478" s="7"/>
      <c r="B478" s="8"/>
      <c r="C478" s="3"/>
      <c r="D478" s="3"/>
      <c r="E478" s="3" t="e">
        <f>VLOOKUP(D478,VIAJES!$D:$E,2,FALSE)</f>
        <v>#N/A</v>
      </c>
      <c r="F478" s="9" t="e">
        <f>VLOOKUP(D478,VIAJES!$D:$F,3,FALSE)</f>
        <v>#N/A</v>
      </c>
      <c r="G478" s="9" t="e">
        <f>VLOOKUP(D478,VIAJES!$D:$G,4,FALSE)</f>
        <v>#N/A</v>
      </c>
      <c r="H478" s="3" t="e">
        <f>VLOOKUP(D478,VIAJES!$D:$H,5,FALSE)</f>
        <v>#N/A</v>
      </c>
      <c r="S478" s="3">
        <f>IFERROR(INDEX(EVENTOS!$D:$D,MATCH(SCORE!S$2&amp;" "&amp;SCORE!$D478,EVENTOS!$F:$F,0)),0)</f>
        <v>0</v>
      </c>
      <c r="T478" s="3">
        <f>IFERROR(INDEX(EVENTOS!$D:$D,MATCH(SCORE!T$2&amp;" "&amp;SCORE!$D478,EVENTOS!$F:$F,0)),0)</f>
        <v>0</v>
      </c>
      <c r="U478" s="3">
        <f>IFERROR(INDEX(EVENTOS!$D:$D,MATCH(SCORE!U$2&amp;" "&amp;SCORE!$D478,EVENTOS!$F:$F,0)),0)</f>
        <v>0</v>
      </c>
      <c r="V478" s="3">
        <f>IFERROR(INDEX(EVENTOS!$D:$D,MATCH(SCORE!V$2&amp;" "&amp;SCORE!$D478,EVENTOS!$F:$F,0)),0)</f>
        <v>0</v>
      </c>
      <c r="W478" s="3">
        <f>IFERROR(INDEX(EVENTOS!$D:$D,MATCH(SCORE!W$2&amp;" "&amp;SCORE!$D478,EVENTOS!$F:$F,0)),0)</f>
        <v>0</v>
      </c>
      <c r="X478" s="3">
        <f>IFERROR(INDEX(EVENTOS!$D:$D,MATCH(SCORE!X$2&amp;" "&amp;SCORE!$D478,EVENTOS!$F:$F,0)),0)</f>
        <v>0</v>
      </c>
      <c r="Y478" s="3">
        <f>SUMIFS(EVENTOS!$D:$D, EVENTOS!$B:$B, D478, EVENTOS!$E:$E, "*GirAlto*")</f>
        <v>0</v>
      </c>
      <c r="Z478" s="3">
        <f>SUMIFS(EVENTOS!$D:$D, EVENTOS!$B:$B, D478, EVENTOS!$E:$E, "*GirMed*")</f>
        <v>0</v>
      </c>
      <c r="AA478" s="3">
        <f>SUMIFS(EVENTOS!$D:$D, EVENTOS!$B:$B, D478, EVENTOS!$E:$E, "*GirBajo*")</f>
        <v>0</v>
      </c>
      <c r="AB478" s="3">
        <f>IFERROR(INDEX(EVENTOS!$D:$D,MATCH(SCORE!AB$2&amp;" "&amp;SCORE!$D478,EVENTOS!$F:$F,0)),0)</f>
        <v>0</v>
      </c>
      <c r="AC478" s="3">
        <f>IFERROR(INDEX(EVENTOS!$D:$D,MATCH(SCORE!AC$2&amp;" "&amp;SCORE!$D478,EVENTOS!$F:$F,0)),0)</f>
        <v>0</v>
      </c>
      <c r="AD478" s="3">
        <f>IFERROR(INDEX(EVENTOS!$D:$D,MATCH(SCORE!AD$2&amp;" "&amp;SCORE!$D478,EVENTOS!$F:$F,0)),0)</f>
        <v>0</v>
      </c>
      <c r="AE478" s="3">
        <f t="shared" si="21"/>
        <v>0</v>
      </c>
      <c r="AF478" s="10" t="e">
        <f t="shared" si="22"/>
        <v>#N/A</v>
      </c>
      <c r="AG478" s="3" t="str">
        <f t="shared" si="23"/>
        <v/>
      </c>
    </row>
    <row r="479" spans="1:33" x14ac:dyDescent="0.25">
      <c r="A479" s="7"/>
      <c r="B479" s="8"/>
      <c r="C479" s="3"/>
      <c r="D479" s="3"/>
      <c r="E479" s="3" t="e">
        <f>VLOOKUP(D479,VIAJES!$D:$E,2,FALSE)</f>
        <v>#N/A</v>
      </c>
      <c r="F479" s="9" t="e">
        <f>VLOOKUP(D479,VIAJES!$D:$F,3,FALSE)</f>
        <v>#N/A</v>
      </c>
      <c r="G479" s="9" t="e">
        <f>VLOOKUP(D479,VIAJES!$D:$G,4,FALSE)</f>
        <v>#N/A</v>
      </c>
      <c r="H479" s="3" t="e">
        <f>VLOOKUP(D479,VIAJES!$D:$H,5,FALSE)</f>
        <v>#N/A</v>
      </c>
      <c r="S479" s="3">
        <f>IFERROR(INDEX(EVENTOS!$D:$D,MATCH(SCORE!S$2&amp;" "&amp;SCORE!$D479,EVENTOS!$F:$F,0)),0)</f>
        <v>0</v>
      </c>
      <c r="T479" s="3">
        <f>IFERROR(INDEX(EVENTOS!$D:$D,MATCH(SCORE!T$2&amp;" "&amp;SCORE!$D479,EVENTOS!$F:$F,0)),0)</f>
        <v>0</v>
      </c>
      <c r="U479" s="3">
        <f>IFERROR(INDEX(EVENTOS!$D:$D,MATCH(SCORE!U$2&amp;" "&amp;SCORE!$D479,EVENTOS!$F:$F,0)),0)</f>
        <v>0</v>
      </c>
      <c r="V479" s="3">
        <f>IFERROR(INDEX(EVENTOS!$D:$D,MATCH(SCORE!V$2&amp;" "&amp;SCORE!$D479,EVENTOS!$F:$F,0)),0)</f>
        <v>0</v>
      </c>
      <c r="W479" s="3">
        <f>IFERROR(INDEX(EVENTOS!$D:$D,MATCH(SCORE!W$2&amp;" "&amp;SCORE!$D479,EVENTOS!$F:$F,0)),0)</f>
        <v>0</v>
      </c>
      <c r="X479" s="3">
        <f>IFERROR(INDEX(EVENTOS!$D:$D,MATCH(SCORE!X$2&amp;" "&amp;SCORE!$D479,EVENTOS!$F:$F,0)),0)</f>
        <v>0</v>
      </c>
      <c r="Y479" s="3">
        <f>SUMIFS(EVENTOS!$D:$D, EVENTOS!$B:$B, D479, EVENTOS!$E:$E, "*GirAlto*")</f>
        <v>0</v>
      </c>
      <c r="Z479" s="3">
        <f>SUMIFS(EVENTOS!$D:$D, EVENTOS!$B:$B, D479, EVENTOS!$E:$E, "*GirMed*")</f>
        <v>0</v>
      </c>
      <c r="AA479" s="3">
        <f>SUMIFS(EVENTOS!$D:$D, EVENTOS!$B:$B, D479, EVENTOS!$E:$E, "*GirBajo*")</f>
        <v>0</v>
      </c>
      <c r="AB479" s="3">
        <f>IFERROR(INDEX(EVENTOS!$D:$D,MATCH(SCORE!AB$2&amp;" "&amp;SCORE!$D479,EVENTOS!$F:$F,0)),0)</f>
        <v>0</v>
      </c>
      <c r="AC479" s="3">
        <f>IFERROR(INDEX(EVENTOS!$D:$D,MATCH(SCORE!AC$2&amp;" "&amp;SCORE!$D479,EVENTOS!$F:$F,0)),0)</f>
        <v>0</v>
      </c>
      <c r="AD479" s="3">
        <f>IFERROR(INDEX(EVENTOS!$D:$D,MATCH(SCORE!AD$2&amp;" "&amp;SCORE!$D479,EVENTOS!$F:$F,0)),0)</f>
        <v>0</v>
      </c>
      <c r="AE479" s="3">
        <f t="shared" si="21"/>
        <v>0</v>
      </c>
      <c r="AF479" s="10" t="e">
        <f t="shared" si="22"/>
        <v>#N/A</v>
      </c>
      <c r="AG479" s="3" t="str">
        <f t="shared" si="23"/>
        <v/>
      </c>
    </row>
    <row r="480" spans="1:33" x14ac:dyDescent="0.25">
      <c r="A480" s="7"/>
      <c r="B480" s="8"/>
      <c r="C480" s="3"/>
      <c r="D480" s="3"/>
      <c r="E480" s="3" t="e">
        <f>VLOOKUP(D480,VIAJES!$D:$E,2,FALSE)</f>
        <v>#N/A</v>
      </c>
      <c r="F480" s="9" t="e">
        <f>VLOOKUP(D480,VIAJES!$D:$F,3,FALSE)</f>
        <v>#N/A</v>
      </c>
      <c r="G480" s="9" t="e">
        <f>VLOOKUP(D480,VIAJES!$D:$G,4,FALSE)</f>
        <v>#N/A</v>
      </c>
      <c r="H480" s="3" t="e">
        <f>VLOOKUP(D480,VIAJES!$D:$H,5,FALSE)</f>
        <v>#N/A</v>
      </c>
      <c r="S480" s="3">
        <f>IFERROR(INDEX(EVENTOS!$D:$D,MATCH(SCORE!S$2&amp;" "&amp;SCORE!$D480,EVENTOS!$F:$F,0)),0)</f>
        <v>0</v>
      </c>
      <c r="T480" s="3">
        <f>IFERROR(INDEX(EVENTOS!$D:$D,MATCH(SCORE!T$2&amp;" "&amp;SCORE!$D480,EVENTOS!$F:$F,0)),0)</f>
        <v>0</v>
      </c>
      <c r="U480" s="3">
        <f>IFERROR(INDEX(EVENTOS!$D:$D,MATCH(SCORE!U$2&amp;" "&amp;SCORE!$D480,EVENTOS!$F:$F,0)),0)</f>
        <v>0</v>
      </c>
      <c r="V480" s="3">
        <f>IFERROR(INDEX(EVENTOS!$D:$D,MATCH(SCORE!V$2&amp;" "&amp;SCORE!$D480,EVENTOS!$F:$F,0)),0)</f>
        <v>0</v>
      </c>
      <c r="W480" s="3">
        <f>IFERROR(INDEX(EVENTOS!$D:$D,MATCH(SCORE!W$2&amp;" "&amp;SCORE!$D480,EVENTOS!$F:$F,0)),0)</f>
        <v>0</v>
      </c>
      <c r="X480" s="3">
        <f>IFERROR(INDEX(EVENTOS!$D:$D,MATCH(SCORE!X$2&amp;" "&amp;SCORE!$D480,EVENTOS!$F:$F,0)),0)</f>
        <v>0</v>
      </c>
      <c r="Y480" s="3">
        <f>SUMIFS(EVENTOS!$D:$D, EVENTOS!$B:$B, D480, EVENTOS!$E:$E, "*GirAlto*")</f>
        <v>0</v>
      </c>
      <c r="Z480" s="3">
        <f>SUMIFS(EVENTOS!$D:$D, EVENTOS!$B:$B, D480, EVENTOS!$E:$E, "*GirMed*")</f>
        <v>0</v>
      </c>
      <c r="AA480" s="3">
        <f>SUMIFS(EVENTOS!$D:$D, EVENTOS!$B:$B, D480, EVENTOS!$E:$E, "*GirBajo*")</f>
        <v>0</v>
      </c>
      <c r="AB480" s="3">
        <f>IFERROR(INDEX(EVENTOS!$D:$D,MATCH(SCORE!AB$2&amp;" "&amp;SCORE!$D480,EVENTOS!$F:$F,0)),0)</f>
        <v>0</v>
      </c>
      <c r="AC480" s="3">
        <f>IFERROR(INDEX(EVENTOS!$D:$D,MATCH(SCORE!AC$2&amp;" "&amp;SCORE!$D480,EVENTOS!$F:$F,0)),0)</f>
        <v>0</v>
      </c>
      <c r="AD480" s="3">
        <f>IFERROR(INDEX(EVENTOS!$D:$D,MATCH(SCORE!AD$2&amp;" "&amp;SCORE!$D480,EVENTOS!$F:$F,0)),0)</f>
        <v>0</v>
      </c>
      <c r="AE480" s="3">
        <f t="shared" si="21"/>
        <v>0</v>
      </c>
      <c r="AF480" s="10" t="e">
        <f t="shared" si="22"/>
        <v>#N/A</v>
      </c>
      <c r="AG480" s="3" t="str">
        <f t="shared" si="23"/>
        <v/>
      </c>
    </row>
    <row r="481" spans="1:33" x14ac:dyDescent="0.25">
      <c r="A481" s="7"/>
      <c r="B481" s="8"/>
      <c r="C481" s="3"/>
      <c r="D481" s="3"/>
      <c r="E481" s="3" t="e">
        <f>VLOOKUP(D481,VIAJES!$D:$E,2,FALSE)</f>
        <v>#N/A</v>
      </c>
      <c r="F481" s="9" t="e">
        <f>VLOOKUP(D481,VIAJES!$D:$F,3,FALSE)</f>
        <v>#N/A</v>
      </c>
      <c r="G481" s="9" t="e">
        <f>VLOOKUP(D481,VIAJES!$D:$G,4,FALSE)</f>
        <v>#N/A</v>
      </c>
      <c r="H481" s="3" t="e">
        <f>VLOOKUP(D481,VIAJES!$D:$H,5,FALSE)</f>
        <v>#N/A</v>
      </c>
      <c r="S481" s="3">
        <f>IFERROR(INDEX(EVENTOS!$D:$D,MATCH(SCORE!S$2&amp;" "&amp;SCORE!$D481,EVENTOS!$F:$F,0)),0)</f>
        <v>0</v>
      </c>
      <c r="T481" s="3">
        <f>IFERROR(INDEX(EVENTOS!$D:$D,MATCH(SCORE!T$2&amp;" "&amp;SCORE!$D481,EVENTOS!$F:$F,0)),0)</f>
        <v>0</v>
      </c>
      <c r="U481" s="3">
        <f>IFERROR(INDEX(EVENTOS!$D:$D,MATCH(SCORE!U$2&amp;" "&amp;SCORE!$D481,EVENTOS!$F:$F,0)),0)</f>
        <v>0</v>
      </c>
      <c r="V481" s="3">
        <f>IFERROR(INDEX(EVENTOS!$D:$D,MATCH(SCORE!V$2&amp;" "&amp;SCORE!$D481,EVENTOS!$F:$F,0)),0)</f>
        <v>0</v>
      </c>
      <c r="W481" s="3">
        <f>IFERROR(INDEX(EVENTOS!$D:$D,MATCH(SCORE!W$2&amp;" "&amp;SCORE!$D481,EVENTOS!$F:$F,0)),0)</f>
        <v>0</v>
      </c>
      <c r="X481" s="3">
        <f>IFERROR(INDEX(EVENTOS!$D:$D,MATCH(SCORE!X$2&amp;" "&amp;SCORE!$D481,EVENTOS!$F:$F,0)),0)</f>
        <v>0</v>
      </c>
      <c r="Y481" s="3">
        <f>SUMIFS(EVENTOS!$D:$D, EVENTOS!$B:$B, D481, EVENTOS!$E:$E, "*GirAlto*")</f>
        <v>0</v>
      </c>
      <c r="Z481" s="3">
        <f>SUMIFS(EVENTOS!$D:$D, EVENTOS!$B:$B, D481, EVENTOS!$E:$E, "*GirMed*")</f>
        <v>0</v>
      </c>
      <c r="AA481" s="3">
        <f>SUMIFS(EVENTOS!$D:$D, EVENTOS!$B:$B, D481, EVENTOS!$E:$E, "*GirBajo*")</f>
        <v>0</v>
      </c>
      <c r="AB481" s="3">
        <f>IFERROR(INDEX(EVENTOS!$D:$D,MATCH(SCORE!AB$2&amp;" "&amp;SCORE!$D481,EVENTOS!$F:$F,0)),0)</f>
        <v>0</v>
      </c>
      <c r="AC481" s="3">
        <f>IFERROR(INDEX(EVENTOS!$D:$D,MATCH(SCORE!AC$2&amp;" "&amp;SCORE!$D481,EVENTOS!$F:$F,0)),0)</f>
        <v>0</v>
      </c>
      <c r="AD481" s="3">
        <f>IFERROR(INDEX(EVENTOS!$D:$D,MATCH(SCORE!AD$2&amp;" "&amp;SCORE!$D481,EVENTOS!$F:$F,0)),0)</f>
        <v>0</v>
      </c>
      <c r="AE481" s="3">
        <f t="shared" si="21"/>
        <v>0</v>
      </c>
      <c r="AF481" s="10" t="e">
        <f t="shared" si="22"/>
        <v>#N/A</v>
      </c>
      <c r="AG481" s="3" t="str">
        <f t="shared" si="23"/>
        <v/>
      </c>
    </row>
    <row r="482" spans="1:33" x14ac:dyDescent="0.25">
      <c r="A482" s="7"/>
      <c r="B482" s="8"/>
      <c r="C482" s="3"/>
      <c r="D482" s="3"/>
      <c r="E482" s="3" t="e">
        <f>VLOOKUP(D482,VIAJES!$D:$E,2,FALSE)</f>
        <v>#N/A</v>
      </c>
      <c r="F482" s="9" t="e">
        <f>VLOOKUP(D482,VIAJES!$D:$F,3,FALSE)</f>
        <v>#N/A</v>
      </c>
      <c r="G482" s="9" t="e">
        <f>VLOOKUP(D482,VIAJES!$D:$G,4,FALSE)</f>
        <v>#N/A</v>
      </c>
      <c r="H482" s="3" t="e">
        <f>VLOOKUP(D482,VIAJES!$D:$H,5,FALSE)</f>
        <v>#N/A</v>
      </c>
      <c r="S482" s="3">
        <f>IFERROR(INDEX(EVENTOS!$D:$D,MATCH(SCORE!S$2&amp;" "&amp;SCORE!$D482,EVENTOS!$F:$F,0)),0)</f>
        <v>0</v>
      </c>
      <c r="T482" s="3">
        <f>IFERROR(INDEX(EVENTOS!$D:$D,MATCH(SCORE!T$2&amp;" "&amp;SCORE!$D482,EVENTOS!$F:$F,0)),0)</f>
        <v>0</v>
      </c>
      <c r="U482" s="3">
        <f>IFERROR(INDEX(EVENTOS!$D:$D,MATCH(SCORE!U$2&amp;" "&amp;SCORE!$D482,EVENTOS!$F:$F,0)),0)</f>
        <v>0</v>
      </c>
      <c r="V482" s="3">
        <f>IFERROR(INDEX(EVENTOS!$D:$D,MATCH(SCORE!V$2&amp;" "&amp;SCORE!$D482,EVENTOS!$F:$F,0)),0)</f>
        <v>0</v>
      </c>
      <c r="W482" s="3">
        <f>IFERROR(INDEX(EVENTOS!$D:$D,MATCH(SCORE!W$2&amp;" "&amp;SCORE!$D482,EVENTOS!$F:$F,0)),0)</f>
        <v>0</v>
      </c>
      <c r="X482" s="3">
        <f>IFERROR(INDEX(EVENTOS!$D:$D,MATCH(SCORE!X$2&amp;" "&amp;SCORE!$D482,EVENTOS!$F:$F,0)),0)</f>
        <v>0</v>
      </c>
      <c r="Y482" s="3">
        <f>SUMIFS(EVENTOS!$D:$D, EVENTOS!$B:$B, D482, EVENTOS!$E:$E, "*GirAlto*")</f>
        <v>0</v>
      </c>
      <c r="Z482" s="3">
        <f>SUMIFS(EVENTOS!$D:$D, EVENTOS!$B:$B, D482, EVENTOS!$E:$E, "*GirMed*")</f>
        <v>0</v>
      </c>
      <c r="AA482" s="3">
        <f>SUMIFS(EVENTOS!$D:$D, EVENTOS!$B:$B, D482, EVENTOS!$E:$E, "*GirBajo*")</f>
        <v>0</v>
      </c>
      <c r="AB482" s="3">
        <f>IFERROR(INDEX(EVENTOS!$D:$D,MATCH(SCORE!AB$2&amp;" "&amp;SCORE!$D482,EVENTOS!$F:$F,0)),0)</f>
        <v>0</v>
      </c>
      <c r="AC482" s="3">
        <f>IFERROR(INDEX(EVENTOS!$D:$D,MATCH(SCORE!AC$2&amp;" "&amp;SCORE!$D482,EVENTOS!$F:$F,0)),0)</f>
        <v>0</v>
      </c>
      <c r="AD482" s="3">
        <f>IFERROR(INDEX(EVENTOS!$D:$D,MATCH(SCORE!AD$2&amp;" "&amp;SCORE!$D482,EVENTOS!$F:$F,0)),0)</f>
        <v>0</v>
      </c>
      <c r="AE482" s="3">
        <f t="shared" si="21"/>
        <v>0</v>
      </c>
      <c r="AF482" s="10" t="e">
        <f t="shared" si="22"/>
        <v>#N/A</v>
      </c>
      <c r="AG482" s="3" t="str">
        <f t="shared" si="23"/>
        <v/>
      </c>
    </row>
    <row r="483" spans="1:33" x14ac:dyDescent="0.25">
      <c r="A483" s="7"/>
      <c r="B483" s="8"/>
      <c r="C483" s="3"/>
      <c r="D483" s="3"/>
      <c r="E483" s="3" t="e">
        <f>VLOOKUP(D483,VIAJES!$D:$E,2,FALSE)</f>
        <v>#N/A</v>
      </c>
      <c r="F483" s="9" t="e">
        <f>VLOOKUP(D483,VIAJES!$D:$F,3,FALSE)</f>
        <v>#N/A</v>
      </c>
      <c r="G483" s="9" t="e">
        <f>VLOOKUP(D483,VIAJES!$D:$G,4,FALSE)</f>
        <v>#N/A</v>
      </c>
      <c r="H483" s="3" t="e">
        <f>VLOOKUP(D483,VIAJES!$D:$H,5,FALSE)</f>
        <v>#N/A</v>
      </c>
      <c r="S483" s="3">
        <f>IFERROR(INDEX(EVENTOS!$D:$D,MATCH(SCORE!S$2&amp;" "&amp;SCORE!$D483,EVENTOS!$F:$F,0)),0)</f>
        <v>0</v>
      </c>
      <c r="T483" s="3">
        <f>IFERROR(INDEX(EVENTOS!$D:$D,MATCH(SCORE!T$2&amp;" "&amp;SCORE!$D483,EVENTOS!$F:$F,0)),0)</f>
        <v>0</v>
      </c>
      <c r="U483" s="3">
        <f>IFERROR(INDEX(EVENTOS!$D:$D,MATCH(SCORE!U$2&amp;" "&amp;SCORE!$D483,EVENTOS!$F:$F,0)),0)</f>
        <v>0</v>
      </c>
      <c r="V483" s="3">
        <f>IFERROR(INDEX(EVENTOS!$D:$D,MATCH(SCORE!V$2&amp;" "&amp;SCORE!$D483,EVENTOS!$F:$F,0)),0)</f>
        <v>0</v>
      </c>
      <c r="W483" s="3">
        <f>IFERROR(INDEX(EVENTOS!$D:$D,MATCH(SCORE!W$2&amp;" "&amp;SCORE!$D483,EVENTOS!$F:$F,0)),0)</f>
        <v>0</v>
      </c>
      <c r="X483" s="3">
        <f>IFERROR(INDEX(EVENTOS!$D:$D,MATCH(SCORE!X$2&amp;" "&amp;SCORE!$D483,EVENTOS!$F:$F,0)),0)</f>
        <v>0</v>
      </c>
      <c r="Y483" s="3">
        <f>SUMIFS(EVENTOS!$D:$D, EVENTOS!$B:$B, D483, EVENTOS!$E:$E, "*GirAlto*")</f>
        <v>0</v>
      </c>
      <c r="Z483" s="3">
        <f>SUMIFS(EVENTOS!$D:$D, EVENTOS!$B:$B, D483, EVENTOS!$E:$E, "*GirMed*")</f>
        <v>0</v>
      </c>
      <c r="AA483" s="3">
        <f>SUMIFS(EVENTOS!$D:$D, EVENTOS!$B:$B, D483, EVENTOS!$E:$E, "*GirBajo*")</f>
        <v>0</v>
      </c>
      <c r="AB483" s="3">
        <f>IFERROR(INDEX(EVENTOS!$D:$D,MATCH(SCORE!AB$2&amp;" "&amp;SCORE!$D483,EVENTOS!$F:$F,0)),0)</f>
        <v>0</v>
      </c>
      <c r="AC483" s="3">
        <f>IFERROR(INDEX(EVENTOS!$D:$D,MATCH(SCORE!AC$2&amp;" "&amp;SCORE!$D483,EVENTOS!$F:$F,0)),0)</f>
        <v>0</v>
      </c>
      <c r="AD483" s="3">
        <f>IFERROR(INDEX(EVENTOS!$D:$D,MATCH(SCORE!AD$2&amp;" "&amp;SCORE!$D483,EVENTOS!$F:$F,0)),0)</f>
        <v>0</v>
      </c>
      <c r="AE483" s="3">
        <f t="shared" si="21"/>
        <v>0</v>
      </c>
      <c r="AF483" s="10" t="e">
        <f t="shared" si="22"/>
        <v>#N/A</v>
      </c>
      <c r="AG483" s="3" t="str">
        <f t="shared" si="23"/>
        <v/>
      </c>
    </row>
    <row r="484" spans="1:33" x14ac:dyDescent="0.25">
      <c r="A484" s="7"/>
      <c r="B484" s="8"/>
      <c r="C484" s="3"/>
      <c r="D484" s="3"/>
      <c r="E484" s="3" t="e">
        <f>VLOOKUP(D484,VIAJES!$D:$E,2,FALSE)</f>
        <v>#N/A</v>
      </c>
      <c r="F484" s="9" t="e">
        <f>VLOOKUP(D484,VIAJES!$D:$F,3,FALSE)</f>
        <v>#N/A</v>
      </c>
      <c r="G484" s="9" t="e">
        <f>VLOOKUP(D484,VIAJES!$D:$G,4,FALSE)</f>
        <v>#N/A</v>
      </c>
      <c r="H484" s="3" t="e">
        <f>VLOOKUP(D484,VIAJES!$D:$H,5,FALSE)</f>
        <v>#N/A</v>
      </c>
      <c r="S484" s="3">
        <f>IFERROR(INDEX(EVENTOS!$D:$D,MATCH(SCORE!S$2&amp;" "&amp;SCORE!$D484,EVENTOS!$F:$F,0)),0)</f>
        <v>0</v>
      </c>
      <c r="T484" s="3">
        <f>IFERROR(INDEX(EVENTOS!$D:$D,MATCH(SCORE!T$2&amp;" "&amp;SCORE!$D484,EVENTOS!$F:$F,0)),0)</f>
        <v>0</v>
      </c>
      <c r="U484" s="3">
        <f>IFERROR(INDEX(EVENTOS!$D:$D,MATCH(SCORE!U$2&amp;" "&amp;SCORE!$D484,EVENTOS!$F:$F,0)),0)</f>
        <v>0</v>
      </c>
      <c r="V484" s="3">
        <f>IFERROR(INDEX(EVENTOS!$D:$D,MATCH(SCORE!V$2&amp;" "&amp;SCORE!$D484,EVENTOS!$F:$F,0)),0)</f>
        <v>0</v>
      </c>
      <c r="W484" s="3">
        <f>IFERROR(INDEX(EVENTOS!$D:$D,MATCH(SCORE!W$2&amp;" "&amp;SCORE!$D484,EVENTOS!$F:$F,0)),0)</f>
        <v>0</v>
      </c>
      <c r="X484" s="3">
        <f>IFERROR(INDEX(EVENTOS!$D:$D,MATCH(SCORE!X$2&amp;" "&amp;SCORE!$D484,EVENTOS!$F:$F,0)),0)</f>
        <v>0</v>
      </c>
      <c r="Y484" s="3">
        <f>SUMIFS(EVENTOS!$D:$D, EVENTOS!$B:$B, D484, EVENTOS!$E:$E, "*GirAlto*")</f>
        <v>0</v>
      </c>
      <c r="Z484" s="3">
        <f>SUMIFS(EVENTOS!$D:$D, EVENTOS!$B:$B, D484, EVENTOS!$E:$E, "*GirMed*")</f>
        <v>0</v>
      </c>
      <c r="AA484" s="3">
        <f>SUMIFS(EVENTOS!$D:$D, EVENTOS!$B:$B, D484, EVENTOS!$E:$E, "*GirBajo*")</f>
        <v>0</v>
      </c>
      <c r="AB484" s="3">
        <f>IFERROR(INDEX(EVENTOS!$D:$D,MATCH(SCORE!AB$2&amp;" "&amp;SCORE!$D484,EVENTOS!$F:$F,0)),0)</f>
        <v>0</v>
      </c>
      <c r="AC484" s="3">
        <f>IFERROR(INDEX(EVENTOS!$D:$D,MATCH(SCORE!AC$2&amp;" "&amp;SCORE!$D484,EVENTOS!$F:$F,0)),0)</f>
        <v>0</v>
      </c>
      <c r="AD484" s="3">
        <f>IFERROR(INDEX(EVENTOS!$D:$D,MATCH(SCORE!AD$2&amp;" "&amp;SCORE!$D484,EVENTOS!$F:$F,0)),0)</f>
        <v>0</v>
      </c>
      <c r="AE484" s="3">
        <f t="shared" si="21"/>
        <v>0</v>
      </c>
      <c r="AF484" s="10" t="e">
        <f t="shared" si="22"/>
        <v>#N/A</v>
      </c>
      <c r="AG484" s="3" t="str">
        <f t="shared" si="23"/>
        <v/>
      </c>
    </row>
    <row r="485" spans="1:33" x14ac:dyDescent="0.25">
      <c r="A485" s="7"/>
      <c r="B485" s="8"/>
      <c r="C485" s="3"/>
      <c r="D485" s="3"/>
      <c r="E485" s="3" t="e">
        <f>VLOOKUP(D485,VIAJES!$D:$E,2,FALSE)</f>
        <v>#N/A</v>
      </c>
      <c r="F485" s="9" t="e">
        <f>VLOOKUP(D485,VIAJES!$D:$F,3,FALSE)</f>
        <v>#N/A</v>
      </c>
      <c r="G485" s="9" t="e">
        <f>VLOOKUP(D485,VIAJES!$D:$G,4,FALSE)</f>
        <v>#N/A</v>
      </c>
      <c r="H485" s="3" t="e">
        <f>VLOOKUP(D485,VIAJES!$D:$H,5,FALSE)</f>
        <v>#N/A</v>
      </c>
      <c r="S485" s="3">
        <f>IFERROR(INDEX(EVENTOS!$D:$D,MATCH(SCORE!S$2&amp;" "&amp;SCORE!$D485,EVENTOS!$F:$F,0)),0)</f>
        <v>0</v>
      </c>
      <c r="T485" s="3">
        <f>IFERROR(INDEX(EVENTOS!$D:$D,MATCH(SCORE!T$2&amp;" "&amp;SCORE!$D485,EVENTOS!$F:$F,0)),0)</f>
        <v>0</v>
      </c>
      <c r="U485" s="3">
        <f>IFERROR(INDEX(EVENTOS!$D:$D,MATCH(SCORE!U$2&amp;" "&amp;SCORE!$D485,EVENTOS!$F:$F,0)),0)</f>
        <v>0</v>
      </c>
      <c r="V485" s="3">
        <f>IFERROR(INDEX(EVENTOS!$D:$D,MATCH(SCORE!V$2&amp;" "&amp;SCORE!$D485,EVENTOS!$F:$F,0)),0)</f>
        <v>0</v>
      </c>
      <c r="W485" s="3">
        <f>IFERROR(INDEX(EVENTOS!$D:$D,MATCH(SCORE!W$2&amp;" "&amp;SCORE!$D485,EVENTOS!$F:$F,0)),0)</f>
        <v>0</v>
      </c>
      <c r="X485" s="3">
        <f>IFERROR(INDEX(EVENTOS!$D:$D,MATCH(SCORE!X$2&amp;" "&amp;SCORE!$D485,EVENTOS!$F:$F,0)),0)</f>
        <v>0</v>
      </c>
      <c r="Y485" s="3">
        <f>SUMIFS(EVENTOS!$D:$D, EVENTOS!$B:$B, D485, EVENTOS!$E:$E, "*GirAlto*")</f>
        <v>0</v>
      </c>
      <c r="Z485" s="3">
        <f>SUMIFS(EVENTOS!$D:$D, EVENTOS!$B:$B, D485, EVENTOS!$E:$E, "*GirMed*")</f>
        <v>0</v>
      </c>
      <c r="AA485" s="3">
        <f>SUMIFS(EVENTOS!$D:$D, EVENTOS!$B:$B, D485, EVENTOS!$E:$E, "*GirBajo*")</f>
        <v>0</v>
      </c>
      <c r="AB485" s="3">
        <f>IFERROR(INDEX(EVENTOS!$D:$D,MATCH(SCORE!AB$2&amp;" "&amp;SCORE!$D485,EVENTOS!$F:$F,0)),0)</f>
        <v>0</v>
      </c>
      <c r="AC485" s="3">
        <f>IFERROR(INDEX(EVENTOS!$D:$D,MATCH(SCORE!AC$2&amp;" "&amp;SCORE!$D485,EVENTOS!$F:$F,0)),0)</f>
        <v>0</v>
      </c>
      <c r="AD485" s="3">
        <f>IFERROR(INDEX(EVENTOS!$D:$D,MATCH(SCORE!AD$2&amp;" "&amp;SCORE!$D485,EVENTOS!$F:$F,0)),0)</f>
        <v>0</v>
      </c>
      <c r="AE485" s="3">
        <f t="shared" si="21"/>
        <v>0</v>
      </c>
      <c r="AF485" s="10" t="e">
        <f t="shared" si="22"/>
        <v>#N/A</v>
      </c>
      <c r="AG485" s="3" t="str">
        <f t="shared" si="23"/>
        <v/>
      </c>
    </row>
    <row r="486" spans="1:33" x14ac:dyDescent="0.25">
      <c r="A486" s="7"/>
      <c r="B486" s="8"/>
      <c r="C486" s="3"/>
      <c r="D486" s="3"/>
      <c r="E486" s="3" t="e">
        <f>VLOOKUP(D486,VIAJES!$D:$E,2,FALSE)</f>
        <v>#N/A</v>
      </c>
      <c r="F486" s="9" t="e">
        <f>VLOOKUP(D486,VIAJES!$D:$F,3,FALSE)</f>
        <v>#N/A</v>
      </c>
      <c r="G486" s="9" t="e">
        <f>VLOOKUP(D486,VIAJES!$D:$G,4,FALSE)</f>
        <v>#N/A</v>
      </c>
      <c r="H486" s="3" t="e">
        <f>VLOOKUP(D486,VIAJES!$D:$H,5,FALSE)</f>
        <v>#N/A</v>
      </c>
      <c r="S486" s="3">
        <f>IFERROR(INDEX(EVENTOS!$D:$D,MATCH(SCORE!S$2&amp;" "&amp;SCORE!$D486,EVENTOS!$F:$F,0)),0)</f>
        <v>0</v>
      </c>
      <c r="T486" s="3">
        <f>IFERROR(INDEX(EVENTOS!$D:$D,MATCH(SCORE!T$2&amp;" "&amp;SCORE!$D486,EVENTOS!$F:$F,0)),0)</f>
        <v>0</v>
      </c>
      <c r="U486" s="3">
        <f>IFERROR(INDEX(EVENTOS!$D:$D,MATCH(SCORE!U$2&amp;" "&amp;SCORE!$D486,EVENTOS!$F:$F,0)),0)</f>
        <v>0</v>
      </c>
      <c r="V486" s="3">
        <f>IFERROR(INDEX(EVENTOS!$D:$D,MATCH(SCORE!V$2&amp;" "&amp;SCORE!$D486,EVENTOS!$F:$F,0)),0)</f>
        <v>0</v>
      </c>
      <c r="W486" s="3">
        <f>IFERROR(INDEX(EVENTOS!$D:$D,MATCH(SCORE!W$2&amp;" "&amp;SCORE!$D486,EVENTOS!$F:$F,0)),0)</f>
        <v>0</v>
      </c>
      <c r="X486" s="3">
        <f>IFERROR(INDEX(EVENTOS!$D:$D,MATCH(SCORE!X$2&amp;" "&amp;SCORE!$D486,EVENTOS!$F:$F,0)),0)</f>
        <v>0</v>
      </c>
      <c r="Y486" s="3">
        <f>SUMIFS(EVENTOS!$D:$D, EVENTOS!$B:$B, D486, EVENTOS!$E:$E, "*GirAlto*")</f>
        <v>0</v>
      </c>
      <c r="Z486" s="3">
        <f>SUMIFS(EVENTOS!$D:$D, EVENTOS!$B:$B, D486, EVENTOS!$E:$E, "*GirMed*")</f>
        <v>0</v>
      </c>
      <c r="AA486" s="3">
        <f>SUMIFS(EVENTOS!$D:$D, EVENTOS!$B:$B, D486, EVENTOS!$E:$E, "*GirBajo*")</f>
        <v>0</v>
      </c>
      <c r="AB486" s="3">
        <f>IFERROR(INDEX(EVENTOS!$D:$D,MATCH(SCORE!AB$2&amp;" "&amp;SCORE!$D486,EVENTOS!$F:$F,0)),0)</f>
        <v>0</v>
      </c>
      <c r="AC486" s="3">
        <f>IFERROR(INDEX(EVENTOS!$D:$D,MATCH(SCORE!AC$2&amp;" "&amp;SCORE!$D486,EVENTOS!$F:$F,0)),0)</f>
        <v>0</v>
      </c>
      <c r="AD486" s="3">
        <f>IFERROR(INDEX(EVENTOS!$D:$D,MATCH(SCORE!AD$2&amp;" "&amp;SCORE!$D486,EVENTOS!$F:$F,0)),0)</f>
        <v>0</v>
      </c>
      <c r="AE486" s="3">
        <f t="shared" si="21"/>
        <v>0</v>
      </c>
      <c r="AF486" s="10" t="e">
        <f t="shared" si="22"/>
        <v>#N/A</v>
      </c>
      <c r="AG486" s="3" t="str">
        <f t="shared" si="23"/>
        <v/>
      </c>
    </row>
    <row r="487" spans="1:33" x14ac:dyDescent="0.25">
      <c r="A487" s="7"/>
      <c r="B487" s="8"/>
      <c r="C487" s="3"/>
      <c r="D487" s="3"/>
      <c r="E487" s="3" t="e">
        <f>VLOOKUP(D487,VIAJES!$D:$E,2,FALSE)</f>
        <v>#N/A</v>
      </c>
      <c r="F487" s="9" t="e">
        <f>VLOOKUP(D487,VIAJES!$D:$F,3,FALSE)</f>
        <v>#N/A</v>
      </c>
      <c r="G487" s="9" t="e">
        <f>VLOOKUP(D487,VIAJES!$D:$G,4,FALSE)</f>
        <v>#N/A</v>
      </c>
      <c r="H487" s="3" t="e">
        <f>VLOOKUP(D487,VIAJES!$D:$H,5,FALSE)</f>
        <v>#N/A</v>
      </c>
      <c r="S487" s="3">
        <f>IFERROR(INDEX(EVENTOS!$D:$D,MATCH(SCORE!S$2&amp;" "&amp;SCORE!$D487,EVENTOS!$F:$F,0)),0)</f>
        <v>0</v>
      </c>
      <c r="T487" s="3">
        <f>IFERROR(INDEX(EVENTOS!$D:$D,MATCH(SCORE!T$2&amp;" "&amp;SCORE!$D487,EVENTOS!$F:$F,0)),0)</f>
        <v>0</v>
      </c>
      <c r="U487" s="3">
        <f>IFERROR(INDEX(EVENTOS!$D:$D,MATCH(SCORE!U$2&amp;" "&amp;SCORE!$D487,EVENTOS!$F:$F,0)),0)</f>
        <v>0</v>
      </c>
      <c r="V487" s="3">
        <f>IFERROR(INDEX(EVENTOS!$D:$D,MATCH(SCORE!V$2&amp;" "&amp;SCORE!$D487,EVENTOS!$F:$F,0)),0)</f>
        <v>0</v>
      </c>
      <c r="W487" s="3">
        <f>IFERROR(INDEX(EVENTOS!$D:$D,MATCH(SCORE!W$2&amp;" "&amp;SCORE!$D487,EVENTOS!$F:$F,0)),0)</f>
        <v>0</v>
      </c>
      <c r="X487" s="3">
        <f>IFERROR(INDEX(EVENTOS!$D:$D,MATCH(SCORE!X$2&amp;" "&amp;SCORE!$D487,EVENTOS!$F:$F,0)),0)</f>
        <v>0</v>
      </c>
      <c r="Y487" s="3">
        <f>SUMIFS(EVENTOS!$D:$D, EVENTOS!$B:$B, D487, EVENTOS!$E:$E, "*GirAlto*")</f>
        <v>0</v>
      </c>
      <c r="Z487" s="3">
        <f>SUMIFS(EVENTOS!$D:$D, EVENTOS!$B:$B, D487, EVENTOS!$E:$E, "*GirMed*")</f>
        <v>0</v>
      </c>
      <c r="AA487" s="3">
        <f>SUMIFS(EVENTOS!$D:$D, EVENTOS!$B:$B, D487, EVENTOS!$E:$E, "*GirBajo*")</f>
        <v>0</v>
      </c>
      <c r="AB487" s="3">
        <f>IFERROR(INDEX(EVENTOS!$D:$D,MATCH(SCORE!AB$2&amp;" "&amp;SCORE!$D487,EVENTOS!$F:$F,0)),0)</f>
        <v>0</v>
      </c>
      <c r="AC487" s="3">
        <f>IFERROR(INDEX(EVENTOS!$D:$D,MATCH(SCORE!AC$2&amp;" "&amp;SCORE!$D487,EVENTOS!$F:$F,0)),0)</f>
        <v>0</v>
      </c>
      <c r="AD487" s="3">
        <f>IFERROR(INDEX(EVENTOS!$D:$D,MATCH(SCORE!AD$2&amp;" "&amp;SCORE!$D487,EVENTOS!$F:$F,0)),0)</f>
        <v>0</v>
      </c>
      <c r="AE487" s="3">
        <f t="shared" si="21"/>
        <v>0</v>
      </c>
      <c r="AF487" s="10" t="e">
        <f t="shared" si="22"/>
        <v>#N/A</v>
      </c>
      <c r="AG487" s="3" t="str">
        <f t="shared" si="23"/>
        <v/>
      </c>
    </row>
    <row r="488" spans="1:33" x14ac:dyDescent="0.25">
      <c r="A488" s="7"/>
      <c r="B488" s="8"/>
      <c r="C488" s="3"/>
      <c r="D488" s="3"/>
      <c r="E488" s="3" t="e">
        <f>VLOOKUP(D488,VIAJES!$D:$E,2,FALSE)</f>
        <v>#N/A</v>
      </c>
      <c r="F488" s="9" t="e">
        <f>VLOOKUP(D488,VIAJES!$D:$F,3,FALSE)</f>
        <v>#N/A</v>
      </c>
      <c r="G488" s="9" t="e">
        <f>VLOOKUP(D488,VIAJES!$D:$G,4,FALSE)</f>
        <v>#N/A</v>
      </c>
      <c r="H488" s="3" t="e">
        <f>VLOOKUP(D488,VIAJES!$D:$H,5,FALSE)</f>
        <v>#N/A</v>
      </c>
      <c r="S488" s="3">
        <f>IFERROR(INDEX(EVENTOS!$D:$D,MATCH(SCORE!S$2&amp;" "&amp;SCORE!$D488,EVENTOS!$F:$F,0)),0)</f>
        <v>0</v>
      </c>
      <c r="T488" s="3">
        <f>IFERROR(INDEX(EVENTOS!$D:$D,MATCH(SCORE!T$2&amp;" "&amp;SCORE!$D488,EVENTOS!$F:$F,0)),0)</f>
        <v>0</v>
      </c>
      <c r="U488" s="3">
        <f>IFERROR(INDEX(EVENTOS!$D:$D,MATCH(SCORE!U$2&amp;" "&amp;SCORE!$D488,EVENTOS!$F:$F,0)),0)</f>
        <v>0</v>
      </c>
      <c r="V488" s="3">
        <f>IFERROR(INDEX(EVENTOS!$D:$D,MATCH(SCORE!V$2&amp;" "&amp;SCORE!$D488,EVENTOS!$F:$F,0)),0)</f>
        <v>0</v>
      </c>
      <c r="W488" s="3">
        <f>IFERROR(INDEX(EVENTOS!$D:$D,MATCH(SCORE!W$2&amp;" "&amp;SCORE!$D488,EVENTOS!$F:$F,0)),0)</f>
        <v>0</v>
      </c>
      <c r="X488" s="3">
        <f>IFERROR(INDEX(EVENTOS!$D:$D,MATCH(SCORE!X$2&amp;" "&amp;SCORE!$D488,EVENTOS!$F:$F,0)),0)</f>
        <v>0</v>
      </c>
      <c r="Y488" s="3">
        <f>SUMIFS(EVENTOS!$D:$D, EVENTOS!$B:$B, D488, EVENTOS!$E:$E, "*GirAlto*")</f>
        <v>0</v>
      </c>
      <c r="Z488" s="3">
        <f>SUMIFS(EVENTOS!$D:$D, EVENTOS!$B:$B, D488, EVENTOS!$E:$E, "*GirMed*")</f>
        <v>0</v>
      </c>
      <c r="AA488" s="3">
        <f>SUMIFS(EVENTOS!$D:$D, EVENTOS!$B:$B, D488, EVENTOS!$E:$E, "*GirBajo*")</f>
        <v>0</v>
      </c>
      <c r="AB488" s="3">
        <f>IFERROR(INDEX(EVENTOS!$D:$D,MATCH(SCORE!AB$2&amp;" "&amp;SCORE!$D488,EVENTOS!$F:$F,0)),0)</f>
        <v>0</v>
      </c>
      <c r="AC488" s="3">
        <f>IFERROR(INDEX(EVENTOS!$D:$D,MATCH(SCORE!AC$2&amp;" "&amp;SCORE!$D488,EVENTOS!$F:$F,0)),0)</f>
        <v>0</v>
      </c>
      <c r="AD488" s="3">
        <f>IFERROR(INDEX(EVENTOS!$D:$D,MATCH(SCORE!AD$2&amp;" "&amp;SCORE!$D488,EVENTOS!$F:$F,0)),0)</f>
        <v>0</v>
      </c>
      <c r="AE488" s="3">
        <f t="shared" si="21"/>
        <v>0</v>
      </c>
      <c r="AF488" s="10" t="e">
        <f t="shared" si="22"/>
        <v>#N/A</v>
      </c>
      <c r="AG488" s="3" t="str">
        <f t="shared" si="23"/>
        <v/>
      </c>
    </row>
    <row r="489" spans="1:33" x14ac:dyDescent="0.25">
      <c r="A489" s="7"/>
      <c r="B489" s="8"/>
      <c r="C489" s="3"/>
      <c r="D489" s="3"/>
      <c r="E489" s="3" t="e">
        <f>VLOOKUP(D489,VIAJES!$D:$E,2,FALSE)</f>
        <v>#N/A</v>
      </c>
      <c r="F489" s="9" t="e">
        <f>VLOOKUP(D489,VIAJES!$D:$F,3,FALSE)</f>
        <v>#N/A</v>
      </c>
      <c r="G489" s="9" t="e">
        <f>VLOOKUP(D489,VIAJES!$D:$G,4,FALSE)</f>
        <v>#N/A</v>
      </c>
      <c r="H489" s="3" t="e">
        <f>VLOOKUP(D489,VIAJES!$D:$H,5,FALSE)</f>
        <v>#N/A</v>
      </c>
      <c r="S489" s="3">
        <f>IFERROR(INDEX(EVENTOS!$D:$D,MATCH(SCORE!S$2&amp;" "&amp;SCORE!$D489,EVENTOS!$F:$F,0)),0)</f>
        <v>0</v>
      </c>
      <c r="T489" s="3">
        <f>IFERROR(INDEX(EVENTOS!$D:$D,MATCH(SCORE!T$2&amp;" "&amp;SCORE!$D489,EVENTOS!$F:$F,0)),0)</f>
        <v>0</v>
      </c>
      <c r="U489" s="3">
        <f>IFERROR(INDEX(EVENTOS!$D:$D,MATCH(SCORE!U$2&amp;" "&amp;SCORE!$D489,EVENTOS!$F:$F,0)),0)</f>
        <v>0</v>
      </c>
      <c r="V489" s="3">
        <f>IFERROR(INDEX(EVENTOS!$D:$D,MATCH(SCORE!V$2&amp;" "&amp;SCORE!$D489,EVENTOS!$F:$F,0)),0)</f>
        <v>0</v>
      </c>
      <c r="W489" s="3">
        <f>IFERROR(INDEX(EVENTOS!$D:$D,MATCH(SCORE!W$2&amp;" "&amp;SCORE!$D489,EVENTOS!$F:$F,0)),0)</f>
        <v>0</v>
      </c>
      <c r="X489" s="3">
        <f>IFERROR(INDEX(EVENTOS!$D:$D,MATCH(SCORE!X$2&amp;" "&amp;SCORE!$D489,EVENTOS!$F:$F,0)),0)</f>
        <v>0</v>
      </c>
      <c r="Y489" s="3">
        <f>SUMIFS(EVENTOS!$D:$D, EVENTOS!$B:$B, D489, EVENTOS!$E:$E, "*GirAlto*")</f>
        <v>0</v>
      </c>
      <c r="Z489" s="3">
        <f>SUMIFS(EVENTOS!$D:$D, EVENTOS!$B:$B, D489, EVENTOS!$E:$E, "*GirMed*")</f>
        <v>0</v>
      </c>
      <c r="AA489" s="3">
        <f>SUMIFS(EVENTOS!$D:$D, EVENTOS!$B:$B, D489, EVENTOS!$E:$E, "*GirBajo*")</f>
        <v>0</v>
      </c>
      <c r="AB489" s="3">
        <f>IFERROR(INDEX(EVENTOS!$D:$D,MATCH(SCORE!AB$2&amp;" "&amp;SCORE!$D489,EVENTOS!$F:$F,0)),0)</f>
        <v>0</v>
      </c>
      <c r="AC489" s="3">
        <f>IFERROR(INDEX(EVENTOS!$D:$D,MATCH(SCORE!AC$2&amp;" "&amp;SCORE!$D489,EVENTOS!$F:$F,0)),0)</f>
        <v>0</v>
      </c>
      <c r="AD489" s="3">
        <f>IFERROR(INDEX(EVENTOS!$D:$D,MATCH(SCORE!AD$2&amp;" "&amp;SCORE!$D489,EVENTOS!$F:$F,0)),0)</f>
        <v>0</v>
      </c>
      <c r="AE489" s="3">
        <f t="shared" si="21"/>
        <v>0</v>
      </c>
      <c r="AF489" s="10" t="e">
        <f t="shared" si="22"/>
        <v>#N/A</v>
      </c>
      <c r="AG489" s="3" t="str">
        <f t="shared" si="23"/>
        <v/>
      </c>
    </row>
    <row r="490" spans="1:33" x14ac:dyDescent="0.25">
      <c r="A490" s="7"/>
      <c r="B490" s="8"/>
      <c r="C490" s="3"/>
      <c r="D490" s="3"/>
      <c r="E490" s="3" t="e">
        <f>VLOOKUP(D490,VIAJES!$D:$E,2,FALSE)</f>
        <v>#N/A</v>
      </c>
      <c r="F490" s="9" t="e">
        <f>VLOOKUP(D490,VIAJES!$D:$F,3,FALSE)</f>
        <v>#N/A</v>
      </c>
      <c r="G490" s="9" t="e">
        <f>VLOOKUP(D490,VIAJES!$D:$G,4,FALSE)</f>
        <v>#N/A</v>
      </c>
      <c r="H490" s="3" t="e">
        <f>VLOOKUP(D490,VIAJES!$D:$H,5,FALSE)</f>
        <v>#N/A</v>
      </c>
      <c r="S490" s="3">
        <f>IFERROR(INDEX(EVENTOS!$D:$D,MATCH(SCORE!S$2&amp;" "&amp;SCORE!$D490,EVENTOS!$F:$F,0)),0)</f>
        <v>0</v>
      </c>
      <c r="T490" s="3">
        <f>IFERROR(INDEX(EVENTOS!$D:$D,MATCH(SCORE!T$2&amp;" "&amp;SCORE!$D490,EVENTOS!$F:$F,0)),0)</f>
        <v>0</v>
      </c>
      <c r="U490" s="3">
        <f>IFERROR(INDEX(EVENTOS!$D:$D,MATCH(SCORE!U$2&amp;" "&amp;SCORE!$D490,EVENTOS!$F:$F,0)),0)</f>
        <v>0</v>
      </c>
      <c r="V490" s="3">
        <f>IFERROR(INDEX(EVENTOS!$D:$D,MATCH(SCORE!V$2&amp;" "&amp;SCORE!$D490,EVENTOS!$F:$F,0)),0)</f>
        <v>0</v>
      </c>
      <c r="W490" s="3">
        <f>IFERROR(INDEX(EVENTOS!$D:$D,MATCH(SCORE!W$2&amp;" "&amp;SCORE!$D490,EVENTOS!$F:$F,0)),0)</f>
        <v>0</v>
      </c>
      <c r="X490" s="3">
        <f>IFERROR(INDEX(EVENTOS!$D:$D,MATCH(SCORE!X$2&amp;" "&amp;SCORE!$D490,EVENTOS!$F:$F,0)),0)</f>
        <v>0</v>
      </c>
      <c r="Y490" s="3">
        <f>SUMIFS(EVENTOS!$D:$D, EVENTOS!$B:$B, D490, EVENTOS!$E:$E, "*GirAlto*")</f>
        <v>0</v>
      </c>
      <c r="Z490" s="3">
        <f>SUMIFS(EVENTOS!$D:$D, EVENTOS!$B:$B, D490, EVENTOS!$E:$E, "*GirMed*")</f>
        <v>0</v>
      </c>
      <c r="AA490" s="3">
        <f>SUMIFS(EVENTOS!$D:$D, EVENTOS!$B:$B, D490, EVENTOS!$E:$E, "*GirBajo*")</f>
        <v>0</v>
      </c>
      <c r="AB490" s="3">
        <f>IFERROR(INDEX(EVENTOS!$D:$D,MATCH(SCORE!AB$2&amp;" "&amp;SCORE!$D490,EVENTOS!$F:$F,0)),0)</f>
        <v>0</v>
      </c>
      <c r="AC490" s="3">
        <f>IFERROR(INDEX(EVENTOS!$D:$D,MATCH(SCORE!AC$2&amp;" "&amp;SCORE!$D490,EVENTOS!$F:$F,0)),0)</f>
        <v>0</v>
      </c>
      <c r="AD490" s="3">
        <f>IFERROR(INDEX(EVENTOS!$D:$D,MATCH(SCORE!AD$2&amp;" "&amp;SCORE!$D490,EVENTOS!$F:$F,0)),0)</f>
        <v>0</v>
      </c>
      <c r="AE490" s="3">
        <f t="shared" si="21"/>
        <v>0</v>
      </c>
      <c r="AF490" s="10" t="e">
        <f t="shared" si="22"/>
        <v>#N/A</v>
      </c>
      <c r="AG490" s="3" t="str">
        <f t="shared" si="23"/>
        <v/>
      </c>
    </row>
    <row r="491" spans="1:33" x14ac:dyDescent="0.25">
      <c r="A491" s="7"/>
      <c r="B491" s="8"/>
      <c r="C491" s="3"/>
      <c r="D491" s="3"/>
      <c r="E491" s="3" t="e">
        <f>VLOOKUP(D491,VIAJES!$D:$E,2,FALSE)</f>
        <v>#N/A</v>
      </c>
      <c r="F491" s="9" t="e">
        <f>VLOOKUP(D491,VIAJES!$D:$F,3,FALSE)</f>
        <v>#N/A</v>
      </c>
      <c r="G491" s="9" t="e">
        <f>VLOOKUP(D491,VIAJES!$D:$G,4,FALSE)</f>
        <v>#N/A</v>
      </c>
      <c r="H491" s="3" t="e">
        <f>VLOOKUP(D491,VIAJES!$D:$H,5,FALSE)</f>
        <v>#N/A</v>
      </c>
      <c r="S491" s="3">
        <f>IFERROR(INDEX(EVENTOS!$D:$D,MATCH(SCORE!S$2&amp;" "&amp;SCORE!$D491,EVENTOS!$F:$F,0)),0)</f>
        <v>0</v>
      </c>
      <c r="T491" s="3">
        <f>IFERROR(INDEX(EVENTOS!$D:$D,MATCH(SCORE!T$2&amp;" "&amp;SCORE!$D491,EVENTOS!$F:$F,0)),0)</f>
        <v>0</v>
      </c>
      <c r="U491" s="3">
        <f>IFERROR(INDEX(EVENTOS!$D:$D,MATCH(SCORE!U$2&amp;" "&amp;SCORE!$D491,EVENTOS!$F:$F,0)),0)</f>
        <v>0</v>
      </c>
      <c r="V491" s="3">
        <f>IFERROR(INDEX(EVENTOS!$D:$D,MATCH(SCORE!V$2&amp;" "&amp;SCORE!$D491,EVENTOS!$F:$F,0)),0)</f>
        <v>0</v>
      </c>
      <c r="W491" s="3">
        <f>IFERROR(INDEX(EVENTOS!$D:$D,MATCH(SCORE!W$2&amp;" "&amp;SCORE!$D491,EVENTOS!$F:$F,0)),0)</f>
        <v>0</v>
      </c>
      <c r="X491" s="3">
        <f>IFERROR(INDEX(EVENTOS!$D:$D,MATCH(SCORE!X$2&amp;" "&amp;SCORE!$D491,EVENTOS!$F:$F,0)),0)</f>
        <v>0</v>
      </c>
      <c r="Y491" s="3">
        <f>SUMIFS(EVENTOS!$D:$D, EVENTOS!$B:$B, D491, EVENTOS!$E:$E, "*GirAlto*")</f>
        <v>0</v>
      </c>
      <c r="Z491" s="3">
        <f>SUMIFS(EVENTOS!$D:$D, EVENTOS!$B:$B, D491, EVENTOS!$E:$E, "*GirMed*")</f>
        <v>0</v>
      </c>
      <c r="AA491" s="3">
        <f>SUMIFS(EVENTOS!$D:$D, EVENTOS!$B:$B, D491, EVENTOS!$E:$E, "*GirBajo*")</f>
        <v>0</v>
      </c>
      <c r="AB491" s="3">
        <f>IFERROR(INDEX(EVENTOS!$D:$D,MATCH(SCORE!AB$2&amp;" "&amp;SCORE!$D491,EVENTOS!$F:$F,0)),0)</f>
        <v>0</v>
      </c>
      <c r="AC491" s="3">
        <f>IFERROR(INDEX(EVENTOS!$D:$D,MATCH(SCORE!AC$2&amp;" "&amp;SCORE!$D491,EVENTOS!$F:$F,0)),0)</f>
        <v>0</v>
      </c>
      <c r="AD491" s="3">
        <f>IFERROR(INDEX(EVENTOS!$D:$D,MATCH(SCORE!AD$2&amp;" "&amp;SCORE!$D491,EVENTOS!$F:$F,0)),0)</f>
        <v>0</v>
      </c>
      <c r="AE491" s="3">
        <f t="shared" si="21"/>
        <v>0</v>
      </c>
      <c r="AF491" s="10" t="e">
        <f t="shared" si="22"/>
        <v>#N/A</v>
      </c>
      <c r="AG491" s="3" t="str">
        <f t="shared" si="23"/>
        <v/>
      </c>
    </row>
    <row r="492" spans="1:33" x14ac:dyDescent="0.25">
      <c r="A492" s="7"/>
      <c r="B492" s="8"/>
      <c r="C492" s="3"/>
      <c r="D492" s="3"/>
      <c r="E492" s="3" t="e">
        <f>VLOOKUP(D492,VIAJES!$D:$E,2,FALSE)</f>
        <v>#N/A</v>
      </c>
      <c r="F492" s="9" t="e">
        <f>VLOOKUP(D492,VIAJES!$D:$F,3,FALSE)</f>
        <v>#N/A</v>
      </c>
      <c r="G492" s="9" t="e">
        <f>VLOOKUP(D492,VIAJES!$D:$G,4,FALSE)</f>
        <v>#N/A</v>
      </c>
      <c r="H492" s="3" t="e">
        <f>VLOOKUP(D492,VIAJES!$D:$H,5,FALSE)</f>
        <v>#N/A</v>
      </c>
      <c r="S492" s="3">
        <f>IFERROR(INDEX(EVENTOS!$D:$D,MATCH(SCORE!S$2&amp;" "&amp;SCORE!$D492,EVENTOS!$F:$F,0)),0)</f>
        <v>0</v>
      </c>
      <c r="T492" s="3">
        <f>IFERROR(INDEX(EVENTOS!$D:$D,MATCH(SCORE!T$2&amp;" "&amp;SCORE!$D492,EVENTOS!$F:$F,0)),0)</f>
        <v>0</v>
      </c>
      <c r="U492" s="3">
        <f>IFERROR(INDEX(EVENTOS!$D:$D,MATCH(SCORE!U$2&amp;" "&amp;SCORE!$D492,EVENTOS!$F:$F,0)),0)</f>
        <v>0</v>
      </c>
      <c r="V492" s="3">
        <f>IFERROR(INDEX(EVENTOS!$D:$D,MATCH(SCORE!V$2&amp;" "&amp;SCORE!$D492,EVENTOS!$F:$F,0)),0)</f>
        <v>0</v>
      </c>
      <c r="W492" s="3">
        <f>IFERROR(INDEX(EVENTOS!$D:$D,MATCH(SCORE!W$2&amp;" "&amp;SCORE!$D492,EVENTOS!$F:$F,0)),0)</f>
        <v>0</v>
      </c>
      <c r="X492" s="3">
        <f>IFERROR(INDEX(EVENTOS!$D:$D,MATCH(SCORE!X$2&amp;" "&amp;SCORE!$D492,EVENTOS!$F:$F,0)),0)</f>
        <v>0</v>
      </c>
      <c r="Y492" s="3">
        <f>SUMIFS(EVENTOS!$D:$D, EVENTOS!$B:$B, D492, EVENTOS!$E:$E, "*GirAlto*")</f>
        <v>0</v>
      </c>
      <c r="Z492" s="3">
        <f>SUMIFS(EVENTOS!$D:$D, EVENTOS!$B:$B, D492, EVENTOS!$E:$E, "*GirMed*")</f>
        <v>0</v>
      </c>
      <c r="AA492" s="3">
        <f>SUMIFS(EVENTOS!$D:$D, EVENTOS!$B:$B, D492, EVENTOS!$E:$E, "*GirBajo*")</f>
        <v>0</v>
      </c>
      <c r="AB492" s="3">
        <f>IFERROR(INDEX(EVENTOS!$D:$D,MATCH(SCORE!AB$2&amp;" "&amp;SCORE!$D492,EVENTOS!$F:$F,0)),0)</f>
        <v>0</v>
      </c>
      <c r="AC492" s="3">
        <f>IFERROR(INDEX(EVENTOS!$D:$D,MATCH(SCORE!AC$2&amp;" "&amp;SCORE!$D492,EVENTOS!$F:$F,0)),0)</f>
        <v>0</v>
      </c>
      <c r="AD492" s="3">
        <f>IFERROR(INDEX(EVENTOS!$D:$D,MATCH(SCORE!AD$2&amp;" "&amp;SCORE!$D492,EVENTOS!$F:$F,0)),0)</f>
        <v>0</v>
      </c>
      <c r="AE492" s="3">
        <f t="shared" si="21"/>
        <v>0</v>
      </c>
      <c r="AF492" s="10" t="e">
        <f t="shared" si="22"/>
        <v>#N/A</v>
      </c>
      <c r="AG492" s="3" t="str">
        <f t="shared" si="23"/>
        <v/>
      </c>
    </row>
    <row r="493" spans="1:33" x14ac:dyDescent="0.25">
      <c r="A493" s="7"/>
      <c r="B493" s="8"/>
      <c r="C493" s="3"/>
      <c r="D493" s="3"/>
      <c r="E493" s="3" t="e">
        <f>VLOOKUP(D493,VIAJES!$D:$E,2,FALSE)</f>
        <v>#N/A</v>
      </c>
      <c r="F493" s="9" t="e">
        <f>VLOOKUP(D493,VIAJES!$D:$F,3,FALSE)</f>
        <v>#N/A</v>
      </c>
      <c r="G493" s="9" t="e">
        <f>VLOOKUP(D493,VIAJES!$D:$G,4,FALSE)</f>
        <v>#N/A</v>
      </c>
      <c r="H493" s="3" t="e">
        <f>VLOOKUP(D493,VIAJES!$D:$H,5,FALSE)</f>
        <v>#N/A</v>
      </c>
      <c r="S493" s="3">
        <f>IFERROR(INDEX(EVENTOS!$D:$D,MATCH(SCORE!S$2&amp;" "&amp;SCORE!$D493,EVENTOS!$F:$F,0)),0)</f>
        <v>0</v>
      </c>
      <c r="T493" s="3">
        <f>IFERROR(INDEX(EVENTOS!$D:$D,MATCH(SCORE!T$2&amp;" "&amp;SCORE!$D493,EVENTOS!$F:$F,0)),0)</f>
        <v>0</v>
      </c>
      <c r="U493" s="3">
        <f>IFERROR(INDEX(EVENTOS!$D:$D,MATCH(SCORE!U$2&amp;" "&amp;SCORE!$D493,EVENTOS!$F:$F,0)),0)</f>
        <v>0</v>
      </c>
      <c r="V493" s="3">
        <f>IFERROR(INDEX(EVENTOS!$D:$D,MATCH(SCORE!V$2&amp;" "&amp;SCORE!$D493,EVENTOS!$F:$F,0)),0)</f>
        <v>0</v>
      </c>
      <c r="W493" s="3">
        <f>IFERROR(INDEX(EVENTOS!$D:$D,MATCH(SCORE!W$2&amp;" "&amp;SCORE!$D493,EVENTOS!$F:$F,0)),0)</f>
        <v>0</v>
      </c>
      <c r="X493" s="3">
        <f>IFERROR(INDEX(EVENTOS!$D:$D,MATCH(SCORE!X$2&amp;" "&amp;SCORE!$D493,EVENTOS!$F:$F,0)),0)</f>
        <v>0</v>
      </c>
      <c r="Y493" s="3">
        <f>SUMIFS(EVENTOS!$D:$D, EVENTOS!$B:$B, D493, EVENTOS!$E:$E, "*GirAlto*")</f>
        <v>0</v>
      </c>
      <c r="Z493" s="3">
        <f>SUMIFS(EVENTOS!$D:$D, EVENTOS!$B:$B, D493, EVENTOS!$E:$E, "*GirMed*")</f>
        <v>0</v>
      </c>
      <c r="AA493" s="3">
        <f>SUMIFS(EVENTOS!$D:$D, EVENTOS!$B:$B, D493, EVENTOS!$E:$E, "*GirBajo*")</f>
        <v>0</v>
      </c>
      <c r="AB493" s="3">
        <f>IFERROR(INDEX(EVENTOS!$D:$D,MATCH(SCORE!AB$2&amp;" "&amp;SCORE!$D493,EVENTOS!$F:$F,0)),0)</f>
        <v>0</v>
      </c>
      <c r="AC493" s="3">
        <f>IFERROR(INDEX(EVENTOS!$D:$D,MATCH(SCORE!AC$2&amp;" "&amp;SCORE!$D493,EVENTOS!$F:$F,0)),0)</f>
        <v>0</v>
      </c>
      <c r="AD493" s="3">
        <f>IFERROR(INDEX(EVENTOS!$D:$D,MATCH(SCORE!AD$2&amp;" "&amp;SCORE!$D493,EVENTOS!$F:$F,0)),0)</f>
        <v>0</v>
      </c>
      <c r="AE493" s="3">
        <f t="shared" si="21"/>
        <v>0</v>
      </c>
      <c r="AF493" s="10" t="e">
        <f t="shared" si="22"/>
        <v>#N/A</v>
      </c>
      <c r="AG493" s="3" t="str">
        <f t="shared" si="23"/>
        <v/>
      </c>
    </row>
    <row r="494" spans="1:33" x14ac:dyDescent="0.25">
      <c r="A494" s="7"/>
      <c r="B494" s="8"/>
      <c r="C494" s="3"/>
      <c r="D494" s="3"/>
      <c r="E494" s="3" t="e">
        <f>VLOOKUP(D494,VIAJES!$D:$E,2,FALSE)</f>
        <v>#N/A</v>
      </c>
      <c r="F494" s="9" t="e">
        <f>VLOOKUP(D494,VIAJES!$D:$F,3,FALSE)</f>
        <v>#N/A</v>
      </c>
      <c r="G494" s="9" t="e">
        <f>VLOOKUP(D494,VIAJES!$D:$G,4,FALSE)</f>
        <v>#N/A</v>
      </c>
      <c r="H494" s="3" t="e">
        <f>VLOOKUP(D494,VIAJES!$D:$H,5,FALSE)</f>
        <v>#N/A</v>
      </c>
      <c r="S494" s="3">
        <f>IFERROR(INDEX(EVENTOS!$D:$D,MATCH(SCORE!S$2&amp;" "&amp;SCORE!$D494,EVENTOS!$F:$F,0)),0)</f>
        <v>0</v>
      </c>
      <c r="T494" s="3">
        <f>IFERROR(INDEX(EVENTOS!$D:$D,MATCH(SCORE!T$2&amp;" "&amp;SCORE!$D494,EVENTOS!$F:$F,0)),0)</f>
        <v>0</v>
      </c>
      <c r="U494" s="3">
        <f>IFERROR(INDEX(EVENTOS!$D:$D,MATCH(SCORE!U$2&amp;" "&amp;SCORE!$D494,EVENTOS!$F:$F,0)),0)</f>
        <v>0</v>
      </c>
      <c r="V494" s="3">
        <f>IFERROR(INDEX(EVENTOS!$D:$D,MATCH(SCORE!V$2&amp;" "&amp;SCORE!$D494,EVENTOS!$F:$F,0)),0)</f>
        <v>0</v>
      </c>
      <c r="W494" s="3">
        <f>IFERROR(INDEX(EVENTOS!$D:$D,MATCH(SCORE!W$2&amp;" "&amp;SCORE!$D494,EVENTOS!$F:$F,0)),0)</f>
        <v>0</v>
      </c>
      <c r="X494" s="3">
        <f>IFERROR(INDEX(EVENTOS!$D:$D,MATCH(SCORE!X$2&amp;" "&amp;SCORE!$D494,EVENTOS!$F:$F,0)),0)</f>
        <v>0</v>
      </c>
      <c r="Y494" s="3">
        <f>SUMIFS(EVENTOS!$D:$D, EVENTOS!$B:$B, D494, EVENTOS!$E:$E, "*GirAlto*")</f>
        <v>0</v>
      </c>
      <c r="Z494" s="3">
        <f>SUMIFS(EVENTOS!$D:$D, EVENTOS!$B:$B, D494, EVENTOS!$E:$E, "*GirMed*")</f>
        <v>0</v>
      </c>
      <c r="AA494" s="3">
        <f>SUMIFS(EVENTOS!$D:$D, EVENTOS!$B:$B, D494, EVENTOS!$E:$E, "*GirBajo*")</f>
        <v>0</v>
      </c>
      <c r="AB494" s="3">
        <f>IFERROR(INDEX(EVENTOS!$D:$D,MATCH(SCORE!AB$2&amp;" "&amp;SCORE!$D494,EVENTOS!$F:$F,0)),0)</f>
        <v>0</v>
      </c>
      <c r="AC494" s="3">
        <f>IFERROR(INDEX(EVENTOS!$D:$D,MATCH(SCORE!AC$2&amp;" "&amp;SCORE!$D494,EVENTOS!$F:$F,0)),0)</f>
        <v>0</v>
      </c>
      <c r="AD494" s="3">
        <f>IFERROR(INDEX(EVENTOS!$D:$D,MATCH(SCORE!AD$2&amp;" "&amp;SCORE!$D494,EVENTOS!$F:$F,0)),0)</f>
        <v>0</v>
      </c>
      <c r="AE494" s="3">
        <f t="shared" si="21"/>
        <v>0</v>
      </c>
      <c r="AF494" s="10" t="e">
        <f t="shared" si="22"/>
        <v>#N/A</v>
      </c>
      <c r="AG494" s="3" t="str">
        <f t="shared" si="23"/>
        <v/>
      </c>
    </row>
    <row r="495" spans="1:33" x14ac:dyDescent="0.25">
      <c r="A495" s="7"/>
      <c r="B495" s="8"/>
      <c r="C495" s="3"/>
      <c r="D495" s="3"/>
      <c r="E495" s="3" t="e">
        <f>VLOOKUP(D495,VIAJES!$D:$E,2,FALSE)</f>
        <v>#N/A</v>
      </c>
      <c r="F495" s="9" t="e">
        <f>VLOOKUP(D495,VIAJES!$D:$F,3,FALSE)</f>
        <v>#N/A</v>
      </c>
      <c r="G495" s="9" t="e">
        <f>VLOOKUP(D495,VIAJES!$D:$G,4,FALSE)</f>
        <v>#N/A</v>
      </c>
      <c r="H495" s="3" t="e">
        <f>VLOOKUP(D495,VIAJES!$D:$H,5,FALSE)</f>
        <v>#N/A</v>
      </c>
      <c r="S495" s="3">
        <f>IFERROR(INDEX(EVENTOS!$D:$D,MATCH(SCORE!S$2&amp;" "&amp;SCORE!$D495,EVENTOS!$F:$F,0)),0)</f>
        <v>0</v>
      </c>
      <c r="T495" s="3">
        <f>IFERROR(INDEX(EVENTOS!$D:$D,MATCH(SCORE!T$2&amp;" "&amp;SCORE!$D495,EVENTOS!$F:$F,0)),0)</f>
        <v>0</v>
      </c>
      <c r="U495" s="3">
        <f>IFERROR(INDEX(EVENTOS!$D:$D,MATCH(SCORE!U$2&amp;" "&amp;SCORE!$D495,EVENTOS!$F:$F,0)),0)</f>
        <v>0</v>
      </c>
      <c r="V495" s="3">
        <f>IFERROR(INDEX(EVENTOS!$D:$D,MATCH(SCORE!V$2&amp;" "&amp;SCORE!$D495,EVENTOS!$F:$F,0)),0)</f>
        <v>0</v>
      </c>
      <c r="W495" s="3">
        <f>IFERROR(INDEX(EVENTOS!$D:$D,MATCH(SCORE!W$2&amp;" "&amp;SCORE!$D495,EVENTOS!$F:$F,0)),0)</f>
        <v>0</v>
      </c>
      <c r="X495" s="3">
        <f>IFERROR(INDEX(EVENTOS!$D:$D,MATCH(SCORE!X$2&amp;" "&amp;SCORE!$D495,EVENTOS!$F:$F,0)),0)</f>
        <v>0</v>
      </c>
      <c r="Y495" s="3">
        <f>SUMIFS(EVENTOS!$D:$D, EVENTOS!$B:$B, D495, EVENTOS!$E:$E, "*GirAlto*")</f>
        <v>0</v>
      </c>
      <c r="Z495" s="3">
        <f>SUMIFS(EVENTOS!$D:$D, EVENTOS!$B:$B, D495, EVENTOS!$E:$E, "*GirMed*")</f>
        <v>0</v>
      </c>
      <c r="AA495" s="3">
        <f>SUMIFS(EVENTOS!$D:$D, EVENTOS!$B:$B, D495, EVENTOS!$E:$E, "*GirBajo*")</f>
        <v>0</v>
      </c>
      <c r="AB495" s="3">
        <f>IFERROR(INDEX(EVENTOS!$D:$D,MATCH(SCORE!AB$2&amp;" "&amp;SCORE!$D495,EVENTOS!$F:$F,0)),0)</f>
        <v>0</v>
      </c>
      <c r="AC495" s="3">
        <f>IFERROR(INDEX(EVENTOS!$D:$D,MATCH(SCORE!AC$2&amp;" "&amp;SCORE!$D495,EVENTOS!$F:$F,0)),0)</f>
        <v>0</v>
      </c>
      <c r="AD495" s="3">
        <f>IFERROR(INDEX(EVENTOS!$D:$D,MATCH(SCORE!AD$2&amp;" "&amp;SCORE!$D495,EVENTOS!$F:$F,0)),0)</f>
        <v>0</v>
      </c>
      <c r="AE495" s="3">
        <f t="shared" si="21"/>
        <v>0</v>
      </c>
      <c r="AF495" s="10" t="e">
        <f t="shared" si="22"/>
        <v>#N/A</v>
      </c>
      <c r="AG495" s="3" t="str">
        <f t="shared" si="23"/>
        <v/>
      </c>
    </row>
    <row r="496" spans="1:33" x14ac:dyDescent="0.25">
      <c r="A496" s="7"/>
      <c r="B496" s="8"/>
      <c r="C496" s="3"/>
      <c r="D496" s="3"/>
      <c r="E496" s="3" t="e">
        <f>VLOOKUP(D496,VIAJES!$D:$E,2,FALSE)</f>
        <v>#N/A</v>
      </c>
      <c r="F496" s="9" t="e">
        <f>VLOOKUP(D496,VIAJES!$D:$F,3,FALSE)</f>
        <v>#N/A</v>
      </c>
      <c r="G496" s="9" t="e">
        <f>VLOOKUP(D496,VIAJES!$D:$G,4,FALSE)</f>
        <v>#N/A</v>
      </c>
      <c r="H496" s="3" t="e">
        <f>VLOOKUP(D496,VIAJES!$D:$H,5,FALSE)</f>
        <v>#N/A</v>
      </c>
      <c r="S496" s="3">
        <f>IFERROR(INDEX(EVENTOS!$D:$D,MATCH(SCORE!S$2&amp;" "&amp;SCORE!$D496,EVENTOS!$F:$F,0)),0)</f>
        <v>0</v>
      </c>
      <c r="T496" s="3">
        <f>IFERROR(INDEX(EVENTOS!$D:$D,MATCH(SCORE!T$2&amp;" "&amp;SCORE!$D496,EVENTOS!$F:$F,0)),0)</f>
        <v>0</v>
      </c>
      <c r="U496" s="3">
        <f>IFERROR(INDEX(EVENTOS!$D:$D,MATCH(SCORE!U$2&amp;" "&amp;SCORE!$D496,EVENTOS!$F:$F,0)),0)</f>
        <v>0</v>
      </c>
      <c r="V496" s="3">
        <f>IFERROR(INDEX(EVENTOS!$D:$D,MATCH(SCORE!V$2&amp;" "&amp;SCORE!$D496,EVENTOS!$F:$F,0)),0)</f>
        <v>0</v>
      </c>
      <c r="W496" s="3">
        <f>IFERROR(INDEX(EVENTOS!$D:$D,MATCH(SCORE!W$2&amp;" "&amp;SCORE!$D496,EVENTOS!$F:$F,0)),0)</f>
        <v>0</v>
      </c>
      <c r="X496" s="3">
        <f>IFERROR(INDEX(EVENTOS!$D:$D,MATCH(SCORE!X$2&amp;" "&amp;SCORE!$D496,EVENTOS!$F:$F,0)),0)</f>
        <v>0</v>
      </c>
      <c r="Y496" s="3">
        <f>SUMIFS(EVENTOS!$D:$D, EVENTOS!$B:$B, D496, EVENTOS!$E:$E, "*GirAlto*")</f>
        <v>0</v>
      </c>
      <c r="Z496" s="3">
        <f>SUMIFS(EVENTOS!$D:$D, EVENTOS!$B:$B, D496, EVENTOS!$E:$E, "*GirMed*")</f>
        <v>0</v>
      </c>
      <c r="AA496" s="3">
        <f>SUMIFS(EVENTOS!$D:$D, EVENTOS!$B:$B, D496, EVENTOS!$E:$E, "*GirBajo*")</f>
        <v>0</v>
      </c>
      <c r="AB496" s="3">
        <f>IFERROR(INDEX(EVENTOS!$D:$D,MATCH(SCORE!AB$2&amp;" "&amp;SCORE!$D496,EVENTOS!$F:$F,0)),0)</f>
        <v>0</v>
      </c>
      <c r="AC496" s="3">
        <f>IFERROR(INDEX(EVENTOS!$D:$D,MATCH(SCORE!AC$2&amp;" "&amp;SCORE!$D496,EVENTOS!$F:$F,0)),0)</f>
        <v>0</v>
      </c>
      <c r="AD496" s="3">
        <f>IFERROR(INDEX(EVENTOS!$D:$D,MATCH(SCORE!AD$2&amp;" "&amp;SCORE!$D496,EVENTOS!$F:$F,0)),0)</f>
        <v>0</v>
      </c>
      <c r="AE496" s="3">
        <f t="shared" si="21"/>
        <v>0</v>
      </c>
      <c r="AF496" s="10" t="e">
        <f t="shared" si="22"/>
        <v>#N/A</v>
      </c>
      <c r="AG496" s="3" t="str">
        <f t="shared" si="23"/>
        <v/>
      </c>
    </row>
    <row r="497" spans="1:33" x14ac:dyDescent="0.25">
      <c r="A497" s="7"/>
      <c r="B497" s="8"/>
      <c r="C497" s="3"/>
      <c r="D497" s="3"/>
      <c r="E497" s="3" t="e">
        <f>VLOOKUP(D497,VIAJES!$D:$E,2,FALSE)</f>
        <v>#N/A</v>
      </c>
      <c r="F497" s="9" t="e">
        <f>VLOOKUP(D497,VIAJES!$D:$F,3,FALSE)</f>
        <v>#N/A</v>
      </c>
      <c r="G497" s="9" t="e">
        <f>VLOOKUP(D497,VIAJES!$D:$G,4,FALSE)</f>
        <v>#N/A</v>
      </c>
      <c r="H497" s="3" t="e">
        <f>VLOOKUP(D497,VIAJES!$D:$H,5,FALSE)</f>
        <v>#N/A</v>
      </c>
      <c r="S497" s="3">
        <f>IFERROR(INDEX(EVENTOS!$D:$D,MATCH(SCORE!S$2&amp;" "&amp;SCORE!$D497,EVENTOS!$F:$F,0)),0)</f>
        <v>0</v>
      </c>
      <c r="T497" s="3">
        <f>IFERROR(INDEX(EVENTOS!$D:$D,MATCH(SCORE!T$2&amp;" "&amp;SCORE!$D497,EVENTOS!$F:$F,0)),0)</f>
        <v>0</v>
      </c>
      <c r="U497" s="3">
        <f>IFERROR(INDEX(EVENTOS!$D:$D,MATCH(SCORE!U$2&amp;" "&amp;SCORE!$D497,EVENTOS!$F:$F,0)),0)</f>
        <v>0</v>
      </c>
      <c r="V497" s="3">
        <f>IFERROR(INDEX(EVENTOS!$D:$D,MATCH(SCORE!V$2&amp;" "&amp;SCORE!$D497,EVENTOS!$F:$F,0)),0)</f>
        <v>0</v>
      </c>
      <c r="W497" s="3">
        <f>IFERROR(INDEX(EVENTOS!$D:$D,MATCH(SCORE!W$2&amp;" "&amp;SCORE!$D497,EVENTOS!$F:$F,0)),0)</f>
        <v>0</v>
      </c>
      <c r="X497" s="3">
        <f>IFERROR(INDEX(EVENTOS!$D:$D,MATCH(SCORE!X$2&amp;" "&amp;SCORE!$D497,EVENTOS!$F:$F,0)),0)</f>
        <v>0</v>
      </c>
      <c r="Y497" s="3">
        <f>SUMIFS(EVENTOS!$D:$D, EVENTOS!$B:$B, D497, EVENTOS!$E:$E, "*GirAlto*")</f>
        <v>0</v>
      </c>
      <c r="Z497" s="3">
        <f>SUMIFS(EVENTOS!$D:$D, EVENTOS!$B:$B, D497, EVENTOS!$E:$E, "*GirMed*")</f>
        <v>0</v>
      </c>
      <c r="AA497" s="3">
        <f>SUMIFS(EVENTOS!$D:$D, EVENTOS!$B:$B, D497, EVENTOS!$E:$E, "*GirBajo*")</f>
        <v>0</v>
      </c>
      <c r="AB497" s="3">
        <f>IFERROR(INDEX(EVENTOS!$D:$D,MATCH(SCORE!AB$2&amp;" "&amp;SCORE!$D497,EVENTOS!$F:$F,0)),0)</f>
        <v>0</v>
      </c>
      <c r="AC497" s="3">
        <f>IFERROR(INDEX(EVENTOS!$D:$D,MATCH(SCORE!AC$2&amp;" "&amp;SCORE!$D497,EVENTOS!$F:$F,0)),0)</f>
        <v>0</v>
      </c>
      <c r="AD497" s="3">
        <f>IFERROR(INDEX(EVENTOS!$D:$D,MATCH(SCORE!AD$2&amp;" "&amp;SCORE!$D497,EVENTOS!$F:$F,0)),0)</f>
        <v>0</v>
      </c>
      <c r="AE497" s="3">
        <f t="shared" si="21"/>
        <v>0</v>
      </c>
      <c r="AF497" s="10" t="e">
        <f t="shared" si="22"/>
        <v>#N/A</v>
      </c>
      <c r="AG497" s="3" t="str">
        <f t="shared" si="23"/>
        <v/>
      </c>
    </row>
    <row r="498" spans="1:33" x14ac:dyDescent="0.25">
      <c r="A498" s="7"/>
      <c r="B498" s="8"/>
      <c r="C498" s="3"/>
      <c r="D498" s="3"/>
      <c r="E498" s="3" t="e">
        <f>VLOOKUP(D498,VIAJES!$D:$E,2,FALSE)</f>
        <v>#N/A</v>
      </c>
      <c r="F498" s="9" t="e">
        <f>VLOOKUP(D498,VIAJES!$D:$F,3,FALSE)</f>
        <v>#N/A</v>
      </c>
      <c r="G498" s="9" t="e">
        <f>VLOOKUP(D498,VIAJES!$D:$G,4,FALSE)</f>
        <v>#N/A</v>
      </c>
      <c r="H498" s="3" t="e">
        <f>VLOOKUP(D498,VIAJES!$D:$H,5,FALSE)</f>
        <v>#N/A</v>
      </c>
      <c r="S498" s="3">
        <f>IFERROR(INDEX(EVENTOS!$D:$D,MATCH(SCORE!S$2&amp;" "&amp;SCORE!$D498,EVENTOS!$F:$F,0)),0)</f>
        <v>0</v>
      </c>
      <c r="T498" s="3">
        <f>IFERROR(INDEX(EVENTOS!$D:$D,MATCH(SCORE!T$2&amp;" "&amp;SCORE!$D498,EVENTOS!$F:$F,0)),0)</f>
        <v>0</v>
      </c>
      <c r="U498" s="3">
        <f>IFERROR(INDEX(EVENTOS!$D:$D,MATCH(SCORE!U$2&amp;" "&amp;SCORE!$D498,EVENTOS!$F:$F,0)),0)</f>
        <v>0</v>
      </c>
      <c r="V498" s="3">
        <f>IFERROR(INDEX(EVENTOS!$D:$D,MATCH(SCORE!V$2&amp;" "&amp;SCORE!$D498,EVENTOS!$F:$F,0)),0)</f>
        <v>0</v>
      </c>
      <c r="W498" s="3">
        <f>IFERROR(INDEX(EVENTOS!$D:$D,MATCH(SCORE!W$2&amp;" "&amp;SCORE!$D498,EVENTOS!$F:$F,0)),0)</f>
        <v>0</v>
      </c>
      <c r="X498" s="3">
        <f>IFERROR(INDEX(EVENTOS!$D:$D,MATCH(SCORE!X$2&amp;" "&amp;SCORE!$D498,EVENTOS!$F:$F,0)),0)</f>
        <v>0</v>
      </c>
      <c r="Y498" s="3">
        <f>SUMIFS(EVENTOS!$D:$D, EVENTOS!$B:$B, D498, EVENTOS!$E:$E, "*GirAlto*")</f>
        <v>0</v>
      </c>
      <c r="Z498" s="3">
        <f>SUMIFS(EVENTOS!$D:$D, EVENTOS!$B:$B, D498, EVENTOS!$E:$E, "*GirMed*")</f>
        <v>0</v>
      </c>
      <c r="AA498" s="3">
        <f>SUMIFS(EVENTOS!$D:$D, EVENTOS!$B:$B, D498, EVENTOS!$E:$E, "*GirBajo*")</f>
        <v>0</v>
      </c>
      <c r="AB498" s="3">
        <f>IFERROR(INDEX(EVENTOS!$D:$D,MATCH(SCORE!AB$2&amp;" "&amp;SCORE!$D498,EVENTOS!$F:$F,0)),0)</f>
        <v>0</v>
      </c>
      <c r="AC498" s="3">
        <f>IFERROR(INDEX(EVENTOS!$D:$D,MATCH(SCORE!AC$2&amp;" "&amp;SCORE!$D498,EVENTOS!$F:$F,0)),0)</f>
        <v>0</v>
      </c>
      <c r="AD498" s="3">
        <f>IFERROR(INDEX(EVENTOS!$D:$D,MATCH(SCORE!AD$2&amp;" "&amp;SCORE!$D498,EVENTOS!$F:$F,0)),0)</f>
        <v>0</v>
      </c>
      <c r="AE498" s="3">
        <f t="shared" si="21"/>
        <v>0</v>
      </c>
      <c r="AF498" s="10" t="e">
        <f t="shared" si="22"/>
        <v>#N/A</v>
      </c>
      <c r="AG498" s="3" t="str">
        <f t="shared" si="23"/>
        <v/>
      </c>
    </row>
    <row r="499" spans="1:33" x14ac:dyDescent="0.25">
      <c r="A499" s="7"/>
      <c r="B499" s="8"/>
      <c r="C499" s="3"/>
      <c r="D499" s="3"/>
      <c r="E499" s="3" t="e">
        <f>VLOOKUP(D499,VIAJES!$D:$E,2,FALSE)</f>
        <v>#N/A</v>
      </c>
      <c r="F499" s="9" t="e">
        <f>VLOOKUP(D499,VIAJES!$D:$F,3,FALSE)</f>
        <v>#N/A</v>
      </c>
      <c r="G499" s="9" t="e">
        <f>VLOOKUP(D499,VIAJES!$D:$G,4,FALSE)</f>
        <v>#N/A</v>
      </c>
      <c r="H499" s="3" t="e">
        <f>VLOOKUP(D499,VIAJES!$D:$H,5,FALSE)</f>
        <v>#N/A</v>
      </c>
      <c r="S499" s="3">
        <f>IFERROR(INDEX(EVENTOS!$D:$D,MATCH(SCORE!S$2&amp;" "&amp;SCORE!$D499,EVENTOS!$F:$F,0)),0)</f>
        <v>0</v>
      </c>
      <c r="T499" s="3">
        <f>IFERROR(INDEX(EVENTOS!$D:$D,MATCH(SCORE!T$2&amp;" "&amp;SCORE!$D499,EVENTOS!$F:$F,0)),0)</f>
        <v>0</v>
      </c>
      <c r="U499" s="3">
        <f>IFERROR(INDEX(EVENTOS!$D:$D,MATCH(SCORE!U$2&amp;" "&amp;SCORE!$D499,EVENTOS!$F:$F,0)),0)</f>
        <v>0</v>
      </c>
      <c r="V499" s="3">
        <f>IFERROR(INDEX(EVENTOS!$D:$D,MATCH(SCORE!V$2&amp;" "&amp;SCORE!$D499,EVENTOS!$F:$F,0)),0)</f>
        <v>0</v>
      </c>
      <c r="W499" s="3">
        <f>IFERROR(INDEX(EVENTOS!$D:$D,MATCH(SCORE!W$2&amp;" "&amp;SCORE!$D499,EVENTOS!$F:$F,0)),0)</f>
        <v>0</v>
      </c>
      <c r="X499" s="3">
        <f>IFERROR(INDEX(EVENTOS!$D:$D,MATCH(SCORE!X$2&amp;" "&amp;SCORE!$D499,EVENTOS!$F:$F,0)),0)</f>
        <v>0</v>
      </c>
      <c r="Y499" s="3">
        <f>SUMIFS(EVENTOS!$D:$D, EVENTOS!$B:$B, D499, EVENTOS!$E:$E, "*GirAlto*")</f>
        <v>0</v>
      </c>
      <c r="Z499" s="3">
        <f>SUMIFS(EVENTOS!$D:$D, EVENTOS!$B:$B, D499, EVENTOS!$E:$E, "*GirMed*")</f>
        <v>0</v>
      </c>
      <c r="AA499" s="3">
        <f>SUMIFS(EVENTOS!$D:$D, EVENTOS!$B:$B, D499, EVENTOS!$E:$E, "*GirBajo*")</f>
        <v>0</v>
      </c>
      <c r="AB499" s="3">
        <f>IFERROR(INDEX(EVENTOS!$D:$D,MATCH(SCORE!AB$2&amp;" "&amp;SCORE!$D499,EVENTOS!$F:$F,0)),0)</f>
        <v>0</v>
      </c>
      <c r="AC499" s="3">
        <f>IFERROR(INDEX(EVENTOS!$D:$D,MATCH(SCORE!AC$2&amp;" "&amp;SCORE!$D499,EVENTOS!$F:$F,0)),0)</f>
        <v>0</v>
      </c>
      <c r="AD499" s="3">
        <f>IFERROR(INDEX(EVENTOS!$D:$D,MATCH(SCORE!AD$2&amp;" "&amp;SCORE!$D499,EVENTOS!$F:$F,0)),0)</f>
        <v>0</v>
      </c>
      <c r="AE499" s="3">
        <f t="shared" si="21"/>
        <v>0</v>
      </c>
      <c r="AF499" s="10" t="e">
        <f t="shared" si="22"/>
        <v>#N/A</v>
      </c>
      <c r="AG499" s="3" t="str">
        <f t="shared" si="23"/>
        <v/>
      </c>
    </row>
    <row r="500" spans="1:33" x14ac:dyDescent="0.25">
      <c r="A500" s="7"/>
      <c r="B500" s="8"/>
      <c r="C500" s="3"/>
      <c r="D500" s="3"/>
      <c r="E500" s="3" t="e">
        <f>VLOOKUP(D500,VIAJES!$D:$E,2,FALSE)</f>
        <v>#N/A</v>
      </c>
      <c r="F500" s="9" t="e">
        <f>VLOOKUP(D500,VIAJES!$D:$F,3,FALSE)</f>
        <v>#N/A</v>
      </c>
      <c r="G500" s="9" t="e">
        <f>VLOOKUP(D500,VIAJES!$D:$G,4,FALSE)</f>
        <v>#N/A</v>
      </c>
      <c r="H500" s="3" t="e">
        <f>VLOOKUP(D500,VIAJES!$D:$H,5,FALSE)</f>
        <v>#N/A</v>
      </c>
      <c r="S500" s="3">
        <f>IFERROR(INDEX(EVENTOS!$D:$D,MATCH(SCORE!S$2&amp;" "&amp;SCORE!$D500,EVENTOS!$F:$F,0)),0)</f>
        <v>0</v>
      </c>
      <c r="T500" s="3">
        <f>IFERROR(INDEX(EVENTOS!$D:$D,MATCH(SCORE!T$2&amp;" "&amp;SCORE!$D500,EVENTOS!$F:$F,0)),0)</f>
        <v>0</v>
      </c>
      <c r="U500" s="3">
        <f>IFERROR(INDEX(EVENTOS!$D:$D,MATCH(SCORE!U$2&amp;" "&amp;SCORE!$D500,EVENTOS!$F:$F,0)),0)</f>
        <v>0</v>
      </c>
      <c r="V500" s="3">
        <f>IFERROR(INDEX(EVENTOS!$D:$D,MATCH(SCORE!V$2&amp;" "&amp;SCORE!$D500,EVENTOS!$F:$F,0)),0)</f>
        <v>0</v>
      </c>
      <c r="W500" s="3">
        <f>IFERROR(INDEX(EVENTOS!$D:$D,MATCH(SCORE!W$2&amp;" "&amp;SCORE!$D500,EVENTOS!$F:$F,0)),0)</f>
        <v>0</v>
      </c>
      <c r="X500" s="3">
        <f>IFERROR(INDEX(EVENTOS!$D:$D,MATCH(SCORE!X$2&amp;" "&amp;SCORE!$D500,EVENTOS!$F:$F,0)),0)</f>
        <v>0</v>
      </c>
      <c r="Y500" s="3">
        <f>SUMIFS(EVENTOS!$D:$D, EVENTOS!$B:$B, D500, EVENTOS!$E:$E, "*GirAlto*")</f>
        <v>0</v>
      </c>
      <c r="Z500" s="3">
        <f>SUMIFS(EVENTOS!$D:$D, EVENTOS!$B:$B, D500, EVENTOS!$E:$E, "*GirMed*")</f>
        <v>0</v>
      </c>
      <c r="AA500" s="3">
        <f>SUMIFS(EVENTOS!$D:$D, EVENTOS!$B:$B, D500, EVENTOS!$E:$E, "*GirBajo*")</f>
        <v>0</v>
      </c>
      <c r="AB500" s="3">
        <f>IFERROR(INDEX(EVENTOS!$D:$D,MATCH(SCORE!AB$2&amp;" "&amp;SCORE!$D500,EVENTOS!$F:$F,0)),0)</f>
        <v>0</v>
      </c>
      <c r="AC500" s="3">
        <f>IFERROR(INDEX(EVENTOS!$D:$D,MATCH(SCORE!AC$2&amp;" "&amp;SCORE!$D500,EVENTOS!$F:$F,0)),0)</f>
        <v>0</v>
      </c>
      <c r="AD500" s="3">
        <f>IFERROR(INDEX(EVENTOS!$D:$D,MATCH(SCORE!AD$2&amp;" "&amp;SCORE!$D500,EVENTOS!$F:$F,0)),0)</f>
        <v>0</v>
      </c>
      <c r="AE500" s="3">
        <f t="shared" si="21"/>
        <v>0</v>
      </c>
      <c r="AF500" s="10" t="e">
        <f t="shared" si="22"/>
        <v>#N/A</v>
      </c>
      <c r="AG500" s="3" t="str">
        <f t="shared" si="23"/>
        <v/>
      </c>
    </row>
    <row r="501" spans="1:33" x14ac:dyDescent="0.25">
      <c r="A501" s="7"/>
      <c r="B501" s="8"/>
      <c r="C501" s="3"/>
      <c r="D501" s="3"/>
      <c r="E501" s="3" t="e">
        <f>VLOOKUP(D501,VIAJES!$D:$E,2,FALSE)</f>
        <v>#N/A</v>
      </c>
      <c r="F501" s="9" t="e">
        <f>VLOOKUP(D501,VIAJES!$D:$F,3,FALSE)</f>
        <v>#N/A</v>
      </c>
      <c r="G501" s="9" t="e">
        <f>VLOOKUP(D501,VIAJES!$D:$G,4,FALSE)</f>
        <v>#N/A</v>
      </c>
      <c r="H501" s="3" t="e">
        <f>VLOOKUP(D501,VIAJES!$D:$H,5,FALSE)</f>
        <v>#N/A</v>
      </c>
      <c r="S501" s="3">
        <f>IFERROR(INDEX(EVENTOS!$D:$D,MATCH(SCORE!S$2&amp;" "&amp;SCORE!$D501,EVENTOS!$F:$F,0)),0)</f>
        <v>0</v>
      </c>
      <c r="T501" s="3">
        <f>IFERROR(INDEX(EVENTOS!$D:$D,MATCH(SCORE!T$2&amp;" "&amp;SCORE!$D501,EVENTOS!$F:$F,0)),0)</f>
        <v>0</v>
      </c>
      <c r="U501" s="3">
        <f>IFERROR(INDEX(EVENTOS!$D:$D,MATCH(SCORE!U$2&amp;" "&amp;SCORE!$D501,EVENTOS!$F:$F,0)),0)</f>
        <v>0</v>
      </c>
      <c r="V501" s="3">
        <f>IFERROR(INDEX(EVENTOS!$D:$D,MATCH(SCORE!V$2&amp;" "&amp;SCORE!$D501,EVENTOS!$F:$F,0)),0)</f>
        <v>0</v>
      </c>
      <c r="W501" s="3">
        <f>IFERROR(INDEX(EVENTOS!$D:$D,MATCH(SCORE!W$2&amp;" "&amp;SCORE!$D501,EVENTOS!$F:$F,0)),0)</f>
        <v>0</v>
      </c>
      <c r="X501" s="3">
        <f>IFERROR(INDEX(EVENTOS!$D:$D,MATCH(SCORE!X$2&amp;" "&amp;SCORE!$D501,EVENTOS!$F:$F,0)),0)</f>
        <v>0</v>
      </c>
      <c r="Y501" s="3">
        <f>SUMIFS(EVENTOS!$D:$D, EVENTOS!$B:$B, D501, EVENTOS!$E:$E, "*GirAlto*")</f>
        <v>0</v>
      </c>
      <c r="Z501" s="3">
        <f>SUMIFS(EVENTOS!$D:$D, EVENTOS!$B:$B, D501, EVENTOS!$E:$E, "*GirMed*")</f>
        <v>0</v>
      </c>
      <c r="AA501" s="3">
        <f>SUMIFS(EVENTOS!$D:$D, EVENTOS!$B:$B, D501, EVENTOS!$E:$E, "*GirBajo*")</f>
        <v>0</v>
      </c>
      <c r="AB501" s="3">
        <f>IFERROR(INDEX(EVENTOS!$D:$D,MATCH(SCORE!AB$2&amp;" "&amp;SCORE!$D501,EVENTOS!$F:$F,0)),0)</f>
        <v>0</v>
      </c>
      <c r="AC501" s="3">
        <f>IFERROR(INDEX(EVENTOS!$D:$D,MATCH(SCORE!AC$2&amp;" "&amp;SCORE!$D501,EVENTOS!$F:$F,0)),0)</f>
        <v>0</v>
      </c>
      <c r="AD501" s="3">
        <f>IFERROR(INDEX(EVENTOS!$D:$D,MATCH(SCORE!AD$2&amp;" "&amp;SCORE!$D501,EVENTOS!$F:$F,0)),0)</f>
        <v>0</v>
      </c>
      <c r="AE501" s="3">
        <f t="shared" si="21"/>
        <v>0</v>
      </c>
      <c r="AF501" s="10" t="e">
        <f t="shared" si="22"/>
        <v>#N/A</v>
      </c>
      <c r="AG501" s="3" t="str">
        <f t="shared" si="23"/>
        <v/>
      </c>
    </row>
    <row r="502" spans="1:33" x14ac:dyDescent="0.25">
      <c r="A502" s="7"/>
      <c r="B502" s="8"/>
      <c r="C502" s="3"/>
      <c r="D502" s="3"/>
      <c r="E502" s="3" t="e">
        <f>VLOOKUP(D502,VIAJES!$D:$E,2,FALSE)</f>
        <v>#N/A</v>
      </c>
      <c r="F502" s="9" t="e">
        <f>VLOOKUP(D502,VIAJES!$D:$F,3,FALSE)</f>
        <v>#N/A</v>
      </c>
      <c r="G502" s="9" t="e">
        <f>VLOOKUP(D502,VIAJES!$D:$G,4,FALSE)</f>
        <v>#N/A</v>
      </c>
      <c r="H502" s="3" t="e">
        <f>VLOOKUP(D502,VIAJES!$D:$H,5,FALSE)</f>
        <v>#N/A</v>
      </c>
      <c r="S502" s="3">
        <f>IFERROR(INDEX(EVENTOS!$D:$D,MATCH(SCORE!S$2&amp;" "&amp;SCORE!$D502,EVENTOS!$F:$F,0)),0)</f>
        <v>0</v>
      </c>
      <c r="T502" s="3">
        <f>IFERROR(INDEX(EVENTOS!$D:$D,MATCH(SCORE!T$2&amp;" "&amp;SCORE!$D502,EVENTOS!$F:$F,0)),0)</f>
        <v>0</v>
      </c>
      <c r="U502" s="3">
        <f>IFERROR(INDEX(EVENTOS!$D:$D,MATCH(SCORE!U$2&amp;" "&amp;SCORE!$D502,EVENTOS!$F:$F,0)),0)</f>
        <v>0</v>
      </c>
      <c r="V502" s="3">
        <f>IFERROR(INDEX(EVENTOS!$D:$D,MATCH(SCORE!V$2&amp;" "&amp;SCORE!$D502,EVENTOS!$F:$F,0)),0)</f>
        <v>0</v>
      </c>
      <c r="W502" s="3">
        <f>IFERROR(INDEX(EVENTOS!$D:$D,MATCH(SCORE!W$2&amp;" "&amp;SCORE!$D502,EVENTOS!$F:$F,0)),0)</f>
        <v>0</v>
      </c>
      <c r="X502" s="3">
        <f>IFERROR(INDEX(EVENTOS!$D:$D,MATCH(SCORE!X$2&amp;" "&amp;SCORE!$D502,EVENTOS!$F:$F,0)),0)</f>
        <v>0</v>
      </c>
      <c r="Y502" s="3">
        <f>SUMIFS(EVENTOS!$D:$D, EVENTOS!$B:$B, D502, EVENTOS!$E:$E, "*GirAlto*")</f>
        <v>0</v>
      </c>
      <c r="Z502" s="3">
        <f>SUMIFS(EVENTOS!$D:$D, EVENTOS!$B:$B, D502, EVENTOS!$E:$E, "*GirMed*")</f>
        <v>0</v>
      </c>
      <c r="AA502" s="3">
        <f>SUMIFS(EVENTOS!$D:$D, EVENTOS!$B:$B, D502, EVENTOS!$E:$E, "*GirBajo*")</f>
        <v>0</v>
      </c>
      <c r="AB502" s="3">
        <f>IFERROR(INDEX(EVENTOS!$D:$D,MATCH(SCORE!AB$2&amp;" "&amp;SCORE!$D502,EVENTOS!$F:$F,0)),0)</f>
        <v>0</v>
      </c>
      <c r="AC502" s="3">
        <f>IFERROR(INDEX(EVENTOS!$D:$D,MATCH(SCORE!AC$2&amp;" "&amp;SCORE!$D502,EVENTOS!$F:$F,0)),0)</f>
        <v>0</v>
      </c>
      <c r="AD502" s="3">
        <f>IFERROR(INDEX(EVENTOS!$D:$D,MATCH(SCORE!AD$2&amp;" "&amp;SCORE!$D502,EVENTOS!$F:$F,0)),0)</f>
        <v>0</v>
      </c>
      <c r="AE502" s="3">
        <f t="shared" si="21"/>
        <v>0</v>
      </c>
      <c r="AF502" s="10" t="e">
        <f t="shared" si="22"/>
        <v>#N/A</v>
      </c>
      <c r="AG502" s="3" t="str">
        <f t="shared" si="23"/>
        <v/>
      </c>
    </row>
    <row r="503" spans="1:33" x14ac:dyDescent="0.25">
      <c r="A503" s="7"/>
      <c r="B503" s="8"/>
      <c r="C503" s="3"/>
      <c r="D503" s="3"/>
      <c r="E503" s="3" t="e">
        <f>VLOOKUP(D503,VIAJES!$D:$E,2,FALSE)</f>
        <v>#N/A</v>
      </c>
      <c r="F503" s="9" t="e">
        <f>VLOOKUP(D503,VIAJES!$D:$F,3,FALSE)</f>
        <v>#N/A</v>
      </c>
      <c r="G503" s="9" t="e">
        <f>VLOOKUP(D503,VIAJES!$D:$G,4,FALSE)</f>
        <v>#N/A</v>
      </c>
      <c r="H503" s="3" t="e">
        <f>VLOOKUP(D503,VIAJES!$D:$H,5,FALSE)</f>
        <v>#N/A</v>
      </c>
      <c r="S503" s="3">
        <f>IFERROR(INDEX(EVENTOS!$D:$D,MATCH(SCORE!S$2&amp;" "&amp;SCORE!$D503,EVENTOS!$F:$F,0)),0)</f>
        <v>0</v>
      </c>
      <c r="T503" s="3">
        <f>IFERROR(INDEX(EVENTOS!$D:$D,MATCH(SCORE!T$2&amp;" "&amp;SCORE!$D503,EVENTOS!$F:$F,0)),0)</f>
        <v>0</v>
      </c>
      <c r="U503" s="3">
        <f>IFERROR(INDEX(EVENTOS!$D:$D,MATCH(SCORE!U$2&amp;" "&amp;SCORE!$D503,EVENTOS!$F:$F,0)),0)</f>
        <v>0</v>
      </c>
      <c r="V503" s="3">
        <f>IFERROR(INDEX(EVENTOS!$D:$D,MATCH(SCORE!V$2&amp;" "&amp;SCORE!$D503,EVENTOS!$F:$F,0)),0)</f>
        <v>0</v>
      </c>
      <c r="W503" s="3">
        <f>IFERROR(INDEX(EVENTOS!$D:$D,MATCH(SCORE!W$2&amp;" "&amp;SCORE!$D503,EVENTOS!$F:$F,0)),0)</f>
        <v>0</v>
      </c>
      <c r="X503" s="3">
        <f>IFERROR(INDEX(EVENTOS!$D:$D,MATCH(SCORE!X$2&amp;" "&amp;SCORE!$D503,EVENTOS!$F:$F,0)),0)</f>
        <v>0</v>
      </c>
      <c r="Y503" s="3">
        <f>SUMIFS(EVENTOS!$D:$D, EVENTOS!$B:$B, D503, EVENTOS!$E:$E, "*GirAlto*")</f>
        <v>0</v>
      </c>
      <c r="Z503" s="3">
        <f>SUMIFS(EVENTOS!$D:$D, EVENTOS!$B:$B, D503, EVENTOS!$E:$E, "*GirMed*")</f>
        <v>0</v>
      </c>
      <c r="AA503" s="3">
        <f>SUMIFS(EVENTOS!$D:$D, EVENTOS!$B:$B, D503, EVENTOS!$E:$E, "*GirBajo*")</f>
        <v>0</v>
      </c>
      <c r="AB503" s="3">
        <f>IFERROR(INDEX(EVENTOS!$D:$D,MATCH(SCORE!AB$2&amp;" "&amp;SCORE!$D503,EVENTOS!$F:$F,0)),0)</f>
        <v>0</v>
      </c>
      <c r="AC503" s="3">
        <f>IFERROR(INDEX(EVENTOS!$D:$D,MATCH(SCORE!AC$2&amp;" "&amp;SCORE!$D503,EVENTOS!$F:$F,0)),0)</f>
        <v>0</v>
      </c>
      <c r="AD503" s="3">
        <f>IFERROR(INDEX(EVENTOS!$D:$D,MATCH(SCORE!AD$2&amp;" "&amp;SCORE!$D503,EVENTOS!$F:$F,0)),0)</f>
        <v>0</v>
      </c>
      <c r="AE503" s="3">
        <f t="shared" si="21"/>
        <v>0</v>
      </c>
      <c r="AF503" s="10" t="e">
        <f t="shared" si="22"/>
        <v>#N/A</v>
      </c>
      <c r="AG503" s="3" t="str">
        <f t="shared" si="23"/>
        <v/>
      </c>
    </row>
    <row r="504" spans="1:33" x14ac:dyDescent="0.25">
      <c r="A504" s="7"/>
      <c r="B504" s="8"/>
      <c r="C504" s="3"/>
      <c r="D504" s="3"/>
      <c r="E504" s="3" t="e">
        <f>VLOOKUP(D504,VIAJES!$D:$E,2,FALSE)</f>
        <v>#N/A</v>
      </c>
      <c r="F504" s="9" t="e">
        <f>VLOOKUP(D504,VIAJES!$D:$F,3,FALSE)</f>
        <v>#N/A</v>
      </c>
      <c r="G504" s="9" t="e">
        <f>VLOOKUP(D504,VIAJES!$D:$G,4,FALSE)</f>
        <v>#N/A</v>
      </c>
      <c r="H504" s="3" t="e">
        <f>VLOOKUP(D504,VIAJES!$D:$H,5,FALSE)</f>
        <v>#N/A</v>
      </c>
      <c r="S504" s="3">
        <f>IFERROR(INDEX(EVENTOS!$D:$D,MATCH(SCORE!S$2&amp;" "&amp;SCORE!$D504,EVENTOS!$F:$F,0)),0)</f>
        <v>0</v>
      </c>
      <c r="T504" s="3">
        <f>IFERROR(INDEX(EVENTOS!$D:$D,MATCH(SCORE!T$2&amp;" "&amp;SCORE!$D504,EVENTOS!$F:$F,0)),0)</f>
        <v>0</v>
      </c>
      <c r="U504" s="3">
        <f>IFERROR(INDEX(EVENTOS!$D:$D,MATCH(SCORE!U$2&amp;" "&amp;SCORE!$D504,EVENTOS!$F:$F,0)),0)</f>
        <v>0</v>
      </c>
      <c r="V504" s="3">
        <f>IFERROR(INDEX(EVENTOS!$D:$D,MATCH(SCORE!V$2&amp;" "&amp;SCORE!$D504,EVENTOS!$F:$F,0)),0)</f>
        <v>0</v>
      </c>
      <c r="W504" s="3">
        <f>IFERROR(INDEX(EVENTOS!$D:$D,MATCH(SCORE!W$2&amp;" "&amp;SCORE!$D504,EVENTOS!$F:$F,0)),0)</f>
        <v>0</v>
      </c>
      <c r="X504" s="3">
        <f>IFERROR(INDEX(EVENTOS!$D:$D,MATCH(SCORE!X$2&amp;" "&amp;SCORE!$D504,EVENTOS!$F:$F,0)),0)</f>
        <v>0</v>
      </c>
      <c r="Y504" s="3">
        <f>SUMIFS(EVENTOS!$D:$D, EVENTOS!$B:$B, D504, EVENTOS!$E:$E, "*GirAlto*")</f>
        <v>0</v>
      </c>
      <c r="Z504" s="3">
        <f>SUMIFS(EVENTOS!$D:$D, EVENTOS!$B:$B, D504, EVENTOS!$E:$E, "*GirMed*")</f>
        <v>0</v>
      </c>
      <c r="AA504" s="3">
        <f>SUMIFS(EVENTOS!$D:$D, EVENTOS!$B:$B, D504, EVENTOS!$E:$E, "*GirBajo*")</f>
        <v>0</v>
      </c>
      <c r="AB504" s="3">
        <f>IFERROR(INDEX(EVENTOS!$D:$D,MATCH(SCORE!AB$2&amp;" "&amp;SCORE!$D504,EVENTOS!$F:$F,0)),0)</f>
        <v>0</v>
      </c>
      <c r="AC504" s="3">
        <f>IFERROR(INDEX(EVENTOS!$D:$D,MATCH(SCORE!AC$2&amp;" "&amp;SCORE!$D504,EVENTOS!$F:$F,0)),0)</f>
        <v>0</v>
      </c>
      <c r="AD504" s="3">
        <f>IFERROR(INDEX(EVENTOS!$D:$D,MATCH(SCORE!AD$2&amp;" "&amp;SCORE!$D504,EVENTOS!$F:$F,0)),0)</f>
        <v>0</v>
      </c>
      <c r="AE504" s="3">
        <f t="shared" si="21"/>
        <v>0</v>
      </c>
      <c r="AF504" s="10" t="e">
        <f t="shared" si="22"/>
        <v>#N/A</v>
      </c>
      <c r="AG504" s="3" t="str">
        <f t="shared" si="23"/>
        <v/>
      </c>
    </row>
    <row r="505" spans="1:33" x14ac:dyDescent="0.25">
      <c r="A505" s="7"/>
      <c r="B505" s="8"/>
      <c r="C505" s="3"/>
      <c r="D505" s="3"/>
      <c r="E505" s="3" t="e">
        <f>VLOOKUP(D505,VIAJES!$D:$E,2,FALSE)</f>
        <v>#N/A</v>
      </c>
      <c r="F505" s="9" t="e">
        <f>VLOOKUP(D505,VIAJES!$D:$F,3,FALSE)</f>
        <v>#N/A</v>
      </c>
      <c r="G505" s="9" t="e">
        <f>VLOOKUP(D505,VIAJES!$D:$G,4,FALSE)</f>
        <v>#N/A</v>
      </c>
      <c r="H505" s="3" t="e">
        <f>VLOOKUP(D505,VIAJES!$D:$H,5,FALSE)</f>
        <v>#N/A</v>
      </c>
      <c r="S505" s="3">
        <f>IFERROR(INDEX(EVENTOS!$D:$D,MATCH(SCORE!S$2&amp;" "&amp;SCORE!$D505,EVENTOS!$F:$F,0)),0)</f>
        <v>0</v>
      </c>
      <c r="T505" s="3">
        <f>IFERROR(INDEX(EVENTOS!$D:$D,MATCH(SCORE!T$2&amp;" "&amp;SCORE!$D505,EVENTOS!$F:$F,0)),0)</f>
        <v>0</v>
      </c>
      <c r="U505" s="3">
        <f>IFERROR(INDEX(EVENTOS!$D:$D,MATCH(SCORE!U$2&amp;" "&amp;SCORE!$D505,EVENTOS!$F:$F,0)),0)</f>
        <v>0</v>
      </c>
      <c r="V505" s="3">
        <f>IFERROR(INDEX(EVENTOS!$D:$D,MATCH(SCORE!V$2&amp;" "&amp;SCORE!$D505,EVENTOS!$F:$F,0)),0)</f>
        <v>0</v>
      </c>
      <c r="W505" s="3">
        <f>IFERROR(INDEX(EVENTOS!$D:$D,MATCH(SCORE!W$2&amp;" "&amp;SCORE!$D505,EVENTOS!$F:$F,0)),0)</f>
        <v>0</v>
      </c>
      <c r="X505" s="3">
        <f>IFERROR(INDEX(EVENTOS!$D:$D,MATCH(SCORE!X$2&amp;" "&amp;SCORE!$D505,EVENTOS!$F:$F,0)),0)</f>
        <v>0</v>
      </c>
      <c r="Y505" s="3">
        <f>SUMIFS(EVENTOS!$D:$D, EVENTOS!$B:$B, D505, EVENTOS!$E:$E, "*GirAlto*")</f>
        <v>0</v>
      </c>
      <c r="Z505" s="3">
        <f>SUMIFS(EVENTOS!$D:$D, EVENTOS!$B:$B, D505, EVENTOS!$E:$E, "*GirMed*")</f>
        <v>0</v>
      </c>
      <c r="AA505" s="3">
        <f>SUMIFS(EVENTOS!$D:$D, EVENTOS!$B:$B, D505, EVENTOS!$E:$E, "*GirBajo*")</f>
        <v>0</v>
      </c>
      <c r="AB505" s="3">
        <f>IFERROR(INDEX(EVENTOS!$D:$D,MATCH(SCORE!AB$2&amp;" "&amp;SCORE!$D505,EVENTOS!$F:$F,0)),0)</f>
        <v>0</v>
      </c>
      <c r="AC505" s="3">
        <f>IFERROR(INDEX(EVENTOS!$D:$D,MATCH(SCORE!AC$2&amp;" "&amp;SCORE!$D505,EVENTOS!$F:$F,0)),0)</f>
        <v>0</v>
      </c>
      <c r="AD505" s="3">
        <f>IFERROR(INDEX(EVENTOS!$D:$D,MATCH(SCORE!AD$2&amp;" "&amp;SCORE!$D505,EVENTOS!$F:$F,0)),0)</f>
        <v>0</v>
      </c>
      <c r="AE505" s="3">
        <f t="shared" si="21"/>
        <v>0</v>
      </c>
      <c r="AF505" s="10" t="e">
        <f t="shared" si="22"/>
        <v>#N/A</v>
      </c>
      <c r="AG505" s="3" t="str">
        <f t="shared" si="23"/>
        <v/>
      </c>
    </row>
    <row r="506" spans="1:33" x14ac:dyDescent="0.25">
      <c r="A506" s="7"/>
      <c r="B506" s="8"/>
      <c r="C506" s="3"/>
      <c r="D506" s="3"/>
      <c r="E506" s="3" t="e">
        <f>VLOOKUP(D506,VIAJES!$D:$E,2,FALSE)</f>
        <v>#N/A</v>
      </c>
      <c r="F506" s="9" t="e">
        <f>VLOOKUP(D506,VIAJES!$D:$F,3,FALSE)</f>
        <v>#N/A</v>
      </c>
      <c r="G506" s="9" t="e">
        <f>VLOOKUP(D506,VIAJES!$D:$G,4,FALSE)</f>
        <v>#N/A</v>
      </c>
      <c r="H506" s="3" t="e">
        <f>VLOOKUP(D506,VIAJES!$D:$H,5,FALSE)</f>
        <v>#N/A</v>
      </c>
      <c r="S506" s="3">
        <f>IFERROR(INDEX(EVENTOS!$D:$D,MATCH(SCORE!S$2&amp;" "&amp;SCORE!$D506,EVENTOS!$F:$F,0)),0)</f>
        <v>0</v>
      </c>
      <c r="T506" s="3">
        <f>IFERROR(INDEX(EVENTOS!$D:$D,MATCH(SCORE!T$2&amp;" "&amp;SCORE!$D506,EVENTOS!$F:$F,0)),0)</f>
        <v>0</v>
      </c>
      <c r="U506" s="3">
        <f>IFERROR(INDEX(EVENTOS!$D:$D,MATCH(SCORE!U$2&amp;" "&amp;SCORE!$D506,EVENTOS!$F:$F,0)),0)</f>
        <v>0</v>
      </c>
      <c r="V506" s="3">
        <f>IFERROR(INDEX(EVENTOS!$D:$D,MATCH(SCORE!V$2&amp;" "&amp;SCORE!$D506,EVENTOS!$F:$F,0)),0)</f>
        <v>0</v>
      </c>
      <c r="W506" s="3">
        <f>IFERROR(INDEX(EVENTOS!$D:$D,MATCH(SCORE!W$2&amp;" "&amp;SCORE!$D506,EVENTOS!$F:$F,0)),0)</f>
        <v>0</v>
      </c>
      <c r="X506" s="3">
        <f>IFERROR(INDEX(EVENTOS!$D:$D,MATCH(SCORE!X$2&amp;" "&amp;SCORE!$D506,EVENTOS!$F:$F,0)),0)</f>
        <v>0</v>
      </c>
      <c r="Y506" s="3">
        <f>SUMIFS(EVENTOS!$D:$D, EVENTOS!$B:$B, D506, EVENTOS!$E:$E, "*GirAlto*")</f>
        <v>0</v>
      </c>
      <c r="Z506" s="3">
        <f>SUMIFS(EVENTOS!$D:$D, EVENTOS!$B:$B, D506, EVENTOS!$E:$E, "*GirMed*")</f>
        <v>0</v>
      </c>
      <c r="AA506" s="3">
        <f>SUMIFS(EVENTOS!$D:$D, EVENTOS!$B:$B, D506, EVENTOS!$E:$E, "*GirBajo*")</f>
        <v>0</v>
      </c>
      <c r="AB506" s="3">
        <f>IFERROR(INDEX(EVENTOS!$D:$D,MATCH(SCORE!AB$2&amp;" "&amp;SCORE!$D506,EVENTOS!$F:$F,0)),0)</f>
        <v>0</v>
      </c>
      <c r="AC506" s="3">
        <f>IFERROR(INDEX(EVENTOS!$D:$D,MATCH(SCORE!AC$2&amp;" "&amp;SCORE!$D506,EVENTOS!$F:$F,0)),0)</f>
        <v>0</v>
      </c>
      <c r="AD506" s="3">
        <f>IFERROR(INDEX(EVENTOS!$D:$D,MATCH(SCORE!AD$2&amp;" "&amp;SCORE!$D506,EVENTOS!$F:$F,0)),0)</f>
        <v>0</v>
      </c>
      <c r="AE506" s="3">
        <f t="shared" si="21"/>
        <v>0</v>
      </c>
      <c r="AF506" s="10" t="e">
        <f t="shared" si="22"/>
        <v>#N/A</v>
      </c>
      <c r="AG506" s="3" t="str">
        <f t="shared" si="23"/>
        <v/>
      </c>
    </row>
    <row r="507" spans="1:33" x14ac:dyDescent="0.25">
      <c r="A507" s="7"/>
      <c r="B507" s="8"/>
      <c r="C507" s="3"/>
      <c r="D507" s="3"/>
      <c r="E507" s="3" t="e">
        <f>VLOOKUP(D507,VIAJES!$D:$E,2,FALSE)</f>
        <v>#N/A</v>
      </c>
      <c r="F507" s="9" t="e">
        <f>VLOOKUP(D507,VIAJES!$D:$F,3,FALSE)</f>
        <v>#N/A</v>
      </c>
      <c r="G507" s="9" t="e">
        <f>VLOOKUP(D507,VIAJES!$D:$G,4,FALSE)</f>
        <v>#N/A</v>
      </c>
      <c r="H507" s="3" t="e">
        <f>VLOOKUP(D507,VIAJES!$D:$H,5,FALSE)</f>
        <v>#N/A</v>
      </c>
      <c r="S507" s="3">
        <f>IFERROR(INDEX(EVENTOS!$D:$D,MATCH(SCORE!S$2&amp;" "&amp;SCORE!$D507,EVENTOS!$F:$F,0)),0)</f>
        <v>0</v>
      </c>
      <c r="T507" s="3">
        <f>IFERROR(INDEX(EVENTOS!$D:$D,MATCH(SCORE!T$2&amp;" "&amp;SCORE!$D507,EVENTOS!$F:$F,0)),0)</f>
        <v>0</v>
      </c>
      <c r="U507" s="3">
        <f>IFERROR(INDEX(EVENTOS!$D:$D,MATCH(SCORE!U$2&amp;" "&amp;SCORE!$D507,EVENTOS!$F:$F,0)),0)</f>
        <v>0</v>
      </c>
      <c r="V507" s="3">
        <f>IFERROR(INDEX(EVENTOS!$D:$D,MATCH(SCORE!V$2&amp;" "&amp;SCORE!$D507,EVENTOS!$F:$F,0)),0)</f>
        <v>0</v>
      </c>
      <c r="W507" s="3">
        <f>IFERROR(INDEX(EVENTOS!$D:$D,MATCH(SCORE!W$2&amp;" "&amp;SCORE!$D507,EVENTOS!$F:$F,0)),0)</f>
        <v>0</v>
      </c>
      <c r="X507" s="3">
        <f>IFERROR(INDEX(EVENTOS!$D:$D,MATCH(SCORE!X$2&amp;" "&amp;SCORE!$D507,EVENTOS!$F:$F,0)),0)</f>
        <v>0</v>
      </c>
      <c r="Y507" s="3">
        <f>SUMIFS(EVENTOS!$D:$D, EVENTOS!$B:$B, D507, EVENTOS!$E:$E, "*GirAlto*")</f>
        <v>0</v>
      </c>
      <c r="Z507" s="3">
        <f>SUMIFS(EVENTOS!$D:$D, EVENTOS!$B:$B, D507, EVENTOS!$E:$E, "*GirMed*")</f>
        <v>0</v>
      </c>
      <c r="AA507" s="3">
        <f>SUMIFS(EVENTOS!$D:$D, EVENTOS!$B:$B, D507, EVENTOS!$E:$E, "*GirBajo*")</f>
        <v>0</v>
      </c>
      <c r="AB507" s="3">
        <f>IFERROR(INDEX(EVENTOS!$D:$D,MATCH(SCORE!AB$2&amp;" "&amp;SCORE!$D507,EVENTOS!$F:$F,0)),0)</f>
        <v>0</v>
      </c>
      <c r="AC507" s="3">
        <f>IFERROR(INDEX(EVENTOS!$D:$D,MATCH(SCORE!AC$2&amp;" "&amp;SCORE!$D507,EVENTOS!$F:$F,0)),0)</f>
        <v>0</v>
      </c>
      <c r="AD507" s="3">
        <f>IFERROR(INDEX(EVENTOS!$D:$D,MATCH(SCORE!AD$2&amp;" "&amp;SCORE!$D507,EVENTOS!$F:$F,0)),0)</f>
        <v>0</v>
      </c>
      <c r="AE507" s="3">
        <f t="shared" si="21"/>
        <v>0</v>
      </c>
      <c r="AF507" s="10" t="e">
        <f t="shared" si="22"/>
        <v>#N/A</v>
      </c>
      <c r="AG507" s="3" t="str">
        <f t="shared" si="23"/>
        <v/>
      </c>
    </row>
    <row r="508" spans="1:33" x14ac:dyDescent="0.25">
      <c r="A508" s="7"/>
      <c r="B508" s="8"/>
      <c r="C508" s="3"/>
      <c r="D508" s="3"/>
      <c r="E508" s="3" t="e">
        <f>VLOOKUP(D508,VIAJES!$D:$E,2,FALSE)</f>
        <v>#N/A</v>
      </c>
      <c r="F508" s="9" t="e">
        <f>VLOOKUP(D508,VIAJES!$D:$F,3,FALSE)</f>
        <v>#N/A</v>
      </c>
      <c r="G508" s="9" t="e">
        <f>VLOOKUP(D508,VIAJES!$D:$G,4,FALSE)</f>
        <v>#N/A</v>
      </c>
      <c r="H508" s="3" t="e">
        <f>VLOOKUP(D508,VIAJES!$D:$H,5,FALSE)</f>
        <v>#N/A</v>
      </c>
      <c r="S508" s="3">
        <f>IFERROR(INDEX(EVENTOS!$D:$D,MATCH(SCORE!S$2&amp;" "&amp;SCORE!$D508,EVENTOS!$F:$F,0)),0)</f>
        <v>0</v>
      </c>
      <c r="T508" s="3">
        <f>IFERROR(INDEX(EVENTOS!$D:$D,MATCH(SCORE!T$2&amp;" "&amp;SCORE!$D508,EVENTOS!$F:$F,0)),0)</f>
        <v>0</v>
      </c>
      <c r="U508" s="3">
        <f>IFERROR(INDEX(EVENTOS!$D:$D,MATCH(SCORE!U$2&amp;" "&amp;SCORE!$D508,EVENTOS!$F:$F,0)),0)</f>
        <v>0</v>
      </c>
      <c r="V508" s="3">
        <f>IFERROR(INDEX(EVENTOS!$D:$D,MATCH(SCORE!V$2&amp;" "&amp;SCORE!$D508,EVENTOS!$F:$F,0)),0)</f>
        <v>0</v>
      </c>
      <c r="W508" s="3">
        <f>IFERROR(INDEX(EVENTOS!$D:$D,MATCH(SCORE!W$2&amp;" "&amp;SCORE!$D508,EVENTOS!$F:$F,0)),0)</f>
        <v>0</v>
      </c>
      <c r="X508" s="3">
        <f>IFERROR(INDEX(EVENTOS!$D:$D,MATCH(SCORE!X$2&amp;" "&amp;SCORE!$D508,EVENTOS!$F:$F,0)),0)</f>
        <v>0</v>
      </c>
      <c r="Y508" s="3">
        <f>SUMIFS(EVENTOS!$D:$D, EVENTOS!$B:$B, D508, EVENTOS!$E:$E, "*GirAlto*")</f>
        <v>0</v>
      </c>
      <c r="Z508" s="3">
        <f>SUMIFS(EVENTOS!$D:$D, EVENTOS!$B:$B, D508, EVENTOS!$E:$E, "*GirMed*")</f>
        <v>0</v>
      </c>
      <c r="AA508" s="3">
        <f>SUMIFS(EVENTOS!$D:$D, EVENTOS!$B:$B, D508, EVENTOS!$E:$E, "*GirBajo*")</f>
        <v>0</v>
      </c>
      <c r="AB508" s="3">
        <f>IFERROR(INDEX(EVENTOS!$D:$D,MATCH(SCORE!AB$2&amp;" "&amp;SCORE!$D508,EVENTOS!$F:$F,0)),0)</f>
        <v>0</v>
      </c>
      <c r="AC508" s="3">
        <f>IFERROR(INDEX(EVENTOS!$D:$D,MATCH(SCORE!AC$2&amp;" "&amp;SCORE!$D508,EVENTOS!$F:$F,0)),0)</f>
        <v>0</v>
      </c>
      <c r="AD508" s="3">
        <f>IFERROR(INDEX(EVENTOS!$D:$D,MATCH(SCORE!AD$2&amp;" "&amp;SCORE!$D508,EVENTOS!$F:$F,0)),0)</f>
        <v>0</v>
      </c>
      <c r="AE508" s="3">
        <f t="shared" si="21"/>
        <v>0</v>
      </c>
      <c r="AF508" s="10" t="e">
        <f t="shared" si="22"/>
        <v>#N/A</v>
      </c>
      <c r="AG508" s="3" t="str">
        <f t="shared" si="23"/>
        <v/>
      </c>
    </row>
    <row r="509" spans="1:33" x14ac:dyDescent="0.25">
      <c r="A509" s="7"/>
      <c r="B509" s="8"/>
      <c r="C509" s="3"/>
      <c r="D509" s="3"/>
      <c r="E509" s="3" t="e">
        <f>VLOOKUP(D509,VIAJES!$D:$E,2,FALSE)</f>
        <v>#N/A</v>
      </c>
      <c r="F509" s="9" t="e">
        <f>VLOOKUP(D509,VIAJES!$D:$F,3,FALSE)</f>
        <v>#N/A</v>
      </c>
      <c r="G509" s="9" t="e">
        <f>VLOOKUP(D509,VIAJES!$D:$G,4,FALSE)</f>
        <v>#N/A</v>
      </c>
      <c r="H509" s="3" t="e">
        <f>VLOOKUP(D509,VIAJES!$D:$H,5,FALSE)</f>
        <v>#N/A</v>
      </c>
      <c r="S509" s="3">
        <f>IFERROR(INDEX(EVENTOS!$D:$D,MATCH(SCORE!S$2&amp;" "&amp;SCORE!$D509,EVENTOS!$F:$F,0)),0)</f>
        <v>0</v>
      </c>
      <c r="T509" s="3">
        <f>IFERROR(INDEX(EVENTOS!$D:$D,MATCH(SCORE!T$2&amp;" "&amp;SCORE!$D509,EVENTOS!$F:$F,0)),0)</f>
        <v>0</v>
      </c>
      <c r="U509" s="3">
        <f>IFERROR(INDEX(EVENTOS!$D:$D,MATCH(SCORE!U$2&amp;" "&amp;SCORE!$D509,EVENTOS!$F:$F,0)),0)</f>
        <v>0</v>
      </c>
      <c r="V509" s="3">
        <f>IFERROR(INDEX(EVENTOS!$D:$D,MATCH(SCORE!V$2&amp;" "&amp;SCORE!$D509,EVENTOS!$F:$F,0)),0)</f>
        <v>0</v>
      </c>
      <c r="W509" s="3">
        <f>IFERROR(INDEX(EVENTOS!$D:$D,MATCH(SCORE!W$2&amp;" "&amp;SCORE!$D509,EVENTOS!$F:$F,0)),0)</f>
        <v>0</v>
      </c>
      <c r="X509" s="3">
        <f>IFERROR(INDEX(EVENTOS!$D:$D,MATCH(SCORE!X$2&amp;" "&amp;SCORE!$D509,EVENTOS!$F:$F,0)),0)</f>
        <v>0</v>
      </c>
      <c r="Y509" s="3">
        <f>SUMIFS(EVENTOS!$D:$D, EVENTOS!$B:$B, D509, EVENTOS!$E:$E, "*GirAlto*")</f>
        <v>0</v>
      </c>
      <c r="Z509" s="3">
        <f>SUMIFS(EVENTOS!$D:$D, EVENTOS!$B:$B, D509, EVENTOS!$E:$E, "*GirMed*")</f>
        <v>0</v>
      </c>
      <c r="AA509" s="3">
        <f>SUMIFS(EVENTOS!$D:$D, EVENTOS!$B:$B, D509, EVENTOS!$E:$E, "*GirBajo*")</f>
        <v>0</v>
      </c>
      <c r="AB509" s="3">
        <f>IFERROR(INDEX(EVENTOS!$D:$D,MATCH(SCORE!AB$2&amp;" "&amp;SCORE!$D509,EVENTOS!$F:$F,0)),0)</f>
        <v>0</v>
      </c>
      <c r="AC509" s="3">
        <f>IFERROR(INDEX(EVENTOS!$D:$D,MATCH(SCORE!AC$2&amp;" "&amp;SCORE!$D509,EVENTOS!$F:$F,0)),0)</f>
        <v>0</v>
      </c>
      <c r="AD509" s="3">
        <f>IFERROR(INDEX(EVENTOS!$D:$D,MATCH(SCORE!AD$2&amp;" "&amp;SCORE!$D509,EVENTOS!$F:$F,0)),0)</f>
        <v>0</v>
      </c>
      <c r="AE509" s="3">
        <f t="shared" si="21"/>
        <v>0</v>
      </c>
      <c r="AF509" s="10" t="e">
        <f t="shared" si="22"/>
        <v>#N/A</v>
      </c>
      <c r="AG509" s="3" t="str">
        <f t="shared" si="23"/>
        <v/>
      </c>
    </row>
    <row r="510" spans="1:33" x14ac:dyDescent="0.25">
      <c r="A510" s="7"/>
      <c r="B510" s="8"/>
      <c r="C510" s="3"/>
      <c r="D510" s="3"/>
      <c r="E510" s="3" t="e">
        <f>VLOOKUP(D510,VIAJES!$D:$E,2,FALSE)</f>
        <v>#N/A</v>
      </c>
      <c r="F510" s="9" t="e">
        <f>VLOOKUP(D510,VIAJES!$D:$F,3,FALSE)</f>
        <v>#N/A</v>
      </c>
      <c r="G510" s="9" t="e">
        <f>VLOOKUP(D510,VIAJES!$D:$G,4,FALSE)</f>
        <v>#N/A</v>
      </c>
      <c r="H510" s="3" t="e">
        <f>VLOOKUP(D510,VIAJES!$D:$H,5,FALSE)</f>
        <v>#N/A</v>
      </c>
      <c r="S510" s="3">
        <f>IFERROR(INDEX(EVENTOS!$D:$D,MATCH(SCORE!S$2&amp;" "&amp;SCORE!$D510,EVENTOS!$F:$F,0)),0)</f>
        <v>0</v>
      </c>
      <c r="T510" s="3">
        <f>IFERROR(INDEX(EVENTOS!$D:$D,MATCH(SCORE!T$2&amp;" "&amp;SCORE!$D510,EVENTOS!$F:$F,0)),0)</f>
        <v>0</v>
      </c>
      <c r="U510" s="3">
        <f>IFERROR(INDEX(EVENTOS!$D:$D,MATCH(SCORE!U$2&amp;" "&amp;SCORE!$D510,EVENTOS!$F:$F,0)),0)</f>
        <v>0</v>
      </c>
      <c r="V510" s="3">
        <f>IFERROR(INDEX(EVENTOS!$D:$D,MATCH(SCORE!V$2&amp;" "&amp;SCORE!$D510,EVENTOS!$F:$F,0)),0)</f>
        <v>0</v>
      </c>
      <c r="W510" s="3">
        <f>IFERROR(INDEX(EVENTOS!$D:$D,MATCH(SCORE!W$2&amp;" "&amp;SCORE!$D510,EVENTOS!$F:$F,0)),0)</f>
        <v>0</v>
      </c>
      <c r="X510" s="3">
        <f>IFERROR(INDEX(EVENTOS!$D:$D,MATCH(SCORE!X$2&amp;" "&amp;SCORE!$D510,EVENTOS!$F:$F,0)),0)</f>
        <v>0</v>
      </c>
      <c r="Y510" s="3">
        <f>SUMIFS(EVENTOS!$D:$D, EVENTOS!$B:$B, D510, EVENTOS!$E:$E, "*GirAlto*")</f>
        <v>0</v>
      </c>
      <c r="Z510" s="3">
        <f>SUMIFS(EVENTOS!$D:$D, EVENTOS!$B:$B, D510, EVENTOS!$E:$E, "*GirMed*")</f>
        <v>0</v>
      </c>
      <c r="AA510" s="3">
        <f>SUMIFS(EVENTOS!$D:$D, EVENTOS!$B:$B, D510, EVENTOS!$E:$E, "*GirBajo*")</f>
        <v>0</v>
      </c>
      <c r="AB510" s="3">
        <f>IFERROR(INDEX(EVENTOS!$D:$D,MATCH(SCORE!AB$2&amp;" "&amp;SCORE!$D510,EVENTOS!$F:$F,0)),0)</f>
        <v>0</v>
      </c>
      <c r="AC510" s="3">
        <f>IFERROR(INDEX(EVENTOS!$D:$D,MATCH(SCORE!AC$2&amp;" "&amp;SCORE!$D510,EVENTOS!$F:$F,0)),0)</f>
        <v>0</v>
      </c>
      <c r="AD510" s="3">
        <f>IFERROR(INDEX(EVENTOS!$D:$D,MATCH(SCORE!AD$2&amp;" "&amp;SCORE!$D510,EVENTOS!$F:$F,0)),0)</f>
        <v>0</v>
      </c>
      <c r="AE510" s="3">
        <f t="shared" si="21"/>
        <v>0</v>
      </c>
      <c r="AF510" s="10" t="e">
        <f t="shared" si="22"/>
        <v>#N/A</v>
      </c>
      <c r="AG510" s="3" t="str">
        <f t="shared" si="23"/>
        <v/>
      </c>
    </row>
    <row r="511" spans="1:33" x14ac:dyDescent="0.25">
      <c r="A511" s="7"/>
      <c r="B511" s="8"/>
      <c r="C511" s="3"/>
      <c r="D511" s="3"/>
      <c r="E511" s="3" t="e">
        <f>VLOOKUP(D511,VIAJES!$D:$E,2,FALSE)</f>
        <v>#N/A</v>
      </c>
      <c r="F511" s="9" t="e">
        <f>VLOOKUP(D511,VIAJES!$D:$F,3,FALSE)</f>
        <v>#N/A</v>
      </c>
      <c r="G511" s="9" t="e">
        <f>VLOOKUP(D511,VIAJES!$D:$G,4,FALSE)</f>
        <v>#N/A</v>
      </c>
      <c r="H511" s="3" t="e">
        <f>VLOOKUP(D511,VIAJES!$D:$H,5,FALSE)</f>
        <v>#N/A</v>
      </c>
      <c r="S511" s="3">
        <f>IFERROR(INDEX(EVENTOS!$D:$D,MATCH(SCORE!S$2&amp;" "&amp;SCORE!$D511,EVENTOS!$F:$F,0)),0)</f>
        <v>0</v>
      </c>
      <c r="T511" s="3">
        <f>IFERROR(INDEX(EVENTOS!$D:$D,MATCH(SCORE!T$2&amp;" "&amp;SCORE!$D511,EVENTOS!$F:$F,0)),0)</f>
        <v>0</v>
      </c>
      <c r="U511" s="3">
        <f>IFERROR(INDEX(EVENTOS!$D:$D,MATCH(SCORE!U$2&amp;" "&amp;SCORE!$D511,EVENTOS!$F:$F,0)),0)</f>
        <v>0</v>
      </c>
      <c r="V511" s="3">
        <f>IFERROR(INDEX(EVENTOS!$D:$D,MATCH(SCORE!V$2&amp;" "&amp;SCORE!$D511,EVENTOS!$F:$F,0)),0)</f>
        <v>0</v>
      </c>
      <c r="W511" s="3">
        <f>IFERROR(INDEX(EVENTOS!$D:$D,MATCH(SCORE!W$2&amp;" "&amp;SCORE!$D511,EVENTOS!$F:$F,0)),0)</f>
        <v>0</v>
      </c>
      <c r="X511" s="3">
        <f>IFERROR(INDEX(EVENTOS!$D:$D,MATCH(SCORE!X$2&amp;" "&amp;SCORE!$D511,EVENTOS!$F:$F,0)),0)</f>
        <v>0</v>
      </c>
      <c r="Y511" s="3">
        <f>SUMIFS(EVENTOS!$D:$D, EVENTOS!$B:$B, D511, EVENTOS!$E:$E, "*GirAlto*")</f>
        <v>0</v>
      </c>
      <c r="Z511" s="3">
        <f>SUMIFS(EVENTOS!$D:$D, EVENTOS!$B:$B, D511, EVENTOS!$E:$E, "*GirMed*")</f>
        <v>0</v>
      </c>
      <c r="AA511" s="3">
        <f>SUMIFS(EVENTOS!$D:$D, EVENTOS!$B:$B, D511, EVENTOS!$E:$E, "*GirBajo*")</f>
        <v>0</v>
      </c>
      <c r="AB511" s="3">
        <f>IFERROR(INDEX(EVENTOS!$D:$D,MATCH(SCORE!AB$2&amp;" "&amp;SCORE!$D511,EVENTOS!$F:$F,0)),0)</f>
        <v>0</v>
      </c>
      <c r="AC511" s="3">
        <f>IFERROR(INDEX(EVENTOS!$D:$D,MATCH(SCORE!AC$2&amp;" "&amp;SCORE!$D511,EVENTOS!$F:$F,0)),0)</f>
        <v>0</v>
      </c>
      <c r="AD511" s="3">
        <f>IFERROR(INDEX(EVENTOS!$D:$D,MATCH(SCORE!AD$2&amp;" "&amp;SCORE!$D511,EVENTOS!$F:$F,0)),0)</f>
        <v>0</v>
      </c>
      <c r="AE511" s="3">
        <f t="shared" si="21"/>
        <v>0</v>
      </c>
      <c r="AF511" s="10" t="e">
        <f t="shared" si="22"/>
        <v>#N/A</v>
      </c>
      <c r="AG511" s="3" t="str">
        <f t="shared" si="23"/>
        <v/>
      </c>
    </row>
    <row r="512" spans="1:33" x14ac:dyDescent="0.25">
      <c r="A512" s="7"/>
      <c r="B512" s="8"/>
      <c r="C512" s="3"/>
      <c r="D512" s="3"/>
      <c r="E512" s="3" t="e">
        <f>VLOOKUP(D512,VIAJES!$D:$E,2,FALSE)</f>
        <v>#N/A</v>
      </c>
      <c r="F512" s="9" t="e">
        <f>VLOOKUP(D512,VIAJES!$D:$F,3,FALSE)</f>
        <v>#N/A</v>
      </c>
      <c r="G512" s="9" t="e">
        <f>VLOOKUP(D512,VIAJES!$D:$G,4,FALSE)</f>
        <v>#N/A</v>
      </c>
      <c r="H512" s="3" t="e">
        <f>VLOOKUP(D512,VIAJES!$D:$H,5,FALSE)</f>
        <v>#N/A</v>
      </c>
      <c r="S512" s="3">
        <f>IFERROR(INDEX(EVENTOS!$D:$D,MATCH(SCORE!S$2&amp;" "&amp;SCORE!$D512,EVENTOS!$F:$F,0)),0)</f>
        <v>0</v>
      </c>
      <c r="T512" s="3">
        <f>IFERROR(INDEX(EVENTOS!$D:$D,MATCH(SCORE!T$2&amp;" "&amp;SCORE!$D512,EVENTOS!$F:$F,0)),0)</f>
        <v>0</v>
      </c>
      <c r="U512" s="3">
        <f>IFERROR(INDEX(EVENTOS!$D:$D,MATCH(SCORE!U$2&amp;" "&amp;SCORE!$D512,EVENTOS!$F:$F,0)),0)</f>
        <v>0</v>
      </c>
      <c r="V512" s="3">
        <f>IFERROR(INDEX(EVENTOS!$D:$D,MATCH(SCORE!V$2&amp;" "&amp;SCORE!$D512,EVENTOS!$F:$F,0)),0)</f>
        <v>0</v>
      </c>
      <c r="W512" s="3">
        <f>IFERROR(INDEX(EVENTOS!$D:$D,MATCH(SCORE!W$2&amp;" "&amp;SCORE!$D512,EVENTOS!$F:$F,0)),0)</f>
        <v>0</v>
      </c>
      <c r="X512" s="3">
        <f>IFERROR(INDEX(EVENTOS!$D:$D,MATCH(SCORE!X$2&amp;" "&amp;SCORE!$D512,EVENTOS!$F:$F,0)),0)</f>
        <v>0</v>
      </c>
      <c r="Y512" s="3">
        <f>SUMIFS(EVENTOS!$D:$D, EVENTOS!$B:$B, D512, EVENTOS!$E:$E, "*GirAlto*")</f>
        <v>0</v>
      </c>
      <c r="Z512" s="3">
        <f>SUMIFS(EVENTOS!$D:$D, EVENTOS!$B:$B, D512, EVENTOS!$E:$E, "*GirMed*")</f>
        <v>0</v>
      </c>
      <c r="AA512" s="3">
        <f>SUMIFS(EVENTOS!$D:$D, EVENTOS!$B:$B, D512, EVENTOS!$E:$E, "*GirBajo*")</f>
        <v>0</v>
      </c>
      <c r="AB512" s="3">
        <f>IFERROR(INDEX(EVENTOS!$D:$D,MATCH(SCORE!AB$2&amp;" "&amp;SCORE!$D512,EVENTOS!$F:$F,0)),0)</f>
        <v>0</v>
      </c>
      <c r="AC512" s="3">
        <f>IFERROR(INDEX(EVENTOS!$D:$D,MATCH(SCORE!AC$2&amp;" "&amp;SCORE!$D512,EVENTOS!$F:$F,0)),0)</f>
        <v>0</v>
      </c>
      <c r="AD512" s="3">
        <f>IFERROR(INDEX(EVENTOS!$D:$D,MATCH(SCORE!AD$2&amp;" "&amp;SCORE!$D512,EVENTOS!$F:$F,0)),0)</f>
        <v>0</v>
      </c>
      <c r="AE512" s="3">
        <f t="shared" si="21"/>
        <v>0</v>
      </c>
      <c r="AF512" s="10" t="e">
        <f t="shared" si="22"/>
        <v>#N/A</v>
      </c>
      <c r="AG512" s="3" t="str">
        <f t="shared" si="23"/>
        <v/>
      </c>
    </row>
    <row r="513" spans="1:33" x14ac:dyDescent="0.25">
      <c r="A513" s="7"/>
      <c r="B513" s="8"/>
      <c r="C513" s="3"/>
      <c r="D513" s="3"/>
      <c r="E513" s="3" t="e">
        <f>VLOOKUP(D513,VIAJES!$D:$E,2,FALSE)</f>
        <v>#N/A</v>
      </c>
      <c r="F513" s="9" t="e">
        <f>VLOOKUP(D513,VIAJES!$D:$F,3,FALSE)</f>
        <v>#N/A</v>
      </c>
      <c r="G513" s="9" t="e">
        <f>VLOOKUP(D513,VIAJES!$D:$G,4,FALSE)</f>
        <v>#N/A</v>
      </c>
      <c r="H513" s="3" t="e">
        <f>VLOOKUP(D513,VIAJES!$D:$H,5,FALSE)</f>
        <v>#N/A</v>
      </c>
      <c r="S513" s="3">
        <f>IFERROR(INDEX(EVENTOS!$D:$D,MATCH(SCORE!S$2&amp;" "&amp;SCORE!$D513,EVENTOS!$F:$F,0)),0)</f>
        <v>0</v>
      </c>
      <c r="T513" s="3">
        <f>IFERROR(INDEX(EVENTOS!$D:$D,MATCH(SCORE!T$2&amp;" "&amp;SCORE!$D513,EVENTOS!$F:$F,0)),0)</f>
        <v>0</v>
      </c>
      <c r="U513" s="3">
        <f>IFERROR(INDEX(EVENTOS!$D:$D,MATCH(SCORE!U$2&amp;" "&amp;SCORE!$D513,EVENTOS!$F:$F,0)),0)</f>
        <v>0</v>
      </c>
      <c r="V513" s="3">
        <f>IFERROR(INDEX(EVENTOS!$D:$D,MATCH(SCORE!V$2&amp;" "&amp;SCORE!$D513,EVENTOS!$F:$F,0)),0)</f>
        <v>0</v>
      </c>
      <c r="W513" s="3">
        <f>IFERROR(INDEX(EVENTOS!$D:$D,MATCH(SCORE!W$2&amp;" "&amp;SCORE!$D513,EVENTOS!$F:$F,0)),0)</f>
        <v>0</v>
      </c>
      <c r="X513" s="3">
        <f>IFERROR(INDEX(EVENTOS!$D:$D,MATCH(SCORE!X$2&amp;" "&amp;SCORE!$D513,EVENTOS!$F:$F,0)),0)</f>
        <v>0</v>
      </c>
      <c r="Y513" s="3">
        <f>SUMIFS(EVENTOS!$D:$D, EVENTOS!$B:$B, D513, EVENTOS!$E:$E, "*GirAlto*")</f>
        <v>0</v>
      </c>
      <c r="Z513" s="3">
        <f>SUMIFS(EVENTOS!$D:$D, EVENTOS!$B:$B, D513, EVENTOS!$E:$E, "*GirMed*")</f>
        <v>0</v>
      </c>
      <c r="AA513" s="3">
        <f>SUMIFS(EVENTOS!$D:$D, EVENTOS!$B:$B, D513, EVENTOS!$E:$E, "*GirBajo*")</f>
        <v>0</v>
      </c>
      <c r="AB513" s="3">
        <f>IFERROR(INDEX(EVENTOS!$D:$D,MATCH(SCORE!AB$2&amp;" "&amp;SCORE!$D513,EVENTOS!$F:$F,0)),0)</f>
        <v>0</v>
      </c>
      <c r="AC513" s="3">
        <f>IFERROR(INDEX(EVENTOS!$D:$D,MATCH(SCORE!AC$2&amp;" "&amp;SCORE!$D513,EVENTOS!$F:$F,0)),0)</f>
        <v>0</v>
      </c>
      <c r="AD513" s="3">
        <f>IFERROR(INDEX(EVENTOS!$D:$D,MATCH(SCORE!AD$2&amp;" "&amp;SCORE!$D513,EVENTOS!$F:$F,0)),0)</f>
        <v>0</v>
      </c>
      <c r="AE513" s="3">
        <f t="shared" si="21"/>
        <v>0</v>
      </c>
      <c r="AF513" s="10" t="e">
        <f t="shared" si="22"/>
        <v>#N/A</v>
      </c>
      <c r="AG513" s="3" t="str">
        <f t="shared" si="23"/>
        <v/>
      </c>
    </row>
    <row r="514" spans="1:33" x14ac:dyDescent="0.25">
      <c r="A514" s="7"/>
      <c r="B514" s="8"/>
      <c r="C514" s="3"/>
      <c r="D514" s="3"/>
      <c r="E514" s="3" t="e">
        <f>VLOOKUP(D514,VIAJES!$D:$E,2,FALSE)</f>
        <v>#N/A</v>
      </c>
      <c r="F514" s="9" t="e">
        <f>VLOOKUP(D514,VIAJES!$D:$F,3,FALSE)</f>
        <v>#N/A</v>
      </c>
      <c r="G514" s="9" t="e">
        <f>VLOOKUP(D514,VIAJES!$D:$G,4,FALSE)</f>
        <v>#N/A</v>
      </c>
      <c r="H514" s="3" t="e">
        <f>VLOOKUP(D514,VIAJES!$D:$H,5,FALSE)</f>
        <v>#N/A</v>
      </c>
      <c r="S514" s="3">
        <f>IFERROR(INDEX(EVENTOS!$D:$D,MATCH(SCORE!S$2&amp;" "&amp;SCORE!$D514,EVENTOS!$F:$F,0)),0)</f>
        <v>0</v>
      </c>
      <c r="T514" s="3">
        <f>IFERROR(INDEX(EVENTOS!$D:$D,MATCH(SCORE!T$2&amp;" "&amp;SCORE!$D514,EVENTOS!$F:$F,0)),0)</f>
        <v>0</v>
      </c>
      <c r="U514" s="3">
        <f>IFERROR(INDEX(EVENTOS!$D:$D,MATCH(SCORE!U$2&amp;" "&amp;SCORE!$D514,EVENTOS!$F:$F,0)),0)</f>
        <v>0</v>
      </c>
      <c r="V514" s="3">
        <f>IFERROR(INDEX(EVENTOS!$D:$D,MATCH(SCORE!V$2&amp;" "&amp;SCORE!$D514,EVENTOS!$F:$F,0)),0)</f>
        <v>0</v>
      </c>
      <c r="W514" s="3">
        <f>IFERROR(INDEX(EVENTOS!$D:$D,MATCH(SCORE!W$2&amp;" "&amp;SCORE!$D514,EVENTOS!$F:$F,0)),0)</f>
        <v>0</v>
      </c>
      <c r="X514" s="3">
        <f>IFERROR(INDEX(EVENTOS!$D:$D,MATCH(SCORE!X$2&amp;" "&amp;SCORE!$D514,EVENTOS!$F:$F,0)),0)</f>
        <v>0</v>
      </c>
      <c r="Y514" s="3">
        <f>SUMIFS(EVENTOS!$D:$D, EVENTOS!$B:$B, D514, EVENTOS!$E:$E, "*GirAlto*")</f>
        <v>0</v>
      </c>
      <c r="Z514" s="3">
        <f>SUMIFS(EVENTOS!$D:$D, EVENTOS!$B:$B, D514, EVENTOS!$E:$E, "*GirMed*")</f>
        <v>0</v>
      </c>
      <c r="AA514" s="3">
        <f>SUMIFS(EVENTOS!$D:$D, EVENTOS!$B:$B, D514, EVENTOS!$E:$E, "*GirBajo*")</f>
        <v>0</v>
      </c>
      <c r="AB514" s="3">
        <f>IFERROR(INDEX(EVENTOS!$D:$D,MATCH(SCORE!AB$2&amp;" "&amp;SCORE!$D514,EVENTOS!$F:$F,0)),0)</f>
        <v>0</v>
      </c>
      <c r="AC514" s="3">
        <f>IFERROR(INDEX(EVENTOS!$D:$D,MATCH(SCORE!AC$2&amp;" "&amp;SCORE!$D514,EVENTOS!$F:$F,0)),0)</f>
        <v>0</v>
      </c>
      <c r="AD514" s="3">
        <f>IFERROR(INDEX(EVENTOS!$D:$D,MATCH(SCORE!AD$2&amp;" "&amp;SCORE!$D514,EVENTOS!$F:$F,0)),0)</f>
        <v>0</v>
      </c>
      <c r="AE514" s="3">
        <f t="shared" si="21"/>
        <v>0</v>
      </c>
      <c r="AF514" s="10" t="e">
        <f t="shared" si="22"/>
        <v>#N/A</v>
      </c>
      <c r="AG514" s="3" t="str">
        <f t="shared" si="23"/>
        <v/>
      </c>
    </row>
    <row r="515" spans="1:33" x14ac:dyDescent="0.25">
      <c r="A515" s="7"/>
      <c r="B515" s="8"/>
      <c r="C515" s="3"/>
      <c r="D515" s="3"/>
      <c r="E515" s="3" t="e">
        <f>VLOOKUP(D515,VIAJES!$D:$E,2,FALSE)</f>
        <v>#N/A</v>
      </c>
      <c r="F515" s="9" t="e">
        <f>VLOOKUP(D515,VIAJES!$D:$F,3,FALSE)</f>
        <v>#N/A</v>
      </c>
      <c r="G515" s="9" t="e">
        <f>VLOOKUP(D515,VIAJES!$D:$G,4,FALSE)</f>
        <v>#N/A</v>
      </c>
      <c r="H515" s="3" t="e">
        <f>VLOOKUP(D515,VIAJES!$D:$H,5,FALSE)</f>
        <v>#N/A</v>
      </c>
      <c r="S515" s="3">
        <f>IFERROR(INDEX(EVENTOS!$D:$D,MATCH(SCORE!S$2&amp;" "&amp;SCORE!$D515,EVENTOS!$F:$F,0)),0)</f>
        <v>0</v>
      </c>
      <c r="T515" s="3">
        <f>IFERROR(INDEX(EVENTOS!$D:$D,MATCH(SCORE!T$2&amp;" "&amp;SCORE!$D515,EVENTOS!$F:$F,0)),0)</f>
        <v>0</v>
      </c>
      <c r="U515" s="3">
        <f>IFERROR(INDEX(EVENTOS!$D:$D,MATCH(SCORE!U$2&amp;" "&amp;SCORE!$D515,EVENTOS!$F:$F,0)),0)</f>
        <v>0</v>
      </c>
      <c r="V515" s="3">
        <f>IFERROR(INDEX(EVENTOS!$D:$D,MATCH(SCORE!V$2&amp;" "&amp;SCORE!$D515,EVENTOS!$F:$F,0)),0)</f>
        <v>0</v>
      </c>
      <c r="W515" s="3">
        <f>IFERROR(INDEX(EVENTOS!$D:$D,MATCH(SCORE!W$2&amp;" "&amp;SCORE!$D515,EVENTOS!$F:$F,0)),0)</f>
        <v>0</v>
      </c>
      <c r="X515" s="3">
        <f>IFERROR(INDEX(EVENTOS!$D:$D,MATCH(SCORE!X$2&amp;" "&amp;SCORE!$D515,EVENTOS!$F:$F,0)),0)</f>
        <v>0</v>
      </c>
      <c r="Y515" s="3">
        <f>SUMIFS(EVENTOS!$D:$D, EVENTOS!$B:$B, D515, EVENTOS!$E:$E, "*GirAlto*")</f>
        <v>0</v>
      </c>
      <c r="Z515" s="3">
        <f>SUMIFS(EVENTOS!$D:$D, EVENTOS!$B:$B, D515, EVENTOS!$E:$E, "*GirMed*")</f>
        <v>0</v>
      </c>
      <c r="AA515" s="3">
        <f>SUMIFS(EVENTOS!$D:$D, EVENTOS!$B:$B, D515, EVENTOS!$E:$E, "*GirBajo*")</f>
        <v>0</v>
      </c>
      <c r="AB515" s="3">
        <f>IFERROR(INDEX(EVENTOS!$D:$D,MATCH(SCORE!AB$2&amp;" "&amp;SCORE!$D515,EVENTOS!$F:$F,0)),0)</f>
        <v>0</v>
      </c>
      <c r="AC515" s="3">
        <f>IFERROR(INDEX(EVENTOS!$D:$D,MATCH(SCORE!AC$2&amp;" "&amp;SCORE!$D515,EVENTOS!$F:$F,0)),0)</f>
        <v>0</v>
      </c>
      <c r="AD515" s="3">
        <f>IFERROR(INDEX(EVENTOS!$D:$D,MATCH(SCORE!AD$2&amp;" "&amp;SCORE!$D515,EVENTOS!$F:$F,0)),0)</f>
        <v>0</v>
      </c>
      <c r="AE515" s="3">
        <f t="shared" ref="AE515:AE578" si="24">((S515+V515+Y515+AB515)*50)+((T515+W515+Z515+AC515)*25)+((U515+X515+AA515+AD515)*5)</f>
        <v>0</v>
      </c>
      <c r="AF515" s="10" t="e">
        <f t="shared" ref="AF515:AF578" si="25">AE515/(G515*24)*100</f>
        <v>#N/A</v>
      </c>
      <c r="AG515" s="3" t="str">
        <f t="shared" ref="AG515:AG578" si="26">IF(D515&lt;&gt;"",IF(AF515&gt;=30000,5,ROUNDDOWN((((5-95)*(AF515-0))/(30000-0))+95,0)),"")</f>
        <v/>
      </c>
    </row>
    <row r="516" spans="1:33" x14ac:dyDescent="0.25">
      <c r="A516" s="7"/>
      <c r="B516" s="8"/>
      <c r="C516" s="3"/>
      <c r="D516" s="3"/>
      <c r="E516" s="3" t="e">
        <f>VLOOKUP(D516,VIAJES!$D:$E,2,FALSE)</f>
        <v>#N/A</v>
      </c>
      <c r="F516" s="9" t="e">
        <f>VLOOKUP(D516,VIAJES!$D:$F,3,FALSE)</f>
        <v>#N/A</v>
      </c>
      <c r="G516" s="9" t="e">
        <f>VLOOKUP(D516,VIAJES!$D:$G,4,FALSE)</f>
        <v>#N/A</v>
      </c>
      <c r="H516" s="3" t="e">
        <f>VLOOKUP(D516,VIAJES!$D:$H,5,FALSE)</f>
        <v>#N/A</v>
      </c>
      <c r="S516" s="3">
        <f>IFERROR(INDEX(EVENTOS!$D:$D,MATCH(SCORE!S$2&amp;" "&amp;SCORE!$D516,EVENTOS!$F:$F,0)),0)</f>
        <v>0</v>
      </c>
      <c r="T516" s="3">
        <f>IFERROR(INDEX(EVENTOS!$D:$D,MATCH(SCORE!T$2&amp;" "&amp;SCORE!$D516,EVENTOS!$F:$F,0)),0)</f>
        <v>0</v>
      </c>
      <c r="U516" s="3">
        <f>IFERROR(INDEX(EVENTOS!$D:$D,MATCH(SCORE!U$2&amp;" "&amp;SCORE!$D516,EVENTOS!$F:$F,0)),0)</f>
        <v>0</v>
      </c>
      <c r="V516" s="3">
        <f>IFERROR(INDEX(EVENTOS!$D:$D,MATCH(SCORE!V$2&amp;" "&amp;SCORE!$D516,EVENTOS!$F:$F,0)),0)</f>
        <v>0</v>
      </c>
      <c r="W516" s="3">
        <f>IFERROR(INDEX(EVENTOS!$D:$D,MATCH(SCORE!W$2&amp;" "&amp;SCORE!$D516,EVENTOS!$F:$F,0)),0)</f>
        <v>0</v>
      </c>
      <c r="X516" s="3">
        <f>IFERROR(INDEX(EVENTOS!$D:$D,MATCH(SCORE!X$2&amp;" "&amp;SCORE!$D516,EVENTOS!$F:$F,0)),0)</f>
        <v>0</v>
      </c>
      <c r="Y516" s="3">
        <f>SUMIFS(EVENTOS!$D:$D, EVENTOS!$B:$B, D516, EVENTOS!$E:$E, "*GirAlto*")</f>
        <v>0</v>
      </c>
      <c r="Z516" s="3">
        <f>SUMIFS(EVENTOS!$D:$D, EVENTOS!$B:$B, D516, EVENTOS!$E:$E, "*GirMed*")</f>
        <v>0</v>
      </c>
      <c r="AA516" s="3">
        <f>SUMIFS(EVENTOS!$D:$D, EVENTOS!$B:$B, D516, EVENTOS!$E:$E, "*GirBajo*")</f>
        <v>0</v>
      </c>
      <c r="AB516" s="3">
        <f>IFERROR(INDEX(EVENTOS!$D:$D,MATCH(SCORE!AB$2&amp;" "&amp;SCORE!$D516,EVENTOS!$F:$F,0)),0)</f>
        <v>0</v>
      </c>
      <c r="AC516" s="3">
        <f>IFERROR(INDEX(EVENTOS!$D:$D,MATCH(SCORE!AC$2&amp;" "&amp;SCORE!$D516,EVENTOS!$F:$F,0)),0)</f>
        <v>0</v>
      </c>
      <c r="AD516" s="3">
        <f>IFERROR(INDEX(EVENTOS!$D:$D,MATCH(SCORE!AD$2&amp;" "&amp;SCORE!$D516,EVENTOS!$F:$F,0)),0)</f>
        <v>0</v>
      </c>
      <c r="AE516" s="3">
        <f t="shared" si="24"/>
        <v>0</v>
      </c>
      <c r="AF516" s="10" t="e">
        <f t="shared" si="25"/>
        <v>#N/A</v>
      </c>
      <c r="AG516" s="3" t="str">
        <f t="shared" si="26"/>
        <v/>
      </c>
    </row>
    <row r="517" spans="1:33" x14ac:dyDescent="0.25">
      <c r="A517" s="7"/>
      <c r="B517" s="8"/>
      <c r="C517" s="3"/>
      <c r="D517" s="3"/>
      <c r="E517" s="3" t="e">
        <f>VLOOKUP(D517,VIAJES!$D:$E,2,FALSE)</f>
        <v>#N/A</v>
      </c>
      <c r="F517" s="9" t="e">
        <f>VLOOKUP(D517,VIAJES!$D:$F,3,FALSE)</f>
        <v>#N/A</v>
      </c>
      <c r="G517" s="9" t="e">
        <f>VLOOKUP(D517,VIAJES!$D:$G,4,FALSE)</f>
        <v>#N/A</v>
      </c>
      <c r="H517" s="3" t="e">
        <f>VLOOKUP(D517,VIAJES!$D:$H,5,FALSE)</f>
        <v>#N/A</v>
      </c>
      <c r="S517" s="3">
        <f>IFERROR(INDEX(EVENTOS!$D:$D,MATCH(SCORE!S$2&amp;" "&amp;SCORE!$D517,EVENTOS!$F:$F,0)),0)</f>
        <v>0</v>
      </c>
      <c r="T517" s="3">
        <f>IFERROR(INDEX(EVENTOS!$D:$D,MATCH(SCORE!T$2&amp;" "&amp;SCORE!$D517,EVENTOS!$F:$F,0)),0)</f>
        <v>0</v>
      </c>
      <c r="U517" s="3">
        <f>IFERROR(INDEX(EVENTOS!$D:$D,MATCH(SCORE!U$2&amp;" "&amp;SCORE!$D517,EVENTOS!$F:$F,0)),0)</f>
        <v>0</v>
      </c>
      <c r="V517" s="3">
        <f>IFERROR(INDEX(EVENTOS!$D:$D,MATCH(SCORE!V$2&amp;" "&amp;SCORE!$D517,EVENTOS!$F:$F,0)),0)</f>
        <v>0</v>
      </c>
      <c r="W517" s="3">
        <f>IFERROR(INDEX(EVENTOS!$D:$D,MATCH(SCORE!W$2&amp;" "&amp;SCORE!$D517,EVENTOS!$F:$F,0)),0)</f>
        <v>0</v>
      </c>
      <c r="X517" s="3">
        <f>IFERROR(INDEX(EVENTOS!$D:$D,MATCH(SCORE!X$2&amp;" "&amp;SCORE!$D517,EVENTOS!$F:$F,0)),0)</f>
        <v>0</v>
      </c>
      <c r="Y517" s="3">
        <f>SUMIFS(EVENTOS!$D:$D, EVENTOS!$B:$B, D517, EVENTOS!$E:$E, "*GirAlto*")</f>
        <v>0</v>
      </c>
      <c r="Z517" s="3">
        <f>SUMIFS(EVENTOS!$D:$D, EVENTOS!$B:$B, D517, EVENTOS!$E:$E, "*GirMed*")</f>
        <v>0</v>
      </c>
      <c r="AA517" s="3">
        <f>SUMIFS(EVENTOS!$D:$D, EVENTOS!$B:$B, D517, EVENTOS!$E:$E, "*GirBajo*")</f>
        <v>0</v>
      </c>
      <c r="AB517" s="3">
        <f>IFERROR(INDEX(EVENTOS!$D:$D,MATCH(SCORE!AB$2&amp;" "&amp;SCORE!$D517,EVENTOS!$F:$F,0)),0)</f>
        <v>0</v>
      </c>
      <c r="AC517" s="3">
        <f>IFERROR(INDEX(EVENTOS!$D:$D,MATCH(SCORE!AC$2&amp;" "&amp;SCORE!$D517,EVENTOS!$F:$F,0)),0)</f>
        <v>0</v>
      </c>
      <c r="AD517" s="3">
        <f>IFERROR(INDEX(EVENTOS!$D:$D,MATCH(SCORE!AD$2&amp;" "&amp;SCORE!$D517,EVENTOS!$F:$F,0)),0)</f>
        <v>0</v>
      </c>
      <c r="AE517" s="3">
        <f t="shared" si="24"/>
        <v>0</v>
      </c>
      <c r="AF517" s="10" t="e">
        <f t="shared" si="25"/>
        <v>#N/A</v>
      </c>
      <c r="AG517" s="3" t="str">
        <f t="shared" si="26"/>
        <v/>
      </c>
    </row>
    <row r="518" spans="1:33" x14ac:dyDescent="0.25">
      <c r="A518" s="7"/>
      <c r="B518" s="8"/>
      <c r="C518" s="3"/>
      <c r="D518" s="3"/>
      <c r="E518" s="3" t="e">
        <f>VLOOKUP(D518,VIAJES!$D:$E,2,FALSE)</f>
        <v>#N/A</v>
      </c>
      <c r="F518" s="9" t="e">
        <f>VLOOKUP(D518,VIAJES!$D:$F,3,FALSE)</f>
        <v>#N/A</v>
      </c>
      <c r="G518" s="9" t="e">
        <f>VLOOKUP(D518,VIAJES!$D:$G,4,FALSE)</f>
        <v>#N/A</v>
      </c>
      <c r="H518" s="3" t="e">
        <f>VLOOKUP(D518,VIAJES!$D:$H,5,FALSE)</f>
        <v>#N/A</v>
      </c>
      <c r="S518" s="3">
        <f>IFERROR(INDEX(EVENTOS!$D:$D,MATCH(SCORE!S$2&amp;" "&amp;SCORE!$D518,EVENTOS!$F:$F,0)),0)</f>
        <v>0</v>
      </c>
      <c r="T518" s="3">
        <f>IFERROR(INDEX(EVENTOS!$D:$D,MATCH(SCORE!T$2&amp;" "&amp;SCORE!$D518,EVENTOS!$F:$F,0)),0)</f>
        <v>0</v>
      </c>
      <c r="U518" s="3">
        <f>IFERROR(INDEX(EVENTOS!$D:$D,MATCH(SCORE!U$2&amp;" "&amp;SCORE!$D518,EVENTOS!$F:$F,0)),0)</f>
        <v>0</v>
      </c>
      <c r="V518" s="3">
        <f>IFERROR(INDEX(EVENTOS!$D:$D,MATCH(SCORE!V$2&amp;" "&amp;SCORE!$D518,EVENTOS!$F:$F,0)),0)</f>
        <v>0</v>
      </c>
      <c r="W518" s="3">
        <f>IFERROR(INDEX(EVENTOS!$D:$D,MATCH(SCORE!W$2&amp;" "&amp;SCORE!$D518,EVENTOS!$F:$F,0)),0)</f>
        <v>0</v>
      </c>
      <c r="X518" s="3">
        <f>IFERROR(INDEX(EVENTOS!$D:$D,MATCH(SCORE!X$2&amp;" "&amp;SCORE!$D518,EVENTOS!$F:$F,0)),0)</f>
        <v>0</v>
      </c>
      <c r="Y518" s="3">
        <f>SUMIFS(EVENTOS!$D:$D, EVENTOS!$B:$B, D518, EVENTOS!$E:$E, "*GirAlto*")</f>
        <v>0</v>
      </c>
      <c r="Z518" s="3">
        <f>SUMIFS(EVENTOS!$D:$D, EVENTOS!$B:$B, D518, EVENTOS!$E:$E, "*GirMed*")</f>
        <v>0</v>
      </c>
      <c r="AA518" s="3">
        <f>SUMIFS(EVENTOS!$D:$D, EVENTOS!$B:$B, D518, EVENTOS!$E:$E, "*GirBajo*")</f>
        <v>0</v>
      </c>
      <c r="AB518" s="3">
        <f>IFERROR(INDEX(EVENTOS!$D:$D,MATCH(SCORE!AB$2&amp;" "&amp;SCORE!$D518,EVENTOS!$F:$F,0)),0)</f>
        <v>0</v>
      </c>
      <c r="AC518" s="3">
        <f>IFERROR(INDEX(EVENTOS!$D:$D,MATCH(SCORE!AC$2&amp;" "&amp;SCORE!$D518,EVENTOS!$F:$F,0)),0)</f>
        <v>0</v>
      </c>
      <c r="AD518" s="3">
        <f>IFERROR(INDEX(EVENTOS!$D:$D,MATCH(SCORE!AD$2&amp;" "&amp;SCORE!$D518,EVENTOS!$F:$F,0)),0)</f>
        <v>0</v>
      </c>
      <c r="AE518" s="3">
        <f t="shared" si="24"/>
        <v>0</v>
      </c>
      <c r="AF518" s="10" t="e">
        <f t="shared" si="25"/>
        <v>#N/A</v>
      </c>
      <c r="AG518" s="3" t="str">
        <f t="shared" si="26"/>
        <v/>
      </c>
    </row>
    <row r="519" spans="1:33" x14ac:dyDescent="0.25">
      <c r="A519" s="7"/>
      <c r="B519" s="8"/>
      <c r="C519" s="3"/>
      <c r="D519" s="3"/>
      <c r="E519" s="3" t="e">
        <f>VLOOKUP(D519,VIAJES!$D:$E,2,FALSE)</f>
        <v>#N/A</v>
      </c>
      <c r="F519" s="9" t="e">
        <f>VLOOKUP(D519,VIAJES!$D:$F,3,FALSE)</f>
        <v>#N/A</v>
      </c>
      <c r="G519" s="9" t="e">
        <f>VLOOKUP(D519,VIAJES!$D:$G,4,FALSE)</f>
        <v>#N/A</v>
      </c>
      <c r="H519" s="3" t="e">
        <f>VLOOKUP(D519,VIAJES!$D:$H,5,FALSE)</f>
        <v>#N/A</v>
      </c>
      <c r="S519" s="3">
        <f>IFERROR(INDEX(EVENTOS!$D:$D,MATCH(SCORE!S$2&amp;" "&amp;SCORE!$D519,EVENTOS!$F:$F,0)),0)</f>
        <v>0</v>
      </c>
      <c r="T519" s="3">
        <f>IFERROR(INDEX(EVENTOS!$D:$D,MATCH(SCORE!T$2&amp;" "&amp;SCORE!$D519,EVENTOS!$F:$F,0)),0)</f>
        <v>0</v>
      </c>
      <c r="U519" s="3">
        <f>IFERROR(INDEX(EVENTOS!$D:$D,MATCH(SCORE!U$2&amp;" "&amp;SCORE!$D519,EVENTOS!$F:$F,0)),0)</f>
        <v>0</v>
      </c>
      <c r="V519" s="3">
        <f>IFERROR(INDEX(EVENTOS!$D:$D,MATCH(SCORE!V$2&amp;" "&amp;SCORE!$D519,EVENTOS!$F:$F,0)),0)</f>
        <v>0</v>
      </c>
      <c r="W519" s="3">
        <f>IFERROR(INDEX(EVENTOS!$D:$D,MATCH(SCORE!W$2&amp;" "&amp;SCORE!$D519,EVENTOS!$F:$F,0)),0)</f>
        <v>0</v>
      </c>
      <c r="X519" s="3">
        <f>IFERROR(INDEX(EVENTOS!$D:$D,MATCH(SCORE!X$2&amp;" "&amp;SCORE!$D519,EVENTOS!$F:$F,0)),0)</f>
        <v>0</v>
      </c>
      <c r="Y519" s="3">
        <f>SUMIFS(EVENTOS!$D:$D, EVENTOS!$B:$B, D519, EVENTOS!$E:$E, "*GirAlto*")</f>
        <v>0</v>
      </c>
      <c r="Z519" s="3">
        <f>SUMIFS(EVENTOS!$D:$D, EVENTOS!$B:$B, D519, EVENTOS!$E:$E, "*GirMed*")</f>
        <v>0</v>
      </c>
      <c r="AA519" s="3">
        <f>SUMIFS(EVENTOS!$D:$D, EVENTOS!$B:$B, D519, EVENTOS!$E:$E, "*GirBajo*")</f>
        <v>0</v>
      </c>
      <c r="AB519" s="3">
        <f>IFERROR(INDEX(EVENTOS!$D:$D,MATCH(SCORE!AB$2&amp;" "&amp;SCORE!$D519,EVENTOS!$F:$F,0)),0)</f>
        <v>0</v>
      </c>
      <c r="AC519" s="3">
        <f>IFERROR(INDEX(EVENTOS!$D:$D,MATCH(SCORE!AC$2&amp;" "&amp;SCORE!$D519,EVENTOS!$F:$F,0)),0)</f>
        <v>0</v>
      </c>
      <c r="AD519" s="3">
        <f>IFERROR(INDEX(EVENTOS!$D:$D,MATCH(SCORE!AD$2&amp;" "&amp;SCORE!$D519,EVENTOS!$F:$F,0)),0)</f>
        <v>0</v>
      </c>
      <c r="AE519" s="3">
        <f t="shared" si="24"/>
        <v>0</v>
      </c>
      <c r="AF519" s="10" t="e">
        <f t="shared" si="25"/>
        <v>#N/A</v>
      </c>
      <c r="AG519" s="3" t="str">
        <f t="shared" si="26"/>
        <v/>
      </c>
    </row>
    <row r="520" spans="1:33" x14ac:dyDescent="0.25">
      <c r="A520" s="7"/>
      <c r="B520" s="8"/>
      <c r="C520" s="3"/>
      <c r="D520" s="3"/>
      <c r="E520" s="3" t="e">
        <f>VLOOKUP(D520,VIAJES!$D:$E,2,FALSE)</f>
        <v>#N/A</v>
      </c>
      <c r="F520" s="9" t="e">
        <f>VLOOKUP(D520,VIAJES!$D:$F,3,FALSE)</f>
        <v>#N/A</v>
      </c>
      <c r="G520" s="9" t="e">
        <f>VLOOKUP(D520,VIAJES!$D:$G,4,FALSE)</f>
        <v>#N/A</v>
      </c>
      <c r="H520" s="3" t="e">
        <f>VLOOKUP(D520,VIAJES!$D:$H,5,FALSE)</f>
        <v>#N/A</v>
      </c>
      <c r="S520" s="3">
        <f>IFERROR(INDEX(EVENTOS!$D:$D,MATCH(SCORE!S$2&amp;" "&amp;SCORE!$D520,EVENTOS!$F:$F,0)),0)</f>
        <v>0</v>
      </c>
      <c r="T520" s="3">
        <f>IFERROR(INDEX(EVENTOS!$D:$D,MATCH(SCORE!T$2&amp;" "&amp;SCORE!$D520,EVENTOS!$F:$F,0)),0)</f>
        <v>0</v>
      </c>
      <c r="U520" s="3">
        <f>IFERROR(INDEX(EVENTOS!$D:$D,MATCH(SCORE!U$2&amp;" "&amp;SCORE!$D520,EVENTOS!$F:$F,0)),0)</f>
        <v>0</v>
      </c>
      <c r="V520" s="3">
        <f>IFERROR(INDEX(EVENTOS!$D:$D,MATCH(SCORE!V$2&amp;" "&amp;SCORE!$D520,EVENTOS!$F:$F,0)),0)</f>
        <v>0</v>
      </c>
      <c r="W520" s="3">
        <f>IFERROR(INDEX(EVENTOS!$D:$D,MATCH(SCORE!W$2&amp;" "&amp;SCORE!$D520,EVENTOS!$F:$F,0)),0)</f>
        <v>0</v>
      </c>
      <c r="X520" s="3">
        <f>IFERROR(INDEX(EVENTOS!$D:$D,MATCH(SCORE!X$2&amp;" "&amp;SCORE!$D520,EVENTOS!$F:$F,0)),0)</f>
        <v>0</v>
      </c>
      <c r="Y520" s="3">
        <f>SUMIFS(EVENTOS!$D:$D, EVENTOS!$B:$B, D520, EVENTOS!$E:$E, "*GirAlto*")</f>
        <v>0</v>
      </c>
      <c r="Z520" s="3">
        <f>SUMIFS(EVENTOS!$D:$D, EVENTOS!$B:$B, D520, EVENTOS!$E:$E, "*GirMed*")</f>
        <v>0</v>
      </c>
      <c r="AA520" s="3">
        <f>SUMIFS(EVENTOS!$D:$D, EVENTOS!$B:$B, D520, EVENTOS!$E:$E, "*GirBajo*")</f>
        <v>0</v>
      </c>
      <c r="AB520" s="3">
        <f>IFERROR(INDEX(EVENTOS!$D:$D,MATCH(SCORE!AB$2&amp;" "&amp;SCORE!$D520,EVENTOS!$F:$F,0)),0)</f>
        <v>0</v>
      </c>
      <c r="AC520" s="3">
        <f>IFERROR(INDEX(EVENTOS!$D:$D,MATCH(SCORE!AC$2&amp;" "&amp;SCORE!$D520,EVENTOS!$F:$F,0)),0)</f>
        <v>0</v>
      </c>
      <c r="AD520" s="3">
        <f>IFERROR(INDEX(EVENTOS!$D:$D,MATCH(SCORE!AD$2&amp;" "&amp;SCORE!$D520,EVENTOS!$F:$F,0)),0)</f>
        <v>0</v>
      </c>
      <c r="AE520" s="3">
        <f t="shared" si="24"/>
        <v>0</v>
      </c>
      <c r="AF520" s="10" t="e">
        <f t="shared" si="25"/>
        <v>#N/A</v>
      </c>
      <c r="AG520" s="3" t="str">
        <f t="shared" si="26"/>
        <v/>
      </c>
    </row>
    <row r="521" spans="1:33" x14ac:dyDescent="0.25">
      <c r="A521" s="7"/>
      <c r="B521" s="8"/>
      <c r="C521" s="3"/>
      <c r="D521" s="3"/>
      <c r="E521" s="3" t="e">
        <f>VLOOKUP(D521,VIAJES!$D:$E,2,FALSE)</f>
        <v>#N/A</v>
      </c>
      <c r="F521" s="9" t="e">
        <f>VLOOKUP(D521,VIAJES!$D:$F,3,FALSE)</f>
        <v>#N/A</v>
      </c>
      <c r="G521" s="9" t="e">
        <f>VLOOKUP(D521,VIAJES!$D:$G,4,FALSE)</f>
        <v>#N/A</v>
      </c>
      <c r="H521" s="3" t="e">
        <f>VLOOKUP(D521,VIAJES!$D:$H,5,FALSE)</f>
        <v>#N/A</v>
      </c>
      <c r="S521" s="3">
        <f>IFERROR(INDEX(EVENTOS!$D:$D,MATCH(SCORE!S$2&amp;" "&amp;SCORE!$D521,EVENTOS!$F:$F,0)),0)</f>
        <v>0</v>
      </c>
      <c r="T521" s="3">
        <f>IFERROR(INDEX(EVENTOS!$D:$D,MATCH(SCORE!T$2&amp;" "&amp;SCORE!$D521,EVENTOS!$F:$F,0)),0)</f>
        <v>0</v>
      </c>
      <c r="U521" s="3">
        <f>IFERROR(INDEX(EVENTOS!$D:$D,MATCH(SCORE!U$2&amp;" "&amp;SCORE!$D521,EVENTOS!$F:$F,0)),0)</f>
        <v>0</v>
      </c>
      <c r="V521" s="3">
        <f>IFERROR(INDEX(EVENTOS!$D:$D,MATCH(SCORE!V$2&amp;" "&amp;SCORE!$D521,EVENTOS!$F:$F,0)),0)</f>
        <v>0</v>
      </c>
      <c r="W521" s="3">
        <f>IFERROR(INDEX(EVENTOS!$D:$D,MATCH(SCORE!W$2&amp;" "&amp;SCORE!$D521,EVENTOS!$F:$F,0)),0)</f>
        <v>0</v>
      </c>
      <c r="X521" s="3">
        <f>IFERROR(INDEX(EVENTOS!$D:$D,MATCH(SCORE!X$2&amp;" "&amp;SCORE!$D521,EVENTOS!$F:$F,0)),0)</f>
        <v>0</v>
      </c>
      <c r="Y521" s="3">
        <f>SUMIFS(EVENTOS!$D:$D, EVENTOS!$B:$B, D521, EVENTOS!$E:$E, "*GirAlto*")</f>
        <v>0</v>
      </c>
      <c r="Z521" s="3">
        <f>SUMIFS(EVENTOS!$D:$D, EVENTOS!$B:$B, D521, EVENTOS!$E:$E, "*GirMed*")</f>
        <v>0</v>
      </c>
      <c r="AA521" s="3">
        <f>SUMIFS(EVENTOS!$D:$D, EVENTOS!$B:$B, D521, EVENTOS!$E:$E, "*GirBajo*")</f>
        <v>0</v>
      </c>
      <c r="AB521" s="3">
        <f>IFERROR(INDEX(EVENTOS!$D:$D,MATCH(SCORE!AB$2&amp;" "&amp;SCORE!$D521,EVENTOS!$F:$F,0)),0)</f>
        <v>0</v>
      </c>
      <c r="AC521" s="3">
        <f>IFERROR(INDEX(EVENTOS!$D:$D,MATCH(SCORE!AC$2&amp;" "&amp;SCORE!$D521,EVENTOS!$F:$F,0)),0)</f>
        <v>0</v>
      </c>
      <c r="AD521" s="3">
        <f>IFERROR(INDEX(EVENTOS!$D:$D,MATCH(SCORE!AD$2&amp;" "&amp;SCORE!$D521,EVENTOS!$F:$F,0)),0)</f>
        <v>0</v>
      </c>
      <c r="AE521" s="3">
        <f t="shared" si="24"/>
        <v>0</v>
      </c>
      <c r="AF521" s="10" t="e">
        <f t="shared" si="25"/>
        <v>#N/A</v>
      </c>
      <c r="AG521" s="3" t="str">
        <f t="shared" si="26"/>
        <v/>
      </c>
    </row>
    <row r="522" spans="1:33" x14ac:dyDescent="0.25">
      <c r="A522" s="7"/>
      <c r="B522" s="8"/>
      <c r="C522" s="3"/>
      <c r="D522" s="3"/>
      <c r="E522" s="3" t="e">
        <f>VLOOKUP(D522,VIAJES!$D:$E,2,FALSE)</f>
        <v>#N/A</v>
      </c>
      <c r="F522" s="9" t="e">
        <f>VLOOKUP(D522,VIAJES!$D:$F,3,FALSE)</f>
        <v>#N/A</v>
      </c>
      <c r="G522" s="9" t="e">
        <f>VLOOKUP(D522,VIAJES!$D:$G,4,FALSE)</f>
        <v>#N/A</v>
      </c>
      <c r="H522" s="3" t="e">
        <f>VLOOKUP(D522,VIAJES!$D:$H,5,FALSE)</f>
        <v>#N/A</v>
      </c>
      <c r="S522" s="3">
        <f>IFERROR(INDEX(EVENTOS!$D:$D,MATCH(SCORE!S$2&amp;" "&amp;SCORE!$D522,EVENTOS!$F:$F,0)),0)</f>
        <v>0</v>
      </c>
      <c r="T522" s="3">
        <f>IFERROR(INDEX(EVENTOS!$D:$D,MATCH(SCORE!T$2&amp;" "&amp;SCORE!$D522,EVENTOS!$F:$F,0)),0)</f>
        <v>0</v>
      </c>
      <c r="U522" s="3">
        <f>IFERROR(INDEX(EVENTOS!$D:$D,MATCH(SCORE!U$2&amp;" "&amp;SCORE!$D522,EVENTOS!$F:$F,0)),0)</f>
        <v>0</v>
      </c>
      <c r="V522" s="3">
        <f>IFERROR(INDEX(EVENTOS!$D:$D,MATCH(SCORE!V$2&amp;" "&amp;SCORE!$D522,EVENTOS!$F:$F,0)),0)</f>
        <v>0</v>
      </c>
      <c r="W522" s="3">
        <f>IFERROR(INDEX(EVENTOS!$D:$D,MATCH(SCORE!W$2&amp;" "&amp;SCORE!$D522,EVENTOS!$F:$F,0)),0)</f>
        <v>0</v>
      </c>
      <c r="X522" s="3">
        <f>IFERROR(INDEX(EVENTOS!$D:$D,MATCH(SCORE!X$2&amp;" "&amp;SCORE!$D522,EVENTOS!$F:$F,0)),0)</f>
        <v>0</v>
      </c>
      <c r="Y522" s="3">
        <f>SUMIFS(EVENTOS!$D:$D, EVENTOS!$B:$B, D522, EVENTOS!$E:$E, "*GirAlto*")</f>
        <v>0</v>
      </c>
      <c r="Z522" s="3">
        <f>SUMIFS(EVENTOS!$D:$D, EVENTOS!$B:$B, D522, EVENTOS!$E:$E, "*GirMed*")</f>
        <v>0</v>
      </c>
      <c r="AA522" s="3">
        <f>SUMIFS(EVENTOS!$D:$D, EVENTOS!$B:$B, D522, EVENTOS!$E:$E, "*GirBajo*")</f>
        <v>0</v>
      </c>
      <c r="AB522" s="3">
        <f>IFERROR(INDEX(EVENTOS!$D:$D,MATCH(SCORE!AB$2&amp;" "&amp;SCORE!$D522,EVENTOS!$F:$F,0)),0)</f>
        <v>0</v>
      </c>
      <c r="AC522" s="3">
        <f>IFERROR(INDEX(EVENTOS!$D:$D,MATCH(SCORE!AC$2&amp;" "&amp;SCORE!$D522,EVENTOS!$F:$F,0)),0)</f>
        <v>0</v>
      </c>
      <c r="AD522" s="3">
        <f>IFERROR(INDEX(EVENTOS!$D:$D,MATCH(SCORE!AD$2&amp;" "&amp;SCORE!$D522,EVENTOS!$F:$F,0)),0)</f>
        <v>0</v>
      </c>
      <c r="AE522" s="3">
        <f t="shared" si="24"/>
        <v>0</v>
      </c>
      <c r="AF522" s="10" t="e">
        <f t="shared" si="25"/>
        <v>#N/A</v>
      </c>
      <c r="AG522" s="3" t="str">
        <f t="shared" si="26"/>
        <v/>
      </c>
    </row>
    <row r="523" spans="1:33" x14ac:dyDescent="0.25">
      <c r="A523" s="7"/>
      <c r="B523" s="8"/>
      <c r="C523" s="3"/>
      <c r="D523" s="3"/>
      <c r="E523" s="3" t="e">
        <f>VLOOKUP(D523,VIAJES!$D:$E,2,FALSE)</f>
        <v>#N/A</v>
      </c>
      <c r="F523" s="9" t="e">
        <f>VLOOKUP(D523,VIAJES!$D:$F,3,FALSE)</f>
        <v>#N/A</v>
      </c>
      <c r="G523" s="9" t="e">
        <f>VLOOKUP(D523,VIAJES!$D:$G,4,FALSE)</f>
        <v>#N/A</v>
      </c>
      <c r="H523" s="3" t="e">
        <f>VLOOKUP(D523,VIAJES!$D:$H,5,FALSE)</f>
        <v>#N/A</v>
      </c>
      <c r="S523" s="3">
        <f>IFERROR(INDEX(EVENTOS!$D:$D,MATCH(SCORE!S$2&amp;" "&amp;SCORE!$D523,EVENTOS!$F:$F,0)),0)</f>
        <v>0</v>
      </c>
      <c r="T523" s="3">
        <f>IFERROR(INDEX(EVENTOS!$D:$D,MATCH(SCORE!T$2&amp;" "&amp;SCORE!$D523,EVENTOS!$F:$F,0)),0)</f>
        <v>0</v>
      </c>
      <c r="U523" s="3">
        <f>IFERROR(INDEX(EVENTOS!$D:$D,MATCH(SCORE!U$2&amp;" "&amp;SCORE!$D523,EVENTOS!$F:$F,0)),0)</f>
        <v>0</v>
      </c>
      <c r="V523" s="3">
        <f>IFERROR(INDEX(EVENTOS!$D:$D,MATCH(SCORE!V$2&amp;" "&amp;SCORE!$D523,EVENTOS!$F:$F,0)),0)</f>
        <v>0</v>
      </c>
      <c r="W523" s="3">
        <f>IFERROR(INDEX(EVENTOS!$D:$D,MATCH(SCORE!W$2&amp;" "&amp;SCORE!$D523,EVENTOS!$F:$F,0)),0)</f>
        <v>0</v>
      </c>
      <c r="X523" s="3">
        <f>IFERROR(INDEX(EVENTOS!$D:$D,MATCH(SCORE!X$2&amp;" "&amp;SCORE!$D523,EVENTOS!$F:$F,0)),0)</f>
        <v>0</v>
      </c>
      <c r="Y523" s="3">
        <f>SUMIFS(EVENTOS!$D:$D, EVENTOS!$B:$B, D523, EVENTOS!$E:$E, "*GirAlto*")</f>
        <v>0</v>
      </c>
      <c r="Z523" s="3">
        <f>SUMIFS(EVENTOS!$D:$D, EVENTOS!$B:$B, D523, EVENTOS!$E:$E, "*GirMed*")</f>
        <v>0</v>
      </c>
      <c r="AA523" s="3">
        <f>SUMIFS(EVENTOS!$D:$D, EVENTOS!$B:$B, D523, EVENTOS!$E:$E, "*GirBajo*")</f>
        <v>0</v>
      </c>
      <c r="AB523" s="3">
        <f>IFERROR(INDEX(EVENTOS!$D:$D,MATCH(SCORE!AB$2&amp;" "&amp;SCORE!$D523,EVENTOS!$F:$F,0)),0)</f>
        <v>0</v>
      </c>
      <c r="AC523" s="3">
        <f>IFERROR(INDEX(EVENTOS!$D:$D,MATCH(SCORE!AC$2&amp;" "&amp;SCORE!$D523,EVENTOS!$F:$F,0)),0)</f>
        <v>0</v>
      </c>
      <c r="AD523" s="3">
        <f>IFERROR(INDEX(EVENTOS!$D:$D,MATCH(SCORE!AD$2&amp;" "&amp;SCORE!$D523,EVENTOS!$F:$F,0)),0)</f>
        <v>0</v>
      </c>
      <c r="AE523" s="3">
        <f t="shared" si="24"/>
        <v>0</v>
      </c>
      <c r="AF523" s="10" t="e">
        <f t="shared" si="25"/>
        <v>#N/A</v>
      </c>
      <c r="AG523" s="3" t="str">
        <f t="shared" si="26"/>
        <v/>
      </c>
    </row>
    <row r="524" spans="1:33" x14ac:dyDescent="0.25">
      <c r="A524" s="7"/>
      <c r="B524" s="8"/>
      <c r="C524" s="3"/>
      <c r="D524" s="3"/>
      <c r="E524" s="3" t="e">
        <f>VLOOKUP(D524,VIAJES!$D:$E,2,FALSE)</f>
        <v>#N/A</v>
      </c>
      <c r="F524" s="9" t="e">
        <f>VLOOKUP(D524,VIAJES!$D:$F,3,FALSE)</f>
        <v>#N/A</v>
      </c>
      <c r="G524" s="9" t="e">
        <f>VLOOKUP(D524,VIAJES!$D:$G,4,FALSE)</f>
        <v>#N/A</v>
      </c>
      <c r="H524" s="3" t="e">
        <f>VLOOKUP(D524,VIAJES!$D:$H,5,FALSE)</f>
        <v>#N/A</v>
      </c>
      <c r="S524" s="3">
        <f>IFERROR(INDEX(EVENTOS!$D:$D,MATCH(SCORE!S$2&amp;" "&amp;SCORE!$D524,EVENTOS!$F:$F,0)),0)</f>
        <v>0</v>
      </c>
      <c r="T524" s="3">
        <f>IFERROR(INDEX(EVENTOS!$D:$D,MATCH(SCORE!T$2&amp;" "&amp;SCORE!$D524,EVENTOS!$F:$F,0)),0)</f>
        <v>0</v>
      </c>
      <c r="U524" s="3">
        <f>IFERROR(INDEX(EVENTOS!$D:$D,MATCH(SCORE!U$2&amp;" "&amp;SCORE!$D524,EVENTOS!$F:$F,0)),0)</f>
        <v>0</v>
      </c>
      <c r="V524" s="3">
        <f>IFERROR(INDEX(EVENTOS!$D:$D,MATCH(SCORE!V$2&amp;" "&amp;SCORE!$D524,EVENTOS!$F:$F,0)),0)</f>
        <v>0</v>
      </c>
      <c r="W524" s="3">
        <f>IFERROR(INDEX(EVENTOS!$D:$D,MATCH(SCORE!W$2&amp;" "&amp;SCORE!$D524,EVENTOS!$F:$F,0)),0)</f>
        <v>0</v>
      </c>
      <c r="X524" s="3">
        <f>IFERROR(INDEX(EVENTOS!$D:$D,MATCH(SCORE!X$2&amp;" "&amp;SCORE!$D524,EVENTOS!$F:$F,0)),0)</f>
        <v>0</v>
      </c>
      <c r="Y524" s="3">
        <f>SUMIFS(EVENTOS!$D:$D, EVENTOS!$B:$B, D524, EVENTOS!$E:$E, "*GirAlto*")</f>
        <v>0</v>
      </c>
      <c r="Z524" s="3">
        <f>SUMIFS(EVENTOS!$D:$D, EVENTOS!$B:$B, D524, EVENTOS!$E:$E, "*GirMed*")</f>
        <v>0</v>
      </c>
      <c r="AA524" s="3">
        <f>SUMIFS(EVENTOS!$D:$D, EVENTOS!$B:$B, D524, EVENTOS!$E:$E, "*GirBajo*")</f>
        <v>0</v>
      </c>
      <c r="AB524" s="3">
        <f>IFERROR(INDEX(EVENTOS!$D:$D,MATCH(SCORE!AB$2&amp;" "&amp;SCORE!$D524,EVENTOS!$F:$F,0)),0)</f>
        <v>0</v>
      </c>
      <c r="AC524" s="3">
        <f>IFERROR(INDEX(EVENTOS!$D:$D,MATCH(SCORE!AC$2&amp;" "&amp;SCORE!$D524,EVENTOS!$F:$F,0)),0)</f>
        <v>0</v>
      </c>
      <c r="AD524" s="3">
        <f>IFERROR(INDEX(EVENTOS!$D:$D,MATCH(SCORE!AD$2&amp;" "&amp;SCORE!$D524,EVENTOS!$F:$F,0)),0)</f>
        <v>0</v>
      </c>
      <c r="AE524" s="3">
        <f t="shared" si="24"/>
        <v>0</v>
      </c>
      <c r="AF524" s="10" t="e">
        <f t="shared" si="25"/>
        <v>#N/A</v>
      </c>
      <c r="AG524" s="3" t="str">
        <f t="shared" si="26"/>
        <v/>
      </c>
    </row>
    <row r="525" spans="1:33" x14ac:dyDescent="0.25">
      <c r="A525" s="7"/>
      <c r="B525" s="8"/>
      <c r="C525" s="3"/>
      <c r="D525" s="3"/>
      <c r="E525" s="3" t="e">
        <f>VLOOKUP(D525,VIAJES!$D:$E,2,FALSE)</f>
        <v>#N/A</v>
      </c>
      <c r="F525" s="9" t="e">
        <f>VLOOKUP(D525,VIAJES!$D:$F,3,FALSE)</f>
        <v>#N/A</v>
      </c>
      <c r="G525" s="9" t="e">
        <f>VLOOKUP(D525,VIAJES!$D:$G,4,FALSE)</f>
        <v>#N/A</v>
      </c>
      <c r="H525" s="3" t="e">
        <f>VLOOKUP(D525,VIAJES!$D:$H,5,FALSE)</f>
        <v>#N/A</v>
      </c>
      <c r="S525" s="3">
        <f>IFERROR(INDEX(EVENTOS!$D:$D,MATCH(SCORE!S$2&amp;" "&amp;SCORE!$D525,EVENTOS!$F:$F,0)),0)</f>
        <v>0</v>
      </c>
      <c r="T525" s="3">
        <f>IFERROR(INDEX(EVENTOS!$D:$D,MATCH(SCORE!T$2&amp;" "&amp;SCORE!$D525,EVENTOS!$F:$F,0)),0)</f>
        <v>0</v>
      </c>
      <c r="U525" s="3">
        <f>IFERROR(INDEX(EVENTOS!$D:$D,MATCH(SCORE!U$2&amp;" "&amp;SCORE!$D525,EVENTOS!$F:$F,0)),0)</f>
        <v>0</v>
      </c>
      <c r="V525" s="3">
        <f>IFERROR(INDEX(EVENTOS!$D:$D,MATCH(SCORE!V$2&amp;" "&amp;SCORE!$D525,EVENTOS!$F:$F,0)),0)</f>
        <v>0</v>
      </c>
      <c r="W525" s="3">
        <f>IFERROR(INDEX(EVENTOS!$D:$D,MATCH(SCORE!W$2&amp;" "&amp;SCORE!$D525,EVENTOS!$F:$F,0)),0)</f>
        <v>0</v>
      </c>
      <c r="X525" s="3">
        <f>IFERROR(INDEX(EVENTOS!$D:$D,MATCH(SCORE!X$2&amp;" "&amp;SCORE!$D525,EVENTOS!$F:$F,0)),0)</f>
        <v>0</v>
      </c>
      <c r="Y525" s="3">
        <f>SUMIFS(EVENTOS!$D:$D, EVENTOS!$B:$B, D525, EVENTOS!$E:$E, "*GirAlto*")</f>
        <v>0</v>
      </c>
      <c r="Z525" s="3">
        <f>SUMIFS(EVENTOS!$D:$D, EVENTOS!$B:$B, D525, EVENTOS!$E:$E, "*GirMed*")</f>
        <v>0</v>
      </c>
      <c r="AA525" s="3">
        <f>SUMIFS(EVENTOS!$D:$D, EVENTOS!$B:$B, D525, EVENTOS!$E:$E, "*GirBajo*")</f>
        <v>0</v>
      </c>
      <c r="AB525" s="3">
        <f>IFERROR(INDEX(EVENTOS!$D:$D,MATCH(SCORE!AB$2&amp;" "&amp;SCORE!$D525,EVENTOS!$F:$F,0)),0)</f>
        <v>0</v>
      </c>
      <c r="AC525" s="3">
        <f>IFERROR(INDEX(EVENTOS!$D:$D,MATCH(SCORE!AC$2&amp;" "&amp;SCORE!$D525,EVENTOS!$F:$F,0)),0)</f>
        <v>0</v>
      </c>
      <c r="AD525" s="3">
        <f>IFERROR(INDEX(EVENTOS!$D:$D,MATCH(SCORE!AD$2&amp;" "&amp;SCORE!$D525,EVENTOS!$F:$F,0)),0)</f>
        <v>0</v>
      </c>
      <c r="AE525" s="3">
        <f t="shared" si="24"/>
        <v>0</v>
      </c>
      <c r="AF525" s="10" t="e">
        <f t="shared" si="25"/>
        <v>#N/A</v>
      </c>
      <c r="AG525" s="3" t="str">
        <f t="shared" si="26"/>
        <v/>
      </c>
    </row>
    <row r="526" spans="1:33" x14ac:dyDescent="0.25">
      <c r="A526" s="7"/>
      <c r="B526" s="8"/>
      <c r="C526" s="3"/>
      <c r="D526" s="3"/>
      <c r="E526" s="3" t="e">
        <f>VLOOKUP(D526,VIAJES!$D:$E,2,FALSE)</f>
        <v>#N/A</v>
      </c>
      <c r="F526" s="9" t="e">
        <f>VLOOKUP(D526,VIAJES!$D:$F,3,FALSE)</f>
        <v>#N/A</v>
      </c>
      <c r="G526" s="9" t="e">
        <f>VLOOKUP(D526,VIAJES!$D:$G,4,FALSE)</f>
        <v>#N/A</v>
      </c>
      <c r="H526" s="3" t="e">
        <f>VLOOKUP(D526,VIAJES!$D:$H,5,FALSE)</f>
        <v>#N/A</v>
      </c>
      <c r="S526" s="3">
        <f>IFERROR(INDEX(EVENTOS!$D:$D,MATCH(SCORE!S$2&amp;" "&amp;SCORE!$D526,EVENTOS!$F:$F,0)),0)</f>
        <v>0</v>
      </c>
      <c r="T526" s="3">
        <f>IFERROR(INDEX(EVENTOS!$D:$D,MATCH(SCORE!T$2&amp;" "&amp;SCORE!$D526,EVENTOS!$F:$F,0)),0)</f>
        <v>0</v>
      </c>
      <c r="U526" s="3">
        <f>IFERROR(INDEX(EVENTOS!$D:$D,MATCH(SCORE!U$2&amp;" "&amp;SCORE!$D526,EVENTOS!$F:$F,0)),0)</f>
        <v>0</v>
      </c>
      <c r="V526" s="3">
        <f>IFERROR(INDEX(EVENTOS!$D:$D,MATCH(SCORE!V$2&amp;" "&amp;SCORE!$D526,EVENTOS!$F:$F,0)),0)</f>
        <v>0</v>
      </c>
      <c r="W526" s="3">
        <f>IFERROR(INDEX(EVENTOS!$D:$D,MATCH(SCORE!W$2&amp;" "&amp;SCORE!$D526,EVENTOS!$F:$F,0)),0)</f>
        <v>0</v>
      </c>
      <c r="X526" s="3">
        <f>IFERROR(INDEX(EVENTOS!$D:$D,MATCH(SCORE!X$2&amp;" "&amp;SCORE!$D526,EVENTOS!$F:$F,0)),0)</f>
        <v>0</v>
      </c>
      <c r="Y526" s="3">
        <f>SUMIFS(EVENTOS!$D:$D, EVENTOS!$B:$B, D526, EVENTOS!$E:$E, "*GirAlto*")</f>
        <v>0</v>
      </c>
      <c r="Z526" s="3">
        <f>SUMIFS(EVENTOS!$D:$D, EVENTOS!$B:$B, D526, EVENTOS!$E:$E, "*GirMed*")</f>
        <v>0</v>
      </c>
      <c r="AA526" s="3">
        <f>SUMIFS(EVENTOS!$D:$D, EVENTOS!$B:$B, D526, EVENTOS!$E:$E, "*GirBajo*")</f>
        <v>0</v>
      </c>
      <c r="AB526" s="3">
        <f>IFERROR(INDEX(EVENTOS!$D:$D,MATCH(SCORE!AB$2&amp;" "&amp;SCORE!$D526,EVENTOS!$F:$F,0)),0)</f>
        <v>0</v>
      </c>
      <c r="AC526" s="3">
        <f>IFERROR(INDEX(EVENTOS!$D:$D,MATCH(SCORE!AC$2&amp;" "&amp;SCORE!$D526,EVENTOS!$F:$F,0)),0)</f>
        <v>0</v>
      </c>
      <c r="AD526" s="3">
        <f>IFERROR(INDEX(EVENTOS!$D:$D,MATCH(SCORE!AD$2&amp;" "&amp;SCORE!$D526,EVENTOS!$F:$F,0)),0)</f>
        <v>0</v>
      </c>
      <c r="AE526" s="3">
        <f t="shared" si="24"/>
        <v>0</v>
      </c>
      <c r="AF526" s="10" t="e">
        <f t="shared" si="25"/>
        <v>#N/A</v>
      </c>
      <c r="AG526" s="3" t="str">
        <f t="shared" si="26"/>
        <v/>
      </c>
    </row>
    <row r="527" spans="1:33" x14ac:dyDescent="0.25">
      <c r="A527" s="7"/>
      <c r="B527" s="8"/>
      <c r="C527" s="3"/>
      <c r="D527" s="3"/>
      <c r="E527" s="3" t="e">
        <f>VLOOKUP(D527,VIAJES!$D:$E,2,FALSE)</f>
        <v>#N/A</v>
      </c>
      <c r="F527" s="9" t="e">
        <f>VLOOKUP(D527,VIAJES!$D:$F,3,FALSE)</f>
        <v>#N/A</v>
      </c>
      <c r="G527" s="9" t="e">
        <f>VLOOKUP(D527,VIAJES!$D:$G,4,FALSE)</f>
        <v>#N/A</v>
      </c>
      <c r="H527" s="3" t="e">
        <f>VLOOKUP(D527,VIAJES!$D:$H,5,FALSE)</f>
        <v>#N/A</v>
      </c>
      <c r="S527" s="3">
        <f>IFERROR(INDEX(EVENTOS!$D:$D,MATCH(SCORE!S$2&amp;" "&amp;SCORE!$D527,EVENTOS!$F:$F,0)),0)</f>
        <v>0</v>
      </c>
      <c r="T527" s="3">
        <f>IFERROR(INDEX(EVENTOS!$D:$D,MATCH(SCORE!T$2&amp;" "&amp;SCORE!$D527,EVENTOS!$F:$F,0)),0)</f>
        <v>0</v>
      </c>
      <c r="U527" s="3">
        <f>IFERROR(INDEX(EVENTOS!$D:$D,MATCH(SCORE!U$2&amp;" "&amp;SCORE!$D527,EVENTOS!$F:$F,0)),0)</f>
        <v>0</v>
      </c>
      <c r="V527" s="3">
        <f>IFERROR(INDEX(EVENTOS!$D:$D,MATCH(SCORE!V$2&amp;" "&amp;SCORE!$D527,EVENTOS!$F:$F,0)),0)</f>
        <v>0</v>
      </c>
      <c r="W527" s="3">
        <f>IFERROR(INDEX(EVENTOS!$D:$D,MATCH(SCORE!W$2&amp;" "&amp;SCORE!$D527,EVENTOS!$F:$F,0)),0)</f>
        <v>0</v>
      </c>
      <c r="X527" s="3">
        <f>IFERROR(INDEX(EVENTOS!$D:$D,MATCH(SCORE!X$2&amp;" "&amp;SCORE!$D527,EVENTOS!$F:$F,0)),0)</f>
        <v>0</v>
      </c>
      <c r="Y527" s="3">
        <f>SUMIFS(EVENTOS!$D:$D, EVENTOS!$B:$B, D527, EVENTOS!$E:$E, "*GirAlto*")</f>
        <v>0</v>
      </c>
      <c r="Z527" s="3">
        <f>SUMIFS(EVENTOS!$D:$D, EVENTOS!$B:$B, D527, EVENTOS!$E:$E, "*GirMed*")</f>
        <v>0</v>
      </c>
      <c r="AA527" s="3">
        <f>SUMIFS(EVENTOS!$D:$D, EVENTOS!$B:$B, D527, EVENTOS!$E:$E, "*GirBajo*")</f>
        <v>0</v>
      </c>
      <c r="AB527" s="3">
        <f>IFERROR(INDEX(EVENTOS!$D:$D,MATCH(SCORE!AB$2&amp;" "&amp;SCORE!$D527,EVENTOS!$F:$F,0)),0)</f>
        <v>0</v>
      </c>
      <c r="AC527" s="3">
        <f>IFERROR(INDEX(EVENTOS!$D:$D,MATCH(SCORE!AC$2&amp;" "&amp;SCORE!$D527,EVENTOS!$F:$F,0)),0)</f>
        <v>0</v>
      </c>
      <c r="AD527" s="3">
        <f>IFERROR(INDEX(EVENTOS!$D:$D,MATCH(SCORE!AD$2&amp;" "&amp;SCORE!$D527,EVENTOS!$F:$F,0)),0)</f>
        <v>0</v>
      </c>
      <c r="AE527" s="3">
        <f t="shared" si="24"/>
        <v>0</v>
      </c>
      <c r="AF527" s="10" t="e">
        <f t="shared" si="25"/>
        <v>#N/A</v>
      </c>
      <c r="AG527" s="3" t="str">
        <f t="shared" si="26"/>
        <v/>
      </c>
    </row>
    <row r="528" spans="1:33" x14ac:dyDescent="0.25">
      <c r="A528" s="7"/>
      <c r="B528" s="8"/>
      <c r="C528" s="3"/>
      <c r="D528" s="3"/>
      <c r="E528" s="3" t="e">
        <f>VLOOKUP(D528,VIAJES!$D:$E,2,FALSE)</f>
        <v>#N/A</v>
      </c>
      <c r="F528" s="9" t="e">
        <f>VLOOKUP(D528,VIAJES!$D:$F,3,FALSE)</f>
        <v>#N/A</v>
      </c>
      <c r="G528" s="9" t="e">
        <f>VLOOKUP(D528,VIAJES!$D:$G,4,FALSE)</f>
        <v>#N/A</v>
      </c>
      <c r="H528" s="3" t="e">
        <f>VLOOKUP(D528,VIAJES!$D:$H,5,FALSE)</f>
        <v>#N/A</v>
      </c>
      <c r="S528" s="3">
        <f>IFERROR(INDEX(EVENTOS!$D:$D,MATCH(SCORE!S$2&amp;" "&amp;SCORE!$D528,EVENTOS!$F:$F,0)),0)</f>
        <v>0</v>
      </c>
      <c r="T528" s="3">
        <f>IFERROR(INDEX(EVENTOS!$D:$D,MATCH(SCORE!T$2&amp;" "&amp;SCORE!$D528,EVENTOS!$F:$F,0)),0)</f>
        <v>0</v>
      </c>
      <c r="U528" s="3">
        <f>IFERROR(INDEX(EVENTOS!$D:$D,MATCH(SCORE!U$2&amp;" "&amp;SCORE!$D528,EVENTOS!$F:$F,0)),0)</f>
        <v>0</v>
      </c>
      <c r="V528" s="3">
        <f>IFERROR(INDEX(EVENTOS!$D:$D,MATCH(SCORE!V$2&amp;" "&amp;SCORE!$D528,EVENTOS!$F:$F,0)),0)</f>
        <v>0</v>
      </c>
      <c r="W528" s="3">
        <f>IFERROR(INDEX(EVENTOS!$D:$D,MATCH(SCORE!W$2&amp;" "&amp;SCORE!$D528,EVENTOS!$F:$F,0)),0)</f>
        <v>0</v>
      </c>
      <c r="X528" s="3">
        <f>IFERROR(INDEX(EVENTOS!$D:$D,MATCH(SCORE!X$2&amp;" "&amp;SCORE!$D528,EVENTOS!$F:$F,0)),0)</f>
        <v>0</v>
      </c>
      <c r="Y528" s="3">
        <f>SUMIFS(EVENTOS!$D:$D, EVENTOS!$B:$B, D528, EVENTOS!$E:$E, "*GirAlto*")</f>
        <v>0</v>
      </c>
      <c r="Z528" s="3">
        <f>SUMIFS(EVENTOS!$D:$D, EVENTOS!$B:$B, D528, EVENTOS!$E:$E, "*GirMed*")</f>
        <v>0</v>
      </c>
      <c r="AA528" s="3">
        <f>SUMIFS(EVENTOS!$D:$D, EVENTOS!$B:$B, D528, EVENTOS!$E:$E, "*GirBajo*")</f>
        <v>0</v>
      </c>
      <c r="AB528" s="3">
        <f>IFERROR(INDEX(EVENTOS!$D:$D,MATCH(SCORE!AB$2&amp;" "&amp;SCORE!$D528,EVENTOS!$F:$F,0)),0)</f>
        <v>0</v>
      </c>
      <c r="AC528" s="3">
        <f>IFERROR(INDEX(EVENTOS!$D:$D,MATCH(SCORE!AC$2&amp;" "&amp;SCORE!$D528,EVENTOS!$F:$F,0)),0)</f>
        <v>0</v>
      </c>
      <c r="AD528" s="3">
        <f>IFERROR(INDEX(EVENTOS!$D:$D,MATCH(SCORE!AD$2&amp;" "&amp;SCORE!$D528,EVENTOS!$F:$F,0)),0)</f>
        <v>0</v>
      </c>
      <c r="AE528" s="3">
        <f t="shared" si="24"/>
        <v>0</v>
      </c>
      <c r="AF528" s="10" t="e">
        <f t="shared" si="25"/>
        <v>#N/A</v>
      </c>
      <c r="AG528" s="3" t="str">
        <f t="shared" si="26"/>
        <v/>
      </c>
    </row>
    <row r="529" spans="1:33" x14ac:dyDescent="0.25">
      <c r="A529" s="7"/>
      <c r="B529" s="8"/>
      <c r="C529" s="3"/>
      <c r="D529" s="3"/>
      <c r="E529" s="3" t="e">
        <f>VLOOKUP(D529,VIAJES!$D:$E,2,FALSE)</f>
        <v>#N/A</v>
      </c>
      <c r="F529" s="9" t="e">
        <f>VLOOKUP(D529,VIAJES!$D:$F,3,FALSE)</f>
        <v>#N/A</v>
      </c>
      <c r="G529" s="9" t="e">
        <f>VLOOKUP(D529,VIAJES!$D:$G,4,FALSE)</f>
        <v>#N/A</v>
      </c>
      <c r="H529" s="3" t="e">
        <f>VLOOKUP(D529,VIAJES!$D:$H,5,FALSE)</f>
        <v>#N/A</v>
      </c>
      <c r="S529" s="3">
        <f>IFERROR(INDEX(EVENTOS!$D:$D,MATCH(SCORE!S$2&amp;" "&amp;SCORE!$D529,EVENTOS!$F:$F,0)),0)</f>
        <v>0</v>
      </c>
      <c r="T529" s="3">
        <f>IFERROR(INDEX(EVENTOS!$D:$D,MATCH(SCORE!T$2&amp;" "&amp;SCORE!$D529,EVENTOS!$F:$F,0)),0)</f>
        <v>0</v>
      </c>
      <c r="U529" s="3">
        <f>IFERROR(INDEX(EVENTOS!$D:$D,MATCH(SCORE!U$2&amp;" "&amp;SCORE!$D529,EVENTOS!$F:$F,0)),0)</f>
        <v>0</v>
      </c>
      <c r="V529" s="3">
        <f>IFERROR(INDEX(EVENTOS!$D:$D,MATCH(SCORE!V$2&amp;" "&amp;SCORE!$D529,EVENTOS!$F:$F,0)),0)</f>
        <v>0</v>
      </c>
      <c r="W529" s="3">
        <f>IFERROR(INDEX(EVENTOS!$D:$D,MATCH(SCORE!W$2&amp;" "&amp;SCORE!$D529,EVENTOS!$F:$F,0)),0)</f>
        <v>0</v>
      </c>
      <c r="X529" s="3">
        <f>IFERROR(INDEX(EVENTOS!$D:$D,MATCH(SCORE!X$2&amp;" "&amp;SCORE!$D529,EVENTOS!$F:$F,0)),0)</f>
        <v>0</v>
      </c>
      <c r="Y529" s="3">
        <f>SUMIFS(EVENTOS!$D:$D, EVENTOS!$B:$B, D529, EVENTOS!$E:$E, "*GirAlto*")</f>
        <v>0</v>
      </c>
      <c r="Z529" s="3">
        <f>SUMIFS(EVENTOS!$D:$D, EVENTOS!$B:$B, D529, EVENTOS!$E:$E, "*GirMed*")</f>
        <v>0</v>
      </c>
      <c r="AA529" s="3">
        <f>SUMIFS(EVENTOS!$D:$D, EVENTOS!$B:$B, D529, EVENTOS!$E:$E, "*GirBajo*")</f>
        <v>0</v>
      </c>
      <c r="AB529" s="3">
        <f>IFERROR(INDEX(EVENTOS!$D:$D,MATCH(SCORE!AB$2&amp;" "&amp;SCORE!$D529,EVENTOS!$F:$F,0)),0)</f>
        <v>0</v>
      </c>
      <c r="AC529" s="3">
        <f>IFERROR(INDEX(EVENTOS!$D:$D,MATCH(SCORE!AC$2&amp;" "&amp;SCORE!$D529,EVENTOS!$F:$F,0)),0)</f>
        <v>0</v>
      </c>
      <c r="AD529" s="3">
        <f>IFERROR(INDEX(EVENTOS!$D:$D,MATCH(SCORE!AD$2&amp;" "&amp;SCORE!$D529,EVENTOS!$F:$F,0)),0)</f>
        <v>0</v>
      </c>
      <c r="AE529" s="3">
        <f t="shared" si="24"/>
        <v>0</v>
      </c>
      <c r="AF529" s="10" t="e">
        <f t="shared" si="25"/>
        <v>#N/A</v>
      </c>
      <c r="AG529" s="3" t="str">
        <f t="shared" si="26"/>
        <v/>
      </c>
    </row>
    <row r="530" spans="1:33" x14ac:dyDescent="0.25">
      <c r="A530" s="7"/>
      <c r="B530" s="8"/>
      <c r="C530" s="3"/>
      <c r="D530" s="3"/>
      <c r="E530" s="3" t="e">
        <f>VLOOKUP(D530,VIAJES!$D:$E,2,FALSE)</f>
        <v>#N/A</v>
      </c>
      <c r="F530" s="9" t="e">
        <f>VLOOKUP(D530,VIAJES!$D:$F,3,FALSE)</f>
        <v>#N/A</v>
      </c>
      <c r="G530" s="9" t="e">
        <f>VLOOKUP(D530,VIAJES!$D:$G,4,FALSE)</f>
        <v>#N/A</v>
      </c>
      <c r="H530" s="3" t="e">
        <f>VLOOKUP(D530,VIAJES!$D:$H,5,FALSE)</f>
        <v>#N/A</v>
      </c>
      <c r="S530" s="3">
        <f>IFERROR(INDEX(EVENTOS!$D:$D,MATCH(SCORE!S$2&amp;" "&amp;SCORE!$D530,EVENTOS!$F:$F,0)),0)</f>
        <v>0</v>
      </c>
      <c r="T530" s="3">
        <f>IFERROR(INDEX(EVENTOS!$D:$D,MATCH(SCORE!T$2&amp;" "&amp;SCORE!$D530,EVENTOS!$F:$F,0)),0)</f>
        <v>0</v>
      </c>
      <c r="U530" s="3">
        <f>IFERROR(INDEX(EVENTOS!$D:$D,MATCH(SCORE!U$2&amp;" "&amp;SCORE!$D530,EVENTOS!$F:$F,0)),0)</f>
        <v>0</v>
      </c>
      <c r="V530" s="3">
        <f>IFERROR(INDEX(EVENTOS!$D:$D,MATCH(SCORE!V$2&amp;" "&amp;SCORE!$D530,EVENTOS!$F:$F,0)),0)</f>
        <v>0</v>
      </c>
      <c r="W530" s="3">
        <f>IFERROR(INDEX(EVENTOS!$D:$D,MATCH(SCORE!W$2&amp;" "&amp;SCORE!$D530,EVENTOS!$F:$F,0)),0)</f>
        <v>0</v>
      </c>
      <c r="X530" s="3">
        <f>IFERROR(INDEX(EVENTOS!$D:$D,MATCH(SCORE!X$2&amp;" "&amp;SCORE!$D530,EVENTOS!$F:$F,0)),0)</f>
        <v>0</v>
      </c>
      <c r="Y530" s="3">
        <f>SUMIFS(EVENTOS!$D:$D, EVENTOS!$B:$B, D530, EVENTOS!$E:$E, "*GirAlto*")</f>
        <v>0</v>
      </c>
      <c r="Z530" s="3">
        <f>SUMIFS(EVENTOS!$D:$D, EVENTOS!$B:$B, D530, EVENTOS!$E:$E, "*GirMed*")</f>
        <v>0</v>
      </c>
      <c r="AA530" s="3">
        <f>SUMIFS(EVENTOS!$D:$D, EVENTOS!$B:$B, D530, EVENTOS!$E:$E, "*GirBajo*")</f>
        <v>0</v>
      </c>
      <c r="AB530" s="3">
        <f>IFERROR(INDEX(EVENTOS!$D:$D,MATCH(SCORE!AB$2&amp;" "&amp;SCORE!$D530,EVENTOS!$F:$F,0)),0)</f>
        <v>0</v>
      </c>
      <c r="AC530" s="3">
        <f>IFERROR(INDEX(EVENTOS!$D:$D,MATCH(SCORE!AC$2&amp;" "&amp;SCORE!$D530,EVENTOS!$F:$F,0)),0)</f>
        <v>0</v>
      </c>
      <c r="AD530" s="3">
        <f>IFERROR(INDEX(EVENTOS!$D:$D,MATCH(SCORE!AD$2&amp;" "&amp;SCORE!$D530,EVENTOS!$F:$F,0)),0)</f>
        <v>0</v>
      </c>
      <c r="AE530" s="3">
        <f t="shared" si="24"/>
        <v>0</v>
      </c>
      <c r="AF530" s="10" t="e">
        <f t="shared" si="25"/>
        <v>#N/A</v>
      </c>
      <c r="AG530" s="3" t="str">
        <f t="shared" si="26"/>
        <v/>
      </c>
    </row>
    <row r="531" spans="1:33" x14ac:dyDescent="0.25">
      <c r="A531" s="7"/>
      <c r="B531" s="8"/>
      <c r="C531" s="3"/>
      <c r="D531" s="3"/>
      <c r="E531" s="3" t="e">
        <f>VLOOKUP(D531,VIAJES!$D:$E,2,FALSE)</f>
        <v>#N/A</v>
      </c>
      <c r="F531" s="9" t="e">
        <f>VLOOKUP(D531,VIAJES!$D:$F,3,FALSE)</f>
        <v>#N/A</v>
      </c>
      <c r="G531" s="9" t="e">
        <f>VLOOKUP(D531,VIAJES!$D:$G,4,FALSE)</f>
        <v>#N/A</v>
      </c>
      <c r="H531" s="3" t="e">
        <f>VLOOKUP(D531,VIAJES!$D:$H,5,FALSE)</f>
        <v>#N/A</v>
      </c>
      <c r="S531" s="3">
        <f>IFERROR(INDEX(EVENTOS!$D:$D,MATCH(SCORE!S$2&amp;" "&amp;SCORE!$D531,EVENTOS!$F:$F,0)),0)</f>
        <v>0</v>
      </c>
      <c r="T531" s="3">
        <f>IFERROR(INDEX(EVENTOS!$D:$D,MATCH(SCORE!T$2&amp;" "&amp;SCORE!$D531,EVENTOS!$F:$F,0)),0)</f>
        <v>0</v>
      </c>
      <c r="U531" s="3">
        <f>IFERROR(INDEX(EVENTOS!$D:$D,MATCH(SCORE!U$2&amp;" "&amp;SCORE!$D531,EVENTOS!$F:$F,0)),0)</f>
        <v>0</v>
      </c>
      <c r="V531" s="3">
        <f>IFERROR(INDEX(EVENTOS!$D:$D,MATCH(SCORE!V$2&amp;" "&amp;SCORE!$D531,EVENTOS!$F:$F,0)),0)</f>
        <v>0</v>
      </c>
      <c r="W531" s="3">
        <f>IFERROR(INDEX(EVENTOS!$D:$D,MATCH(SCORE!W$2&amp;" "&amp;SCORE!$D531,EVENTOS!$F:$F,0)),0)</f>
        <v>0</v>
      </c>
      <c r="X531" s="3">
        <f>IFERROR(INDEX(EVENTOS!$D:$D,MATCH(SCORE!X$2&amp;" "&amp;SCORE!$D531,EVENTOS!$F:$F,0)),0)</f>
        <v>0</v>
      </c>
      <c r="Y531" s="3">
        <f>SUMIFS(EVENTOS!$D:$D, EVENTOS!$B:$B, D531, EVENTOS!$E:$E, "*GirAlto*")</f>
        <v>0</v>
      </c>
      <c r="Z531" s="3">
        <f>SUMIFS(EVENTOS!$D:$D, EVENTOS!$B:$B, D531, EVENTOS!$E:$E, "*GirMed*")</f>
        <v>0</v>
      </c>
      <c r="AA531" s="3">
        <f>SUMIFS(EVENTOS!$D:$D, EVENTOS!$B:$B, D531, EVENTOS!$E:$E, "*GirBajo*")</f>
        <v>0</v>
      </c>
      <c r="AB531" s="3">
        <f>IFERROR(INDEX(EVENTOS!$D:$D,MATCH(SCORE!AB$2&amp;" "&amp;SCORE!$D531,EVENTOS!$F:$F,0)),0)</f>
        <v>0</v>
      </c>
      <c r="AC531" s="3">
        <f>IFERROR(INDEX(EVENTOS!$D:$D,MATCH(SCORE!AC$2&amp;" "&amp;SCORE!$D531,EVENTOS!$F:$F,0)),0)</f>
        <v>0</v>
      </c>
      <c r="AD531" s="3">
        <f>IFERROR(INDEX(EVENTOS!$D:$D,MATCH(SCORE!AD$2&amp;" "&amp;SCORE!$D531,EVENTOS!$F:$F,0)),0)</f>
        <v>0</v>
      </c>
      <c r="AE531" s="3">
        <f t="shared" si="24"/>
        <v>0</v>
      </c>
      <c r="AF531" s="10" t="e">
        <f t="shared" si="25"/>
        <v>#N/A</v>
      </c>
      <c r="AG531" s="3" t="str">
        <f t="shared" si="26"/>
        <v/>
      </c>
    </row>
    <row r="532" spans="1:33" x14ac:dyDescent="0.25">
      <c r="A532" s="7"/>
      <c r="B532" s="8"/>
      <c r="C532" s="3"/>
      <c r="D532" s="3"/>
      <c r="E532" s="3" t="e">
        <f>VLOOKUP(D532,VIAJES!$D:$E,2,FALSE)</f>
        <v>#N/A</v>
      </c>
      <c r="F532" s="9" t="e">
        <f>VLOOKUP(D532,VIAJES!$D:$F,3,FALSE)</f>
        <v>#N/A</v>
      </c>
      <c r="G532" s="9" t="e">
        <f>VLOOKUP(D532,VIAJES!$D:$G,4,FALSE)</f>
        <v>#N/A</v>
      </c>
      <c r="H532" s="3" t="e">
        <f>VLOOKUP(D532,VIAJES!$D:$H,5,FALSE)</f>
        <v>#N/A</v>
      </c>
      <c r="S532" s="3">
        <f>IFERROR(INDEX(EVENTOS!$D:$D,MATCH(SCORE!S$2&amp;" "&amp;SCORE!$D532,EVENTOS!$F:$F,0)),0)</f>
        <v>0</v>
      </c>
      <c r="T532" s="3">
        <f>IFERROR(INDEX(EVENTOS!$D:$D,MATCH(SCORE!T$2&amp;" "&amp;SCORE!$D532,EVENTOS!$F:$F,0)),0)</f>
        <v>0</v>
      </c>
      <c r="U532" s="3">
        <f>IFERROR(INDEX(EVENTOS!$D:$D,MATCH(SCORE!U$2&amp;" "&amp;SCORE!$D532,EVENTOS!$F:$F,0)),0)</f>
        <v>0</v>
      </c>
      <c r="V532" s="3">
        <f>IFERROR(INDEX(EVENTOS!$D:$D,MATCH(SCORE!V$2&amp;" "&amp;SCORE!$D532,EVENTOS!$F:$F,0)),0)</f>
        <v>0</v>
      </c>
      <c r="W532" s="3">
        <f>IFERROR(INDEX(EVENTOS!$D:$D,MATCH(SCORE!W$2&amp;" "&amp;SCORE!$D532,EVENTOS!$F:$F,0)),0)</f>
        <v>0</v>
      </c>
      <c r="X532" s="3">
        <f>IFERROR(INDEX(EVENTOS!$D:$D,MATCH(SCORE!X$2&amp;" "&amp;SCORE!$D532,EVENTOS!$F:$F,0)),0)</f>
        <v>0</v>
      </c>
      <c r="Y532" s="3">
        <f>SUMIFS(EVENTOS!$D:$D, EVENTOS!$B:$B, D532, EVENTOS!$E:$E, "*GirAlto*")</f>
        <v>0</v>
      </c>
      <c r="Z532" s="3">
        <f>SUMIFS(EVENTOS!$D:$D, EVENTOS!$B:$B, D532, EVENTOS!$E:$E, "*GirMed*")</f>
        <v>0</v>
      </c>
      <c r="AA532" s="3">
        <f>SUMIFS(EVENTOS!$D:$D, EVENTOS!$B:$B, D532, EVENTOS!$E:$E, "*GirBajo*")</f>
        <v>0</v>
      </c>
      <c r="AB532" s="3">
        <f>IFERROR(INDEX(EVENTOS!$D:$D,MATCH(SCORE!AB$2&amp;" "&amp;SCORE!$D532,EVENTOS!$F:$F,0)),0)</f>
        <v>0</v>
      </c>
      <c r="AC532" s="3">
        <f>IFERROR(INDEX(EVENTOS!$D:$D,MATCH(SCORE!AC$2&amp;" "&amp;SCORE!$D532,EVENTOS!$F:$F,0)),0)</f>
        <v>0</v>
      </c>
      <c r="AD532" s="3">
        <f>IFERROR(INDEX(EVENTOS!$D:$D,MATCH(SCORE!AD$2&amp;" "&amp;SCORE!$D532,EVENTOS!$F:$F,0)),0)</f>
        <v>0</v>
      </c>
      <c r="AE532" s="3">
        <f t="shared" si="24"/>
        <v>0</v>
      </c>
      <c r="AF532" s="10" t="e">
        <f t="shared" si="25"/>
        <v>#N/A</v>
      </c>
      <c r="AG532" s="3" t="str">
        <f t="shared" si="26"/>
        <v/>
      </c>
    </row>
    <row r="533" spans="1:33" x14ac:dyDescent="0.25">
      <c r="A533" s="7"/>
      <c r="B533" s="8"/>
      <c r="C533" s="3"/>
      <c r="D533" s="3"/>
      <c r="E533" s="3" t="e">
        <f>VLOOKUP(D533,VIAJES!$D:$E,2,FALSE)</f>
        <v>#N/A</v>
      </c>
      <c r="F533" s="9" t="e">
        <f>VLOOKUP(D533,VIAJES!$D:$F,3,FALSE)</f>
        <v>#N/A</v>
      </c>
      <c r="G533" s="9" t="e">
        <f>VLOOKUP(D533,VIAJES!$D:$G,4,FALSE)</f>
        <v>#N/A</v>
      </c>
      <c r="H533" s="3" t="e">
        <f>VLOOKUP(D533,VIAJES!$D:$H,5,FALSE)</f>
        <v>#N/A</v>
      </c>
      <c r="S533" s="3">
        <f>IFERROR(INDEX(EVENTOS!$D:$D,MATCH(SCORE!S$2&amp;" "&amp;SCORE!$D533,EVENTOS!$F:$F,0)),0)</f>
        <v>0</v>
      </c>
      <c r="T533" s="3">
        <f>IFERROR(INDEX(EVENTOS!$D:$D,MATCH(SCORE!T$2&amp;" "&amp;SCORE!$D533,EVENTOS!$F:$F,0)),0)</f>
        <v>0</v>
      </c>
      <c r="U533" s="3">
        <f>IFERROR(INDEX(EVENTOS!$D:$D,MATCH(SCORE!U$2&amp;" "&amp;SCORE!$D533,EVENTOS!$F:$F,0)),0)</f>
        <v>0</v>
      </c>
      <c r="V533" s="3">
        <f>IFERROR(INDEX(EVENTOS!$D:$D,MATCH(SCORE!V$2&amp;" "&amp;SCORE!$D533,EVENTOS!$F:$F,0)),0)</f>
        <v>0</v>
      </c>
      <c r="W533" s="3">
        <f>IFERROR(INDEX(EVENTOS!$D:$D,MATCH(SCORE!W$2&amp;" "&amp;SCORE!$D533,EVENTOS!$F:$F,0)),0)</f>
        <v>0</v>
      </c>
      <c r="X533" s="3">
        <f>IFERROR(INDEX(EVENTOS!$D:$D,MATCH(SCORE!X$2&amp;" "&amp;SCORE!$D533,EVENTOS!$F:$F,0)),0)</f>
        <v>0</v>
      </c>
      <c r="Y533" s="3">
        <f>SUMIFS(EVENTOS!$D:$D, EVENTOS!$B:$B, D533, EVENTOS!$E:$E, "*GirAlto*")</f>
        <v>0</v>
      </c>
      <c r="Z533" s="3">
        <f>SUMIFS(EVENTOS!$D:$D, EVENTOS!$B:$B, D533, EVENTOS!$E:$E, "*GirMed*")</f>
        <v>0</v>
      </c>
      <c r="AA533" s="3">
        <f>SUMIFS(EVENTOS!$D:$D, EVENTOS!$B:$B, D533, EVENTOS!$E:$E, "*GirBajo*")</f>
        <v>0</v>
      </c>
      <c r="AB533" s="3">
        <f>IFERROR(INDEX(EVENTOS!$D:$D,MATCH(SCORE!AB$2&amp;" "&amp;SCORE!$D533,EVENTOS!$F:$F,0)),0)</f>
        <v>0</v>
      </c>
      <c r="AC533" s="3">
        <f>IFERROR(INDEX(EVENTOS!$D:$D,MATCH(SCORE!AC$2&amp;" "&amp;SCORE!$D533,EVENTOS!$F:$F,0)),0)</f>
        <v>0</v>
      </c>
      <c r="AD533" s="3">
        <f>IFERROR(INDEX(EVENTOS!$D:$D,MATCH(SCORE!AD$2&amp;" "&amp;SCORE!$D533,EVENTOS!$F:$F,0)),0)</f>
        <v>0</v>
      </c>
      <c r="AE533" s="3">
        <f t="shared" si="24"/>
        <v>0</v>
      </c>
      <c r="AF533" s="10" t="e">
        <f t="shared" si="25"/>
        <v>#N/A</v>
      </c>
      <c r="AG533" s="3" t="str">
        <f t="shared" si="26"/>
        <v/>
      </c>
    </row>
    <row r="534" spans="1:33" x14ac:dyDescent="0.25">
      <c r="A534" s="7"/>
      <c r="B534" s="8"/>
      <c r="C534" s="3"/>
      <c r="D534" s="3"/>
      <c r="E534" s="3" t="e">
        <f>VLOOKUP(D534,VIAJES!$D:$E,2,FALSE)</f>
        <v>#N/A</v>
      </c>
      <c r="F534" s="9" t="e">
        <f>VLOOKUP(D534,VIAJES!$D:$F,3,FALSE)</f>
        <v>#N/A</v>
      </c>
      <c r="G534" s="9" t="e">
        <f>VLOOKUP(D534,VIAJES!$D:$G,4,FALSE)</f>
        <v>#N/A</v>
      </c>
      <c r="H534" s="3" t="e">
        <f>VLOOKUP(D534,VIAJES!$D:$H,5,FALSE)</f>
        <v>#N/A</v>
      </c>
      <c r="S534" s="3">
        <f>IFERROR(INDEX(EVENTOS!$D:$D,MATCH(SCORE!S$2&amp;" "&amp;SCORE!$D534,EVENTOS!$F:$F,0)),0)</f>
        <v>0</v>
      </c>
      <c r="T534" s="3">
        <f>IFERROR(INDEX(EVENTOS!$D:$D,MATCH(SCORE!T$2&amp;" "&amp;SCORE!$D534,EVENTOS!$F:$F,0)),0)</f>
        <v>0</v>
      </c>
      <c r="U534" s="3">
        <f>IFERROR(INDEX(EVENTOS!$D:$D,MATCH(SCORE!U$2&amp;" "&amp;SCORE!$D534,EVENTOS!$F:$F,0)),0)</f>
        <v>0</v>
      </c>
      <c r="V534" s="3">
        <f>IFERROR(INDEX(EVENTOS!$D:$D,MATCH(SCORE!V$2&amp;" "&amp;SCORE!$D534,EVENTOS!$F:$F,0)),0)</f>
        <v>0</v>
      </c>
      <c r="W534" s="3">
        <f>IFERROR(INDEX(EVENTOS!$D:$D,MATCH(SCORE!W$2&amp;" "&amp;SCORE!$D534,EVENTOS!$F:$F,0)),0)</f>
        <v>0</v>
      </c>
      <c r="X534" s="3">
        <f>IFERROR(INDEX(EVENTOS!$D:$D,MATCH(SCORE!X$2&amp;" "&amp;SCORE!$D534,EVENTOS!$F:$F,0)),0)</f>
        <v>0</v>
      </c>
      <c r="Y534" s="3">
        <f>SUMIFS(EVENTOS!$D:$D, EVENTOS!$B:$B, D534, EVENTOS!$E:$E, "*GirAlto*")</f>
        <v>0</v>
      </c>
      <c r="Z534" s="3">
        <f>SUMIFS(EVENTOS!$D:$D, EVENTOS!$B:$B, D534, EVENTOS!$E:$E, "*GirMed*")</f>
        <v>0</v>
      </c>
      <c r="AA534" s="3">
        <f>SUMIFS(EVENTOS!$D:$D, EVENTOS!$B:$B, D534, EVENTOS!$E:$E, "*GirBajo*")</f>
        <v>0</v>
      </c>
      <c r="AB534" s="3">
        <f>IFERROR(INDEX(EVENTOS!$D:$D,MATCH(SCORE!AB$2&amp;" "&amp;SCORE!$D534,EVENTOS!$F:$F,0)),0)</f>
        <v>0</v>
      </c>
      <c r="AC534" s="3">
        <f>IFERROR(INDEX(EVENTOS!$D:$D,MATCH(SCORE!AC$2&amp;" "&amp;SCORE!$D534,EVENTOS!$F:$F,0)),0)</f>
        <v>0</v>
      </c>
      <c r="AD534" s="3">
        <f>IFERROR(INDEX(EVENTOS!$D:$D,MATCH(SCORE!AD$2&amp;" "&amp;SCORE!$D534,EVENTOS!$F:$F,0)),0)</f>
        <v>0</v>
      </c>
      <c r="AE534" s="3">
        <f t="shared" si="24"/>
        <v>0</v>
      </c>
      <c r="AF534" s="10" t="e">
        <f t="shared" si="25"/>
        <v>#N/A</v>
      </c>
      <c r="AG534" s="3" t="str">
        <f t="shared" si="26"/>
        <v/>
      </c>
    </row>
    <row r="535" spans="1:33" x14ac:dyDescent="0.25">
      <c r="A535" s="7"/>
      <c r="B535" s="8"/>
      <c r="C535" s="3"/>
      <c r="D535" s="3"/>
      <c r="E535" s="3" t="e">
        <f>VLOOKUP(D535,VIAJES!$D:$E,2,FALSE)</f>
        <v>#N/A</v>
      </c>
      <c r="F535" s="9" t="e">
        <f>VLOOKUP(D535,VIAJES!$D:$F,3,FALSE)</f>
        <v>#N/A</v>
      </c>
      <c r="G535" s="9" t="e">
        <f>VLOOKUP(D535,VIAJES!$D:$G,4,FALSE)</f>
        <v>#N/A</v>
      </c>
      <c r="H535" s="3" t="e">
        <f>VLOOKUP(D535,VIAJES!$D:$H,5,FALSE)</f>
        <v>#N/A</v>
      </c>
      <c r="S535" s="3">
        <f>IFERROR(INDEX(EVENTOS!$D:$D,MATCH(SCORE!S$2&amp;" "&amp;SCORE!$D535,EVENTOS!$F:$F,0)),0)</f>
        <v>0</v>
      </c>
      <c r="T535" s="3">
        <f>IFERROR(INDEX(EVENTOS!$D:$D,MATCH(SCORE!T$2&amp;" "&amp;SCORE!$D535,EVENTOS!$F:$F,0)),0)</f>
        <v>0</v>
      </c>
      <c r="U535" s="3">
        <f>IFERROR(INDEX(EVENTOS!$D:$D,MATCH(SCORE!U$2&amp;" "&amp;SCORE!$D535,EVENTOS!$F:$F,0)),0)</f>
        <v>0</v>
      </c>
      <c r="V535" s="3">
        <f>IFERROR(INDEX(EVENTOS!$D:$D,MATCH(SCORE!V$2&amp;" "&amp;SCORE!$D535,EVENTOS!$F:$F,0)),0)</f>
        <v>0</v>
      </c>
      <c r="W535" s="3">
        <f>IFERROR(INDEX(EVENTOS!$D:$D,MATCH(SCORE!W$2&amp;" "&amp;SCORE!$D535,EVENTOS!$F:$F,0)),0)</f>
        <v>0</v>
      </c>
      <c r="X535" s="3">
        <f>IFERROR(INDEX(EVENTOS!$D:$D,MATCH(SCORE!X$2&amp;" "&amp;SCORE!$D535,EVENTOS!$F:$F,0)),0)</f>
        <v>0</v>
      </c>
      <c r="Y535" s="3">
        <f>SUMIFS(EVENTOS!$D:$D, EVENTOS!$B:$B, D535, EVENTOS!$E:$E, "*GirAlto*")</f>
        <v>0</v>
      </c>
      <c r="Z535" s="3">
        <f>SUMIFS(EVENTOS!$D:$D, EVENTOS!$B:$B, D535, EVENTOS!$E:$E, "*GirMed*")</f>
        <v>0</v>
      </c>
      <c r="AA535" s="3">
        <f>SUMIFS(EVENTOS!$D:$D, EVENTOS!$B:$B, D535, EVENTOS!$E:$E, "*GirBajo*")</f>
        <v>0</v>
      </c>
      <c r="AB535" s="3">
        <f>IFERROR(INDEX(EVENTOS!$D:$D,MATCH(SCORE!AB$2&amp;" "&amp;SCORE!$D535,EVENTOS!$F:$F,0)),0)</f>
        <v>0</v>
      </c>
      <c r="AC535" s="3">
        <f>IFERROR(INDEX(EVENTOS!$D:$D,MATCH(SCORE!AC$2&amp;" "&amp;SCORE!$D535,EVENTOS!$F:$F,0)),0)</f>
        <v>0</v>
      </c>
      <c r="AD535" s="3">
        <f>IFERROR(INDEX(EVENTOS!$D:$D,MATCH(SCORE!AD$2&amp;" "&amp;SCORE!$D535,EVENTOS!$F:$F,0)),0)</f>
        <v>0</v>
      </c>
      <c r="AE535" s="3">
        <f t="shared" si="24"/>
        <v>0</v>
      </c>
      <c r="AF535" s="10" t="e">
        <f t="shared" si="25"/>
        <v>#N/A</v>
      </c>
      <c r="AG535" s="3" t="str">
        <f t="shared" si="26"/>
        <v/>
      </c>
    </row>
    <row r="536" spans="1:33" x14ac:dyDescent="0.25">
      <c r="A536" s="7"/>
      <c r="B536" s="8"/>
      <c r="C536" s="3"/>
      <c r="D536" s="3"/>
      <c r="E536" s="3" t="e">
        <f>VLOOKUP(D536,VIAJES!$D:$E,2,FALSE)</f>
        <v>#N/A</v>
      </c>
      <c r="F536" s="9" t="e">
        <f>VLOOKUP(D536,VIAJES!$D:$F,3,FALSE)</f>
        <v>#N/A</v>
      </c>
      <c r="G536" s="9" t="e">
        <f>VLOOKUP(D536,VIAJES!$D:$G,4,FALSE)</f>
        <v>#N/A</v>
      </c>
      <c r="H536" s="3" t="e">
        <f>VLOOKUP(D536,VIAJES!$D:$H,5,FALSE)</f>
        <v>#N/A</v>
      </c>
      <c r="S536" s="3">
        <f>IFERROR(INDEX(EVENTOS!$D:$D,MATCH(SCORE!S$2&amp;" "&amp;SCORE!$D536,EVENTOS!$F:$F,0)),0)</f>
        <v>0</v>
      </c>
      <c r="T536" s="3">
        <f>IFERROR(INDEX(EVENTOS!$D:$D,MATCH(SCORE!T$2&amp;" "&amp;SCORE!$D536,EVENTOS!$F:$F,0)),0)</f>
        <v>0</v>
      </c>
      <c r="U536" s="3">
        <f>IFERROR(INDEX(EVENTOS!$D:$D,MATCH(SCORE!U$2&amp;" "&amp;SCORE!$D536,EVENTOS!$F:$F,0)),0)</f>
        <v>0</v>
      </c>
      <c r="V536" s="3">
        <f>IFERROR(INDEX(EVENTOS!$D:$D,MATCH(SCORE!V$2&amp;" "&amp;SCORE!$D536,EVENTOS!$F:$F,0)),0)</f>
        <v>0</v>
      </c>
      <c r="W536" s="3">
        <f>IFERROR(INDEX(EVENTOS!$D:$D,MATCH(SCORE!W$2&amp;" "&amp;SCORE!$D536,EVENTOS!$F:$F,0)),0)</f>
        <v>0</v>
      </c>
      <c r="X536" s="3">
        <f>IFERROR(INDEX(EVENTOS!$D:$D,MATCH(SCORE!X$2&amp;" "&amp;SCORE!$D536,EVENTOS!$F:$F,0)),0)</f>
        <v>0</v>
      </c>
      <c r="Y536" s="3">
        <f>SUMIFS(EVENTOS!$D:$D, EVENTOS!$B:$B, D536, EVENTOS!$E:$E, "*GirAlto*")</f>
        <v>0</v>
      </c>
      <c r="Z536" s="3">
        <f>SUMIFS(EVENTOS!$D:$D, EVENTOS!$B:$B, D536, EVENTOS!$E:$E, "*GirMed*")</f>
        <v>0</v>
      </c>
      <c r="AA536" s="3">
        <f>SUMIFS(EVENTOS!$D:$D, EVENTOS!$B:$B, D536, EVENTOS!$E:$E, "*GirBajo*")</f>
        <v>0</v>
      </c>
      <c r="AB536" s="3">
        <f>IFERROR(INDEX(EVENTOS!$D:$D,MATCH(SCORE!AB$2&amp;" "&amp;SCORE!$D536,EVENTOS!$F:$F,0)),0)</f>
        <v>0</v>
      </c>
      <c r="AC536" s="3">
        <f>IFERROR(INDEX(EVENTOS!$D:$D,MATCH(SCORE!AC$2&amp;" "&amp;SCORE!$D536,EVENTOS!$F:$F,0)),0)</f>
        <v>0</v>
      </c>
      <c r="AD536" s="3">
        <f>IFERROR(INDEX(EVENTOS!$D:$D,MATCH(SCORE!AD$2&amp;" "&amp;SCORE!$D536,EVENTOS!$F:$F,0)),0)</f>
        <v>0</v>
      </c>
      <c r="AE536" s="3">
        <f t="shared" si="24"/>
        <v>0</v>
      </c>
      <c r="AF536" s="10" t="e">
        <f t="shared" si="25"/>
        <v>#N/A</v>
      </c>
      <c r="AG536" s="3" t="str">
        <f t="shared" si="26"/>
        <v/>
      </c>
    </row>
    <row r="537" spans="1:33" x14ac:dyDescent="0.25">
      <c r="A537" s="7"/>
      <c r="B537" s="8"/>
      <c r="C537" s="3"/>
      <c r="D537" s="3"/>
      <c r="E537" s="3" t="e">
        <f>VLOOKUP(D537,VIAJES!$D:$E,2,FALSE)</f>
        <v>#N/A</v>
      </c>
      <c r="F537" s="9" t="e">
        <f>VLOOKUP(D537,VIAJES!$D:$F,3,FALSE)</f>
        <v>#N/A</v>
      </c>
      <c r="G537" s="9" t="e">
        <f>VLOOKUP(D537,VIAJES!$D:$G,4,FALSE)</f>
        <v>#N/A</v>
      </c>
      <c r="H537" s="3" t="e">
        <f>VLOOKUP(D537,VIAJES!$D:$H,5,FALSE)</f>
        <v>#N/A</v>
      </c>
      <c r="S537" s="3">
        <f>IFERROR(INDEX(EVENTOS!$D:$D,MATCH(SCORE!S$2&amp;" "&amp;SCORE!$D537,EVENTOS!$F:$F,0)),0)</f>
        <v>0</v>
      </c>
      <c r="T537" s="3">
        <f>IFERROR(INDEX(EVENTOS!$D:$D,MATCH(SCORE!T$2&amp;" "&amp;SCORE!$D537,EVENTOS!$F:$F,0)),0)</f>
        <v>0</v>
      </c>
      <c r="U537" s="3">
        <f>IFERROR(INDEX(EVENTOS!$D:$D,MATCH(SCORE!U$2&amp;" "&amp;SCORE!$D537,EVENTOS!$F:$F,0)),0)</f>
        <v>0</v>
      </c>
      <c r="V537" s="3">
        <f>IFERROR(INDEX(EVENTOS!$D:$D,MATCH(SCORE!V$2&amp;" "&amp;SCORE!$D537,EVENTOS!$F:$F,0)),0)</f>
        <v>0</v>
      </c>
      <c r="W537" s="3">
        <f>IFERROR(INDEX(EVENTOS!$D:$D,MATCH(SCORE!W$2&amp;" "&amp;SCORE!$D537,EVENTOS!$F:$F,0)),0)</f>
        <v>0</v>
      </c>
      <c r="X537" s="3">
        <f>IFERROR(INDEX(EVENTOS!$D:$D,MATCH(SCORE!X$2&amp;" "&amp;SCORE!$D537,EVENTOS!$F:$F,0)),0)</f>
        <v>0</v>
      </c>
      <c r="Y537" s="3">
        <f>SUMIFS(EVENTOS!$D:$D, EVENTOS!$B:$B, D537, EVENTOS!$E:$E, "*GirAlto*")</f>
        <v>0</v>
      </c>
      <c r="Z537" s="3">
        <f>SUMIFS(EVENTOS!$D:$D, EVENTOS!$B:$B, D537, EVENTOS!$E:$E, "*GirMed*")</f>
        <v>0</v>
      </c>
      <c r="AA537" s="3">
        <f>SUMIFS(EVENTOS!$D:$D, EVENTOS!$B:$B, D537, EVENTOS!$E:$E, "*GirBajo*")</f>
        <v>0</v>
      </c>
      <c r="AB537" s="3">
        <f>IFERROR(INDEX(EVENTOS!$D:$D,MATCH(SCORE!AB$2&amp;" "&amp;SCORE!$D537,EVENTOS!$F:$F,0)),0)</f>
        <v>0</v>
      </c>
      <c r="AC537" s="3">
        <f>IFERROR(INDEX(EVENTOS!$D:$D,MATCH(SCORE!AC$2&amp;" "&amp;SCORE!$D537,EVENTOS!$F:$F,0)),0)</f>
        <v>0</v>
      </c>
      <c r="AD537" s="3">
        <f>IFERROR(INDEX(EVENTOS!$D:$D,MATCH(SCORE!AD$2&amp;" "&amp;SCORE!$D537,EVENTOS!$F:$F,0)),0)</f>
        <v>0</v>
      </c>
      <c r="AE537" s="3">
        <f t="shared" si="24"/>
        <v>0</v>
      </c>
      <c r="AF537" s="10" t="e">
        <f t="shared" si="25"/>
        <v>#N/A</v>
      </c>
      <c r="AG537" s="3" t="str">
        <f t="shared" si="26"/>
        <v/>
      </c>
    </row>
    <row r="538" spans="1:33" x14ac:dyDescent="0.25">
      <c r="A538" s="7"/>
      <c r="B538" s="8"/>
      <c r="C538" s="3"/>
      <c r="D538" s="3"/>
      <c r="E538" s="3" t="e">
        <f>VLOOKUP(D538,VIAJES!$D:$E,2,FALSE)</f>
        <v>#N/A</v>
      </c>
      <c r="F538" s="9" t="e">
        <f>VLOOKUP(D538,VIAJES!$D:$F,3,FALSE)</f>
        <v>#N/A</v>
      </c>
      <c r="G538" s="9" t="e">
        <f>VLOOKUP(D538,VIAJES!$D:$G,4,FALSE)</f>
        <v>#N/A</v>
      </c>
      <c r="H538" s="3" t="e">
        <f>VLOOKUP(D538,VIAJES!$D:$H,5,FALSE)</f>
        <v>#N/A</v>
      </c>
      <c r="S538" s="3">
        <f>IFERROR(INDEX(EVENTOS!$D:$D,MATCH(SCORE!S$2&amp;" "&amp;SCORE!$D538,EVENTOS!$F:$F,0)),0)</f>
        <v>0</v>
      </c>
      <c r="T538" s="3">
        <f>IFERROR(INDEX(EVENTOS!$D:$D,MATCH(SCORE!T$2&amp;" "&amp;SCORE!$D538,EVENTOS!$F:$F,0)),0)</f>
        <v>0</v>
      </c>
      <c r="U538" s="3">
        <f>IFERROR(INDEX(EVENTOS!$D:$D,MATCH(SCORE!U$2&amp;" "&amp;SCORE!$D538,EVENTOS!$F:$F,0)),0)</f>
        <v>0</v>
      </c>
      <c r="V538" s="3">
        <f>IFERROR(INDEX(EVENTOS!$D:$D,MATCH(SCORE!V$2&amp;" "&amp;SCORE!$D538,EVENTOS!$F:$F,0)),0)</f>
        <v>0</v>
      </c>
      <c r="W538" s="3">
        <f>IFERROR(INDEX(EVENTOS!$D:$D,MATCH(SCORE!W$2&amp;" "&amp;SCORE!$D538,EVENTOS!$F:$F,0)),0)</f>
        <v>0</v>
      </c>
      <c r="X538" s="3">
        <f>IFERROR(INDEX(EVENTOS!$D:$D,MATCH(SCORE!X$2&amp;" "&amp;SCORE!$D538,EVENTOS!$F:$F,0)),0)</f>
        <v>0</v>
      </c>
      <c r="Y538" s="3">
        <f>SUMIFS(EVENTOS!$D:$D, EVENTOS!$B:$B, D538, EVENTOS!$E:$E, "*GirAlto*")</f>
        <v>0</v>
      </c>
      <c r="Z538" s="3">
        <f>SUMIFS(EVENTOS!$D:$D, EVENTOS!$B:$B, D538, EVENTOS!$E:$E, "*GirMed*")</f>
        <v>0</v>
      </c>
      <c r="AA538" s="3">
        <f>SUMIFS(EVENTOS!$D:$D, EVENTOS!$B:$B, D538, EVENTOS!$E:$E, "*GirBajo*")</f>
        <v>0</v>
      </c>
      <c r="AB538" s="3">
        <f>IFERROR(INDEX(EVENTOS!$D:$D,MATCH(SCORE!AB$2&amp;" "&amp;SCORE!$D538,EVENTOS!$F:$F,0)),0)</f>
        <v>0</v>
      </c>
      <c r="AC538" s="3">
        <f>IFERROR(INDEX(EVENTOS!$D:$D,MATCH(SCORE!AC$2&amp;" "&amp;SCORE!$D538,EVENTOS!$F:$F,0)),0)</f>
        <v>0</v>
      </c>
      <c r="AD538" s="3">
        <f>IFERROR(INDEX(EVENTOS!$D:$D,MATCH(SCORE!AD$2&amp;" "&amp;SCORE!$D538,EVENTOS!$F:$F,0)),0)</f>
        <v>0</v>
      </c>
      <c r="AE538" s="3">
        <f t="shared" si="24"/>
        <v>0</v>
      </c>
      <c r="AF538" s="10" t="e">
        <f t="shared" si="25"/>
        <v>#N/A</v>
      </c>
      <c r="AG538" s="3" t="str">
        <f t="shared" si="26"/>
        <v/>
      </c>
    </row>
    <row r="539" spans="1:33" x14ac:dyDescent="0.25">
      <c r="A539" s="7"/>
      <c r="B539" s="8"/>
      <c r="C539" s="3"/>
      <c r="D539" s="3"/>
      <c r="E539" s="3" t="e">
        <f>VLOOKUP(D539,VIAJES!$D:$E,2,FALSE)</f>
        <v>#N/A</v>
      </c>
      <c r="F539" s="9" t="e">
        <f>VLOOKUP(D539,VIAJES!$D:$F,3,FALSE)</f>
        <v>#N/A</v>
      </c>
      <c r="G539" s="9" t="e">
        <f>VLOOKUP(D539,VIAJES!$D:$G,4,FALSE)</f>
        <v>#N/A</v>
      </c>
      <c r="H539" s="3" t="e">
        <f>VLOOKUP(D539,VIAJES!$D:$H,5,FALSE)</f>
        <v>#N/A</v>
      </c>
      <c r="S539" s="3">
        <f>IFERROR(INDEX(EVENTOS!$D:$D,MATCH(SCORE!S$2&amp;" "&amp;SCORE!$D539,EVENTOS!$F:$F,0)),0)</f>
        <v>0</v>
      </c>
      <c r="T539" s="3">
        <f>IFERROR(INDEX(EVENTOS!$D:$D,MATCH(SCORE!T$2&amp;" "&amp;SCORE!$D539,EVENTOS!$F:$F,0)),0)</f>
        <v>0</v>
      </c>
      <c r="U539" s="3">
        <f>IFERROR(INDEX(EVENTOS!$D:$D,MATCH(SCORE!U$2&amp;" "&amp;SCORE!$D539,EVENTOS!$F:$F,0)),0)</f>
        <v>0</v>
      </c>
      <c r="V539" s="3">
        <f>IFERROR(INDEX(EVENTOS!$D:$D,MATCH(SCORE!V$2&amp;" "&amp;SCORE!$D539,EVENTOS!$F:$F,0)),0)</f>
        <v>0</v>
      </c>
      <c r="W539" s="3">
        <f>IFERROR(INDEX(EVENTOS!$D:$D,MATCH(SCORE!W$2&amp;" "&amp;SCORE!$D539,EVENTOS!$F:$F,0)),0)</f>
        <v>0</v>
      </c>
      <c r="X539" s="3">
        <f>IFERROR(INDEX(EVENTOS!$D:$D,MATCH(SCORE!X$2&amp;" "&amp;SCORE!$D539,EVENTOS!$F:$F,0)),0)</f>
        <v>0</v>
      </c>
      <c r="Y539" s="3">
        <f>SUMIFS(EVENTOS!$D:$D, EVENTOS!$B:$B, D539, EVENTOS!$E:$E, "*GirAlto*")</f>
        <v>0</v>
      </c>
      <c r="Z539" s="3">
        <f>SUMIFS(EVENTOS!$D:$D, EVENTOS!$B:$B, D539, EVENTOS!$E:$E, "*GirMed*")</f>
        <v>0</v>
      </c>
      <c r="AA539" s="3">
        <f>SUMIFS(EVENTOS!$D:$D, EVENTOS!$B:$B, D539, EVENTOS!$E:$E, "*GirBajo*")</f>
        <v>0</v>
      </c>
      <c r="AB539" s="3">
        <f>IFERROR(INDEX(EVENTOS!$D:$D,MATCH(SCORE!AB$2&amp;" "&amp;SCORE!$D539,EVENTOS!$F:$F,0)),0)</f>
        <v>0</v>
      </c>
      <c r="AC539" s="3">
        <f>IFERROR(INDEX(EVENTOS!$D:$D,MATCH(SCORE!AC$2&amp;" "&amp;SCORE!$D539,EVENTOS!$F:$F,0)),0)</f>
        <v>0</v>
      </c>
      <c r="AD539" s="3">
        <f>IFERROR(INDEX(EVENTOS!$D:$D,MATCH(SCORE!AD$2&amp;" "&amp;SCORE!$D539,EVENTOS!$F:$F,0)),0)</f>
        <v>0</v>
      </c>
      <c r="AE539" s="3">
        <f t="shared" si="24"/>
        <v>0</v>
      </c>
      <c r="AF539" s="10" t="e">
        <f t="shared" si="25"/>
        <v>#N/A</v>
      </c>
      <c r="AG539" s="3" t="str">
        <f t="shared" si="26"/>
        <v/>
      </c>
    </row>
    <row r="540" spans="1:33" x14ac:dyDescent="0.25">
      <c r="A540" s="7"/>
      <c r="B540" s="8"/>
      <c r="C540" s="3"/>
      <c r="D540" s="3"/>
      <c r="E540" s="3" t="e">
        <f>VLOOKUP(D540,VIAJES!$D:$E,2,FALSE)</f>
        <v>#N/A</v>
      </c>
      <c r="F540" s="9" t="e">
        <f>VLOOKUP(D540,VIAJES!$D:$F,3,FALSE)</f>
        <v>#N/A</v>
      </c>
      <c r="G540" s="9" t="e">
        <f>VLOOKUP(D540,VIAJES!$D:$G,4,FALSE)</f>
        <v>#N/A</v>
      </c>
      <c r="H540" s="3" t="e">
        <f>VLOOKUP(D540,VIAJES!$D:$H,5,FALSE)</f>
        <v>#N/A</v>
      </c>
      <c r="S540" s="3">
        <f>IFERROR(INDEX(EVENTOS!$D:$D,MATCH(SCORE!S$2&amp;" "&amp;SCORE!$D540,EVENTOS!$F:$F,0)),0)</f>
        <v>0</v>
      </c>
      <c r="T540" s="3">
        <f>IFERROR(INDEX(EVENTOS!$D:$D,MATCH(SCORE!T$2&amp;" "&amp;SCORE!$D540,EVENTOS!$F:$F,0)),0)</f>
        <v>0</v>
      </c>
      <c r="U540" s="3">
        <f>IFERROR(INDEX(EVENTOS!$D:$D,MATCH(SCORE!U$2&amp;" "&amp;SCORE!$D540,EVENTOS!$F:$F,0)),0)</f>
        <v>0</v>
      </c>
      <c r="V540" s="3">
        <f>IFERROR(INDEX(EVENTOS!$D:$D,MATCH(SCORE!V$2&amp;" "&amp;SCORE!$D540,EVENTOS!$F:$F,0)),0)</f>
        <v>0</v>
      </c>
      <c r="W540" s="3">
        <f>IFERROR(INDEX(EVENTOS!$D:$D,MATCH(SCORE!W$2&amp;" "&amp;SCORE!$D540,EVENTOS!$F:$F,0)),0)</f>
        <v>0</v>
      </c>
      <c r="X540" s="3">
        <f>IFERROR(INDEX(EVENTOS!$D:$D,MATCH(SCORE!X$2&amp;" "&amp;SCORE!$D540,EVENTOS!$F:$F,0)),0)</f>
        <v>0</v>
      </c>
      <c r="Y540" s="3">
        <f>SUMIFS(EVENTOS!$D:$D, EVENTOS!$B:$B, D540, EVENTOS!$E:$E, "*GirAlto*")</f>
        <v>0</v>
      </c>
      <c r="Z540" s="3">
        <f>SUMIFS(EVENTOS!$D:$D, EVENTOS!$B:$B, D540, EVENTOS!$E:$E, "*GirMed*")</f>
        <v>0</v>
      </c>
      <c r="AA540" s="3">
        <f>SUMIFS(EVENTOS!$D:$D, EVENTOS!$B:$B, D540, EVENTOS!$E:$E, "*GirBajo*")</f>
        <v>0</v>
      </c>
      <c r="AB540" s="3">
        <f>IFERROR(INDEX(EVENTOS!$D:$D,MATCH(SCORE!AB$2&amp;" "&amp;SCORE!$D540,EVENTOS!$F:$F,0)),0)</f>
        <v>0</v>
      </c>
      <c r="AC540" s="3">
        <f>IFERROR(INDEX(EVENTOS!$D:$D,MATCH(SCORE!AC$2&amp;" "&amp;SCORE!$D540,EVENTOS!$F:$F,0)),0)</f>
        <v>0</v>
      </c>
      <c r="AD540" s="3">
        <f>IFERROR(INDEX(EVENTOS!$D:$D,MATCH(SCORE!AD$2&amp;" "&amp;SCORE!$D540,EVENTOS!$F:$F,0)),0)</f>
        <v>0</v>
      </c>
      <c r="AE540" s="3">
        <f t="shared" si="24"/>
        <v>0</v>
      </c>
      <c r="AF540" s="10" t="e">
        <f t="shared" si="25"/>
        <v>#N/A</v>
      </c>
      <c r="AG540" s="3" t="str">
        <f t="shared" si="26"/>
        <v/>
      </c>
    </row>
    <row r="541" spans="1:33" x14ac:dyDescent="0.25">
      <c r="A541" s="7"/>
      <c r="B541" s="8"/>
      <c r="C541" s="3"/>
      <c r="D541" s="3"/>
      <c r="E541" s="3" t="e">
        <f>VLOOKUP(D541,VIAJES!$D:$E,2,FALSE)</f>
        <v>#N/A</v>
      </c>
      <c r="F541" s="9" t="e">
        <f>VLOOKUP(D541,VIAJES!$D:$F,3,FALSE)</f>
        <v>#N/A</v>
      </c>
      <c r="G541" s="9" t="e">
        <f>VLOOKUP(D541,VIAJES!$D:$G,4,FALSE)</f>
        <v>#N/A</v>
      </c>
      <c r="H541" s="3" t="e">
        <f>VLOOKUP(D541,VIAJES!$D:$H,5,FALSE)</f>
        <v>#N/A</v>
      </c>
      <c r="S541" s="3">
        <f>IFERROR(INDEX(EVENTOS!$D:$D,MATCH(SCORE!S$2&amp;" "&amp;SCORE!$D541,EVENTOS!$F:$F,0)),0)</f>
        <v>0</v>
      </c>
      <c r="T541" s="3">
        <f>IFERROR(INDEX(EVENTOS!$D:$D,MATCH(SCORE!T$2&amp;" "&amp;SCORE!$D541,EVENTOS!$F:$F,0)),0)</f>
        <v>0</v>
      </c>
      <c r="U541" s="3">
        <f>IFERROR(INDEX(EVENTOS!$D:$D,MATCH(SCORE!U$2&amp;" "&amp;SCORE!$D541,EVENTOS!$F:$F,0)),0)</f>
        <v>0</v>
      </c>
      <c r="V541" s="3">
        <f>IFERROR(INDEX(EVENTOS!$D:$D,MATCH(SCORE!V$2&amp;" "&amp;SCORE!$D541,EVENTOS!$F:$F,0)),0)</f>
        <v>0</v>
      </c>
      <c r="W541" s="3">
        <f>IFERROR(INDEX(EVENTOS!$D:$D,MATCH(SCORE!W$2&amp;" "&amp;SCORE!$D541,EVENTOS!$F:$F,0)),0)</f>
        <v>0</v>
      </c>
      <c r="X541" s="3">
        <f>IFERROR(INDEX(EVENTOS!$D:$D,MATCH(SCORE!X$2&amp;" "&amp;SCORE!$D541,EVENTOS!$F:$F,0)),0)</f>
        <v>0</v>
      </c>
      <c r="Y541" s="3">
        <f>SUMIFS(EVENTOS!$D:$D, EVENTOS!$B:$B, D541, EVENTOS!$E:$E, "*GirAlto*")</f>
        <v>0</v>
      </c>
      <c r="Z541" s="3">
        <f>SUMIFS(EVENTOS!$D:$D, EVENTOS!$B:$B, D541, EVENTOS!$E:$E, "*GirMed*")</f>
        <v>0</v>
      </c>
      <c r="AA541" s="3">
        <f>SUMIFS(EVENTOS!$D:$D, EVENTOS!$B:$B, D541, EVENTOS!$E:$E, "*GirBajo*")</f>
        <v>0</v>
      </c>
      <c r="AB541" s="3">
        <f>IFERROR(INDEX(EVENTOS!$D:$D,MATCH(SCORE!AB$2&amp;" "&amp;SCORE!$D541,EVENTOS!$F:$F,0)),0)</f>
        <v>0</v>
      </c>
      <c r="AC541" s="3">
        <f>IFERROR(INDEX(EVENTOS!$D:$D,MATCH(SCORE!AC$2&amp;" "&amp;SCORE!$D541,EVENTOS!$F:$F,0)),0)</f>
        <v>0</v>
      </c>
      <c r="AD541" s="3">
        <f>IFERROR(INDEX(EVENTOS!$D:$D,MATCH(SCORE!AD$2&amp;" "&amp;SCORE!$D541,EVENTOS!$F:$F,0)),0)</f>
        <v>0</v>
      </c>
      <c r="AE541" s="3">
        <f t="shared" si="24"/>
        <v>0</v>
      </c>
      <c r="AF541" s="10" t="e">
        <f t="shared" si="25"/>
        <v>#N/A</v>
      </c>
      <c r="AG541" s="3" t="str">
        <f t="shared" si="26"/>
        <v/>
      </c>
    </row>
    <row r="542" spans="1:33" x14ac:dyDescent="0.25">
      <c r="A542" s="7"/>
      <c r="B542" s="8"/>
      <c r="C542" s="3"/>
      <c r="D542" s="3"/>
      <c r="E542" s="3" t="e">
        <f>VLOOKUP(D542,VIAJES!$D:$E,2,FALSE)</f>
        <v>#N/A</v>
      </c>
      <c r="F542" s="9" t="e">
        <f>VLOOKUP(D542,VIAJES!$D:$F,3,FALSE)</f>
        <v>#N/A</v>
      </c>
      <c r="G542" s="9" t="e">
        <f>VLOOKUP(D542,VIAJES!$D:$G,4,FALSE)</f>
        <v>#N/A</v>
      </c>
      <c r="H542" s="3" t="e">
        <f>VLOOKUP(D542,VIAJES!$D:$H,5,FALSE)</f>
        <v>#N/A</v>
      </c>
      <c r="S542" s="3">
        <f>IFERROR(INDEX(EVENTOS!$D:$D,MATCH(SCORE!S$2&amp;" "&amp;SCORE!$D542,EVENTOS!$F:$F,0)),0)</f>
        <v>0</v>
      </c>
      <c r="T542" s="3">
        <f>IFERROR(INDEX(EVENTOS!$D:$D,MATCH(SCORE!T$2&amp;" "&amp;SCORE!$D542,EVENTOS!$F:$F,0)),0)</f>
        <v>0</v>
      </c>
      <c r="U542" s="3">
        <f>IFERROR(INDEX(EVENTOS!$D:$D,MATCH(SCORE!U$2&amp;" "&amp;SCORE!$D542,EVENTOS!$F:$F,0)),0)</f>
        <v>0</v>
      </c>
      <c r="V542" s="3">
        <f>IFERROR(INDEX(EVENTOS!$D:$D,MATCH(SCORE!V$2&amp;" "&amp;SCORE!$D542,EVENTOS!$F:$F,0)),0)</f>
        <v>0</v>
      </c>
      <c r="W542" s="3">
        <f>IFERROR(INDEX(EVENTOS!$D:$D,MATCH(SCORE!W$2&amp;" "&amp;SCORE!$D542,EVENTOS!$F:$F,0)),0)</f>
        <v>0</v>
      </c>
      <c r="X542" s="3">
        <f>IFERROR(INDEX(EVENTOS!$D:$D,MATCH(SCORE!X$2&amp;" "&amp;SCORE!$D542,EVENTOS!$F:$F,0)),0)</f>
        <v>0</v>
      </c>
      <c r="Y542" s="3">
        <f>SUMIFS(EVENTOS!$D:$D, EVENTOS!$B:$B, D542, EVENTOS!$E:$E, "*GirAlto*")</f>
        <v>0</v>
      </c>
      <c r="Z542" s="3">
        <f>SUMIFS(EVENTOS!$D:$D, EVENTOS!$B:$B, D542, EVENTOS!$E:$E, "*GirMed*")</f>
        <v>0</v>
      </c>
      <c r="AA542" s="3">
        <f>SUMIFS(EVENTOS!$D:$D, EVENTOS!$B:$B, D542, EVENTOS!$E:$E, "*GirBajo*")</f>
        <v>0</v>
      </c>
      <c r="AB542" s="3">
        <f>IFERROR(INDEX(EVENTOS!$D:$D,MATCH(SCORE!AB$2&amp;" "&amp;SCORE!$D542,EVENTOS!$F:$F,0)),0)</f>
        <v>0</v>
      </c>
      <c r="AC542" s="3">
        <f>IFERROR(INDEX(EVENTOS!$D:$D,MATCH(SCORE!AC$2&amp;" "&amp;SCORE!$D542,EVENTOS!$F:$F,0)),0)</f>
        <v>0</v>
      </c>
      <c r="AD542" s="3">
        <f>IFERROR(INDEX(EVENTOS!$D:$D,MATCH(SCORE!AD$2&amp;" "&amp;SCORE!$D542,EVENTOS!$F:$F,0)),0)</f>
        <v>0</v>
      </c>
      <c r="AE542" s="3">
        <f t="shared" si="24"/>
        <v>0</v>
      </c>
      <c r="AF542" s="10" t="e">
        <f t="shared" si="25"/>
        <v>#N/A</v>
      </c>
      <c r="AG542" s="3" t="str">
        <f t="shared" si="26"/>
        <v/>
      </c>
    </row>
    <row r="543" spans="1:33" x14ac:dyDescent="0.25">
      <c r="A543" s="7"/>
      <c r="B543" s="8"/>
      <c r="C543" s="3"/>
      <c r="D543" s="3"/>
      <c r="E543" s="3" t="e">
        <f>VLOOKUP(D543,VIAJES!$D:$E,2,FALSE)</f>
        <v>#N/A</v>
      </c>
      <c r="F543" s="9" t="e">
        <f>VLOOKUP(D543,VIAJES!$D:$F,3,FALSE)</f>
        <v>#N/A</v>
      </c>
      <c r="G543" s="9" t="e">
        <f>VLOOKUP(D543,VIAJES!$D:$G,4,FALSE)</f>
        <v>#N/A</v>
      </c>
      <c r="H543" s="3" t="e">
        <f>VLOOKUP(D543,VIAJES!$D:$H,5,FALSE)</f>
        <v>#N/A</v>
      </c>
      <c r="S543" s="3">
        <f>IFERROR(INDEX(EVENTOS!$D:$D,MATCH(SCORE!S$2&amp;" "&amp;SCORE!$D543,EVENTOS!$F:$F,0)),0)</f>
        <v>0</v>
      </c>
      <c r="T543" s="3">
        <f>IFERROR(INDEX(EVENTOS!$D:$D,MATCH(SCORE!T$2&amp;" "&amp;SCORE!$D543,EVENTOS!$F:$F,0)),0)</f>
        <v>0</v>
      </c>
      <c r="U543" s="3">
        <f>IFERROR(INDEX(EVENTOS!$D:$D,MATCH(SCORE!U$2&amp;" "&amp;SCORE!$D543,EVENTOS!$F:$F,0)),0)</f>
        <v>0</v>
      </c>
      <c r="V543" s="3">
        <f>IFERROR(INDEX(EVENTOS!$D:$D,MATCH(SCORE!V$2&amp;" "&amp;SCORE!$D543,EVENTOS!$F:$F,0)),0)</f>
        <v>0</v>
      </c>
      <c r="W543" s="3">
        <f>IFERROR(INDEX(EVENTOS!$D:$D,MATCH(SCORE!W$2&amp;" "&amp;SCORE!$D543,EVENTOS!$F:$F,0)),0)</f>
        <v>0</v>
      </c>
      <c r="X543" s="3">
        <f>IFERROR(INDEX(EVENTOS!$D:$D,MATCH(SCORE!X$2&amp;" "&amp;SCORE!$D543,EVENTOS!$F:$F,0)),0)</f>
        <v>0</v>
      </c>
      <c r="Y543" s="3">
        <f>SUMIFS(EVENTOS!$D:$D, EVENTOS!$B:$B, D543, EVENTOS!$E:$E, "*GirAlto*")</f>
        <v>0</v>
      </c>
      <c r="Z543" s="3">
        <f>SUMIFS(EVENTOS!$D:$D, EVENTOS!$B:$B, D543, EVENTOS!$E:$E, "*GirMed*")</f>
        <v>0</v>
      </c>
      <c r="AA543" s="3">
        <f>SUMIFS(EVENTOS!$D:$D, EVENTOS!$B:$B, D543, EVENTOS!$E:$E, "*GirBajo*")</f>
        <v>0</v>
      </c>
      <c r="AB543" s="3">
        <f>IFERROR(INDEX(EVENTOS!$D:$D,MATCH(SCORE!AB$2&amp;" "&amp;SCORE!$D543,EVENTOS!$F:$F,0)),0)</f>
        <v>0</v>
      </c>
      <c r="AC543" s="3">
        <f>IFERROR(INDEX(EVENTOS!$D:$D,MATCH(SCORE!AC$2&amp;" "&amp;SCORE!$D543,EVENTOS!$F:$F,0)),0)</f>
        <v>0</v>
      </c>
      <c r="AD543" s="3">
        <f>IFERROR(INDEX(EVENTOS!$D:$D,MATCH(SCORE!AD$2&amp;" "&amp;SCORE!$D543,EVENTOS!$F:$F,0)),0)</f>
        <v>0</v>
      </c>
      <c r="AE543" s="3">
        <f t="shared" si="24"/>
        <v>0</v>
      </c>
      <c r="AF543" s="10" t="e">
        <f t="shared" si="25"/>
        <v>#N/A</v>
      </c>
      <c r="AG543" s="3" t="str">
        <f t="shared" si="26"/>
        <v/>
      </c>
    </row>
    <row r="544" spans="1:33" x14ac:dyDescent="0.25">
      <c r="A544" s="7"/>
      <c r="B544" s="8"/>
      <c r="C544" s="3"/>
      <c r="D544" s="3"/>
      <c r="E544" s="3" t="e">
        <f>VLOOKUP(D544,VIAJES!$D:$E,2,FALSE)</f>
        <v>#N/A</v>
      </c>
      <c r="F544" s="9" t="e">
        <f>VLOOKUP(D544,VIAJES!$D:$F,3,FALSE)</f>
        <v>#N/A</v>
      </c>
      <c r="G544" s="9" t="e">
        <f>VLOOKUP(D544,VIAJES!$D:$G,4,FALSE)</f>
        <v>#N/A</v>
      </c>
      <c r="H544" s="3" t="e">
        <f>VLOOKUP(D544,VIAJES!$D:$H,5,FALSE)</f>
        <v>#N/A</v>
      </c>
      <c r="S544" s="3">
        <f>IFERROR(INDEX(EVENTOS!$D:$D,MATCH(SCORE!S$2&amp;" "&amp;SCORE!$D544,EVENTOS!$F:$F,0)),0)</f>
        <v>0</v>
      </c>
      <c r="T544" s="3">
        <f>IFERROR(INDEX(EVENTOS!$D:$D,MATCH(SCORE!T$2&amp;" "&amp;SCORE!$D544,EVENTOS!$F:$F,0)),0)</f>
        <v>0</v>
      </c>
      <c r="U544" s="3">
        <f>IFERROR(INDEX(EVENTOS!$D:$D,MATCH(SCORE!U$2&amp;" "&amp;SCORE!$D544,EVENTOS!$F:$F,0)),0)</f>
        <v>0</v>
      </c>
      <c r="V544" s="3">
        <f>IFERROR(INDEX(EVENTOS!$D:$D,MATCH(SCORE!V$2&amp;" "&amp;SCORE!$D544,EVENTOS!$F:$F,0)),0)</f>
        <v>0</v>
      </c>
      <c r="W544" s="3">
        <f>IFERROR(INDEX(EVENTOS!$D:$D,MATCH(SCORE!W$2&amp;" "&amp;SCORE!$D544,EVENTOS!$F:$F,0)),0)</f>
        <v>0</v>
      </c>
      <c r="X544" s="3">
        <f>IFERROR(INDEX(EVENTOS!$D:$D,MATCH(SCORE!X$2&amp;" "&amp;SCORE!$D544,EVENTOS!$F:$F,0)),0)</f>
        <v>0</v>
      </c>
      <c r="Y544" s="3">
        <f>SUMIFS(EVENTOS!$D:$D, EVENTOS!$B:$B, D544, EVENTOS!$E:$E, "*GirAlto*")</f>
        <v>0</v>
      </c>
      <c r="Z544" s="3">
        <f>SUMIFS(EVENTOS!$D:$D, EVENTOS!$B:$B, D544, EVENTOS!$E:$E, "*GirMed*")</f>
        <v>0</v>
      </c>
      <c r="AA544" s="3">
        <f>SUMIFS(EVENTOS!$D:$D, EVENTOS!$B:$B, D544, EVENTOS!$E:$E, "*GirBajo*")</f>
        <v>0</v>
      </c>
      <c r="AB544" s="3">
        <f>IFERROR(INDEX(EVENTOS!$D:$D,MATCH(SCORE!AB$2&amp;" "&amp;SCORE!$D544,EVENTOS!$F:$F,0)),0)</f>
        <v>0</v>
      </c>
      <c r="AC544" s="3">
        <f>IFERROR(INDEX(EVENTOS!$D:$D,MATCH(SCORE!AC$2&amp;" "&amp;SCORE!$D544,EVENTOS!$F:$F,0)),0)</f>
        <v>0</v>
      </c>
      <c r="AD544" s="3">
        <f>IFERROR(INDEX(EVENTOS!$D:$D,MATCH(SCORE!AD$2&amp;" "&amp;SCORE!$D544,EVENTOS!$F:$F,0)),0)</f>
        <v>0</v>
      </c>
      <c r="AE544" s="3">
        <f t="shared" si="24"/>
        <v>0</v>
      </c>
      <c r="AF544" s="10" t="e">
        <f t="shared" si="25"/>
        <v>#N/A</v>
      </c>
      <c r="AG544" s="3" t="str">
        <f t="shared" si="26"/>
        <v/>
      </c>
    </row>
    <row r="545" spans="1:33" x14ac:dyDescent="0.25">
      <c r="A545" s="7"/>
      <c r="B545" s="8"/>
      <c r="C545" s="3"/>
      <c r="D545" s="3"/>
      <c r="E545" s="3" t="e">
        <f>VLOOKUP(D545,VIAJES!$D:$E,2,FALSE)</f>
        <v>#N/A</v>
      </c>
      <c r="F545" s="9" t="e">
        <f>VLOOKUP(D545,VIAJES!$D:$F,3,FALSE)</f>
        <v>#N/A</v>
      </c>
      <c r="G545" s="9" t="e">
        <f>VLOOKUP(D545,VIAJES!$D:$G,4,FALSE)</f>
        <v>#N/A</v>
      </c>
      <c r="H545" s="3" t="e">
        <f>VLOOKUP(D545,VIAJES!$D:$H,5,FALSE)</f>
        <v>#N/A</v>
      </c>
      <c r="S545" s="3">
        <f>IFERROR(INDEX(EVENTOS!$D:$D,MATCH(SCORE!S$2&amp;" "&amp;SCORE!$D545,EVENTOS!$F:$F,0)),0)</f>
        <v>0</v>
      </c>
      <c r="T545" s="3">
        <f>IFERROR(INDEX(EVENTOS!$D:$D,MATCH(SCORE!T$2&amp;" "&amp;SCORE!$D545,EVENTOS!$F:$F,0)),0)</f>
        <v>0</v>
      </c>
      <c r="U545" s="3">
        <f>IFERROR(INDEX(EVENTOS!$D:$D,MATCH(SCORE!U$2&amp;" "&amp;SCORE!$D545,EVENTOS!$F:$F,0)),0)</f>
        <v>0</v>
      </c>
      <c r="V545" s="3">
        <f>IFERROR(INDEX(EVENTOS!$D:$D,MATCH(SCORE!V$2&amp;" "&amp;SCORE!$D545,EVENTOS!$F:$F,0)),0)</f>
        <v>0</v>
      </c>
      <c r="W545" s="3">
        <f>IFERROR(INDEX(EVENTOS!$D:$D,MATCH(SCORE!W$2&amp;" "&amp;SCORE!$D545,EVENTOS!$F:$F,0)),0)</f>
        <v>0</v>
      </c>
      <c r="X545" s="3">
        <f>IFERROR(INDEX(EVENTOS!$D:$D,MATCH(SCORE!X$2&amp;" "&amp;SCORE!$D545,EVENTOS!$F:$F,0)),0)</f>
        <v>0</v>
      </c>
      <c r="Y545" s="3">
        <f>SUMIFS(EVENTOS!$D:$D, EVENTOS!$B:$B, D545, EVENTOS!$E:$E, "*GirAlto*")</f>
        <v>0</v>
      </c>
      <c r="Z545" s="3">
        <f>SUMIFS(EVENTOS!$D:$D, EVENTOS!$B:$B, D545, EVENTOS!$E:$E, "*GirMed*")</f>
        <v>0</v>
      </c>
      <c r="AA545" s="3">
        <f>SUMIFS(EVENTOS!$D:$D, EVENTOS!$B:$B, D545, EVENTOS!$E:$E, "*GirBajo*")</f>
        <v>0</v>
      </c>
      <c r="AB545" s="3">
        <f>IFERROR(INDEX(EVENTOS!$D:$D,MATCH(SCORE!AB$2&amp;" "&amp;SCORE!$D545,EVENTOS!$F:$F,0)),0)</f>
        <v>0</v>
      </c>
      <c r="AC545" s="3">
        <f>IFERROR(INDEX(EVENTOS!$D:$D,MATCH(SCORE!AC$2&amp;" "&amp;SCORE!$D545,EVENTOS!$F:$F,0)),0)</f>
        <v>0</v>
      </c>
      <c r="AD545" s="3">
        <f>IFERROR(INDEX(EVENTOS!$D:$D,MATCH(SCORE!AD$2&amp;" "&amp;SCORE!$D545,EVENTOS!$F:$F,0)),0)</f>
        <v>0</v>
      </c>
      <c r="AE545" s="3">
        <f t="shared" si="24"/>
        <v>0</v>
      </c>
      <c r="AF545" s="10" t="e">
        <f t="shared" si="25"/>
        <v>#N/A</v>
      </c>
      <c r="AG545" s="3" t="str">
        <f t="shared" si="26"/>
        <v/>
      </c>
    </row>
    <row r="546" spans="1:33" x14ac:dyDescent="0.25">
      <c r="A546" s="7"/>
      <c r="B546" s="8"/>
      <c r="C546" s="3"/>
      <c r="D546" s="3"/>
      <c r="E546" s="3" t="e">
        <f>VLOOKUP(D546,VIAJES!$D:$E,2,FALSE)</f>
        <v>#N/A</v>
      </c>
      <c r="F546" s="9" t="e">
        <f>VLOOKUP(D546,VIAJES!$D:$F,3,FALSE)</f>
        <v>#N/A</v>
      </c>
      <c r="G546" s="9" t="e">
        <f>VLOOKUP(D546,VIAJES!$D:$G,4,FALSE)</f>
        <v>#N/A</v>
      </c>
      <c r="H546" s="3" t="e">
        <f>VLOOKUP(D546,VIAJES!$D:$H,5,FALSE)</f>
        <v>#N/A</v>
      </c>
      <c r="S546" s="3">
        <f>IFERROR(INDEX(EVENTOS!$D:$D,MATCH(SCORE!S$2&amp;" "&amp;SCORE!$D546,EVENTOS!$F:$F,0)),0)</f>
        <v>0</v>
      </c>
      <c r="T546" s="3">
        <f>IFERROR(INDEX(EVENTOS!$D:$D,MATCH(SCORE!T$2&amp;" "&amp;SCORE!$D546,EVENTOS!$F:$F,0)),0)</f>
        <v>0</v>
      </c>
      <c r="U546" s="3">
        <f>IFERROR(INDEX(EVENTOS!$D:$D,MATCH(SCORE!U$2&amp;" "&amp;SCORE!$D546,EVENTOS!$F:$F,0)),0)</f>
        <v>0</v>
      </c>
      <c r="V546" s="3">
        <f>IFERROR(INDEX(EVENTOS!$D:$D,MATCH(SCORE!V$2&amp;" "&amp;SCORE!$D546,EVENTOS!$F:$F,0)),0)</f>
        <v>0</v>
      </c>
      <c r="W546" s="3">
        <f>IFERROR(INDEX(EVENTOS!$D:$D,MATCH(SCORE!W$2&amp;" "&amp;SCORE!$D546,EVENTOS!$F:$F,0)),0)</f>
        <v>0</v>
      </c>
      <c r="X546" s="3">
        <f>IFERROR(INDEX(EVENTOS!$D:$D,MATCH(SCORE!X$2&amp;" "&amp;SCORE!$D546,EVENTOS!$F:$F,0)),0)</f>
        <v>0</v>
      </c>
      <c r="Y546" s="3">
        <f>SUMIFS(EVENTOS!$D:$D, EVENTOS!$B:$B, D546, EVENTOS!$E:$E, "*GirAlto*")</f>
        <v>0</v>
      </c>
      <c r="Z546" s="3">
        <f>SUMIFS(EVENTOS!$D:$D, EVENTOS!$B:$B, D546, EVENTOS!$E:$E, "*GirMed*")</f>
        <v>0</v>
      </c>
      <c r="AA546" s="3">
        <f>SUMIFS(EVENTOS!$D:$D, EVENTOS!$B:$B, D546, EVENTOS!$E:$E, "*GirBajo*")</f>
        <v>0</v>
      </c>
      <c r="AB546" s="3">
        <f>IFERROR(INDEX(EVENTOS!$D:$D,MATCH(SCORE!AB$2&amp;" "&amp;SCORE!$D546,EVENTOS!$F:$F,0)),0)</f>
        <v>0</v>
      </c>
      <c r="AC546" s="3">
        <f>IFERROR(INDEX(EVENTOS!$D:$D,MATCH(SCORE!AC$2&amp;" "&amp;SCORE!$D546,EVENTOS!$F:$F,0)),0)</f>
        <v>0</v>
      </c>
      <c r="AD546" s="3">
        <f>IFERROR(INDEX(EVENTOS!$D:$D,MATCH(SCORE!AD$2&amp;" "&amp;SCORE!$D546,EVENTOS!$F:$F,0)),0)</f>
        <v>0</v>
      </c>
      <c r="AE546" s="3">
        <f t="shared" si="24"/>
        <v>0</v>
      </c>
      <c r="AF546" s="10" t="e">
        <f t="shared" si="25"/>
        <v>#N/A</v>
      </c>
      <c r="AG546" s="3" t="str">
        <f t="shared" si="26"/>
        <v/>
      </c>
    </row>
    <row r="547" spans="1:33" x14ac:dyDescent="0.25">
      <c r="A547" s="7"/>
      <c r="B547" s="8"/>
      <c r="C547" s="3"/>
      <c r="D547" s="3"/>
      <c r="E547" s="3" t="e">
        <f>VLOOKUP(D547,VIAJES!$D:$E,2,FALSE)</f>
        <v>#N/A</v>
      </c>
      <c r="F547" s="9" t="e">
        <f>VLOOKUP(D547,VIAJES!$D:$F,3,FALSE)</f>
        <v>#N/A</v>
      </c>
      <c r="G547" s="9" t="e">
        <f>VLOOKUP(D547,VIAJES!$D:$G,4,FALSE)</f>
        <v>#N/A</v>
      </c>
      <c r="H547" s="3" t="e">
        <f>VLOOKUP(D547,VIAJES!$D:$H,5,FALSE)</f>
        <v>#N/A</v>
      </c>
      <c r="S547" s="3">
        <f>IFERROR(INDEX(EVENTOS!$D:$D,MATCH(SCORE!S$2&amp;" "&amp;SCORE!$D547,EVENTOS!$F:$F,0)),0)</f>
        <v>0</v>
      </c>
      <c r="T547" s="3">
        <f>IFERROR(INDEX(EVENTOS!$D:$D,MATCH(SCORE!T$2&amp;" "&amp;SCORE!$D547,EVENTOS!$F:$F,0)),0)</f>
        <v>0</v>
      </c>
      <c r="U547" s="3">
        <f>IFERROR(INDEX(EVENTOS!$D:$D,MATCH(SCORE!U$2&amp;" "&amp;SCORE!$D547,EVENTOS!$F:$F,0)),0)</f>
        <v>0</v>
      </c>
      <c r="V547" s="3">
        <f>IFERROR(INDEX(EVENTOS!$D:$D,MATCH(SCORE!V$2&amp;" "&amp;SCORE!$D547,EVENTOS!$F:$F,0)),0)</f>
        <v>0</v>
      </c>
      <c r="W547" s="3">
        <f>IFERROR(INDEX(EVENTOS!$D:$D,MATCH(SCORE!W$2&amp;" "&amp;SCORE!$D547,EVENTOS!$F:$F,0)),0)</f>
        <v>0</v>
      </c>
      <c r="X547" s="3">
        <f>IFERROR(INDEX(EVENTOS!$D:$D,MATCH(SCORE!X$2&amp;" "&amp;SCORE!$D547,EVENTOS!$F:$F,0)),0)</f>
        <v>0</v>
      </c>
      <c r="Y547" s="3">
        <f>SUMIFS(EVENTOS!$D:$D, EVENTOS!$B:$B, D547, EVENTOS!$E:$E, "*GirAlto*")</f>
        <v>0</v>
      </c>
      <c r="Z547" s="3">
        <f>SUMIFS(EVENTOS!$D:$D, EVENTOS!$B:$B, D547, EVENTOS!$E:$E, "*GirMed*")</f>
        <v>0</v>
      </c>
      <c r="AA547" s="3">
        <f>SUMIFS(EVENTOS!$D:$D, EVENTOS!$B:$B, D547, EVENTOS!$E:$E, "*GirBajo*")</f>
        <v>0</v>
      </c>
      <c r="AB547" s="3">
        <f>IFERROR(INDEX(EVENTOS!$D:$D,MATCH(SCORE!AB$2&amp;" "&amp;SCORE!$D547,EVENTOS!$F:$F,0)),0)</f>
        <v>0</v>
      </c>
      <c r="AC547" s="3">
        <f>IFERROR(INDEX(EVENTOS!$D:$D,MATCH(SCORE!AC$2&amp;" "&amp;SCORE!$D547,EVENTOS!$F:$F,0)),0)</f>
        <v>0</v>
      </c>
      <c r="AD547" s="3">
        <f>IFERROR(INDEX(EVENTOS!$D:$D,MATCH(SCORE!AD$2&amp;" "&amp;SCORE!$D547,EVENTOS!$F:$F,0)),0)</f>
        <v>0</v>
      </c>
      <c r="AE547" s="3">
        <f t="shared" si="24"/>
        <v>0</v>
      </c>
      <c r="AF547" s="10" t="e">
        <f t="shared" si="25"/>
        <v>#N/A</v>
      </c>
      <c r="AG547" s="3" t="str">
        <f t="shared" si="26"/>
        <v/>
      </c>
    </row>
    <row r="548" spans="1:33" x14ac:dyDescent="0.25">
      <c r="A548" s="7"/>
      <c r="B548" s="8"/>
      <c r="C548" s="3"/>
      <c r="D548" s="3"/>
      <c r="E548" s="3" t="e">
        <f>VLOOKUP(D548,VIAJES!$D:$E,2,FALSE)</f>
        <v>#N/A</v>
      </c>
      <c r="F548" s="9" t="e">
        <f>VLOOKUP(D548,VIAJES!$D:$F,3,FALSE)</f>
        <v>#N/A</v>
      </c>
      <c r="G548" s="9" t="e">
        <f>VLOOKUP(D548,VIAJES!$D:$G,4,FALSE)</f>
        <v>#N/A</v>
      </c>
      <c r="H548" s="3" t="e">
        <f>VLOOKUP(D548,VIAJES!$D:$H,5,FALSE)</f>
        <v>#N/A</v>
      </c>
      <c r="S548" s="3">
        <f>IFERROR(INDEX(EVENTOS!$D:$D,MATCH(SCORE!S$2&amp;" "&amp;SCORE!$D548,EVENTOS!$F:$F,0)),0)</f>
        <v>0</v>
      </c>
      <c r="T548" s="3">
        <f>IFERROR(INDEX(EVENTOS!$D:$D,MATCH(SCORE!T$2&amp;" "&amp;SCORE!$D548,EVENTOS!$F:$F,0)),0)</f>
        <v>0</v>
      </c>
      <c r="U548" s="3">
        <f>IFERROR(INDEX(EVENTOS!$D:$D,MATCH(SCORE!U$2&amp;" "&amp;SCORE!$D548,EVENTOS!$F:$F,0)),0)</f>
        <v>0</v>
      </c>
      <c r="V548" s="3">
        <f>IFERROR(INDEX(EVENTOS!$D:$D,MATCH(SCORE!V$2&amp;" "&amp;SCORE!$D548,EVENTOS!$F:$F,0)),0)</f>
        <v>0</v>
      </c>
      <c r="W548" s="3">
        <f>IFERROR(INDEX(EVENTOS!$D:$D,MATCH(SCORE!W$2&amp;" "&amp;SCORE!$D548,EVENTOS!$F:$F,0)),0)</f>
        <v>0</v>
      </c>
      <c r="X548" s="3">
        <f>IFERROR(INDEX(EVENTOS!$D:$D,MATCH(SCORE!X$2&amp;" "&amp;SCORE!$D548,EVENTOS!$F:$F,0)),0)</f>
        <v>0</v>
      </c>
      <c r="Y548" s="3">
        <f>SUMIFS(EVENTOS!$D:$D, EVENTOS!$B:$B, D548, EVENTOS!$E:$E, "*GirAlto*")</f>
        <v>0</v>
      </c>
      <c r="Z548" s="3">
        <f>SUMIFS(EVENTOS!$D:$D, EVENTOS!$B:$B, D548, EVENTOS!$E:$E, "*GirMed*")</f>
        <v>0</v>
      </c>
      <c r="AA548" s="3">
        <f>SUMIFS(EVENTOS!$D:$D, EVENTOS!$B:$B, D548, EVENTOS!$E:$E, "*GirBajo*")</f>
        <v>0</v>
      </c>
      <c r="AB548" s="3">
        <f>IFERROR(INDEX(EVENTOS!$D:$D,MATCH(SCORE!AB$2&amp;" "&amp;SCORE!$D548,EVENTOS!$F:$F,0)),0)</f>
        <v>0</v>
      </c>
      <c r="AC548" s="3">
        <f>IFERROR(INDEX(EVENTOS!$D:$D,MATCH(SCORE!AC$2&amp;" "&amp;SCORE!$D548,EVENTOS!$F:$F,0)),0)</f>
        <v>0</v>
      </c>
      <c r="AD548" s="3">
        <f>IFERROR(INDEX(EVENTOS!$D:$D,MATCH(SCORE!AD$2&amp;" "&amp;SCORE!$D548,EVENTOS!$F:$F,0)),0)</f>
        <v>0</v>
      </c>
      <c r="AE548" s="3">
        <f t="shared" si="24"/>
        <v>0</v>
      </c>
      <c r="AF548" s="10" t="e">
        <f t="shared" si="25"/>
        <v>#N/A</v>
      </c>
      <c r="AG548" s="3" t="str">
        <f t="shared" si="26"/>
        <v/>
      </c>
    </row>
    <row r="549" spans="1:33" x14ac:dyDescent="0.25">
      <c r="A549" s="7"/>
      <c r="B549" s="8"/>
      <c r="C549" s="3"/>
      <c r="D549" s="3"/>
      <c r="E549" s="3" t="e">
        <f>VLOOKUP(D549,VIAJES!$D:$E,2,FALSE)</f>
        <v>#N/A</v>
      </c>
      <c r="F549" s="9" t="e">
        <f>VLOOKUP(D549,VIAJES!$D:$F,3,FALSE)</f>
        <v>#N/A</v>
      </c>
      <c r="G549" s="9" t="e">
        <f>VLOOKUP(D549,VIAJES!$D:$G,4,FALSE)</f>
        <v>#N/A</v>
      </c>
      <c r="H549" s="3" t="e">
        <f>VLOOKUP(D549,VIAJES!$D:$H,5,FALSE)</f>
        <v>#N/A</v>
      </c>
      <c r="S549" s="3">
        <f>IFERROR(INDEX(EVENTOS!$D:$D,MATCH(SCORE!S$2&amp;" "&amp;SCORE!$D549,EVENTOS!$F:$F,0)),0)</f>
        <v>0</v>
      </c>
      <c r="T549" s="3">
        <f>IFERROR(INDEX(EVENTOS!$D:$D,MATCH(SCORE!T$2&amp;" "&amp;SCORE!$D549,EVENTOS!$F:$F,0)),0)</f>
        <v>0</v>
      </c>
      <c r="U549" s="3">
        <f>IFERROR(INDEX(EVENTOS!$D:$D,MATCH(SCORE!U$2&amp;" "&amp;SCORE!$D549,EVENTOS!$F:$F,0)),0)</f>
        <v>0</v>
      </c>
      <c r="V549" s="3">
        <f>IFERROR(INDEX(EVENTOS!$D:$D,MATCH(SCORE!V$2&amp;" "&amp;SCORE!$D549,EVENTOS!$F:$F,0)),0)</f>
        <v>0</v>
      </c>
      <c r="W549" s="3">
        <f>IFERROR(INDEX(EVENTOS!$D:$D,MATCH(SCORE!W$2&amp;" "&amp;SCORE!$D549,EVENTOS!$F:$F,0)),0)</f>
        <v>0</v>
      </c>
      <c r="X549" s="3">
        <f>IFERROR(INDEX(EVENTOS!$D:$D,MATCH(SCORE!X$2&amp;" "&amp;SCORE!$D549,EVENTOS!$F:$F,0)),0)</f>
        <v>0</v>
      </c>
      <c r="Y549" s="3">
        <f>SUMIFS(EVENTOS!$D:$D, EVENTOS!$B:$B, D549, EVENTOS!$E:$E, "*GirAlto*")</f>
        <v>0</v>
      </c>
      <c r="Z549" s="3">
        <f>SUMIFS(EVENTOS!$D:$D, EVENTOS!$B:$B, D549, EVENTOS!$E:$E, "*GirMed*")</f>
        <v>0</v>
      </c>
      <c r="AA549" s="3">
        <f>SUMIFS(EVENTOS!$D:$D, EVENTOS!$B:$B, D549, EVENTOS!$E:$E, "*GirBajo*")</f>
        <v>0</v>
      </c>
      <c r="AB549" s="3">
        <f>IFERROR(INDEX(EVENTOS!$D:$D,MATCH(SCORE!AB$2&amp;" "&amp;SCORE!$D549,EVENTOS!$F:$F,0)),0)</f>
        <v>0</v>
      </c>
      <c r="AC549" s="3">
        <f>IFERROR(INDEX(EVENTOS!$D:$D,MATCH(SCORE!AC$2&amp;" "&amp;SCORE!$D549,EVENTOS!$F:$F,0)),0)</f>
        <v>0</v>
      </c>
      <c r="AD549" s="3">
        <f>IFERROR(INDEX(EVENTOS!$D:$D,MATCH(SCORE!AD$2&amp;" "&amp;SCORE!$D549,EVENTOS!$F:$F,0)),0)</f>
        <v>0</v>
      </c>
      <c r="AE549" s="3">
        <f t="shared" si="24"/>
        <v>0</v>
      </c>
      <c r="AF549" s="10" t="e">
        <f t="shared" si="25"/>
        <v>#N/A</v>
      </c>
      <c r="AG549" s="3" t="str">
        <f t="shared" si="26"/>
        <v/>
      </c>
    </row>
    <row r="550" spans="1:33" x14ac:dyDescent="0.25">
      <c r="A550" s="7"/>
      <c r="B550" s="8"/>
      <c r="C550" s="3"/>
      <c r="D550" s="3"/>
      <c r="E550" s="3" t="e">
        <f>VLOOKUP(D550,VIAJES!$D:$E,2,FALSE)</f>
        <v>#N/A</v>
      </c>
      <c r="F550" s="9" t="e">
        <f>VLOOKUP(D550,VIAJES!$D:$F,3,FALSE)</f>
        <v>#N/A</v>
      </c>
      <c r="G550" s="9" t="e">
        <f>VLOOKUP(D550,VIAJES!$D:$G,4,FALSE)</f>
        <v>#N/A</v>
      </c>
      <c r="H550" s="3" t="e">
        <f>VLOOKUP(D550,VIAJES!$D:$H,5,FALSE)</f>
        <v>#N/A</v>
      </c>
      <c r="S550" s="3">
        <f>IFERROR(INDEX(EVENTOS!$D:$D,MATCH(SCORE!S$2&amp;" "&amp;SCORE!$D550,EVENTOS!$F:$F,0)),0)</f>
        <v>0</v>
      </c>
      <c r="T550" s="3">
        <f>IFERROR(INDEX(EVENTOS!$D:$D,MATCH(SCORE!T$2&amp;" "&amp;SCORE!$D550,EVENTOS!$F:$F,0)),0)</f>
        <v>0</v>
      </c>
      <c r="U550" s="3">
        <f>IFERROR(INDEX(EVENTOS!$D:$D,MATCH(SCORE!U$2&amp;" "&amp;SCORE!$D550,EVENTOS!$F:$F,0)),0)</f>
        <v>0</v>
      </c>
      <c r="V550" s="3">
        <f>IFERROR(INDEX(EVENTOS!$D:$D,MATCH(SCORE!V$2&amp;" "&amp;SCORE!$D550,EVENTOS!$F:$F,0)),0)</f>
        <v>0</v>
      </c>
      <c r="W550" s="3">
        <f>IFERROR(INDEX(EVENTOS!$D:$D,MATCH(SCORE!W$2&amp;" "&amp;SCORE!$D550,EVENTOS!$F:$F,0)),0)</f>
        <v>0</v>
      </c>
      <c r="X550" s="3">
        <f>IFERROR(INDEX(EVENTOS!$D:$D,MATCH(SCORE!X$2&amp;" "&amp;SCORE!$D550,EVENTOS!$F:$F,0)),0)</f>
        <v>0</v>
      </c>
      <c r="Y550" s="3">
        <f>SUMIFS(EVENTOS!$D:$D, EVENTOS!$B:$B, D550, EVENTOS!$E:$E, "*GirAlto*")</f>
        <v>0</v>
      </c>
      <c r="Z550" s="3">
        <f>SUMIFS(EVENTOS!$D:$D, EVENTOS!$B:$B, D550, EVENTOS!$E:$E, "*GirMed*")</f>
        <v>0</v>
      </c>
      <c r="AA550" s="3">
        <f>SUMIFS(EVENTOS!$D:$D, EVENTOS!$B:$B, D550, EVENTOS!$E:$E, "*GirBajo*")</f>
        <v>0</v>
      </c>
      <c r="AB550" s="3">
        <f>IFERROR(INDEX(EVENTOS!$D:$D,MATCH(SCORE!AB$2&amp;" "&amp;SCORE!$D550,EVENTOS!$F:$F,0)),0)</f>
        <v>0</v>
      </c>
      <c r="AC550" s="3">
        <f>IFERROR(INDEX(EVENTOS!$D:$D,MATCH(SCORE!AC$2&amp;" "&amp;SCORE!$D550,EVENTOS!$F:$F,0)),0)</f>
        <v>0</v>
      </c>
      <c r="AD550" s="3">
        <f>IFERROR(INDEX(EVENTOS!$D:$D,MATCH(SCORE!AD$2&amp;" "&amp;SCORE!$D550,EVENTOS!$F:$F,0)),0)</f>
        <v>0</v>
      </c>
      <c r="AE550" s="3">
        <f t="shared" si="24"/>
        <v>0</v>
      </c>
      <c r="AF550" s="10" t="e">
        <f t="shared" si="25"/>
        <v>#N/A</v>
      </c>
      <c r="AG550" s="3" t="str">
        <f t="shared" si="26"/>
        <v/>
      </c>
    </row>
    <row r="551" spans="1:33" x14ac:dyDescent="0.25">
      <c r="A551" s="7"/>
      <c r="B551" s="8"/>
      <c r="C551" s="3"/>
      <c r="D551" s="3"/>
      <c r="E551" s="3" t="e">
        <f>VLOOKUP(D551,VIAJES!$D:$E,2,FALSE)</f>
        <v>#N/A</v>
      </c>
      <c r="F551" s="9" t="e">
        <f>VLOOKUP(D551,VIAJES!$D:$F,3,FALSE)</f>
        <v>#N/A</v>
      </c>
      <c r="G551" s="9" t="e">
        <f>VLOOKUP(D551,VIAJES!$D:$G,4,FALSE)</f>
        <v>#N/A</v>
      </c>
      <c r="H551" s="3" t="e">
        <f>VLOOKUP(D551,VIAJES!$D:$H,5,FALSE)</f>
        <v>#N/A</v>
      </c>
      <c r="S551" s="3">
        <f>IFERROR(INDEX(EVENTOS!$D:$D,MATCH(SCORE!S$2&amp;" "&amp;SCORE!$D551,EVENTOS!$F:$F,0)),0)</f>
        <v>0</v>
      </c>
      <c r="T551" s="3">
        <f>IFERROR(INDEX(EVENTOS!$D:$D,MATCH(SCORE!T$2&amp;" "&amp;SCORE!$D551,EVENTOS!$F:$F,0)),0)</f>
        <v>0</v>
      </c>
      <c r="U551" s="3">
        <f>IFERROR(INDEX(EVENTOS!$D:$D,MATCH(SCORE!U$2&amp;" "&amp;SCORE!$D551,EVENTOS!$F:$F,0)),0)</f>
        <v>0</v>
      </c>
      <c r="V551" s="3">
        <f>IFERROR(INDEX(EVENTOS!$D:$D,MATCH(SCORE!V$2&amp;" "&amp;SCORE!$D551,EVENTOS!$F:$F,0)),0)</f>
        <v>0</v>
      </c>
      <c r="W551" s="3">
        <f>IFERROR(INDEX(EVENTOS!$D:$D,MATCH(SCORE!W$2&amp;" "&amp;SCORE!$D551,EVENTOS!$F:$F,0)),0)</f>
        <v>0</v>
      </c>
      <c r="X551" s="3">
        <f>IFERROR(INDEX(EVENTOS!$D:$D,MATCH(SCORE!X$2&amp;" "&amp;SCORE!$D551,EVENTOS!$F:$F,0)),0)</f>
        <v>0</v>
      </c>
      <c r="Y551" s="3">
        <f>SUMIFS(EVENTOS!$D:$D, EVENTOS!$B:$B, D551, EVENTOS!$E:$E, "*GirAlto*")</f>
        <v>0</v>
      </c>
      <c r="Z551" s="3">
        <f>SUMIFS(EVENTOS!$D:$D, EVENTOS!$B:$B, D551, EVENTOS!$E:$E, "*GirMed*")</f>
        <v>0</v>
      </c>
      <c r="AA551" s="3">
        <f>SUMIFS(EVENTOS!$D:$D, EVENTOS!$B:$B, D551, EVENTOS!$E:$E, "*GirBajo*")</f>
        <v>0</v>
      </c>
      <c r="AB551" s="3">
        <f>IFERROR(INDEX(EVENTOS!$D:$D,MATCH(SCORE!AB$2&amp;" "&amp;SCORE!$D551,EVENTOS!$F:$F,0)),0)</f>
        <v>0</v>
      </c>
      <c r="AC551" s="3">
        <f>IFERROR(INDEX(EVENTOS!$D:$D,MATCH(SCORE!AC$2&amp;" "&amp;SCORE!$D551,EVENTOS!$F:$F,0)),0)</f>
        <v>0</v>
      </c>
      <c r="AD551" s="3">
        <f>IFERROR(INDEX(EVENTOS!$D:$D,MATCH(SCORE!AD$2&amp;" "&amp;SCORE!$D551,EVENTOS!$F:$F,0)),0)</f>
        <v>0</v>
      </c>
      <c r="AE551" s="3">
        <f t="shared" si="24"/>
        <v>0</v>
      </c>
      <c r="AF551" s="10" t="e">
        <f t="shared" si="25"/>
        <v>#N/A</v>
      </c>
      <c r="AG551" s="3" t="str">
        <f t="shared" si="26"/>
        <v/>
      </c>
    </row>
    <row r="552" spans="1:33" x14ac:dyDescent="0.25">
      <c r="A552" s="7"/>
      <c r="B552" s="8"/>
      <c r="C552" s="3"/>
      <c r="D552" s="3"/>
      <c r="E552" s="3" t="e">
        <f>VLOOKUP(D552,VIAJES!$D:$E,2,FALSE)</f>
        <v>#N/A</v>
      </c>
      <c r="F552" s="9" t="e">
        <f>VLOOKUP(D552,VIAJES!$D:$F,3,FALSE)</f>
        <v>#N/A</v>
      </c>
      <c r="G552" s="9" t="e">
        <f>VLOOKUP(D552,VIAJES!$D:$G,4,FALSE)</f>
        <v>#N/A</v>
      </c>
      <c r="H552" s="3" t="e">
        <f>VLOOKUP(D552,VIAJES!$D:$H,5,FALSE)</f>
        <v>#N/A</v>
      </c>
      <c r="S552" s="3">
        <f>IFERROR(INDEX(EVENTOS!$D:$D,MATCH(SCORE!S$2&amp;" "&amp;SCORE!$D552,EVENTOS!$F:$F,0)),0)</f>
        <v>0</v>
      </c>
      <c r="T552" s="3">
        <f>IFERROR(INDEX(EVENTOS!$D:$D,MATCH(SCORE!T$2&amp;" "&amp;SCORE!$D552,EVENTOS!$F:$F,0)),0)</f>
        <v>0</v>
      </c>
      <c r="U552" s="3">
        <f>IFERROR(INDEX(EVENTOS!$D:$D,MATCH(SCORE!U$2&amp;" "&amp;SCORE!$D552,EVENTOS!$F:$F,0)),0)</f>
        <v>0</v>
      </c>
      <c r="V552" s="3">
        <f>IFERROR(INDEX(EVENTOS!$D:$D,MATCH(SCORE!V$2&amp;" "&amp;SCORE!$D552,EVENTOS!$F:$F,0)),0)</f>
        <v>0</v>
      </c>
      <c r="W552" s="3">
        <f>IFERROR(INDEX(EVENTOS!$D:$D,MATCH(SCORE!W$2&amp;" "&amp;SCORE!$D552,EVENTOS!$F:$F,0)),0)</f>
        <v>0</v>
      </c>
      <c r="X552" s="3">
        <f>IFERROR(INDEX(EVENTOS!$D:$D,MATCH(SCORE!X$2&amp;" "&amp;SCORE!$D552,EVENTOS!$F:$F,0)),0)</f>
        <v>0</v>
      </c>
      <c r="Y552" s="3">
        <f>SUMIFS(EVENTOS!$D:$D, EVENTOS!$B:$B, D552, EVENTOS!$E:$E, "*GirAlto*")</f>
        <v>0</v>
      </c>
      <c r="Z552" s="3">
        <f>SUMIFS(EVENTOS!$D:$D, EVENTOS!$B:$B, D552, EVENTOS!$E:$E, "*GirMed*")</f>
        <v>0</v>
      </c>
      <c r="AA552" s="3">
        <f>SUMIFS(EVENTOS!$D:$D, EVENTOS!$B:$B, D552, EVENTOS!$E:$E, "*GirBajo*")</f>
        <v>0</v>
      </c>
      <c r="AB552" s="3">
        <f>IFERROR(INDEX(EVENTOS!$D:$D,MATCH(SCORE!AB$2&amp;" "&amp;SCORE!$D552,EVENTOS!$F:$F,0)),0)</f>
        <v>0</v>
      </c>
      <c r="AC552" s="3">
        <f>IFERROR(INDEX(EVENTOS!$D:$D,MATCH(SCORE!AC$2&amp;" "&amp;SCORE!$D552,EVENTOS!$F:$F,0)),0)</f>
        <v>0</v>
      </c>
      <c r="AD552" s="3">
        <f>IFERROR(INDEX(EVENTOS!$D:$D,MATCH(SCORE!AD$2&amp;" "&amp;SCORE!$D552,EVENTOS!$F:$F,0)),0)</f>
        <v>0</v>
      </c>
      <c r="AE552" s="3">
        <f t="shared" si="24"/>
        <v>0</v>
      </c>
      <c r="AF552" s="10" t="e">
        <f t="shared" si="25"/>
        <v>#N/A</v>
      </c>
      <c r="AG552" s="3" t="str">
        <f t="shared" si="26"/>
        <v/>
      </c>
    </row>
    <row r="553" spans="1:33" x14ac:dyDescent="0.25">
      <c r="A553" s="7"/>
      <c r="B553" s="8"/>
      <c r="C553" s="3"/>
      <c r="D553" s="3"/>
      <c r="E553" s="3" t="e">
        <f>VLOOKUP(D553,VIAJES!$D:$E,2,FALSE)</f>
        <v>#N/A</v>
      </c>
      <c r="F553" s="9" t="e">
        <f>VLOOKUP(D553,VIAJES!$D:$F,3,FALSE)</f>
        <v>#N/A</v>
      </c>
      <c r="G553" s="9" t="e">
        <f>VLOOKUP(D553,VIAJES!$D:$G,4,FALSE)</f>
        <v>#N/A</v>
      </c>
      <c r="H553" s="3" t="e">
        <f>VLOOKUP(D553,VIAJES!$D:$H,5,FALSE)</f>
        <v>#N/A</v>
      </c>
      <c r="S553" s="3">
        <f>IFERROR(INDEX(EVENTOS!$D:$D,MATCH(SCORE!S$2&amp;" "&amp;SCORE!$D553,EVENTOS!$F:$F,0)),0)</f>
        <v>0</v>
      </c>
      <c r="T553" s="3">
        <f>IFERROR(INDEX(EVENTOS!$D:$D,MATCH(SCORE!T$2&amp;" "&amp;SCORE!$D553,EVENTOS!$F:$F,0)),0)</f>
        <v>0</v>
      </c>
      <c r="U553" s="3">
        <f>IFERROR(INDEX(EVENTOS!$D:$D,MATCH(SCORE!U$2&amp;" "&amp;SCORE!$D553,EVENTOS!$F:$F,0)),0)</f>
        <v>0</v>
      </c>
      <c r="V553" s="3">
        <f>IFERROR(INDEX(EVENTOS!$D:$D,MATCH(SCORE!V$2&amp;" "&amp;SCORE!$D553,EVENTOS!$F:$F,0)),0)</f>
        <v>0</v>
      </c>
      <c r="W553" s="3">
        <f>IFERROR(INDEX(EVENTOS!$D:$D,MATCH(SCORE!W$2&amp;" "&amp;SCORE!$D553,EVENTOS!$F:$F,0)),0)</f>
        <v>0</v>
      </c>
      <c r="X553" s="3">
        <f>IFERROR(INDEX(EVENTOS!$D:$D,MATCH(SCORE!X$2&amp;" "&amp;SCORE!$D553,EVENTOS!$F:$F,0)),0)</f>
        <v>0</v>
      </c>
      <c r="Y553" s="3">
        <f>SUMIFS(EVENTOS!$D:$D, EVENTOS!$B:$B, D553, EVENTOS!$E:$E, "*GirAlto*")</f>
        <v>0</v>
      </c>
      <c r="Z553" s="3">
        <f>SUMIFS(EVENTOS!$D:$D, EVENTOS!$B:$B, D553, EVENTOS!$E:$E, "*GirMed*")</f>
        <v>0</v>
      </c>
      <c r="AA553" s="3">
        <f>SUMIFS(EVENTOS!$D:$D, EVENTOS!$B:$B, D553, EVENTOS!$E:$E, "*GirBajo*")</f>
        <v>0</v>
      </c>
      <c r="AB553" s="3">
        <f>IFERROR(INDEX(EVENTOS!$D:$D,MATCH(SCORE!AB$2&amp;" "&amp;SCORE!$D553,EVENTOS!$F:$F,0)),0)</f>
        <v>0</v>
      </c>
      <c r="AC553" s="3">
        <f>IFERROR(INDEX(EVENTOS!$D:$D,MATCH(SCORE!AC$2&amp;" "&amp;SCORE!$D553,EVENTOS!$F:$F,0)),0)</f>
        <v>0</v>
      </c>
      <c r="AD553" s="3">
        <f>IFERROR(INDEX(EVENTOS!$D:$D,MATCH(SCORE!AD$2&amp;" "&amp;SCORE!$D553,EVENTOS!$F:$F,0)),0)</f>
        <v>0</v>
      </c>
      <c r="AE553" s="3">
        <f t="shared" si="24"/>
        <v>0</v>
      </c>
      <c r="AF553" s="10" t="e">
        <f t="shared" si="25"/>
        <v>#N/A</v>
      </c>
      <c r="AG553" s="3" t="str">
        <f t="shared" si="26"/>
        <v/>
      </c>
    </row>
    <row r="554" spans="1:33" x14ac:dyDescent="0.25">
      <c r="A554" s="7"/>
      <c r="B554" s="8"/>
      <c r="C554" s="3"/>
      <c r="D554" s="3"/>
      <c r="E554" s="3" t="e">
        <f>VLOOKUP(D554,VIAJES!$D:$E,2,FALSE)</f>
        <v>#N/A</v>
      </c>
      <c r="F554" s="9" t="e">
        <f>VLOOKUP(D554,VIAJES!$D:$F,3,FALSE)</f>
        <v>#N/A</v>
      </c>
      <c r="G554" s="9" t="e">
        <f>VLOOKUP(D554,VIAJES!$D:$G,4,FALSE)</f>
        <v>#N/A</v>
      </c>
      <c r="H554" s="3" t="e">
        <f>VLOOKUP(D554,VIAJES!$D:$H,5,FALSE)</f>
        <v>#N/A</v>
      </c>
      <c r="S554" s="3">
        <f>IFERROR(INDEX(EVENTOS!$D:$D,MATCH(SCORE!S$2&amp;" "&amp;SCORE!$D554,EVENTOS!$F:$F,0)),0)</f>
        <v>0</v>
      </c>
      <c r="T554" s="3">
        <f>IFERROR(INDEX(EVENTOS!$D:$D,MATCH(SCORE!T$2&amp;" "&amp;SCORE!$D554,EVENTOS!$F:$F,0)),0)</f>
        <v>0</v>
      </c>
      <c r="U554" s="3">
        <f>IFERROR(INDEX(EVENTOS!$D:$D,MATCH(SCORE!U$2&amp;" "&amp;SCORE!$D554,EVENTOS!$F:$F,0)),0)</f>
        <v>0</v>
      </c>
      <c r="V554" s="3">
        <f>IFERROR(INDEX(EVENTOS!$D:$D,MATCH(SCORE!V$2&amp;" "&amp;SCORE!$D554,EVENTOS!$F:$F,0)),0)</f>
        <v>0</v>
      </c>
      <c r="W554" s="3">
        <f>IFERROR(INDEX(EVENTOS!$D:$D,MATCH(SCORE!W$2&amp;" "&amp;SCORE!$D554,EVENTOS!$F:$F,0)),0)</f>
        <v>0</v>
      </c>
      <c r="X554" s="3">
        <f>IFERROR(INDEX(EVENTOS!$D:$D,MATCH(SCORE!X$2&amp;" "&amp;SCORE!$D554,EVENTOS!$F:$F,0)),0)</f>
        <v>0</v>
      </c>
      <c r="Y554" s="3">
        <f>SUMIFS(EVENTOS!$D:$D, EVENTOS!$B:$B, D554, EVENTOS!$E:$E, "*GirAlto*")</f>
        <v>0</v>
      </c>
      <c r="Z554" s="3">
        <f>SUMIFS(EVENTOS!$D:$D, EVENTOS!$B:$B, D554, EVENTOS!$E:$E, "*GirMed*")</f>
        <v>0</v>
      </c>
      <c r="AA554" s="3">
        <f>SUMIFS(EVENTOS!$D:$D, EVENTOS!$B:$B, D554, EVENTOS!$E:$E, "*GirBajo*")</f>
        <v>0</v>
      </c>
      <c r="AB554" s="3">
        <f>IFERROR(INDEX(EVENTOS!$D:$D,MATCH(SCORE!AB$2&amp;" "&amp;SCORE!$D554,EVENTOS!$F:$F,0)),0)</f>
        <v>0</v>
      </c>
      <c r="AC554" s="3">
        <f>IFERROR(INDEX(EVENTOS!$D:$D,MATCH(SCORE!AC$2&amp;" "&amp;SCORE!$D554,EVENTOS!$F:$F,0)),0)</f>
        <v>0</v>
      </c>
      <c r="AD554" s="3">
        <f>IFERROR(INDEX(EVENTOS!$D:$D,MATCH(SCORE!AD$2&amp;" "&amp;SCORE!$D554,EVENTOS!$F:$F,0)),0)</f>
        <v>0</v>
      </c>
      <c r="AE554" s="3">
        <f t="shared" si="24"/>
        <v>0</v>
      </c>
      <c r="AF554" s="10" t="e">
        <f t="shared" si="25"/>
        <v>#N/A</v>
      </c>
      <c r="AG554" s="3" t="str">
        <f t="shared" si="26"/>
        <v/>
      </c>
    </row>
    <row r="555" spans="1:33" x14ac:dyDescent="0.25">
      <c r="A555" s="7"/>
      <c r="B555" s="8"/>
      <c r="C555" s="3"/>
      <c r="D555" s="3"/>
      <c r="E555" s="3" t="e">
        <f>VLOOKUP(D555,VIAJES!$D:$E,2,FALSE)</f>
        <v>#N/A</v>
      </c>
      <c r="F555" s="9" t="e">
        <f>VLOOKUP(D555,VIAJES!$D:$F,3,FALSE)</f>
        <v>#N/A</v>
      </c>
      <c r="G555" s="9" t="e">
        <f>VLOOKUP(D555,VIAJES!$D:$G,4,FALSE)</f>
        <v>#N/A</v>
      </c>
      <c r="H555" s="3" t="e">
        <f>VLOOKUP(D555,VIAJES!$D:$H,5,FALSE)</f>
        <v>#N/A</v>
      </c>
      <c r="S555" s="3">
        <f>IFERROR(INDEX(EVENTOS!$D:$D,MATCH(SCORE!S$2&amp;" "&amp;SCORE!$D555,EVENTOS!$F:$F,0)),0)</f>
        <v>0</v>
      </c>
      <c r="T555" s="3">
        <f>IFERROR(INDEX(EVENTOS!$D:$D,MATCH(SCORE!T$2&amp;" "&amp;SCORE!$D555,EVENTOS!$F:$F,0)),0)</f>
        <v>0</v>
      </c>
      <c r="U555" s="3">
        <f>IFERROR(INDEX(EVENTOS!$D:$D,MATCH(SCORE!U$2&amp;" "&amp;SCORE!$D555,EVENTOS!$F:$F,0)),0)</f>
        <v>0</v>
      </c>
      <c r="V555" s="3">
        <f>IFERROR(INDEX(EVENTOS!$D:$D,MATCH(SCORE!V$2&amp;" "&amp;SCORE!$D555,EVENTOS!$F:$F,0)),0)</f>
        <v>0</v>
      </c>
      <c r="W555" s="3">
        <f>IFERROR(INDEX(EVENTOS!$D:$D,MATCH(SCORE!W$2&amp;" "&amp;SCORE!$D555,EVENTOS!$F:$F,0)),0)</f>
        <v>0</v>
      </c>
      <c r="X555" s="3">
        <f>IFERROR(INDEX(EVENTOS!$D:$D,MATCH(SCORE!X$2&amp;" "&amp;SCORE!$D555,EVENTOS!$F:$F,0)),0)</f>
        <v>0</v>
      </c>
      <c r="Y555" s="3">
        <f>SUMIFS(EVENTOS!$D:$D, EVENTOS!$B:$B, D555, EVENTOS!$E:$E, "*GirAlto*")</f>
        <v>0</v>
      </c>
      <c r="Z555" s="3">
        <f>SUMIFS(EVENTOS!$D:$D, EVENTOS!$B:$B, D555, EVENTOS!$E:$E, "*GirMed*")</f>
        <v>0</v>
      </c>
      <c r="AA555" s="3">
        <f>SUMIFS(EVENTOS!$D:$D, EVENTOS!$B:$B, D555, EVENTOS!$E:$E, "*GirBajo*")</f>
        <v>0</v>
      </c>
      <c r="AB555" s="3">
        <f>IFERROR(INDEX(EVENTOS!$D:$D,MATCH(SCORE!AB$2&amp;" "&amp;SCORE!$D555,EVENTOS!$F:$F,0)),0)</f>
        <v>0</v>
      </c>
      <c r="AC555" s="3">
        <f>IFERROR(INDEX(EVENTOS!$D:$D,MATCH(SCORE!AC$2&amp;" "&amp;SCORE!$D555,EVENTOS!$F:$F,0)),0)</f>
        <v>0</v>
      </c>
      <c r="AD555" s="3">
        <f>IFERROR(INDEX(EVENTOS!$D:$D,MATCH(SCORE!AD$2&amp;" "&amp;SCORE!$D555,EVENTOS!$F:$F,0)),0)</f>
        <v>0</v>
      </c>
      <c r="AE555" s="3">
        <f t="shared" si="24"/>
        <v>0</v>
      </c>
      <c r="AF555" s="10" t="e">
        <f t="shared" si="25"/>
        <v>#N/A</v>
      </c>
      <c r="AG555" s="3" t="str">
        <f t="shared" si="26"/>
        <v/>
      </c>
    </row>
    <row r="556" spans="1:33" x14ac:dyDescent="0.25">
      <c r="A556" s="7"/>
      <c r="B556" s="8"/>
      <c r="C556" s="3"/>
      <c r="D556" s="3"/>
      <c r="E556" s="3" t="e">
        <f>VLOOKUP(D556,VIAJES!$D:$E,2,FALSE)</f>
        <v>#N/A</v>
      </c>
      <c r="F556" s="9" t="e">
        <f>VLOOKUP(D556,VIAJES!$D:$F,3,FALSE)</f>
        <v>#N/A</v>
      </c>
      <c r="G556" s="9" t="e">
        <f>VLOOKUP(D556,VIAJES!$D:$G,4,FALSE)</f>
        <v>#N/A</v>
      </c>
      <c r="H556" s="3" t="e">
        <f>VLOOKUP(D556,VIAJES!$D:$H,5,FALSE)</f>
        <v>#N/A</v>
      </c>
      <c r="S556" s="3">
        <f>IFERROR(INDEX(EVENTOS!$D:$D,MATCH(SCORE!S$2&amp;" "&amp;SCORE!$D556,EVENTOS!$F:$F,0)),0)</f>
        <v>0</v>
      </c>
      <c r="T556" s="3">
        <f>IFERROR(INDEX(EVENTOS!$D:$D,MATCH(SCORE!T$2&amp;" "&amp;SCORE!$D556,EVENTOS!$F:$F,0)),0)</f>
        <v>0</v>
      </c>
      <c r="U556" s="3">
        <f>IFERROR(INDEX(EVENTOS!$D:$D,MATCH(SCORE!U$2&amp;" "&amp;SCORE!$D556,EVENTOS!$F:$F,0)),0)</f>
        <v>0</v>
      </c>
      <c r="V556" s="3">
        <f>IFERROR(INDEX(EVENTOS!$D:$D,MATCH(SCORE!V$2&amp;" "&amp;SCORE!$D556,EVENTOS!$F:$F,0)),0)</f>
        <v>0</v>
      </c>
      <c r="W556" s="3">
        <f>IFERROR(INDEX(EVENTOS!$D:$D,MATCH(SCORE!W$2&amp;" "&amp;SCORE!$D556,EVENTOS!$F:$F,0)),0)</f>
        <v>0</v>
      </c>
      <c r="X556" s="3">
        <f>IFERROR(INDEX(EVENTOS!$D:$D,MATCH(SCORE!X$2&amp;" "&amp;SCORE!$D556,EVENTOS!$F:$F,0)),0)</f>
        <v>0</v>
      </c>
      <c r="Y556" s="3">
        <f>SUMIFS(EVENTOS!$D:$D, EVENTOS!$B:$B, D556, EVENTOS!$E:$E, "*GirAlto*")</f>
        <v>0</v>
      </c>
      <c r="Z556" s="3">
        <f>SUMIFS(EVENTOS!$D:$D, EVENTOS!$B:$B, D556, EVENTOS!$E:$E, "*GirMed*")</f>
        <v>0</v>
      </c>
      <c r="AA556" s="3">
        <f>SUMIFS(EVENTOS!$D:$D, EVENTOS!$B:$B, D556, EVENTOS!$E:$E, "*GirBajo*")</f>
        <v>0</v>
      </c>
      <c r="AB556" s="3">
        <f>IFERROR(INDEX(EVENTOS!$D:$D,MATCH(SCORE!AB$2&amp;" "&amp;SCORE!$D556,EVENTOS!$F:$F,0)),0)</f>
        <v>0</v>
      </c>
      <c r="AC556" s="3">
        <f>IFERROR(INDEX(EVENTOS!$D:$D,MATCH(SCORE!AC$2&amp;" "&amp;SCORE!$D556,EVENTOS!$F:$F,0)),0)</f>
        <v>0</v>
      </c>
      <c r="AD556" s="3">
        <f>IFERROR(INDEX(EVENTOS!$D:$D,MATCH(SCORE!AD$2&amp;" "&amp;SCORE!$D556,EVENTOS!$F:$F,0)),0)</f>
        <v>0</v>
      </c>
      <c r="AE556" s="3">
        <f t="shared" si="24"/>
        <v>0</v>
      </c>
      <c r="AF556" s="10" t="e">
        <f t="shared" si="25"/>
        <v>#N/A</v>
      </c>
      <c r="AG556" s="3" t="str">
        <f t="shared" si="26"/>
        <v/>
      </c>
    </row>
    <row r="557" spans="1:33" x14ac:dyDescent="0.25">
      <c r="A557" s="7"/>
      <c r="B557" s="8"/>
      <c r="C557" s="3"/>
      <c r="D557" s="3"/>
      <c r="E557" s="3" t="e">
        <f>VLOOKUP(D557,VIAJES!$D:$E,2,FALSE)</f>
        <v>#N/A</v>
      </c>
      <c r="F557" s="9" t="e">
        <f>VLOOKUP(D557,VIAJES!$D:$F,3,FALSE)</f>
        <v>#N/A</v>
      </c>
      <c r="G557" s="9" t="e">
        <f>VLOOKUP(D557,VIAJES!$D:$G,4,FALSE)</f>
        <v>#N/A</v>
      </c>
      <c r="H557" s="3" t="e">
        <f>VLOOKUP(D557,VIAJES!$D:$H,5,FALSE)</f>
        <v>#N/A</v>
      </c>
      <c r="S557" s="3">
        <f>IFERROR(INDEX(EVENTOS!$D:$D,MATCH(SCORE!S$2&amp;" "&amp;SCORE!$D557,EVENTOS!$F:$F,0)),0)</f>
        <v>0</v>
      </c>
      <c r="T557" s="3">
        <f>IFERROR(INDEX(EVENTOS!$D:$D,MATCH(SCORE!T$2&amp;" "&amp;SCORE!$D557,EVENTOS!$F:$F,0)),0)</f>
        <v>0</v>
      </c>
      <c r="U557" s="3">
        <f>IFERROR(INDEX(EVENTOS!$D:$D,MATCH(SCORE!U$2&amp;" "&amp;SCORE!$D557,EVENTOS!$F:$F,0)),0)</f>
        <v>0</v>
      </c>
      <c r="V557" s="3">
        <f>IFERROR(INDEX(EVENTOS!$D:$D,MATCH(SCORE!V$2&amp;" "&amp;SCORE!$D557,EVENTOS!$F:$F,0)),0)</f>
        <v>0</v>
      </c>
      <c r="W557" s="3">
        <f>IFERROR(INDEX(EVENTOS!$D:$D,MATCH(SCORE!W$2&amp;" "&amp;SCORE!$D557,EVENTOS!$F:$F,0)),0)</f>
        <v>0</v>
      </c>
      <c r="X557" s="3">
        <f>IFERROR(INDEX(EVENTOS!$D:$D,MATCH(SCORE!X$2&amp;" "&amp;SCORE!$D557,EVENTOS!$F:$F,0)),0)</f>
        <v>0</v>
      </c>
      <c r="Y557" s="3">
        <f>SUMIFS(EVENTOS!$D:$D, EVENTOS!$B:$B, D557, EVENTOS!$E:$E, "*GirAlto*")</f>
        <v>0</v>
      </c>
      <c r="Z557" s="3">
        <f>SUMIFS(EVENTOS!$D:$D, EVENTOS!$B:$B, D557, EVENTOS!$E:$E, "*GirMed*")</f>
        <v>0</v>
      </c>
      <c r="AA557" s="3">
        <f>SUMIFS(EVENTOS!$D:$D, EVENTOS!$B:$B, D557, EVENTOS!$E:$E, "*GirBajo*")</f>
        <v>0</v>
      </c>
      <c r="AB557" s="3">
        <f>IFERROR(INDEX(EVENTOS!$D:$D,MATCH(SCORE!AB$2&amp;" "&amp;SCORE!$D557,EVENTOS!$F:$F,0)),0)</f>
        <v>0</v>
      </c>
      <c r="AC557" s="3">
        <f>IFERROR(INDEX(EVENTOS!$D:$D,MATCH(SCORE!AC$2&amp;" "&amp;SCORE!$D557,EVENTOS!$F:$F,0)),0)</f>
        <v>0</v>
      </c>
      <c r="AD557" s="3">
        <f>IFERROR(INDEX(EVENTOS!$D:$D,MATCH(SCORE!AD$2&amp;" "&amp;SCORE!$D557,EVENTOS!$F:$F,0)),0)</f>
        <v>0</v>
      </c>
      <c r="AE557" s="3">
        <f t="shared" si="24"/>
        <v>0</v>
      </c>
      <c r="AF557" s="10" t="e">
        <f t="shared" si="25"/>
        <v>#N/A</v>
      </c>
      <c r="AG557" s="3" t="str">
        <f t="shared" si="26"/>
        <v/>
      </c>
    </row>
    <row r="558" spans="1:33" x14ac:dyDescent="0.25">
      <c r="A558" s="7"/>
      <c r="B558" s="8"/>
      <c r="C558" s="3"/>
      <c r="D558" s="3"/>
      <c r="E558" s="3" t="e">
        <f>VLOOKUP(D558,VIAJES!$D:$E,2,FALSE)</f>
        <v>#N/A</v>
      </c>
      <c r="F558" s="9" t="e">
        <f>VLOOKUP(D558,VIAJES!$D:$F,3,FALSE)</f>
        <v>#N/A</v>
      </c>
      <c r="G558" s="9" t="e">
        <f>VLOOKUP(D558,VIAJES!$D:$G,4,FALSE)</f>
        <v>#N/A</v>
      </c>
      <c r="H558" s="3" t="e">
        <f>VLOOKUP(D558,VIAJES!$D:$H,5,FALSE)</f>
        <v>#N/A</v>
      </c>
      <c r="S558" s="3">
        <f>IFERROR(INDEX(EVENTOS!$D:$D,MATCH(SCORE!S$2&amp;" "&amp;SCORE!$D558,EVENTOS!$F:$F,0)),0)</f>
        <v>0</v>
      </c>
      <c r="T558" s="3">
        <f>IFERROR(INDEX(EVENTOS!$D:$D,MATCH(SCORE!T$2&amp;" "&amp;SCORE!$D558,EVENTOS!$F:$F,0)),0)</f>
        <v>0</v>
      </c>
      <c r="U558" s="3">
        <f>IFERROR(INDEX(EVENTOS!$D:$D,MATCH(SCORE!U$2&amp;" "&amp;SCORE!$D558,EVENTOS!$F:$F,0)),0)</f>
        <v>0</v>
      </c>
      <c r="V558" s="3">
        <f>IFERROR(INDEX(EVENTOS!$D:$D,MATCH(SCORE!V$2&amp;" "&amp;SCORE!$D558,EVENTOS!$F:$F,0)),0)</f>
        <v>0</v>
      </c>
      <c r="W558" s="3">
        <f>IFERROR(INDEX(EVENTOS!$D:$D,MATCH(SCORE!W$2&amp;" "&amp;SCORE!$D558,EVENTOS!$F:$F,0)),0)</f>
        <v>0</v>
      </c>
      <c r="X558" s="3">
        <f>IFERROR(INDEX(EVENTOS!$D:$D,MATCH(SCORE!X$2&amp;" "&amp;SCORE!$D558,EVENTOS!$F:$F,0)),0)</f>
        <v>0</v>
      </c>
      <c r="Y558" s="3">
        <f>SUMIFS(EVENTOS!$D:$D, EVENTOS!$B:$B, D558, EVENTOS!$E:$E, "*GirAlto*")</f>
        <v>0</v>
      </c>
      <c r="Z558" s="3">
        <f>SUMIFS(EVENTOS!$D:$D, EVENTOS!$B:$B, D558, EVENTOS!$E:$E, "*GirMed*")</f>
        <v>0</v>
      </c>
      <c r="AA558" s="3">
        <f>SUMIFS(EVENTOS!$D:$D, EVENTOS!$B:$B, D558, EVENTOS!$E:$E, "*GirBajo*")</f>
        <v>0</v>
      </c>
      <c r="AB558" s="3">
        <f>IFERROR(INDEX(EVENTOS!$D:$D,MATCH(SCORE!AB$2&amp;" "&amp;SCORE!$D558,EVENTOS!$F:$F,0)),0)</f>
        <v>0</v>
      </c>
      <c r="AC558" s="3">
        <f>IFERROR(INDEX(EVENTOS!$D:$D,MATCH(SCORE!AC$2&amp;" "&amp;SCORE!$D558,EVENTOS!$F:$F,0)),0)</f>
        <v>0</v>
      </c>
      <c r="AD558" s="3">
        <f>IFERROR(INDEX(EVENTOS!$D:$D,MATCH(SCORE!AD$2&amp;" "&amp;SCORE!$D558,EVENTOS!$F:$F,0)),0)</f>
        <v>0</v>
      </c>
      <c r="AE558" s="3">
        <f t="shared" si="24"/>
        <v>0</v>
      </c>
      <c r="AF558" s="10" t="e">
        <f t="shared" si="25"/>
        <v>#N/A</v>
      </c>
      <c r="AG558" s="3" t="str">
        <f t="shared" si="26"/>
        <v/>
      </c>
    </row>
    <row r="559" spans="1:33" x14ac:dyDescent="0.25">
      <c r="A559" s="7"/>
      <c r="B559" s="8"/>
      <c r="C559" s="3"/>
      <c r="D559" s="3"/>
      <c r="E559" s="3" t="e">
        <f>VLOOKUP(D559,VIAJES!$D:$E,2,FALSE)</f>
        <v>#N/A</v>
      </c>
      <c r="F559" s="9" t="e">
        <f>VLOOKUP(D559,VIAJES!$D:$F,3,FALSE)</f>
        <v>#N/A</v>
      </c>
      <c r="G559" s="9" t="e">
        <f>VLOOKUP(D559,VIAJES!$D:$G,4,FALSE)</f>
        <v>#N/A</v>
      </c>
      <c r="H559" s="3" t="e">
        <f>VLOOKUP(D559,VIAJES!$D:$H,5,FALSE)</f>
        <v>#N/A</v>
      </c>
      <c r="S559" s="3">
        <f>IFERROR(INDEX(EVENTOS!$D:$D,MATCH(SCORE!S$2&amp;" "&amp;SCORE!$D559,EVENTOS!$F:$F,0)),0)</f>
        <v>0</v>
      </c>
      <c r="T559" s="3">
        <f>IFERROR(INDEX(EVENTOS!$D:$D,MATCH(SCORE!T$2&amp;" "&amp;SCORE!$D559,EVENTOS!$F:$F,0)),0)</f>
        <v>0</v>
      </c>
      <c r="U559" s="3">
        <f>IFERROR(INDEX(EVENTOS!$D:$D,MATCH(SCORE!U$2&amp;" "&amp;SCORE!$D559,EVENTOS!$F:$F,0)),0)</f>
        <v>0</v>
      </c>
      <c r="V559" s="3">
        <f>IFERROR(INDEX(EVENTOS!$D:$D,MATCH(SCORE!V$2&amp;" "&amp;SCORE!$D559,EVENTOS!$F:$F,0)),0)</f>
        <v>0</v>
      </c>
      <c r="W559" s="3">
        <f>IFERROR(INDEX(EVENTOS!$D:$D,MATCH(SCORE!W$2&amp;" "&amp;SCORE!$D559,EVENTOS!$F:$F,0)),0)</f>
        <v>0</v>
      </c>
      <c r="X559" s="3">
        <f>IFERROR(INDEX(EVENTOS!$D:$D,MATCH(SCORE!X$2&amp;" "&amp;SCORE!$D559,EVENTOS!$F:$F,0)),0)</f>
        <v>0</v>
      </c>
      <c r="Y559" s="3">
        <f>SUMIFS(EVENTOS!$D:$D, EVENTOS!$B:$B, D559, EVENTOS!$E:$E, "*GirAlto*")</f>
        <v>0</v>
      </c>
      <c r="Z559" s="3">
        <f>SUMIFS(EVENTOS!$D:$D, EVENTOS!$B:$B, D559, EVENTOS!$E:$E, "*GirMed*")</f>
        <v>0</v>
      </c>
      <c r="AA559" s="3">
        <f>SUMIFS(EVENTOS!$D:$D, EVENTOS!$B:$B, D559, EVENTOS!$E:$E, "*GirBajo*")</f>
        <v>0</v>
      </c>
      <c r="AB559" s="3">
        <f>IFERROR(INDEX(EVENTOS!$D:$D,MATCH(SCORE!AB$2&amp;" "&amp;SCORE!$D559,EVENTOS!$F:$F,0)),0)</f>
        <v>0</v>
      </c>
      <c r="AC559" s="3">
        <f>IFERROR(INDEX(EVENTOS!$D:$D,MATCH(SCORE!AC$2&amp;" "&amp;SCORE!$D559,EVENTOS!$F:$F,0)),0)</f>
        <v>0</v>
      </c>
      <c r="AD559" s="3">
        <f>IFERROR(INDEX(EVENTOS!$D:$D,MATCH(SCORE!AD$2&amp;" "&amp;SCORE!$D559,EVENTOS!$F:$F,0)),0)</f>
        <v>0</v>
      </c>
      <c r="AE559" s="3">
        <f t="shared" si="24"/>
        <v>0</v>
      </c>
      <c r="AF559" s="10" t="e">
        <f t="shared" si="25"/>
        <v>#N/A</v>
      </c>
      <c r="AG559" s="3" t="str">
        <f t="shared" si="26"/>
        <v/>
      </c>
    </row>
    <row r="560" spans="1:33" x14ac:dyDescent="0.25">
      <c r="A560" s="7"/>
      <c r="B560" s="8"/>
      <c r="C560" s="3"/>
      <c r="D560" s="3"/>
      <c r="E560" s="3" t="e">
        <f>VLOOKUP(D560,VIAJES!$D:$E,2,FALSE)</f>
        <v>#N/A</v>
      </c>
      <c r="F560" s="9" t="e">
        <f>VLOOKUP(D560,VIAJES!$D:$F,3,FALSE)</f>
        <v>#N/A</v>
      </c>
      <c r="G560" s="9" t="e">
        <f>VLOOKUP(D560,VIAJES!$D:$G,4,FALSE)</f>
        <v>#N/A</v>
      </c>
      <c r="H560" s="3" t="e">
        <f>VLOOKUP(D560,VIAJES!$D:$H,5,FALSE)</f>
        <v>#N/A</v>
      </c>
      <c r="S560" s="3">
        <f>IFERROR(INDEX(EVENTOS!$D:$D,MATCH(SCORE!S$2&amp;" "&amp;SCORE!$D560,EVENTOS!$F:$F,0)),0)</f>
        <v>0</v>
      </c>
      <c r="T560" s="3">
        <f>IFERROR(INDEX(EVENTOS!$D:$D,MATCH(SCORE!T$2&amp;" "&amp;SCORE!$D560,EVENTOS!$F:$F,0)),0)</f>
        <v>0</v>
      </c>
      <c r="U560" s="3">
        <f>IFERROR(INDEX(EVENTOS!$D:$D,MATCH(SCORE!U$2&amp;" "&amp;SCORE!$D560,EVENTOS!$F:$F,0)),0)</f>
        <v>0</v>
      </c>
      <c r="V560" s="3">
        <f>IFERROR(INDEX(EVENTOS!$D:$D,MATCH(SCORE!V$2&amp;" "&amp;SCORE!$D560,EVENTOS!$F:$F,0)),0)</f>
        <v>0</v>
      </c>
      <c r="W560" s="3">
        <f>IFERROR(INDEX(EVENTOS!$D:$D,MATCH(SCORE!W$2&amp;" "&amp;SCORE!$D560,EVENTOS!$F:$F,0)),0)</f>
        <v>0</v>
      </c>
      <c r="X560" s="3">
        <f>IFERROR(INDEX(EVENTOS!$D:$D,MATCH(SCORE!X$2&amp;" "&amp;SCORE!$D560,EVENTOS!$F:$F,0)),0)</f>
        <v>0</v>
      </c>
      <c r="Y560" s="3">
        <f>SUMIFS(EVENTOS!$D:$D, EVENTOS!$B:$B, D560, EVENTOS!$E:$E, "*GirAlto*")</f>
        <v>0</v>
      </c>
      <c r="Z560" s="3">
        <f>SUMIFS(EVENTOS!$D:$D, EVENTOS!$B:$B, D560, EVENTOS!$E:$E, "*GirMed*")</f>
        <v>0</v>
      </c>
      <c r="AA560" s="3">
        <f>SUMIFS(EVENTOS!$D:$D, EVENTOS!$B:$B, D560, EVENTOS!$E:$E, "*GirBajo*")</f>
        <v>0</v>
      </c>
      <c r="AB560" s="3">
        <f>IFERROR(INDEX(EVENTOS!$D:$D,MATCH(SCORE!AB$2&amp;" "&amp;SCORE!$D560,EVENTOS!$F:$F,0)),0)</f>
        <v>0</v>
      </c>
      <c r="AC560" s="3">
        <f>IFERROR(INDEX(EVENTOS!$D:$D,MATCH(SCORE!AC$2&amp;" "&amp;SCORE!$D560,EVENTOS!$F:$F,0)),0)</f>
        <v>0</v>
      </c>
      <c r="AD560" s="3">
        <f>IFERROR(INDEX(EVENTOS!$D:$D,MATCH(SCORE!AD$2&amp;" "&amp;SCORE!$D560,EVENTOS!$F:$F,0)),0)</f>
        <v>0</v>
      </c>
      <c r="AE560" s="3">
        <f t="shared" si="24"/>
        <v>0</v>
      </c>
      <c r="AF560" s="10" t="e">
        <f t="shared" si="25"/>
        <v>#N/A</v>
      </c>
      <c r="AG560" s="3" t="str">
        <f t="shared" si="26"/>
        <v/>
      </c>
    </row>
    <row r="561" spans="1:33" x14ac:dyDescent="0.25">
      <c r="A561" s="7"/>
      <c r="B561" s="8"/>
      <c r="C561" s="3"/>
      <c r="D561" s="3"/>
      <c r="E561" s="3" t="e">
        <f>VLOOKUP(D561,VIAJES!$D:$E,2,FALSE)</f>
        <v>#N/A</v>
      </c>
      <c r="F561" s="9" t="e">
        <f>VLOOKUP(D561,VIAJES!$D:$F,3,FALSE)</f>
        <v>#N/A</v>
      </c>
      <c r="G561" s="9" t="e">
        <f>VLOOKUP(D561,VIAJES!$D:$G,4,FALSE)</f>
        <v>#N/A</v>
      </c>
      <c r="H561" s="3" t="e">
        <f>VLOOKUP(D561,VIAJES!$D:$H,5,FALSE)</f>
        <v>#N/A</v>
      </c>
      <c r="S561" s="3">
        <f>IFERROR(INDEX(EVENTOS!$D:$D,MATCH(SCORE!S$2&amp;" "&amp;SCORE!$D561,EVENTOS!$F:$F,0)),0)</f>
        <v>0</v>
      </c>
      <c r="T561" s="3">
        <f>IFERROR(INDEX(EVENTOS!$D:$D,MATCH(SCORE!T$2&amp;" "&amp;SCORE!$D561,EVENTOS!$F:$F,0)),0)</f>
        <v>0</v>
      </c>
      <c r="U561" s="3">
        <f>IFERROR(INDEX(EVENTOS!$D:$D,MATCH(SCORE!U$2&amp;" "&amp;SCORE!$D561,EVENTOS!$F:$F,0)),0)</f>
        <v>0</v>
      </c>
      <c r="V561" s="3">
        <f>IFERROR(INDEX(EVENTOS!$D:$D,MATCH(SCORE!V$2&amp;" "&amp;SCORE!$D561,EVENTOS!$F:$F,0)),0)</f>
        <v>0</v>
      </c>
      <c r="W561" s="3">
        <f>IFERROR(INDEX(EVENTOS!$D:$D,MATCH(SCORE!W$2&amp;" "&amp;SCORE!$D561,EVENTOS!$F:$F,0)),0)</f>
        <v>0</v>
      </c>
      <c r="X561" s="3">
        <f>IFERROR(INDEX(EVENTOS!$D:$D,MATCH(SCORE!X$2&amp;" "&amp;SCORE!$D561,EVENTOS!$F:$F,0)),0)</f>
        <v>0</v>
      </c>
      <c r="Y561" s="3">
        <f>SUMIFS(EVENTOS!$D:$D, EVENTOS!$B:$B, D561, EVENTOS!$E:$E, "*GirAlto*")</f>
        <v>0</v>
      </c>
      <c r="Z561" s="3">
        <f>SUMIFS(EVENTOS!$D:$D, EVENTOS!$B:$B, D561, EVENTOS!$E:$E, "*GirMed*")</f>
        <v>0</v>
      </c>
      <c r="AA561" s="3">
        <f>SUMIFS(EVENTOS!$D:$D, EVENTOS!$B:$B, D561, EVENTOS!$E:$E, "*GirBajo*")</f>
        <v>0</v>
      </c>
      <c r="AB561" s="3">
        <f>IFERROR(INDEX(EVENTOS!$D:$D,MATCH(SCORE!AB$2&amp;" "&amp;SCORE!$D561,EVENTOS!$F:$F,0)),0)</f>
        <v>0</v>
      </c>
      <c r="AC561" s="3">
        <f>IFERROR(INDEX(EVENTOS!$D:$D,MATCH(SCORE!AC$2&amp;" "&amp;SCORE!$D561,EVENTOS!$F:$F,0)),0)</f>
        <v>0</v>
      </c>
      <c r="AD561" s="3">
        <f>IFERROR(INDEX(EVENTOS!$D:$D,MATCH(SCORE!AD$2&amp;" "&amp;SCORE!$D561,EVENTOS!$F:$F,0)),0)</f>
        <v>0</v>
      </c>
      <c r="AE561" s="3">
        <f t="shared" si="24"/>
        <v>0</v>
      </c>
      <c r="AF561" s="10" t="e">
        <f t="shared" si="25"/>
        <v>#N/A</v>
      </c>
      <c r="AG561" s="3" t="str">
        <f t="shared" si="26"/>
        <v/>
      </c>
    </row>
    <row r="562" spans="1:33" x14ac:dyDescent="0.25">
      <c r="A562" s="7"/>
      <c r="B562" s="8"/>
      <c r="C562" s="3"/>
      <c r="D562" s="3"/>
      <c r="E562" s="3" t="e">
        <f>VLOOKUP(D562,VIAJES!$D:$E,2,FALSE)</f>
        <v>#N/A</v>
      </c>
      <c r="F562" s="9" t="e">
        <f>VLOOKUP(D562,VIAJES!$D:$F,3,FALSE)</f>
        <v>#N/A</v>
      </c>
      <c r="G562" s="9" t="e">
        <f>VLOOKUP(D562,VIAJES!$D:$G,4,FALSE)</f>
        <v>#N/A</v>
      </c>
      <c r="H562" s="3" t="e">
        <f>VLOOKUP(D562,VIAJES!$D:$H,5,FALSE)</f>
        <v>#N/A</v>
      </c>
      <c r="S562" s="3">
        <f>IFERROR(INDEX(EVENTOS!$D:$D,MATCH(SCORE!S$2&amp;" "&amp;SCORE!$D562,EVENTOS!$F:$F,0)),0)</f>
        <v>0</v>
      </c>
      <c r="T562" s="3">
        <f>IFERROR(INDEX(EVENTOS!$D:$D,MATCH(SCORE!T$2&amp;" "&amp;SCORE!$D562,EVENTOS!$F:$F,0)),0)</f>
        <v>0</v>
      </c>
      <c r="U562" s="3">
        <f>IFERROR(INDEX(EVENTOS!$D:$D,MATCH(SCORE!U$2&amp;" "&amp;SCORE!$D562,EVENTOS!$F:$F,0)),0)</f>
        <v>0</v>
      </c>
      <c r="V562" s="3">
        <f>IFERROR(INDEX(EVENTOS!$D:$D,MATCH(SCORE!V$2&amp;" "&amp;SCORE!$D562,EVENTOS!$F:$F,0)),0)</f>
        <v>0</v>
      </c>
      <c r="W562" s="3">
        <f>IFERROR(INDEX(EVENTOS!$D:$D,MATCH(SCORE!W$2&amp;" "&amp;SCORE!$D562,EVENTOS!$F:$F,0)),0)</f>
        <v>0</v>
      </c>
      <c r="X562" s="3">
        <f>IFERROR(INDEX(EVENTOS!$D:$D,MATCH(SCORE!X$2&amp;" "&amp;SCORE!$D562,EVENTOS!$F:$F,0)),0)</f>
        <v>0</v>
      </c>
      <c r="Y562" s="3">
        <f>SUMIFS(EVENTOS!$D:$D, EVENTOS!$B:$B, D562, EVENTOS!$E:$E, "*GirAlto*")</f>
        <v>0</v>
      </c>
      <c r="Z562" s="3">
        <f>SUMIFS(EVENTOS!$D:$D, EVENTOS!$B:$B, D562, EVENTOS!$E:$E, "*GirMed*")</f>
        <v>0</v>
      </c>
      <c r="AA562" s="3">
        <f>SUMIFS(EVENTOS!$D:$D, EVENTOS!$B:$B, D562, EVENTOS!$E:$E, "*GirBajo*")</f>
        <v>0</v>
      </c>
      <c r="AB562" s="3">
        <f>IFERROR(INDEX(EVENTOS!$D:$D,MATCH(SCORE!AB$2&amp;" "&amp;SCORE!$D562,EVENTOS!$F:$F,0)),0)</f>
        <v>0</v>
      </c>
      <c r="AC562" s="3">
        <f>IFERROR(INDEX(EVENTOS!$D:$D,MATCH(SCORE!AC$2&amp;" "&amp;SCORE!$D562,EVENTOS!$F:$F,0)),0)</f>
        <v>0</v>
      </c>
      <c r="AD562" s="3">
        <f>IFERROR(INDEX(EVENTOS!$D:$D,MATCH(SCORE!AD$2&amp;" "&amp;SCORE!$D562,EVENTOS!$F:$F,0)),0)</f>
        <v>0</v>
      </c>
      <c r="AE562" s="3">
        <f t="shared" si="24"/>
        <v>0</v>
      </c>
      <c r="AF562" s="10" t="e">
        <f t="shared" si="25"/>
        <v>#N/A</v>
      </c>
      <c r="AG562" s="3" t="str">
        <f t="shared" si="26"/>
        <v/>
      </c>
    </row>
    <row r="563" spans="1:33" x14ac:dyDescent="0.25">
      <c r="A563" s="7"/>
      <c r="B563" s="8"/>
      <c r="C563" s="3"/>
      <c r="D563" s="3"/>
      <c r="E563" s="3" t="e">
        <f>VLOOKUP(D563,VIAJES!$D:$E,2,FALSE)</f>
        <v>#N/A</v>
      </c>
      <c r="F563" s="9" t="e">
        <f>VLOOKUP(D563,VIAJES!$D:$F,3,FALSE)</f>
        <v>#N/A</v>
      </c>
      <c r="G563" s="9" t="e">
        <f>VLOOKUP(D563,VIAJES!$D:$G,4,FALSE)</f>
        <v>#N/A</v>
      </c>
      <c r="H563" s="3" t="e">
        <f>VLOOKUP(D563,VIAJES!$D:$H,5,FALSE)</f>
        <v>#N/A</v>
      </c>
      <c r="S563" s="3">
        <f>IFERROR(INDEX(EVENTOS!$D:$D,MATCH(SCORE!S$2&amp;" "&amp;SCORE!$D563,EVENTOS!$F:$F,0)),0)</f>
        <v>0</v>
      </c>
      <c r="T563" s="3">
        <f>IFERROR(INDEX(EVENTOS!$D:$D,MATCH(SCORE!T$2&amp;" "&amp;SCORE!$D563,EVENTOS!$F:$F,0)),0)</f>
        <v>0</v>
      </c>
      <c r="U563" s="3">
        <f>IFERROR(INDEX(EVENTOS!$D:$D,MATCH(SCORE!U$2&amp;" "&amp;SCORE!$D563,EVENTOS!$F:$F,0)),0)</f>
        <v>0</v>
      </c>
      <c r="V563" s="3">
        <f>IFERROR(INDEX(EVENTOS!$D:$D,MATCH(SCORE!V$2&amp;" "&amp;SCORE!$D563,EVENTOS!$F:$F,0)),0)</f>
        <v>0</v>
      </c>
      <c r="W563" s="3">
        <f>IFERROR(INDEX(EVENTOS!$D:$D,MATCH(SCORE!W$2&amp;" "&amp;SCORE!$D563,EVENTOS!$F:$F,0)),0)</f>
        <v>0</v>
      </c>
      <c r="X563" s="3">
        <f>IFERROR(INDEX(EVENTOS!$D:$D,MATCH(SCORE!X$2&amp;" "&amp;SCORE!$D563,EVENTOS!$F:$F,0)),0)</f>
        <v>0</v>
      </c>
      <c r="Y563" s="3">
        <f>SUMIFS(EVENTOS!$D:$D, EVENTOS!$B:$B, D563, EVENTOS!$E:$E, "*GirAlto*")</f>
        <v>0</v>
      </c>
      <c r="Z563" s="3">
        <f>SUMIFS(EVENTOS!$D:$D, EVENTOS!$B:$B, D563, EVENTOS!$E:$E, "*GirMed*")</f>
        <v>0</v>
      </c>
      <c r="AA563" s="3">
        <f>SUMIFS(EVENTOS!$D:$D, EVENTOS!$B:$B, D563, EVENTOS!$E:$E, "*GirBajo*")</f>
        <v>0</v>
      </c>
      <c r="AB563" s="3">
        <f>IFERROR(INDEX(EVENTOS!$D:$D,MATCH(SCORE!AB$2&amp;" "&amp;SCORE!$D563,EVENTOS!$F:$F,0)),0)</f>
        <v>0</v>
      </c>
      <c r="AC563" s="3">
        <f>IFERROR(INDEX(EVENTOS!$D:$D,MATCH(SCORE!AC$2&amp;" "&amp;SCORE!$D563,EVENTOS!$F:$F,0)),0)</f>
        <v>0</v>
      </c>
      <c r="AD563" s="3">
        <f>IFERROR(INDEX(EVENTOS!$D:$D,MATCH(SCORE!AD$2&amp;" "&amp;SCORE!$D563,EVENTOS!$F:$F,0)),0)</f>
        <v>0</v>
      </c>
      <c r="AE563" s="3">
        <f t="shared" si="24"/>
        <v>0</v>
      </c>
      <c r="AF563" s="10" t="e">
        <f t="shared" si="25"/>
        <v>#N/A</v>
      </c>
      <c r="AG563" s="3" t="str">
        <f t="shared" si="26"/>
        <v/>
      </c>
    </row>
    <row r="564" spans="1:33" x14ac:dyDescent="0.25">
      <c r="A564" s="7"/>
      <c r="B564" s="8"/>
      <c r="C564" s="3"/>
      <c r="D564" s="3"/>
      <c r="E564" s="3" t="e">
        <f>VLOOKUP(D564,VIAJES!$D:$E,2,FALSE)</f>
        <v>#N/A</v>
      </c>
      <c r="F564" s="9" t="e">
        <f>VLOOKUP(D564,VIAJES!$D:$F,3,FALSE)</f>
        <v>#N/A</v>
      </c>
      <c r="G564" s="9" t="e">
        <f>VLOOKUP(D564,VIAJES!$D:$G,4,FALSE)</f>
        <v>#N/A</v>
      </c>
      <c r="H564" s="3" t="e">
        <f>VLOOKUP(D564,VIAJES!$D:$H,5,FALSE)</f>
        <v>#N/A</v>
      </c>
      <c r="S564" s="3">
        <f>IFERROR(INDEX(EVENTOS!$D:$D,MATCH(SCORE!S$2&amp;" "&amp;SCORE!$D564,EVENTOS!$F:$F,0)),0)</f>
        <v>0</v>
      </c>
      <c r="T564" s="3">
        <f>IFERROR(INDEX(EVENTOS!$D:$D,MATCH(SCORE!T$2&amp;" "&amp;SCORE!$D564,EVENTOS!$F:$F,0)),0)</f>
        <v>0</v>
      </c>
      <c r="U564" s="3">
        <f>IFERROR(INDEX(EVENTOS!$D:$D,MATCH(SCORE!U$2&amp;" "&amp;SCORE!$D564,EVENTOS!$F:$F,0)),0)</f>
        <v>0</v>
      </c>
      <c r="V564" s="3">
        <f>IFERROR(INDEX(EVENTOS!$D:$D,MATCH(SCORE!V$2&amp;" "&amp;SCORE!$D564,EVENTOS!$F:$F,0)),0)</f>
        <v>0</v>
      </c>
      <c r="W564" s="3">
        <f>IFERROR(INDEX(EVENTOS!$D:$D,MATCH(SCORE!W$2&amp;" "&amp;SCORE!$D564,EVENTOS!$F:$F,0)),0)</f>
        <v>0</v>
      </c>
      <c r="X564" s="3">
        <f>IFERROR(INDEX(EVENTOS!$D:$D,MATCH(SCORE!X$2&amp;" "&amp;SCORE!$D564,EVENTOS!$F:$F,0)),0)</f>
        <v>0</v>
      </c>
      <c r="Y564" s="3">
        <f>SUMIFS(EVENTOS!$D:$D, EVENTOS!$B:$B, D564, EVENTOS!$E:$E, "*GirAlto*")</f>
        <v>0</v>
      </c>
      <c r="Z564" s="3">
        <f>SUMIFS(EVENTOS!$D:$D, EVENTOS!$B:$B, D564, EVENTOS!$E:$E, "*GirMed*")</f>
        <v>0</v>
      </c>
      <c r="AA564" s="3">
        <f>SUMIFS(EVENTOS!$D:$D, EVENTOS!$B:$B, D564, EVENTOS!$E:$E, "*GirBajo*")</f>
        <v>0</v>
      </c>
      <c r="AB564" s="3">
        <f>IFERROR(INDEX(EVENTOS!$D:$D,MATCH(SCORE!AB$2&amp;" "&amp;SCORE!$D564,EVENTOS!$F:$F,0)),0)</f>
        <v>0</v>
      </c>
      <c r="AC564" s="3">
        <f>IFERROR(INDEX(EVENTOS!$D:$D,MATCH(SCORE!AC$2&amp;" "&amp;SCORE!$D564,EVENTOS!$F:$F,0)),0)</f>
        <v>0</v>
      </c>
      <c r="AD564" s="3">
        <f>IFERROR(INDEX(EVENTOS!$D:$D,MATCH(SCORE!AD$2&amp;" "&amp;SCORE!$D564,EVENTOS!$F:$F,0)),0)</f>
        <v>0</v>
      </c>
      <c r="AE564" s="3">
        <f t="shared" si="24"/>
        <v>0</v>
      </c>
      <c r="AF564" s="10" t="e">
        <f t="shared" si="25"/>
        <v>#N/A</v>
      </c>
      <c r="AG564" s="3" t="str">
        <f t="shared" si="26"/>
        <v/>
      </c>
    </row>
    <row r="565" spans="1:33" x14ac:dyDescent="0.25">
      <c r="A565" s="7"/>
      <c r="B565" s="8"/>
      <c r="C565" s="3"/>
      <c r="D565" s="3"/>
      <c r="E565" s="3" t="e">
        <f>VLOOKUP(D565,VIAJES!$D:$E,2,FALSE)</f>
        <v>#N/A</v>
      </c>
      <c r="F565" s="9" t="e">
        <f>VLOOKUP(D565,VIAJES!$D:$F,3,FALSE)</f>
        <v>#N/A</v>
      </c>
      <c r="G565" s="9" t="e">
        <f>VLOOKUP(D565,VIAJES!$D:$G,4,FALSE)</f>
        <v>#N/A</v>
      </c>
      <c r="H565" s="3" t="e">
        <f>VLOOKUP(D565,VIAJES!$D:$H,5,FALSE)</f>
        <v>#N/A</v>
      </c>
      <c r="S565" s="3">
        <f>IFERROR(INDEX(EVENTOS!$D:$D,MATCH(SCORE!S$2&amp;" "&amp;SCORE!$D565,EVENTOS!$F:$F,0)),0)</f>
        <v>0</v>
      </c>
      <c r="T565" s="3">
        <f>IFERROR(INDEX(EVENTOS!$D:$D,MATCH(SCORE!T$2&amp;" "&amp;SCORE!$D565,EVENTOS!$F:$F,0)),0)</f>
        <v>0</v>
      </c>
      <c r="U565" s="3">
        <f>IFERROR(INDEX(EVENTOS!$D:$D,MATCH(SCORE!U$2&amp;" "&amp;SCORE!$D565,EVENTOS!$F:$F,0)),0)</f>
        <v>0</v>
      </c>
      <c r="V565" s="3">
        <f>IFERROR(INDEX(EVENTOS!$D:$D,MATCH(SCORE!V$2&amp;" "&amp;SCORE!$D565,EVENTOS!$F:$F,0)),0)</f>
        <v>0</v>
      </c>
      <c r="W565" s="3">
        <f>IFERROR(INDEX(EVENTOS!$D:$D,MATCH(SCORE!W$2&amp;" "&amp;SCORE!$D565,EVENTOS!$F:$F,0)),0)</f>
        <v>0</v>
      </c>
      <c r="X565" s="3">
        <f>IFERROR(INDEX(EVENTOS!$D:$D,MATCH(SCORE!X$2&amp;" "&amp;SCORE!$D565,EVENTOS!$F:$F,0)),0)</f>
        <v>0</v>
      </c>
      <c r="Y565" s="3">
        <f>SUMIFS(EVENTOS!$D:$D, EVENTOS!$B:$B, D565, EVENTOS!$E:$E, "*GirAlto*")</f>
        <v>0</v>
      </c>
      <c r="Z565" s="3">
        <f>SUMIFS(EVENTOS!$D:$D, EVENTOS!$B:$B, D565, EVENTOS!$E:$E, "*GirMed*")</f>
        <v>0</v>
      </c>
      <c r="AA565" s="3">
        <f>SUMIFS(EVENTOS!$D:$D, EVENTOS!$B:$B, D565, EVENTOS!$E:$E, "*GirBajo*")</f>
        <v>0</v>
      </c>
      <c r="AB565" s="3">
        <f>IFERROR(INDEX(EVENTOS!$D:$D,MATCH(SCORE!AB$2&amp;" "&amp;SCORE!$D565,EVENTOS!$F:$F,0)),0)</f>
        <v>0</v>
      </c>
      <c r="AC565" s="3">
        <f>IFERROR(INDEX(EVENTOS!$D:$D,MATCH(SCORE!AC$2&amp;" "&amp;SCORE!$D565,EVENTOS!$F:$F,0)),0)</f>
        <v>0</v>
      </c>
      <c r="AD565" s="3">
        <f>IFERROR(INDEX(EVENTOS!$D:$D,MATCH(SCORE!AD$2&amp;" "&amp;SCORE!$D565,EVENTOS!$F:$F,0)),0)</f>
        <v>0</v>
      </c>
      <c r="AE565" s="3">
        <f t="shared" si="24"/>
        <v>0</v>
      </c>
      <c r="AF565" s="10" t="e">
        <f t="shared" si="25"/>
        <v>#N/A</v>
      </c>
      <c r="AG565" s="3" t="str">
        <f t="shared" si="26"/>
        <v/>
      </c>
    </row>
    <row r="566" spans="1:33" x14ac:dyDescent="0.25">
      <c r="A566" s="7"/>
      <c r="B566" s="8"/>
      <c r="C566" s="3"/>
      <c r="D566" s="3"/>
      <c r="E566" s="3" t="e">
        <f>VLOOKUP(D566,VIAJES!$D:$E,2,FALSE)</f>
        <v>#N/A</v>
      </c>
      <c r="F566" s="9" t="e">
        <f>VLOOKUP(D566,VIAJES!$D:$F,3,FALSE)</f>
        <v>#N/A</v>
      </c>
      <c r="G566" s="9" t="e">
        <f>VLOOKUP(D566,VIAJES!$D:$G,4,FALSE)</f>
        <v>#N/A</v>
      </c>
      <c r="H566" s="3" t="e">
        <f>VLOOKUP(D566,VIAJES!$D:$H,5,FALSE)</f>
        <v>#N/A</v>
      </c>
      <c r="S566" s="3">
        <f>IFERROR(INDEX(EVENTOS!$D:$D,MATCH(SCORE!S$2&amp;" "&amp;SCORE!$D566,EVENTOS!$F:$F,0)),0)</f>
        <v>0</v>
      </c>
      <c r="T566" s="3">
        <f>IFERROR(INDEX(EVENTOS!$D:$D,MATCH(SCORE!T$2&amp;" "&amp;SCORE!$D566,EVENTOS!$F:$F,0)),0)</f>
        <v>0</v>
      </c>
      <c r="U566" s="3">
        <f>IFERROR(INDEX(EVENTOS!$D:$D,MATCH(SCORE!U$2&amp;" "&amp;SCORE!$D566,EVENTOS!$F:$F,0)),0)</f>
        <v>0</v>
      </c>
      <c r="V566" s="3">
        <f>IFERROR(INDEX(EVENTOS!$D:$D,MATCH(SCORE!V$2&amp;" "&amp;SCORE!$D566,EVENTOS!$F:$F,0)),0)</f>
        <v>0</v>
      </c>
      <c r="W566" s="3">
        <f>IFERROR(INDEX(EVENTOS!$D:$D,MATCH(SCORE!W$2&amp;" "&amp;SCORE!$D566,EVENTOS!$F:$F,0)),0)</f>
        <v>0</v>
      </c>
      <c r="X566" s="3">
        <f>IFERROR(INDEX(EVENTOS!$D:$D,MATCH(SCORE!X$2&amp;" "&amp;SCORE!$D566,EVENTOS!$F:$F,0)),0)</f>
        <v>0</v>
      </c>
      <c r="Y566" s="3">
        <f>SUMIFS(EVENTOS!$D:$D, EVENTOS!$B:$B, D566, EVENTOS!$E:$E, "*GirAlto*")</f>
        <v>0</v>
      </c>
      <c r="Z566" s="3">
        <f>SUMIFS(EVENTOS!$D:$D, EVENTOS!$B:$B, D566, EVENTOS!$E:$E, "*GirMed*")</f>
        <v>0</v>
      </c>
      <c r="AA566" s="3">
        <f>SUMIFS(EVENTOS!$D:$D, EVENTOS!$B:$B, D566, EVENTOS!$E:$E, "*GirBajo*")</f>
        <v>0</v>
      </c>
      <c r="AB566" s="3">
        <f>IFERROR(INDEX(EVENTOS!$D:$D,MATCH(SCORE!AB$2&amp;" "&amp;SCORE!$D566,EVENTOS!$F:$F,0)),0)</f>
        <v>0</v>
      </c>
      <c r="AC566" s="3">
        <f>IFERROR(INDEX(EVENTOS!$D:$D,MATCH(SCORE!AC$2&amp;" "&amp;SCORE!$D566,EVENTOS!$F:$F,0)),0)</f>
        <v>0</v>
      </c>
      <c r="AD566" s="3">
        <f>IFERROR(INDEX(EVENTOS!$D:$D,MATCH(SCORE!AD$2&amp;" "&amp;SCORE!$D566,EVENTOS!$F:$F,0)),0)</f>
        <v>0</v>
      </c>
      <c r="AE566" s="3">
        <f t="shared" si="24"/>
        <v>0</v>
      </c>
      <c r="AF566" s="10" t="e">
        <f t="shared" si="25"/>
        <v>#N/A</v>
      </c>
      <c r="AG566" s="3" t="str">
        <f t="shared" si="26"/>
        <v/>
      </c>
    </row>
    <row r="567" spans="1:33" x14ac:dyDescent="0.25">
      <c r="A567" s="7"/>
      <c r="B567" s="8"/>
      <c r="C567" s="3"/>
      <c r="D567" s="3"/>
      <c r="E567" s="3" t="e">
        <f>VLOOKUP(D567,VIAJES!$D:$E,2,FALSE)</f>
        <v>#N/A</v>
      </c>
      <c r="F567" s="9" t="e">
        <f>VLOOKUP(D567,VIAJES!$D:$F,3,FALSE)</f>
        <v>#N/A</v>
      </c>
      <c r="G567" s="9" t="e">
        <f>VLOOKUP(D567,VIAJES!$D:$G,4,FALSE)</f>
        <v>#N/A</v>
      </c>
      <c r="H567" s="3" t="e">
        <f>VLOOKUP(D567,VIAJES!$D:$H,5,FALSE)</f>
        <v>#N/A</v>
      </c>
      <c r="S567" s="3">
        <f>IFERROR(INDEX(EVENTOS!$D:$D,MATCH(SCORE!S$2&amp;" "&amp;SCORE!$D567,EVENTOS!$F:$F,0)),0)</f>
        <v>0</v>
      </c>
      <c r="T567" s="3">
        <f>IFERROR(INDEX(EVENTOS!$D:$D,MATCH(SCORE!T$2&amp;" "&amp;SCORE!$D567,EVENTOS!$F:$F,0)),0)</f>
        <v>0</v>
      </c>
      <c r="U567" s="3">
        <f>IFERROR(INDEX(EVENTOS!$D:$D,MATCH(SCORE!U$2&amp;" "&amp;SCORE!$D567,EVENTOS!$F:$F,0)),0)</f>
        <v>0</v>
      </c>
      <c r="V567" s="3">
        <f>IFERROR(INDEX(EVENTOS!$D:$D,MATCH(SCORE!V$2&amp;" "&amp;SCORE!$D567,EVENTOS!$F:$F,0)),0)</f>
        <v>0</v>
      </c>
      <c r="W567" s="3">
        <f>IFERROR(INDEX(EVENTOS!$D:$D,MATCH(SCORE!W$2&amp;" "&amp;SCORE!$D567,EVENTOS!$F:$F,0)),0)</f>
        <v>0</v>
      </c>
      <c r="X567" s="3">
        <f>IFERROR(INDEX(EVENTOS!$D:$D,MATCH(SCORE!X$2&amp;" "&amp;SCORE!$D567,EVENTOS!$F:$F,0)),0)</f>
        <v>0</v>
      </c>
      <c r="Y567" s="3">
        <f>SUMIFS(EVENTOS!$D:$D, EVENTOS!$B:$B, D567, EVENTOS!$E:$E, "*GirAlto*")</f>
        <v>0</v>
      </c>
      <c r="Z567" s="3">
        <f>SUMIFS(EVENTOS!$D:$D, EVENTOS!$B:$B, D567, EVENTOS!$E:$E, "*GirMed*")</f>
        <v>0</v>
      </c>
      <c r="AA567" s="3">
        <f>SUMIFS(EVENTOS!$D:$D, EVENTOS!$B:$B, D567, EVENTOS!$E:$E, "*GirBajo*")</f>
        <v>0</v>
      </c>
      <c r="AB567" s="3">
        <f>IFERROR(INDEX(EVENTOS!$D:$D,MATCH(SCORE!AB$2&amp;" "&amp;SCORE!$D567,EVENTOS!$F:$F,0)),0)</f>
        <v>0</v>
      </c>
      <c r="AC567" s="3">
        <f>IFERROR(INDEX(EVENTOS!$D:$D,MATCH(SCORE!AC$2&amp;" "&amp;SCORE!$D567,EVENTOS!$F:$F,0)),0)</f>
        <v>0</v>
      </c>
      <c r="AD567" s="3">
        <f>IFERROR(INDEX(EVENTOS!$D:$D,MATCH(SCORE!AD$2&amp;" "&amp;SCORE!$D567,EVENTOS!$F:$F,0)),0)</f>
        <v>0</v>
      </c>
      <c r="AE567" s="3">
        <f t="shared" si="24"/>
        <v>0</v>
      </c>
      <c r="AF567" s="10" t="e">
        <f t="shared" si="25"/>
        <v>#N/A</v>
      </c>
      <c r="AG567" s="3" t="str">
        <f t="shared" si="26"/>
        <v/>
      </c>
    </row>
    <row r="568" spans="1:33" x14ac:dyDescent="0.25">
      <c r="A568" s="7"/>
      <c r="B568" s="8"/>
      <c r="C568" s="3"/>
      <c r="D568" s="3"/>
      <c r="E568" s="3" t="e">
        <f>VLOOKUP(D568,VIAJES!$D:$E,2,FALSE)</f>
        <v>#N/A</v>
      </c>
      <c r="F568" s="9" t="e">
        <f>VLOOKUP(D568,VIAJES!$D:$F,3,FALSE)</f>
        <v>#N/A</v>
      </c>
      <c r="G568" s="9" t="e">
        <f>VLOOKUP(D568,VIAJES!$D:$G,4,FALSE)</f>
        <v>#N/A</v>
      </c>
      <c r="H568" s="3" t="e">
        <f>VLOOKUP(D568,VIAJES!$D:$H,5,FALSE)</f>
        <v>#N/A</v>
      </c>
      <c r="S568" s="3">
        <f>IFERROR(INDEX(EVENTOS!$D:$D,MATCH(SCORE!S$2&amp;" "&amp;SCORE!$D568,EVENTOS!$F:$F,0)),0)</f>
        <v>0</v>
      </c>
      <c r="T568" s="3">
        <f>IFERROR(INDEX(EVENTOS!$D:$D,MATCH(SCORE!T$2&amp;" "&amp;SCORE!$D568,EVENTOS!$F:$F,0)),0)</f>
        <v>0</v>
      </c>
      <c r="U568" s="3">
        <f>IFERROR(INDEX(EVENTOS!$D:$D,MATCH(SCORE!U$2&amp;" "&amp;SCORE!$D568,EVENTOS!$F:$F,0)),0)</f>
        <v>0</v>
      </c>
      <c r="V568" s="3">
        <f>IFERROR(INDEX(EVENTOS!$D:$D,MATCH(SCORE!V$2&amp;" "&amp;SCORE!$D568,EVENTOS!$F:$F,0)),0)</f>
        <v>0</v>
      </c>
      <c r="W568" s="3">
        <f>IFERROR(INDEX(EVENTOS!$D:$D,MATCH(SCORE!W$2&amp;" "&amp;SCORE!$D568,EVENTOS!$F:$F,0)),0)</f>
        <v>0</v>
      </c>
      <c r="X568" s="3">
        <f>IFERROR(INDEX(EVENTOS!$D:$D,MATCH(SCORE!X$2&amp;" "&amp;SCORE!$D568,EVENTOS!$F:$F,0)),0)</f>
        <v>0</v>
      </c>
      <c r="Y568" s="3">
        <f>SUMIFS(EVENTOS!$D:$D, EVENTOS!$B:$B, D568, EVENTOS!$E:$E, "*GirAlto*")</f>
        <v>0</v>
      </c>
      <c r="Z568" s="3">
        <f>SUMIFS(EVENTOS!$D:$D, EVENTOS!$B:$B, D568, EVENTOS!$E:$E, "*GirMed*")</f>
        <v>0</v>
      </c>
      <c r="AA568" s="3">
        <f>SUMIFS(EVENTOS!$D:$D, EVENTOS!$B:$B, D568, EVENTOS!$E:$E, "*GirBajo*")</f>
        <v>0</v>
      </c>
      <c r="AB568" s="3">
        <f>IFERROR(INDEX(EVENTOS!$D:$D,MATCH(SCORE!AB$2&amp;" "&amp;SCORE!$D568,EVENTOS!$F:$F,0)),0)</f>
        <v>0</v>
      </c>
      <c r="AC568" s="3">
        <f>IFERROR(INDEX(EVENTOS!$D:$D,MATCH(SCORE!AC$2&amp;" "&amp;SCORE!$D568,EVENTOS!$F:$F,0)),0)</f>
        <v>0</v>
      </c>
      <c r="AD568" s="3">
        <f>IFERROR(INDEX(EVENTOS!$D:$D,MATCH(SCORE!AD$2&amp;" "&amp;SCORE!$D568,EVENTOS!$F:$F,0)),0)</f>
        <v>0</v>
      </c>
      <c r="AE568" s="3">
        <f t="shared" si="24"/>
        <v>0</v>
      </c>
      <c r="AF568" s="10" t="e">
        <f t="shared" si="25"/>
        <v>#N/A</v>
      </c>
      <c r="AG568" s="3" t="str">
        <f t="shared" si="26"/>
        <v/>
      </c>
    </row>
    <row r="569" spans="1:33" x14ac:dyDescent="0.25">
      <c r="A569" s="7"/>
      <c r="B569" s="8"/>
      <c r="C569" s="3"/>
      <c r="D569" s="3"/>
      <c r="E569" s="3" t="e">
        <f>VLOOKUP(D569,VIAJES!$D:$E,2,FALSE)</f>
        <v>#N/A</v>
      </c>
      <c r="F569" s="9" t="e">
        <f>VLOOKUP(D569,VIAJES!$D:$F,3,FALSE)</f>
        <v>#N/A</v>
      </c>
      <c r="G569" s="9" t="e">
        <f>VLOOKUP(D569,VIAJES!$D:$G,4,FALSE)</f>
        <v>#N/A</v>
      </c>
      <c r="H569" s="3" t="e">
        <f>VLOOKUP(D569,VIAJES!$D:$H,5,FALSE)</f>
        <v>#N/A</v>
      </c>
      <c r="S569" s="3">
        <f>IFERROR(INDEX(EVENTOS!$D:$D,MATCH(SCORE!S$2&amp;" "&amp;SCORE!$D569,EVENTOS!$F:$F,0)),0)</f>
        <v>0</v>
      </c>
      <c r="T569" s="3">
        <f>IFERROR(INDEX(EVENTOS!$D:$D,MATCH(SCORE!T$2&amp;" "&amp;SCORE!$D569,EVENTOS!$F:$F,0)),0)</f>
        <v>0</v>
      </c>
      <c r="U569" s="3">
        <f>IFERROR(INDEX(EVENTOS!$D:$D,MATCH(SCORE!U$2&amp;" "&amp;SCORE!$D569,EVENTOS!$F:$F,0)),0)</f>
        <v>0</v>
      </c>
      <c r="V569" s="3">
        <f>IFERROR(INDEX(EVENTOS!$D:$D,MATCH(SCORE!V$2&amp;" "&amp;SCORE!$D569,EVENTOS!$F:$F,0)),0)</f>
        <v>0</v>
      </c>
      <c r="W569" s="3">
        <f>IFERROR(INDEX(EVENTOS!$D:$D,MATCH(SCORE!W$2&amp;" "&amp;SCORE!$D569,EVENTOS!$F:$F,0)),0)</f>
        <v>0</v>
      </c>
      <c r="X569" s="3">
        <f>IFERROR(INDEX(EVENTOS!$D:$D,MATCH(SCORE!X$2&amp;" "&amp;SCORE!$D569,EVENTOS!$F:$F,0)),0)</f>
        <v>0</v>
      </c>
      <c r="Y569" s="3">
        <f>SUMIFS(EVENTOS!$D:$D, EVENTOS!$B:$B, D569, EVENTOS!$E:$E, "*GirAlto*")</f>
        <v>0</v>
      </c>
      <c r="Z569" s="3">
        <f>SUMIFS(EVENTOS!$D:$D, EVENTOS!$B:$B, D569, EVENTOS!$E:$E, "*GirMed*")</f>
        <v>0</v>
      </c>
      <c r="AA569" s="3">
        <f>SUMIFS(EVENTOS!$D:$D, EVENTOS!$B:$B, D569, EVENTOS!$E:$E, "*GirBajo*")</f>
        <v>0</v>
      </c>
      <c r="AB569" s="3">
        <f>IFERROR(INDEX(EVENTOS!$D:$D,MATCH(SCORE!AB$2&amp;" "&amp;SCORE!$D569,EVENTOS!$F:$F,0)),0)</f>
        <v>0</v>
      </c>
      <c r="AC569" s="3">
        <f>IFERROR(INDEX(EVENTOS!$D:$D,MATCH(SCORE!AC$2&amp;" "&amp;SCORE!$D569,EVENTOS!$F:$F,0)),0)</f>
        <v>0</v>
      </c>
      <c r="AD569" s="3">
        <f>IFERROR(INDEX(EVENTOS!$D:$D,MATCH(SCORE!AD$2&amp;" "&amp;SCORE!$D569,EVENTOS!$F:$F,0)),0)</f>
        <v>0</v>
      </c>
      <c r="AE569" s="3">
        <f t="shared" si="24"/>
        <v>0</v>
      </c>
      <c r="AF569" s="10" t="e">
        <f t="shared" si="25"/>
        <v>#N/A</v>
      </c>
      <c r="AG569" s="3" t="str">
        <f t="shared" si="26"/>
        <v/>
      </c>
    </row>
    <row r="570" spans="1:33" x14ac:dyDescent="0.25">
      <c r="A570" s="7"/>
      <c r="B570" s="8"/>
      <c r="C570" s="3"/>
      <c r="D570" s="3"/>
      <c r="E570" s="3" t="e">
        <f>VLOOKUP(D570,VIAJES!$D:$E,2,FALSE)</f>
        <v>#N/A</v>
      </c>
      <c r="F570" s="9" t="e">
        <f>VLOOKUP(D570,VIAJES!$D:$F,3,FALSE)</f>
        <v>#N/A</v>
      </c>
      <c r="G570" s="9" t="e">
        <f>VLOOKUP(D570,VIAJES!$D:$G,4,FALSE)</f>
        <v>#N/A</v>
      </c>
      <c r="H570" s="3" t="e">
        <f>VLOOKUP(D570,VIAJES!$D:$H,5,FALSE)</f>
        <v>#N/A</v>
      </c>
      <c r="S570" s="3">
        <f>IFERROR(INDEX(EVENTOS!$D:$D,MATCH(SCORE!S$2&amp;" "&amp;SCORE!$D570,EVENTOS!$F:$F,0)),0)</f>
        <v>0</v>
      </c>
      <c r="T570" s="3">
        <f>IFERROR(INDEX(EVENTOS!$D:$D,MATCH(SCORE!T$2&amp;" "&amp;SCORE!$D570,EVENTOS!$F:$F,0)),0)</f>
        <v>0</v>
      </c>
      <c r="U570" s="3">
        <f>IFERROR(INDEX(EVENTOS!$D:$D,MATCH(SCORE!U$2&amp;" "&amp;SCORE!$D570,EVENTOS!$F:$F,0)),0)</f>
        <v>0</v>
      </c>
      <c r="V570" s="3">
        <f>IFERROR(INDEX(EVENTOS!$D:$D,MATCH(SCORE!V$2&amp;" "&amp;SCORE!$D570,EVENTOS!$F:$F,0)),0)</f>
        <v>0</v>
      </c>
      <c r="W570" s="3">
        <f>IFERROR(INDEX(EVENTOS!$D:$D,MATCH(SCORE!W$2&amp;" "&amp;SCORE!$D570,EVENTOS!$F:$F,0)),0)</f>
        <v>0</v>
      </c>
      <c r="X570" s="3">
        <f>IFERROR(INDEX(EVENTOS!$D:$D,MATCH(SCORE!X$2&amp;" "&amp;SCORE!$D570,EVENTOS!$F:$F,0)),0)</f>
        <v>0</v>
      </c>
      <c r="Y570" s="3">
        <f>SUMIFS(EVENTOS!$D:$D, EVENTOS!$B:$B, D570, EVENTOS!$E:$E, "*GirAlto*")</f>
        <v>0</v>
      </c>
      <c r="Z570" s="3">
        <f>SUMIFS(EVENTOS!$D:$D, EVENTOS!$B:$B, D570, EVENTOS!$E:$E, "*GirMed*")</f>
        <v>0</v>
      </c>
      <c r="AA570" s="3">
        <f>SUMIFS(EVENTOS!$D:$D, EVENTOS!$B:$B, D570, EVENTOS!$E:$E, "*GirBajo*")</f>
        <v>0</v>
      </c>
      <c r="AB570" s="3">
        <f>IFERROR(INDEX(EVENTOS!$D:$D,MATCH(SCORE!AB$2&amp;" "&amp;SCORE!$D570,EVENTOS!$F:$F,0)),0)</f>
        <v>0</v>
      </c>
      <c r="AC570" s="3">
        <f>IFERROR(INDEX(EVENTOS!$D:$D,MATCH(SCORE!AC$2&amp;" "&amp;SCORE!$D570,EVENTOS!$F:$F,0)),0)</f>
        <v>0</v>
      </c>
      <c r="AD570" s="3">
        <f>IFERROR(INDEX(EVENTOS!$D:$D,MATCH(SCORE!AD$2&amp;" "&amp;SCORE!$D570,EVENTOS!$F:$F,0)),0)</f>
        <v>0</v>
      </c>
      <c r="AE570" s="3">
        <f t="shared" si="24"/>
        <v>0</v>
      </c>
      <c r="AF570" s="10" t="e">
        <f t="shared" si="25"/>
        <v>#N/A</v>
      </c>
      <c r="AG570" s="3" t="str">
        <f t="shared" si="26"/>
        <v/>
      </c>
    </row>
    <row r="571" spans="1:33" x14ac:dyDescent="0.25">
      <c r="A571" s="7"/>
      <c r="B571" s="8"/>
      <c r="C571" s="3"/>
      <c r="D571" s="3"/>
      <c r="E571" s="3" t="e">
        <f>VLOOKUP(D571,VIAJES!$D:$E,2,FALSE)</f>
        <v>#N/A</v>
      </c>
      <c r="F571" s="9" t="e">
        <f>VLOOKUP(D571,VIAJES!$D:$F,3,FALSE)</f>
        <v>#N/A</v>
      </c>
      <c r="G571" s="9" t="e">
        <f>VLOOKUP(D571,VIAJES!$D:$G,4,FALSE)</f>
        <v>#N/A</v>
      </c>
      <c r="H571" s="3" t="e">
        <f>VLOOKUP(D571,VIAJES!$D:$H,5,FALSE)</f>
        <v>#N/A</v>
      </c>
      <c r="S571" s="3">
        <f>IFERROR(INDEX(EVENTOS!$D:$D,MATCH(SCORE!S$2&amp;" "&amp;SCORE!$D571,EVENTOS!$F:$F,0)),0)</f>
        <v>0</v>
      </c>
      <c r="T571" s="3">
        <f>IFERROR(INDEX(EVENTOS!$D:$D,MATCH(SCORE!T$2&amp;" "&amp;SCORE!$D571,EVENTOS!$F:$F,0)),0)</f>
        <v>0</v>
      </c>
      <c r="U571" s="3">
        <f>IFERROR(INDEX(EVENTOS!$D:$D,MATCH(SCORE!U$2&amp;" "&amp;SCORE!$D571,EVENTOS!$F:$F,0)),0)</f>
        <v>0</v>
      </c>
      <c r="V571" s="3">
        <f>IFERROR(INDEX(EVENTOS!$D:$D,MATCH(SCORE!V$2&amp;" "&amp;SCORE!$D571,EVENTOS!$F:$F,0)),0)</f>
        <v>0</v>
      </c>
      <c r="W571" s="3">
        <f>IFERROR(INDEX(EVENTOS!$D:$D,MATCH(SCORE!W$2&amp;" "&amp;SCORE!$D571,EVENTOS!$F:$F,0)),0)</f>
        <v>0</v>
      </c>
      <c r="X571" s="3">
        <f>IFERROR(INDEX(EVENTOS!$D:$D,MATCH(SCORE!X$2&amp;" "&amp;SCORE!$D571,EVENTOS!$F:$F,0)),0)</f>
        <v>0</v>
      </c>
      <c r="Y571" s="3">
        <f>SUMIFS(EVENTOS!$D:$D, EVENTOS!$B:$B, D571, EVENTOS!$E:$E, "*GirAlto*")</f>
        <v>0</v>
      </c>
      <c r="Z571" s="3">
        <f>SUMIFS(EVENTOS!$D:$D, EVENTOS!$B:$B, D571, EVENTOS!$E:$E, "*GirMed*")</f>
        <v>0</v>
      </c>
      <c r="AA571" s="3">
        <f>SUMIFS(EVENTOS!$D:$D, EVENTOS!$B:$B, D571, EVENTOS!$E:$E, "*GirBajo*")</f>
        <v>0</v>
      </c>
      <c r="AB571" s="3">
        <f>IFERROR(INDEX(EVENTOS!$D:$D,MATCH(SCORE!AB$2&amp;" "&amp;SCORE!$D571,EVENTOS!$F:$F,0)),0)</f>
        <v>0</v>
      </c>
      <c r="AC571" s="3">
        <f>IFERROR(INDEX(EVENTOS!$D:$D,MATCH(SCORE!AC$2&amp;" "&amp;SCORE!$D571,EVENTOS!$F:$F,0)),0)</f>
        <v>0</v>
      </c>
      <c r="AD571" s="3">
        <f>IFERROR(INDEX(EVENTOS!$D:$D,MATCH(SCORE!AD$2&amp;" "&amp;SCORE!$D571,EVENTOS!$F:$F,0)),0)</f>
        <v>0</v>
      </c>
      <c r="AE571" s="3">
        <f t="shared" si="24"/>
        <v>0</v>
      </c>
      <c r="AF571" s="10" t="e">
        <f t="shared" si="25"/>
        <v>#N/A</v>
      </c>
      <c r="AG571" s="3" t="str">
        <f t="shared" si="26"/>
        <v/>
      </c>
    </row>
    <row r="572" spans="1:33" x14ac:dyDescent="0.25">
      <c r="A572" s="7"/>
      <c r="B572" s="8"/>
      <c r="C572" s="3"/>
      <c r="D572" s="3"/>
      <c r="E572" s="3" t="e">
        <f>VLOOKUP(D572,VIAJES!$D:$E,2,FALSE)</f>
        <v>#N/A</v>
      </c>
      <c r="F572" s="9" t="e">
        <f>VLOOKUP(D572,VIAJES!$D:$F,3,FALSE)</f>
        <v>#N/A</v>
      </c>
      <c r="G572" s="9" t="e">
        <f>VLOOKUP(D572,VIAJES!$D:$G,4,FALSE)</f>
        <v>#N/A</v>
      </c>
      <c r="H572" s="3" t="e">
        <f>VLOOKUP(D572,VIAJES!$D:$H,5,FALSE)</f>
        <v>#N/A</v>
      </c>
      <c r="S572" s="3">
        <f>IFERROR(INDEX(EVENTOS!$D:$D,MATCH(SCORE!S$2&amp;" "&amp;SCORE!$D572,EVENTOS!$F:$F,0)),0)</f>
        <v>0</v>
      </c>
      <c r="T572" s="3">
        <f>IFERROR(INDEX(EVENTOS!$D:$D,MATCH(SCORE!T$2&amp;" "&amp;SCORE!$D572,EVENTOS!$F:$F,0)),0)</f>
        <v>0</v>
      </c>
      <c r="U572" s="3">
        <f>IFERROR(INDEX(EVENTOS!$D:$D,MATCH(SCORE!U$2&amp;" "&amp;SCORE!$D572,EVENTOS!$F:$F,0)),0)</f>
        <v>0</v>
      </c>
      <c r="V572" s="3">
        <f>IFERROR(INDEX(EVENTOS!$D:$D,MATCH(SCORE!V$2&amp;" "&amp;SCORE!$D572,EVENTOS!$F:$F,0)),0)</f>
        <v>0</v>
      </c>
      <c r="W572" s="3">
        <f>IFERROR(INDEX(EVENTOS!$D:$D,MATCH(SCORE!W$2&amp;" "&amp;SCORE!$D572,EVENTOS!$F:$F,0)),0)</f>
        <v>0</v>
      </c>
      <c r="X572" s="3">
        <f>IFERROR(INDEX(EVENTOS!$D:$D,MATCH(SCORE!X$2&amp;" "&amp;SCORE!$D572,EVENTOS!$F:$F,0)),0)</f>
        <v>0</v>
      </c>
      <c r="Y572" s="3">
        <f>SUMIFS(EVENTOS!$D:$D, EVENTOS!$B:$B, D572, EVENTOS!$E:$E, "*GirAlto*")</f>
        <v>0</v>
      </c>
      <c r="Z572" s="3">
        <f>SUMIFS(EVENTOS!$D:$D, EVENTOS!$B:$B, D572, EVENTOS!$E:$E, "*GirMed*")</f>
        <v>0</v>
      </c>
      <c r="AA572" s="3">
        <f>SUMIFS(EVENTOS!$D:$D, EVENTOS!$B:$B, D572, EVENTOS!$E:$E, "*GirBajo*")</f>
        <v>0</v>
      </c>
      <c r="AB572" s="3">
        <f>IFERROR(INDEX(EVENTOS!$D:$D,MATCH(SCORE!AB$2&amp;" "&amp;SCORE!$D572,EVENTOS!$F:$F,0)),0)</f>
        <v>0</v>
      </c>
      <c r="AC572" s="3">
        <f>IFERROR(INDEX(EVENTOS!$D:$D,MATCH(SCORE!AC$2&amp;" "&amp;SCORE!$D572,EVENTOS!$F:$F,0)),0)</f>
        <v>0</v>
      </c>
      <c r="AD572" s="3">
        <f>IFERROR(INDEX(EVENTOS!$D:$D,MATCH(SCORE!AD$2&amp;" "&amp;SCORE!$D572,EVENTOS!$F:$F,0)),0)</f>
        <v>0</v>
      </c>
      <c r="AE572" s="3">
        <f t="shared" si="24"/>
        <v>0</v>
      </c>
      <c r="AF572" s="10" t="e">
        <f t="shared" si="25"/>
        <v>#N/A</v>
      </c>
      <c r="AG572" s="3" t="str">
        <f t="shared" si="26"/>
        <v/>
      </c>
    </row>
    <row r="573" spans="1:33" x14ac:dyDescent="0.25">
      <c r="A573" s="7"/>
      <c r="B573" s="8"/>
      <c r="C573" s="3"/>
      <c r="D573" s="3"/>
      <c r="E573" s="3" t="e">
        <f>VLOOKUP(D573,VIAJES!$D:$E,2,FALSE)</f>
        <v>#N/A</v>
      </c>
      <c r="F573" s="9" t="e">
        <f>VLOOKUP(D573,VIAJES!$D:$F,3,FALSE)</f>
        <v>#N/A</v>
      </c>
      <c r="G573" s="9" t="e">
        <f>VLOOKUP(D573,VIAJES!$D:$G,4,FALSE)</f>
        <v>#N/A</v>
      </c>
      <c r="H573" s="3" t="e">
        <f>VLOOKUP(D573,VIAJES!$D:$H,5,FALSE)</f>
        <v>#N/A</v>
      </c>
      <c r="S573" s="3">
        <f>IFERROR(INDEX(EVENTOS!$D:$D,MATCH(SCORE!S$2&amp;" "&amp;SCORE!$D573,EVENTOS!$F:$F,0)),0)</f>
        <v>0</v>
      </c>
      <c r="T573" s="3">
        <f>IFERROR(INDEX(EVENTOS!$D:$D,MATCH(SCORE!T$2&amp;" "&amp;SCORE!$D573,EVENTOS!$F:$F,0)),0)</f>
        <v>0</v>
      </c>
      <c r="U573" s="3">
        <f>IFERROR(INDEX(EVENTOS!$D:$D,MATCH(SCORE!U$2&amp;" "&amp;SCORE!$D573,EVENTOS!$F:$F,0)),0)</f>
        <v>0</v>
      </c>
      <c r="V573" s="3">
        <f>IFERROR(INDEX(EVENTOS!$D:$D,MATCH(SCORE!V$2&amp;" "&amp;SCORE!$D573,EVENTOS!$F:$F,0)),0)</f>
        <v>0</v>
      </c>
      <c r="W573" s="3">
        <f>IFERROR(INDEX(EVENTOS!$D:$D,MATCH(SCORE!W$2&amp;" "&amp;SCORE!$D573,EVENTOS!$F:$F,0)),0)</f>
        <v>0</v>
      </c>
      <c r="X573" s="3">
        <f>IFERROR(INDEX(EVENTOS!$D:$D,MATCH(SCORE!X$2&amp;" "&amp;SCORE!$D573,EVENTOS!$F:$F,0)),0)</f>
        <v>0</v>
      </c>
      <c r="Y573" s="3">
        <f>SUMIFS(EVENTOS!$D:$D, EVENTOS!$B:$B, D573, EVENTOS!$E:$E, "*GirAlto*")</f>
        <v>0</v>
      </c>
      <c r="Z573" s="3">
        <f>SUMIFS(EVENTOS!$D:$D, EVENTOS!$B:$B, D573, EVENTOS!$E:$E, "*GirMed*")</f>
        <v>0</v>
      </c>
      <c r="AA573" s="3">
        <f>SUMIFS(EVENTOS!$D:$D, EVENTOS!$B:$B, D573, EVENTOS!$E:$E, "*GirBajo*")</f>
        <v>0</v>
      </c>
      <c r="AB573" s="3">
        <f>IFERROR(INDEX(EVENTOS!$D:$D,MATCH(SCORE!AB$2&amp;" "&amp;SCORE!$D573,EVENTOS!$F:$F,0)),0)</f>
        <v>0</v>
      </c>
      <c r="AC573" s="3">
        <f>IFERROR(INDEX(EVENTOS!$D:$D,MATCH(SCORE!AC$2&amp;" "&amp;SCORE!$D573,EVENTOS!$F:$F,0)),0)</f>
        <v>0</v>
      </c>
      <c r="AD573" s="3">
        <f>IFERROR(INDEX(EVENTOS!$D:$D,MATCH(SCORE!AD$2&amp;" "&amp;SCORE!$D573,EVENTOS!$F:$F,0)),0)</f>
        <v>0</v>
      </c>
      <c r="AE573" s="3">
        <f t="shared" si="24"/>
        <v>0</v>
      </c>
      <c r="AF573" s="10" t="e">
        <f t="shared" si="25"/>
        <v>#N/A</v>
      </c>
      <c r="AG573" s="3" t="str">
        <f t="shared" si="26"/>
        <v/>
      </c>
    </row>
    <row r="574" spans="1:33" x14ac:dyDescent="0.25">
      <c r="A574" s="7"/>
      <c r="B574" s="8"/>
      <c r="C574" s="3"/>
      <c r="D574" s="3"/>
      <c r="E574" s="3" t="e">
        <f>VLOOKUP(D574,VIAJES!$D:$E,2,FALSE)</f>
        <v>#N/A</v>
      </c>
      <c r="F574" s="9" t="e">
        <f>VLOOKUP(D574,VIAJES!$D:$F,3,FALSE)</f>
        <v>#N/A</v>
      </c>
      <c r="G574" s="9" t="e">
        <f>VLOOKUP(D574,VIAJES!$D:$G,4,FALSE)</f>
        <v>#N/A</v>
      </c>
      <c r="H574" s="3" t="e">
        <f>VLOOKUP(D574,VIAJES!$D:$H,5,FALSE)</f>
        <v>#N/A</v>
      </c>
      <c r="S574" s="3">
        <f>IFERROR(INDEX(EVENTOS!$D:$D,MATCH(SCORE!S$2&amp;" "&amp;SCORE!$D574,EVENTOS!$F:$F,0)),0)</f>
        <v>0</v>
      </c>
      <c r="T574" s="3">
        <f>IFERROR(INDEX(EVENTOS!$D:$D,MATCH(SCORE!T$2&amp;" "&amp;SCORE!$D574,EVENTOS!$F:$F,0)),0)</f>
        <v>0</v>
      </c>
      <c r="U574" s="3">
        <f>IFERROR(INDEX(EVENTOS!$D:$D,MATCH(SCORE!U$2&amp;" "&amp;SCORE!$D574,EVENTOS!$F:$F,0)),0)</f>
        <v>0</v>
      </c>
      <c r="V574" s="3">
        <f>IFERROR(INDEX(EVENTOS!$D:$D,MATCH(SCORE!V$2&amp;" "&amp;SCORE!$D574,EVENTOS!$F:$F,0)),0)</f>
        <v>0</v>
      </c>
      <c r="W574" s="3">
        <f>IFERROR(INDEX(EVENTOS!$D:$D,MATCH(SCORE!W$2&amp;" "&amp;SCORE!$D574,EVENTOS!$F:$F,0)),0)</f>
        <v>0</v>
      </c>
      <c r="X574" s="3">
        <f>IFERROR(INDEX(EVENTOS!$D:$D,MATCH(SCORE!X$2&amp;" "&amp;SCORE!$D574,EVENTOS!$F:$F,0)),0)</f>
        <v>0</v>
      </c>
      <c r="Y574" s="3">
        <f>SUMIFS(EVENTOS!$D:$D, EVENTOS!$B:$B, D574, EVENTOS!$E:$E, "*GirAlto*")</f>
        <v>0</v>
      </c>
      <c r="Z574" s="3">
        <f>SUMIFS(EVENTOS!$D:$D, EVENTOS!$B:$B, D574, EVENTOS!$E:$E, "*GirMed*")</f>
        <v>0</v>
      </c>
      <c r="AA574" s="3">
        <f>SUMIFS(EVENTOS!$D:$D, EVENTOS!$B:$B, D574, EVENTOS!$E:$E, "*GirBajo*")</f>
        <v>0</v>
      </c>
      <c r="AB574" s="3">
        <f>IFERROR(INDEX(EVENTOS!$D:$D,MATCH(SCORE!AB$2&amp;" "&amp;SCORE!$D574,EVENTOS!$F:$F,0)),0)</f>
        <v>0</v>
      </c>
      <c r="AC574" s="3">
        <f>IFERROR(INDEX(EVENTOS!$D:$D,MATCH(SCORE!AC$2&amp;" "&amp;SCORE!$D574,EVENTOS!$F:$F,0)),0)</f>
        <v>0</v>
      </c>
      <c r="AD574" s="3">
        <f>IFERROR(INDEX(EVENTOS!$D:$D,MATCH(SCORE!AD$2&amp;" "&amp;SCORE!$D574,EVENTOS!$F:$F,0)),0)</f>
        <v>0</v>
      </c>
      <c r="AE574" s="3">
        <f t="shared" si="24"/>
        <v>0</v>
      </c>
      <c r="AF574" s="10" t="e">
        <f t="shared" si="25"/>
        <v>#N/A</v>
      </c>
      <c r="AG574" s="3" t="str">
        <f t="shared" si="26"/>
        <v/>
      </c>
    </row>
    <row r="575" spans="1:33" x14ac:dyDescent="0.25">
      <c r="A575" s="7"/>
      <c r="B575" s="8"/>
      <c r="C575" s="3"/>
      <c r="D575" s="3"/>
      <c r="E575" s="3" t="e">
        <f>VLOOKUP(D575,VIAJES!$D:$E,2,FALSE)</f>
        <v>#N/A</v>
      </c>
      <c r="F575" s="9" t="e">
        <f>VLOOKUP(D575,VIAJES!$D:$F,3,FALSE)</f>
        <v>#N/A</v>
      </c>
      <c r="G575" s="9" t="e">
        <f>VLOOKUP(D575,VIAJES!$D:$G,4,FALSE)</f>
        <v>#N/A</v>
      </c>
      <c r="H575" s="3" t="e">
        <f>VLOOKUP(D575,VIAJES!$D:$H,5,FALSE)</f>
        <v>#N/A</v>
      </c>
      <c r="S575" s="3">
        <f>IFERROR(INDEX(EVENTOS!$D:$D,MATCH(SCORE!S$2&amp;" "&amp;SCORE!$D575,EVENTOS!$F:$F,0)),0)</f>
        <v>0</v>
      </c>
      <c r="T575" s="3">
        <f>IFERROR(INDEX(EVENTOS!$D:$D,MATCH(SCORE!T$2&amp;" "&amp;SCORE!$D575,EVENTOS!$F:$F,0)),0)</f>
        <v>0</v>
      </c>
      <c r="U575" s="3">
        <f>IFERROR(INDEX(EVENTOS!$D:$D,MATCH(SCORE!U$2&amp;" "&amp;SCORE!$D575,EVENTOS!$F:$F,0)),0)</f>
        <v>0</v>
      </c>
      <c r="V575" s="3">
        <f>IFERROR(INDEX(EVENTOS!$D:$D,MATCH(SCORE!V$2&amp;" "&amp;SCORE!$D575,EVENTOS!$F:$F,0)),0)</f>
        <v>0</v>
      </c>
      <c r="W575" s="3">
        <f>IFERROR(INDEX(EVENTOS!$D:$D,MATCH(SCORE!W$2&amp;" "&amp;SCORE!$D575,EVENTOS!$F:$F,0)),0)</f>
        <v>0</v>
      </c>
      <c r="X575" s="3">
        <f>IFERROR(INDEX(EVENTOS!$D:$D,MATCH(SCORE!X$2&amp;" "&amp;SCORE!$D575,EVENTOS!$F:$F,0)),0)</f>
        <v>0</v>
      </c>
      <c r="Y575" s="3">
        <f>SUMIFS(EVENTOS!$D:$D, EVENTOS!$B:$B, D575, EVENTOS!$E:$E, "*GirAlto*")</f>
        <v>0</v>
      </c>
      <c r="Z575" s="3">
        <f>SUMIFS(EVENTOS!$D:$D, EVENTOS!$B:$B, D575, EVENTOS!$E:$E, "*GirMed*")</f>
        <v>0</v>
      </c>
      <c r="AA575" s="3">
        <f>SUMIFS(EVENTOS!$D:$D, EVENTOS!$B:$B, D575, EVENTOS!$E:$E, "*GirBajo*")</f>
        <v>0</v>
      </c>
      <c r="AB575" s="3">
        <f>IFERROR(INDEX(EVENTOS!$D:$D,MATCH(SCORE!AB$2&amp;" "&amp;SCORE!$D575,EVENTOS!$F:$F,0)),0)</f>
        <v>0</v>
      </c>
      <c r="AC575" s="3">
        <f>IFERROR(INDEX(EVENTOS!$D:$D,MATCH(SCORE!AC$2&amp;" "&amp;SCORE!$D575,EVENTOS!$F:$F,0)),0)</f>
        <v>0</v>
      </c>
      <c r="AD575" s="3">
        <f>IFERROR(INDEX(EVENTOS!$D:$D,MATCH(SCORE!AD$2&amp;" "&amp;SCORE!$D575,EVENTOS!$F:$F,0)),0)</f>
        <v>0</v>
      </c>
      <c r="AE575" s="3">
        <f t="shared" si="24"/>
        <v>0</v>
      </c>
      <c r="AF575" s="10" t="e">
        <f t="shared" si="25"/>
        <v>#N/A</v>
      </c>
      <c r="AG575" s="3" t="str">
        <f t="shared" si="26"/>
        <v/>
      </c>
    </row>
    <row r="576" spans="1:33" x14ac:dyDescent="0.25">
      <c r="A576" s="7"/>
      <c r="B576" s="8"/>
      <c r="C576" s="3"/>
      <c r="D576" s="3"/>
      <c r="E576" s="3" t="e">
        <f>VLOOKUP(D576,VIAJES!$D:$E,2,FALSE)</f>
        <v>#N/A</v>
      </c>
      <c r="F576" s="9" t="e">
        <f>VLOOKUP(D576,VIAJES!$D:$F,3,FALSE)</f>
        <v>#N/A</v>
      </c>
      <c r="G576" s="9" t="e">
        <f>VLOOKUP(D576,VIAJES!$D:$G,4,FALSE)</f>
        <v>#N/A</v>
      </c>
      <c r="H576" s="3" t="e">
        <f>VLOOKUP(D576,VIAJES!$D:$H,5,FALSE)</f>
        <v>#N/A</v>
      </c>
      <c r="S576" s="3">
        <f>IFERROR(INDEX(EVENTOS!$D:$D,MATCH(SCORE!S$2&amp;" "&amp;SCORE!$D576,EVENTOS!$F:$F,0)),0)</f>
        <v>0</v>
      </c>
      <c r="T576" s="3">
        <f>IFERROR(INDEX(EVENTOS!$D:$D,MATCH(SCORE!T$2&amp;" "&amp;SCORE!$D576,EVENTOS!$F:$F,0)),0)</f>
        <v>0</v>
      </c>
      <c r="U576" s="3">
        <f>IFERROR(INDEX(EVENTOS!$D:$D,MATCH(SCORE!U$2&amp;" "&amp;SCORE!$D576,EVENTOS!$F:$F,0)),0)</f>
        <v>0</v>
      </c>
      <c r="V576" s="3">
        <f>IFERROR(INDEX(EVENTOS!$D:$D,MATCH(SCORE!V$2&amp;" "&amp;SCORE!$D576,EVENTOS!$F:$F,0)),0)</f>
        <v>0</v>
      </c>
      <c r="W576" s="3">
        <f>IFERROR(INDEX(EVENTOS!$D:$D,MATCH(SCORE!W$2&amp;" "&amp;SCORE!$D576,EVENTOS!$F:$F,0)),0)</f>
        <v>0</v>
      </c>
      <c r="X576" s="3">
        <f>IFERROR(INDEX(EVENTOS!$D:$D,MATCH(SCORE!X$2&amp;" "&amp;SCORE!$D576,EVENTOS!$F:$F,0)),0)</f>
        <v>0</v>
      </c>
      <c r="Y576" s="3">
        <f>SUMIFS(EVENTOS!$D:$D, EVENTOS!$B:$B, D576, EVENTOS!$E:$E, "*GirAlto*")</f>
        <v>0</v>
      </c>
      <c r="Z576" s="3">
        <f>SUMIFS(EVENTOS!$D:$D, EVENTOS!$B:$B, D576, EVENTOS!$E:$E, "*GirMed*")</f>
        <v>0</v>
      </c>
      <c r="AA576" s="3">
        <f>SUMIFS(EVENTOS!$D:$D, EVENTOS!$B:$B, D576, EVENTOS!$E:$E, "*GirBajo*")</f>
        <v>0</v>
      </c>
      <c r="AB576" s="3">
        <f>IFERROR(INDEX(EVENTOS!$D:$D,MATCH(SCORE!AB$2&amp;" "&amp;SCORE!$D576,EVENTOS!$F:$F,0)),0)</f>
        <v>0</v>
      </c>
      <c r="AC576" s="3">
        <f>IFERROR(INDEX(EVENTOS!$D:$D,MATCH(SCORE!AC$2&amp;" "&amp;SCORE!$D576,EVENTOS!$F:$F,0)),0)</f>
        <v>0</v>
      </c>
      <c r="AD576" s="3">
        <f>IFERROR(INDEX(EVENTOS!$D:$D,MATCH(SCORE!AD$2&amp;" "&amp;SCORE!$D576,EVENTOS!$F:$F,0)),0)</f>
        <v>0</v>
      </c>
      <c r="AE576" s="3">
        <f t="shared" si="24"/>
        <v>0</v>
      </c>
      <c r="AF576" s="10" t="e">
        <f t="shared" si="25"/>
        <v>#N/A</v>
      </c>
      <c r="AG576" s="3" t="str">
        <f t="shared" si="26"/>
        <v/>
      </c>
    </row>
    <row r="577" spans="1:33" x14ac:dyDescent="0.25">
      <c r="A577" s="7"/>
      <c r="B577" s="8"/>
      <c r="C577" s="3"/>
      <c r="D577" s="3"/>
      <c r="E577" s="3" t="e">
        <f>VLOOKUP(D577,VIAJES!$D:$E,2,FALSE)</f>
        <v>#N/A</v>
      </c>
      <c r="F577" s="9" t="e">
        <f>VLOOKUP(D577,VIAJES!$D:$F,3,FALSE)</f>
        <v>#N/A</v>
      </c>
      <c r="G577" s="9" t="e">
        <f>VLOOKUP(D577,VIAJES!$D:$G,4,FALSE)</f>
        <v>#N/A</v>
      </c>
      <c r="H577" s="3" t="e">
        <f>VLOOKUP(D577,VIAJES!$D:$H,5,FALSE)</f>
        <v>#N/A</v>
      </c>
      <c r="S577" s="3">
        <f>IFERROR(INDEX(EVENTOS!$D:$D,MATCH(SCORE!S$2&amp;" "&amp;SCORE!$D577,EVENTOS!$F:$F,0)),0)</f>
        <v>0</v>
      </c>
      <c r="T577" s="3">
        <f>IFERROR(INDEX(EVENTOS!$D:$D,MATCH(SCORE!T$2&amp;" "&amp;SCORE!$D577,EVENTOS!$F:$F,0)),0)</f>
        <v>0</v>
      </c>
      <c r="U577" s="3">
        <f>IFERROR(INDEX(EVENTOS!$D:$D,MATCH(SCORE!U$2&amp;" "&amp;SCORE!$D577,EVENTOS!$F:$F,0)),0)</f>
        <v>0</v>
      </c>
      <c r="V577" s="3">
        <f>IFERROR(INDEX(EVENTOS!$D:$D,MATCH(SCORE!V$2&amp;" "&amp;SCORE!$D577,EVENTOS!$F:$F,0)),0)</f>
        <v>0</v>
      </c>
      <c r="W577" s="3">
        <f>IFERROR(INDEX(EVENTOS!$D:$D,MATCH(SCORE!W$2&amp;" "&amp;SCORE!$D577,EVENTOS!$F:$F,0)),0)</f>
        <v>0</v>
      </c>
      <c r="X577" s="3">
        <f>IFERROR(INDEX(EVENTOS!$D:$D,MATCH(SCORE!X$2&amp;" "&amp;SCORE!$D577,EVENTOS!$F:$F,0)),0)</f>
        <v>0</v>
      </c>
      <c r="Y577" s="3">
        <f>SUMIFS(EVENTOS!$D:$D, EVENTOS!$B:$B, D577, EVENTOS!$E:$E, "*GirAlto*")</f>
        <v>0</v>
      </c>
      <c r="Z577" s="3">
        <f>SUMIFS(EVENTOS!$D:$D, EVENTOS!$B:$B, D577, EVENTOS!$E:$E, "*GirMed*")</f>
        <v>0</v>
      </c>
      <c r="AA577" s="3">
        <f>SUMIFS(EVENTOS!$D:$D, EVENTOS!$B:$B, D577, EVENTOS!$E:$E, "*GirBajo*")</f>
        <v>0</v>
      </c>
      <c r="AB577" s="3">
        <f>IFERROR(INDEX(EVENTOS!$D:$D,MATCH(SCORE!AB$2&amp;" "&amp;SCORE!$D577,EVENTOS!$F:$F,0)),0)</f>
        <v>0</v>
      </c>
      <c r="AC577" s="3">
        <f>IFERROR(INDEX(EVENTOS!$D:$D,MATCH(SCORE!AC$2&amp;" "&amp;SCORE!$D577,EVENTOS!$F:$F,0)),0)</f>
        <v>0</v>
      </c>
      <c r="AD577" s="3">
        <f>IFERROR(INDEX(EVENTOS!$D:$D,MATCH(SCORE!AD$2&amp;" "&amp;SCORE!$D577,EVENTOS!$F:$F,0)),0)</f>
        <v>0</v>
      </c>
      <c r="AE577" s="3">
        <f t="shared" si="24"/>
        <v>0</v>
      </c>
      <c r="AF577" s="10" t="e">
        <f t="shared" si="25"/>
        <v>#N/A</v>
      </c>
      <c r="AG577" s="3" t="str">
        <f t="shared" si="26"/>
        <v/>
      </c>
    </row>
    <row r="578" spans="1:33" x14ac:dyDescent="0.25">
      <c r="A578" s="7"/>
      <c r="B578" s="8"/>
      <c r="C578" s="3"/>
      <c r="D578" s="3"/>
      <c r="E578" s="3" t="e">
        <f>VLOOKUP(D578,VIAJES!$D:$E,2,FALSE)</f>
        <v>#N/A</v>
      </c>
      <c r="F578" s="9" t="e">
        <f>VLOOKUP(D578,VIAJES!$D:$F,3,FALSE)</f>
        <v>#N/A</v>
      </c>
      <c r="G578" s="9" t="e">
        <f>VLOOKUP(D578,VIAJES!$D:$G,4,FALSE)</f>
        <v>#N/A</v>
      </c>
      <c r="H578" s="3" t="e">
        <f>VLOOKUP(D578,VIAJES!$D:$H,5,FALSE)</f>
        <v>#N/A</v>
      </c>
      <c r="S578" s="3">
        <f>IFERROR(INDEX(EVENTOS!$D:$D,MATCH(SCORE!S$2&amp;" "&amp;SCORE!$D578,EVENTOS!$F:$F,0)),0)</f>
        <v>0</v>
      </c>
      <c r="T578" s="3">
        <f>IFERROR(INDEX(EVENTOS!$D:$D,MATCH(SCORE!T$2&amp;" "&amp;SCORE!$D578,EVENTOS!$F:$F,0)),0)</f>
        <v>0</v>
      </c>
      <c r="U578" s="3">
        <f>IFERROR(INDEX(EVENTOS!$D:$D,MATCH(SCORE!U$2&amp;" "&amp;SCORE!$D578,EVENTOS!$F:$F,0)),0)</f>
        <v>0</v>
      </c>
      <c r="V578" s="3">
        <f>IFERROR(INDEX(EVENTOS!$D:$D,MATCH(SCORE!V$2&amp;" "&amp;SCORE!$D578,EVENTOS!$F:$F,0)),0)</f>
        <v>0</v>
      </c>
      <c r="W578" s="3">
        <f>IFERROR(INDEX(EVENTOS!$D:$D,MATCH(SCORE!W$2&amp;" "&amp;SCORE!$D578,EVENTOS!$F:$F,0)),0)</f>
        <v>0</v>
      </c>
      <c r="X578" s="3">
        <f>IFERROR(INDEX(EVENTOS!$D:$D,MATCH(SCORE!X$2&amp;" "&amp;SCORE!$D578,EVENTOS!$F:$F,0)),0)</f>
        <v>0</v>
      </c>
      <c r="Y578" s="3">
        <f>SUMIFS(EVENTOS!$D:$D, EVENTOS!$B:$B, D578, EVENTOS!$E:$E, "*GirAlto*")</f>
        <v>0</v>
      </c>
      <c r="Z578" s="3">
        <f>SUMIFS(EVENTOS!$D:$D, EVENTOS!$B:$B, D578, EVENTOS!$E:$E, "*GirMed*")</f>
        <v>0</v>
      </c>
      <c r="AA578" s="3">
        <f>SUMIFS(EVENTOS!$D:$D, EVENTOS!$B:$B, D578, EVENTOS!$E:$E, "*GirBajo*")</f>
        <v>0</v>
      </c>
      <c r="AB578" s="3">
        <f>IFERROR(INDEX(EVENTOS!$D:$D,MATCH(SCORE!AB$2&amp;" "&amp;SCORE!$D578,EVENTOS!$F:$F,0)),0)</f>
        <v>0</v>
      </c>
      <c r="AC578" s="3">
        <f>IFERROR(INDEX(EVENTOS!$D:$D,MATCH(SCORE!AC$2&amp;" "&amp;SCORE!$D578,EVENTOS!$F:$F,0)),0)</f>
        <v>0</v>
      </c>
      <c r="AD578" s="3">
        <f>IFERROR(INDEX(EVENTOS!$D:$D,MATCH(SCORE!AD$2&amp;" "&amp;SCORE!$D578,EVENTOS!$F:$F,0)),0)</f>
        <v>0</v>
      </c>
      <c r="AE578" s="3">
        <f t="shared" si="24"/>
        <v>0</v>
      </c>
      <c r="AF578" s="10" t="e">
        <f t="shared" si="25"/>
        <v>#N/A</v>
      </c>
      <c r="AG578" s="3" t="str">
        <f t="shared" si="26"/>
        <v/>
      </c>
    </row>
    <row r="579" spans="1:33" x14ac:dyDescent="0.25">
      <c r="A579" s="7"/>
      <c r="B579" s="8"/>
      <c r="C579" s="3"/>
      <c r="D579" s="3"/>
      <c r="E579" s="3" t="e">
        <f>VLOOKUP(D579,VIAJES!$D:$E,2,FALSE)</f>
        <v>#N/A</v>
      </c>
      <c r="F579" s="9" t="e">
        <f>VLOOKUP(D579,VIAJES!$D:$F,3,FALSE)</f>
        <v>#N/A</v>
      </c>
      <c r="G579" s="9" t="e">
        <f>VLOOKUP(D579,VIAJES!$D:$G,4,FALSE)</f>
        <v>#N/A</v>
      </c>
      <c r="H579" s="3" t="e">
        <f>VLOOKUP(D579,VIAJES!$D:$H,5,FALSE)</f>
        <v>#N/A</v>
      </c>
      <c r="S579" s="3">
        <f>IFERROR(INDEX(EVENTOS!$D:$D,MATCH(SCORE!S$2&amp;" "&amp;SCORE!$D579,EVENTOS!$F:$F,0)),0)</f>
        <v>0</v>
      </c>
      <c r="T579" s="3">
        <f>IFERROR(INDEX(EVENTOS!$D:$D,MATCH(SCORE!T$2&amp;" "&amp;SCORE!$D579,EVENTOS!$F:$F,0)),0)</f>
        <v>0</v>
      </c>
      <c r="U579" s="3">
        <f>IFERROR(INDEX(EVENTOS!$D:$D,MATCH(SCORE!U$2&amp;" "&amp;SCORE!$D579,EVENTOS!$F:$F,0)),0)</f>
        <v>0</v>
      </c>
      <c r="V579" s="3">
        <f>IFERROR(INDEX(EVENTOS!$D:$D,MATCH(SCORE!V$2&amp;" "&amp;SCORE!$D579,EVENTOS!$F:$F,0)),0)</f>
        <v>0</v>
      </c>
      <c r="W579" s="3">
        <f>IFERROR(INDEX(EVENTOS!$D:$D,MATCH(SCORE!W$2&amp;" "&amp;SCORE!$D579,EVENTOS!$F:$F,0)),0)</f>
        <v>0</v>
      </c>
      <c r="X579" s="3">
        <f>IFERROR(INDEX(EVENTOS!$D:$D,MATCH(SCORE!X$2&amp;" "&amp;SCORE!$D579,EVENTOS!$F:$F,0)),0)</f>
        <v>0</v>
      </c>
      <c r="Y579" s="3">
        <f>SUMIFS(EVENTOS!$D:$D, EVENTOS!$B:$B, D579, EVENTOS!$E:$E, "*GirAlto*")</f>
        <v>0</v>
      </c>
      <c r="Z579" s="3">
        <f>SUMIFS(EVENTOS!$D:$D, EVENTOS!$B:$B, D579, EVENTOS!$E:$E, "*GirMed*")</f>
        <v>0</v>
      </c>
      <c r="AA579" s="3">
        <f>SUMIFS(EVENTOS!$D:$D, EVENTOS!$B:$B, D579, EVENTOS!$E:$E, "*GirBajo*")</f>
        <v>0</v>
      </c>
      <c r="AB579" s="3">
        <f>IFERROR(INDEX(EVENTOS!$D:$D,MATCH(SCORE!AB$2&amp;" "&amp;SCORE!$D579,EVENTOS!$F:$F,0)),0)</f>
        <v>0</v>
      </c>
      <c r="AC579" s="3">
        <f>IFERROR(INDEX(EVENTOS!$D:$D,MATCH(SCORE!AC$2&amp;" "&amp;SCORE!$D579,EVENTOS!$F:$F,0)),0)</f>
        <v>0</v>
      </c>
      <c r="AD579" s="3">
        <f>IFERROR(INDEX(EVENTOS!$D:$D,MATCH(SCORE!AD$2&amp;" "&amp;SCORE!$D579,EVENTOS!$F:$F,0)),0)</f>
        <v>0</v>
      </c>
      <c r="AE579" s="3">
        <f t="shared" ref="AE579:AE642" si="27">((S579+V579+Y579+AB579)*50)+((T579+W579+Z579+AC579)*25)+((U579+X579+AA579+AD579)*5)</f>
        <v>0</v>
      </c>
      <c r="AF579" s="10" t="e">
        <f t="shared" ref="AF579:AF642" si="28">AE579/(G579*24)*100</f>
        <v>#N/A</v>
      </c>
      <c r="AG579" s="3" t="str">
        <f t="shared" ref="AG579:AG642" si="29">IF(D579&lt;&gt;"",IF(AF579&gt;=30000,5,ROUNDDOWN((((5-95)*(AF579-0))/(30000-0))+95,0)),"")</f>
        <v/>
      </c>
    </row>
    <row r="580" spans="1:33" x14ac:dyDescent="0.25">
      <c r="A580" s="7"/>
      <c r="B580" s="8"/>
      <c r="C580" s="3"/>
      <c r="D580" s="3"/>
      <c r="E580" s="3" t="e">
        <f>VLOOKUP(D580,VIAJES!$D:$E,2,FALSE)</f>
        <v>#N/A</v>
      </c>
      <c r="F580" s="9" t="e">
        <f>VLOOKUP(D580,VIAJES!$D:$F,3,FALSE)</f>
        <v>#N/A</v>
      </c>
      <c r="G580" s="9" t="e">
        <f>VLOOKUP(D580,VIAJES!$D:$G,4,FALSE)</f>
        <v>#N/A</v>
      </c>
      <c r="H580" s="3" t="e">
        <f>VLOOKUP(D580,VIAJES!$D:$H,5,FALSE)</f>
        <v>#N/A</v>
      </c>
      <c r="S580" s="3">
        <f>IFERROR(INDEX(EVENTOS!$D:$D,MATCH(SCORE!S$2&amp;" "&amp;SCORE!$D580,EVENTOS!$F:$F,0)),0)</f>
        <v>0</v>
      </c>
      <c r="T580" s="3">
        <f>IFERROR(INDEX(EVENTOS!$D:$D,MATCH(SCORE!T$2&amp;" "&amp;SCORE!$D580,EVENTOS!$F:$F,0)),0)</f>
        <v>0</v>
      </c>
      <c r="U580" s="3">
        <f>IFERROR(INDEX(EVENTOS!$D:$D,MATCH(SCORE!U$2&amp;" "&amp;SCORE!$D580,EVENTOS!$F:$F,0)),0)</f>
        <v>0</v>
      </c>
      <c r="V580" s="3">
        <f>IFERROR(INDEX(EVENTOS!$D:$D,MATCH(SCORE!V$2&amp;" "&amp;SCORE!$D580,EVENTOS!$F:$F,0)),0)</f>
        <v>0</v>
      </c>
      <c r="W580" s="3">
        <f>IFERROR(INDEX(EVENTOS!$D:$D,MATCH(SCORE!W$2&amp;" "&amp;SCORE!$D580,EVENTOS!$F:$F,0)),0)</f>
        <v>0</v>
      </c>
      <c r="X580" s="3">
        <f>IFERROR(INDEX(EVENTOS!$D:$D,MATCH(SCORE!X$2&amp;" "&amp;SCORE!$D580,EVENTOS!$F:$F,0)),0)</f>
        <v>0</v>
      </c>
      <c r="Y580" s="3">
        <f>SUMIFS(EVENTOS!$D:$D, EVENTOS!$B:$B, D580, EVENTOS!$E:$E, "*GirAlto*")</f>
        <v>0</v>
      </c>
      <c r="Z580" s="3">
        <f>SUMIFS(EVENTOS!$D:$D, EVENTOS!$B:$B, D580, EVENTOS!$E:$E, "*GirMed*")</f>
        <v>0</v>
      </c>
      <c r="AA580" s="3">
        <f>SUMIFS(EVENTOS!$D:$D, EVENTOS!$B:$B, D580, EVENTOS!$E:$E, "*GirBajo*")</f>
        <v>0</v>
      </c>
      <c r="AB580" s="3">
        <f>IFERROR(INDEX(EVENTOS!$D:$D,MATCH(SCORE!AB$2&amp;" "&amp;SCORE!$D580,EVENTOS!$F:$F,0)),0)</f>
        <v>0</v>
      </c>
      <c r="AC580" s="3">
        <f>IFERROR(INDEX(EVENTOS!$D:$D,MATCH(SCORE!AC$2&amp;" "&amp;SCORE!$D580,EVENTOS!$F:$F,0)),0)</f>
        <v>0</v>
      </c>
      <c r="AD580" s="3">
        <f>IFERROR(INDEX(EVENTOS!$D:$D,MATCH(SCORE!AD$2&amp;" "&amp;SCORE!$D580,EVENTOS!$F:$F,0)),0)</f>
        <v>0</v>
      </c>
      <c r="AE580" s="3">
        <f t="shared" si="27"/>
        <v>0</v>
      </c>
      <c r="AF580" s="10" t="e">
        <f t="shared" si="28"/>
        <v>#N/A</v>
      </c>
      <c r="AG580" s="3" t="str">
        <f t="shared" si="29"/>
        <v/>
      </c>
    </row>
    <row r="581" spans="1:33" x14ac:dyDescent="0.25">
      <c r="A581" s="7"/>
      <c r="B581" s="8"/>
      <c r="C581" s="3"/>
      <c r="D581" s="3"/>
      <c r="E581" s="3" t="e">
        <f>VLOOKUP(D581,VIAJES!$D:$E,2,FALSE)</f>
        <v>#N/A</v>
      </c>
      <c r="F581" s="9" t="e">
        <f>VLOOKUP(D581,VIAJES!$D:$F,3,FALSE)</f>
        <v>#N/A</v>
      </c>
      <c r="G581" s="9" t="e">
        <f>VLOOKUP(D581,VIAJES!$D:$G,4,FALSE)</f>
        <v>#N/A</v>
      </c>
      <c r="H581" s="3" t="e">
        <f>VLOOKUP(D581,VIAJES!$D:$H,5,FALSE)</f>
        <v>#N/A</v>
      </c>
      <c r="S581" s="3">
        <f>IFERROR(INDEX(EVENTOS!$D:$D,MATCH(SCORE!S$2&amp;" "&amp;SCORE!$D581,EVENTOS!$F:$F,0)),0)</f>
        <v>0</v>
      </c>
      <c r="T581" s="3">
        <f>IFERROR(INDEX(EVENTOS!$D:$D,MATCH(SCORE!T$2&amp;" "&amp;SCORE!$D581,EVENTOS!$F:$F,0)),0)</f>
        <v>0</v>
      </c>
      <c r="U581" s="3">
        <f>IFERROR(INDEX(EVENTOS!$D:$D,MATCH(SCORE!U$2&amp;" "&amp;SCORE!$D581,EVENTOS!$F:$F,0)),0)</f>
        <v>0</v>
      </c>
      <c r="V581" s="3">
        <f>IFERROR(INDEX(EVENTOS!$D:$D,MATCH(SCORE!V$2&amp;" "&amp;SCORE!$D581,EVENTOS!$F:$F,0)),0)</f>
        <v>0</v>
      </c>
      <c r="W581" s="3">
        <f>IFERROR(INDEX(EVENTOS!$D:$D,MATCH(SCORE!W$2&amp;" "&amp;SCORE!$D581,EVENTOS!$F:$F,0)),0)</f>
        <v>0</v>
      </c>
      <c r="X581" s="3">
        <f>IFERROR(INDEX(EVENTOS!$D:$D,MATCH(SCORE!X$2&amp;" "&amp;SCORE!$D581,EVENTOS!$F:$F,0)),0)</f>
        <v>0</v>
      </c>
      <c r="Y581" s="3">
        <f>SUMIFS(EVENTOS!$D:$D, EVENTOS!$B:$B, D581, EVENTOS!$E:$E, "*GirAlto*")</f>
        <v>0</v>
      </c>
      <c r="Z581" s="3">
        <f>SUMIFS(EVENTOS!$D:$D, EVENTOS!$B:$B, D581, EVENTOS!$E:$E, "*GirMed*")</f>
        <v>0</v>
      </c>
      <c r="AA581" s="3">
        <f>SUMIFS(EVENTOS!$D:$D, EVENTOS!$B:$B, D581, EVENTOS!$E:$E, "*GirBajo*")</f>
        <v>0</v>
      </c>
      <c r="AB581" s="3">
        <f>IFERROR(INDEX(EVENTOS!$D:$D,MATCH(SCORE!AB$2&amp;" "&amp;SCORE!$D581,EVENTOS!$F:$F,0)),0)</f>
        <v>0</v>
      </c>
      <c r="AC581" s="3">
        <f>IFERROR(INDEX(EVENTOS!$D:$D,MATCH(SCORE!AC$2&amp;" "&amp;SCORE!$D581,EVENTOS!$F:$F,0)),0)</f>
        <v>0</v>
      </c>
      <c r="AD581" s="3">
        <f>IFERROR(INDEX(EVENTOS!$D:$D,MATCH(SCORE!AD$2&amp;" "&amp;SCORE!$D581,EVENTOS!$F:$F,0)),0)</f>
        <v>0</v>
      </c>
      <c r="AE581" s="3">
        <f t="shared" si="27"/>
        <v>0</v>
      </c>
      <c r="AF581" s="10" t="e">
        <f t="shared" si="28"/>
        <v>#N/A</v>
      </c>
      <c r="AG581" s="3" t="str">
        <f t="shared" si="29"/>
        <v/>
      </c>
    </row>
    <row r="582" spans="1:33" x14ac:dyDescent="0.25">
      <c r="A582" s="7"/>
      <c r="B582" s="8"/>
      <c r="C582" s="3"/>
      <c r="D582" s="3"/>
      <c r="E582" s="3" t="e">
        <f>VLOOKUP(D582,VIAJES!$D:$E,2,FALSE)</f>
        <v>#N/A</v>
      </c>
      <c r="F582" s="9" t="e">
        <f>VLOOKUP(D582,VIAJES!$D:$F,3,FALSE)</f>
        <v>#N/A</v>
      </c>
      <c r="G582" s="9" t="e">
        <f>VLOOKUP(D582,VIAJES!$D:$G,4,FALSE)</f>
        <v>#N/A</v>
      </c>
      <c r="H582" s="3" t="e">
        <f>VLOOKUP(D582,VIAJES!$D:$H,5,FALSE)</f>
        <v>#N/A</v>
      </c>
      <c r="S582" s="3">
        <f>IFERROR(INDEX(EVENTOS!$D:$D,MATCH(SCORE!S$2&amp;" "&amp;SCORE!$D582,EVENTOS!$F:$F,0)),0)</f>
        <v>0</v>
      </c>
      <c r="T582" s="3">
        <f>IFERROR(INDEX(EVENTOS!$D:$D,MATCH(SCORE!T$2&amp;" "&amp;SCORE!$D582,EVENTOS!$F:$F,0)),0)</f>
        <v>0</v>
      </c>
      <c r="U582" s="3">
        <f>IFERROR(INDEX(EVENTOS!$D:$D,MATCH(SCORE!U$2&amp;" "&amp;SCORE!$D582,EVENTOS!$F:$F,0)),0)</f>
        <v>0</v>
      </c>
      <c r="V582" s="3">
        <f>IFERROR(INDEX(EVENTOS!$D:$D,MATCH(SCORE!V$2&amp;" "&amp;SCORE!$D582,EVENTOS!$F:$F,0)),0)</f>
        <v>0</v>
      </c>
      <c r="W582" s="3">
        <f>IFERROR(INDEX(EVENTOS!$D:$D,MATCH(SCORE!W$2&amp;" "&amp;SCORE!$D582,EVENTOS!$F:$F,0)),0)</f>
        <v>0</v>
      </c>
      <c r="X582" s="3">
        <f>IFERROR(INDEX(EVENTOS!$D:$D,MATCH(SCORE!X$2&amp;" "&amp;SCORE!$D582,EVENTOS!$F:$F,0)),0)</f>
        <v>0</v>
      </c>
      <c r="Y582" s="3">
        <f>SUMIFS(EVENTOS!$D:$D, EVENTOS!$B:$B, D582, EVENTOS!$E:$E, "*GirAlto*")</f>
        <v>0</v>
      </c>
      <c r="Z582" s="3">
        <f>SUMIFS(EVENTOS!$D:$D, EVENTOS!$B:$B, D582, EVENTOS!$E:$E, "*GirMed*")</f>
        <v>0</v>
      </c>
      <c r="AA582" s="3">
        <f>SUMIFS(EVENTOS!$D:$D, EVENTOS!$B:$B, D582, EVENTOS!$E:$E, "*GirBajo*")</f>
        <v>0</v>
      </c>
      <c r="AB582" s="3">
        <f>IFERROR(INDEX(EVENTOS!$D:$D,MATCH(SCORE!AB$2&amp;" "&amp;SCORE!$D582,EVENTOS!$F:$F,0)),0)</f>
        <v>0</v>
      </c>
      <c r="AC582" s="3">
        <f>IFERROR(INDEX(EVENTOS!$D:$D,MATCH(SCORE!AC$2&amp;" "&amp;SCORE!$D582,EVENTOS!$F:$F,0)),0)</f>
        <v>0</v>
      </c>
      <c r="AD582" s="3">
        <f>IFERROR(INDEX(EVENTOS!$D:$D,MATCH(SCORE!AD$2&amp;" "&amp;SCORE!$D582,EVENTOS!$F:$F,0)),0)</f>
        <v>0</v>
      </c>
      <c r="AE582" s="3">
        <f t="shared" si="27"/>
        <v>0</v>
      </c>
      <c r="AF582" s="10" t="e">
        <f t="shared" si="28"/>
        <v>#N/A</v>
      </c>
      <c r="AG582" s="3" t="str">
        <f t="shared" si="29"/>
        <v/>
      </c>
    </row>
    <row r="583" spans="1:33" x14ac:dyDescent="0.25">
      <c r="A583" s="7"/>
      <c r="B583" s="8"/>
      <c r="C583" s="3"/>
      <c r="D583" s="3"/>
      <c r="E583" s="3" t="e">
        <f>VLOOKUP(D583,VIAJES!$D:$E,2,FALSE)</f>
        <v>#N/A</v>
      </c>
      <c r="F583" s="9" t="e">
        <f>VLOOKUP(D583,VIAJES!$D:$F,3,FALSE)</f>
        <v>#N/A</v>
      </c>
      <c r="G583" s="9" t="e">
        <f>VLOOKUP(D583,VIAJES!$D:$G,4,FALSE)</f>
        <v>#N/A</v>
      </c>
      <c r="H583" s="3" t="e">
        <f>VLOOKUP(D583,VIAJES!$D:$H,5,FALSE)</f>
        <v>#N/A</v>
      </c>
      <c r="S583" s="3">
        <f>IFERROR(INDEX(EVENTOS!$D:$D,MATCH(SCORE!S$2&amp;" "&amp;SCORE!$D583,EVENTOS!$F:$F,0)),0)</f>
        <v>0</v>
      </c>
      <c r="T583" s="3">
        <f>IFERROR(INDEX(EVENTOS!$D:$D,MATCH(SCORE!T$2&amp;" "&amp;SCORE!$D583,EVENTOS!$F:$F,0)),0)</f>
        <v>0</v>
      </c>
      <c r="U583" s="3">
        <f>IFERROR(INDEX(EVENTOS!$D:$D,MATCH(SCORE!U$2&amp;" "&amp;SCORE!$D583,EVENTOS!$F:$F,0)),0)</f>
        <v>0</v>
      </c>
      <c r="V583" s="3">
        <f>IFERROR(INDEX(EVENTOS!$D:$D,MATCH(SCORE!V$2&amp;" "&amp;SCORE!$D583,EVENTOS!$F:$F,0)),0)</f>
        <v>0</v>
      </c>
      <c r="W583" s="3">
        <f>IFERROR(INDEX(EVENTOS!$D:$D,MATCH(SCORE!W$2&amp;" "&amp;SCORE!$D583,EVENTOS!$F:$F,0)),0)</f>
        <v>0</v>
      </c>
      <c r="X583" s="3">
        <f>IFERROR(INDEX(EVENTOS!$D:$D,MATCH(SCORE!X$2&amp;" "&amp;SCORE!$D583,EVENTOS!$F:$F,0)),0)</f>
        <v>0</v>
      </c>
      <c r="Y583" s="3">
        <f>SUMIFS(EVENTOS!$D:$D, EVENTOS!$B:$B, D583, EVENTOS!$E:$E, "*GirAlto*")</f>
        <v>0</v>
      </c>
      <c r="Z583" s="3">
        <f>SUMIFS(EVENTOS!$D:$D, EVENTOS!$B:$B, D583, EVENTOS!$E:$E, "*GirMed*")</f>
        <v>0</v>
      </c>
      <c r="AA583" s="3">
        <f>SUMIFS(EVENTOS!$D:$D, EVENTOS!$B:$B, D583, EVENTOS!$E:$E, "*GirBajo*")</f>
        <v>0</v>
      </c>
      <c r="AB583" s="3">
        <f>IFERROR(INDEX(EVENTOS!$D:$D,MATCH(SCORE!AB$2&amp;" "&amp;SCORE!$D583,EVENTOS!$F:$F,0)),0)</f>
        <v>0</v>
      </c>
      <c r="AC583" s="3">
        <f>IFERROR(INDEX(EVENTOS!$D:$D,MATCH(SCORE!AC$2&amp;" "&amp;SCORE!$D583,EVENTOS!$F:$F,0)),0)</f>
        <v>0</v>
      </c>
      <c r="AD583" s="3">
        <f>IFERROR(INDEX(EVENTOS!$D:$D,MATCH(SCORE!AD$2&amp;" "&amp;SCORE!$D583,EVENTOS!$F:$F,0)),0)</f>
        <v>0</v>
      </c>
      <c r="AE583" s="3">
        <f t="shared" si="27"/>
        <v>0</v>
      </c>
      <c r="AF583" s="10" t="e">
        <f t="shared" si="28"/>
        <v>#N/A</v>
      </c>
      <c r="AG583" s="3" t="str">
        <f t="shared" si="29"/>
        <v/>
      </c>
    </row>
    <row r="584" spans="1:33" x14ac:dyDescent="0.25">
      <c r="A584" s="7"/>
      <c r="B584" s="8"/>
      <c r="C584" s="3"/>
      <c r="D584" s="3"/>
      <c r="E584" s="3" t="e">
        <f>VLOOKUP(D584,VIAJES!$D:$E,2,FALSE)</f>
        <v>#N/A</v>
      </c>
      <c r="F584" s="9" t="e">
        <f>VLOOKUP(D584,VIAJES!$D:$F,3,FALSE)</f>
        <v>#N/A</v>
      </c>
      <c r="G584" s="9" t="e">
        <f>VLOOKUP(D584,VIAJES!$D:$G,4,FALSE)</f>
        <v>#N/A</v>
      </c>
      <c r="H584" s="3" t="e">
        <f>VLOOKUP(D584,VIAJES!$D:$H,5,FALSE)</f>
        <v>#N/A</v>
      </c>
      <c r="S584" s="3">
        <f>IFERROR(INDEX(EVENTOS!$D:$D,MATCH(SCORE!S$2&amp;" "&amp;SCORE!$D584,EVENTOS!$F:$F,0)),0)</f>
        <v>0</v>
      </c>
      <c r="T584" s="3">
        <f>IFERROR(INDEX(EVENTOS!$D:$D,MATCH(SCORE!T$2&amp;" "&amp;SCORE!$D584,EVENTOS!$F:$F,0)),0)</f>
        <v>0</v>
      </c>
      <c r="U584" s="3">
        <f>IFERROR(INDEX(EVENTOS!$D:$D,MATCH(SCORE!U$2&amp;" "&amp;SCORE!$D584,EVENTOS!$F:$F,0)),0)</f>
        <v>0</v>
      </c>
      <c r="V584" s="3">
        <f>IFERROR(INDEX(EVENTOS!$D:$D,MATCH(SCORE!V$2&amp;" "&amp;SCORE!$D584,EVENTOS!$F:$F,0)),0)</f>
        <v>0</v>
      </c>
      <c r="W584" s="3">
        <f>IFERROR(INDEX(EVENTOS!$D:$D,MATCH(SCORE!W$2&amp;" "&amp;SCORE!$D584,EVENTOS!$F:$F,0)),0)</f>
        <v>0</v>
      </c>
      <c r="X584" s="3">
        <f>IFERROR(INDEX(EVENTOS!$D:$D,MATCH(SCORE!X$2&amp;" "&amp;SCORE!$D584,EVENTOS!$F:$F,0)),0)</f>
        <v>0</v>
      </c>
      <c r="Y584" s="3">
        <f>SUMIFS(EVENTOS!$D:$D, EVENTOS!$B:$B, D584, EVENTOS!$E:$E, "*GirAlto*")</f>
        <v>0</v>
      </c>
      <c r="Z584" s="3">
        <f>SUMIFS(EVENTOS!$D:$D, EVENTOS!$B:$B, D584, EVENTOS!$E:$E, "*GirMed*")</f>
        <v>0</v>
      </c>
      <c r="AA584" s="3">
        <f>SUMIFS(EVENTOS!$D:$D, EVENTOS!$B:$B, D584, EVENTOS!$E:$E, "*GirBajo*")</f>
        <v>0</v>
      </c>
      <c r="AB584" s="3">
        <f>IFERROR(INDEX(EVENTOS!$D:$D,MATCH(SCORE!AB$2&amp;" "&amp;SCORE!$D584,EVENTOS!$F:$F,0)),0)</f>
        <v>0</v>
      </c>
      <c r="AC584" s="3">
        <f>IFERROR(INDEX(EVENTOS!$D:$D,MATCH(SCORE!AC$2&amp;" "&amp;SCORE!$D584,EVENTOS!$F:$F,0)),0)</f>
        <v>0</v>
      </c>
      <c r="AD584" s="3">
        <f>IFERROR(INDEX(EVENTOS!$D:$D,MATCH(SCORE!AD$2&amp;" "&amp;SCORE!$D584,EVENTOS!$F:$F,0)),0)</f>
        <v>0</v>
      </c>
      <c r="AE584" s="3">
        <f t="shared" si="27"/>
        <v>0</v>
      </c>
      <c r="AF584" s="10" t="e">
        <f t="shared" si="28"/>
        <v>#N/A</v>
      </c>
      <c r="AG584" s="3" t="str">
        <f t="shared" si="29"/>
        <v/>
      </c>
    </row>
    <row r="585" spans="1:33" x14ac:dyDescent="0.25">
      <c r="A585" s="7"/>
      <c r="B585" s="8"/>
      <c r="C585" s="3"/>
      <c r="D585" s="3"/>
      <c r="E585" s="3" t="e">
        <f>VLOOKUP(D585,VIAJES!$D:$E,2,FALSE)</f>
        <v>#N/A</v>
      </c>
      <c r="F585" s="9" t="e">
        <f>VLOOKUP(D585,VIAJES!$D:$F,3,FALSE)</f>
        <v>#N/A</v>
      </c>
      <c r="G585" s="9" t="e">
        <f>VLOOKUP(D585,VIAJES!$D:$G,4,FALSE)</f>
        <v>#N/A</v>
      </c>
      <c r="H585" s="3" t="e">
        <f>VLOOKUP(D585,VIAJES!$D:$H,5,FALSE)</f>
        <v>#N/A</v>
      </c>
      <c r="S585" s="3">
        <f>IFERROR(INDEX(EVENTOS!$D:$D,MATCH(SCORE!S$2&amp;" "&amp;SCORE!$D585,EVENTOS!$F:$F,0)),0)</f>
        <v>0</v>
      </c>
      <c r="T585" s="3">
        <f>IFERROR(INDEX(EVENTOS!$D:$D,MATCH(SCORE!T$2&amp;" "&amp;SCORE!$D585,EVENTOS!$F:$F,0)),0)</f>
        <v>0</v>
      </c>
      <c r="U585" s="3">
        <f>IFERROR(INDEX(EVENTOS!$D:$D,MATCH(SCORE!U$2&amp;" "&amp;SCORE!$D585,EVENTOS!$F:$F,0)),0)</f>
        <v>0</v>
      </c>
      <c r="V585" s="3">
        <f>IFERROR(INDEX(EVENTOS!$D:$D,MATCH(SCORE!V$2&amp;" "&amp;SCORE!$D585,EVENTOS!$F:$F,0)),0)</f>
        <v>0</v>
      </c>
      <c r="W585" s="3">
        <f>IFERROR(INDEX(EVENTOS!$D:$D,MATCH(SCORE!W$2&amp;" "&amp;SCORE!$D585,EVENTOS!$F:$F,0)),0)</f>
        <v>0</v>
      </c>
      <c r="X585" s="3">
        <f>IFERROR(INDEX(EVENTOS!$D:$D,MATCH(SCORE!X$2&amp;" "&amp;SCORE!$D585,EVENTOS!$F:$F,0)),0)</f>
        <v>0</v>
      </c>
      <c r="Y585" s="3">
        <f>SUMIFS(EVENTOS!$D:$D, EVENTOS!$B:$B, D585, EVENTOS!$E:$E, "*GirAlto*")</f>
        <v>0</v>
      </c>
      <c r="Z585" s="3">
        <f>SUMIFS(EVENTOS!$D:$D, EVENTOS!$B:$B, D585, EVENTOS!$E:$E, "*GirMed*")</f>
        <v>0</v>
      </c>
      <c r="AA585" s="3">
        <f>SUMIFS(EVENTOS!$D:$D, EVENTOS!$B:$B, D585, EVENTOS!$E:$E, "*GirBajo*")</f>
        <v>0</v>
      </c>
      <c r="AB585" s="3">
        <f>IFERROR(INDEX(EVENTOS!$D:$D,MATCH(SCORE!AB$2&amp;" "&amp;SCORE!$D585,EVENTOS!$F:$F,0)),0)</f>
        <v>0</v>
      </c>
      <c r="AC585" s="3">
        <f>IFERROR(INDEX(EVENTOS!$D:$D,MATCH(SCORE!AC$2&amp;" "&amp;SCORE!$D585,EVENTOS!$F:$F,0)),0)</f>
        <v>0</v>
      </c>
      <c r="AD585" s="3">
        <f>IFERROR(INDEX(EVENTOS!$D:$D,MATCH(SCORE!AD$2&amp;" "&amp;SCORE!$D585,EVENTOS!$F:$F,0)),0)</f>
        <v>0</v>
      </c>
      <c r="AE585" s="3">
        <f t="shared" si="27"/>
        <v>0</v>
      </c>
      <c r="AF585" s="10" t="e">
        <f t="shared" si="28"/>
        <v>#N/A</v>
      </c>
      <c r="AG585" s="3" t="str">
        <f t="shared" si="29"/>
        <v/>
      </c>
    </row>
    <row r="586" spans="1:33" x14ac:dyDescent="0.25">
      <c r="A586" s="7"/>
      <c r="B586" s="8"/>
      <c r="C586" s="3"/>
      <c r="D586" s="3"/>
      <c r="E586" s="3" t="e">
        <f>VLOOKUP(D586,VIAJES!$D:$E,2,FALSE)</f>
        <v>#N/A</v>
      </c>
      <c r="F586" s="9" t="e">
        <f>VLOOKUP(D586,VIAJES!$D:$F,3,FALSE)</f>
        <v>#N/A</v>
      </c>
      <c r="G586" s="9" t="e">
        <f>VLOOKUP(D586,VIAJES!$D:$G,4,FALSE)</f>
        <v>#N/A</v>
      </c>
      <c r="H586" s="3" t="e">
        <f>VLOOKUP(D586,VIAJES!$D:$H,5,FALSE)</f>
        <v>#N/A</v>
      </c>
      <c r="S586" s="3">
        <f>IFERROR(INDEX(EVENTOS!$D:$D,MATCH(SCORE!S$2&amp;" "&amp;SCORE!$D586,EVENTOS!$F:$F,0)),0)</f>
        <v>0</v>
      </c>
      <c r="T586" s="3">
        <f>IFERROR(INDEX(EVENTOS!$D:$D,MATCH(SCORE!T$2&amp;" "&amp;SCORE!$D586,EVENTOS!$F:$F,0)),0)</f>
        <v>0</v>
      </c>
      <c r="U586" s="3">
        <f>IFERROR(INDEX(EVENTOS!$D:$D,MATCH(SCORE!U$2&amp;" "&amp;SCORE!$D586,EVENTOS!$F:$F,0)),0)</f>
        <v>0</v>
      </c>
      <c r="V586" s="3">
        <f>IFERROR(INDEX(EVENTOS!$D:$D,MATCH(SCORE!V$2&amp;" "&amp;SCORE!$D586,EVENTOS!$F:$F,0)),0)</f>
        <v>0</v>
      </c>
      <c r="W586" s="3">
        <f>IFERROR(INDEX(EVENTOS!$D:$D,MATCH(SCORE!W$2&amp;" "&amp;SCORE!$D586,EVENTOS!$F:$F,0)),0)</f>
        <v>0</v>
      </c>
      <c r="X586" s="3">
        <f>IFERROR(INDEX(EVENTOS!$D:$D,MATCH(SCORE!X$2&amp;" "&amp;SCORE!$D586,EVENTOS!$F:$F,0)),0)</f>
        <v>0</v>
      </c>
      <c r="Y586" s="3">
        <f>SUMIFS(EVENTOS!$D:$D, EVENTOS!$B:$B, D586, EVENTOS!$E:$E, "*GirAlto*")</f>
        <v>0</v>
      </c>
      <c r="Z586" s="3">
        <f>SUMIFS(EVENTOS!$D:$D, EVENTOS!$B:$B, D586, EVENTOS!$E:$E, "*GirMed*")</f>
        <v>0</v>
      </c>
      <c r="AA586" s="3">
        <f>SUMIFS(EVENTOS!$D:$D, EVENTOS!$B:$B, D586, EVENTOS!$E:$E, "*GirBajo*")</f>
        <v>0</v>
      </c>
      <c r="AB586" s="3">
        <f>IFERROR(INDEX(EVENTOS!$D:$D,MATCH(SCORE!AB$2&amp;" "&amp;SCORE!$D586,EVENTOS!$F:$F,0)),0)</f>
        <v>0</v>
      </c>
      <c r="AC586" s="3">
        <f>IFERROR(INDEX(EVENTOS!$D:$D,MATCH(SCORE!AC$2&amp;" "&amp;SCORE!$D586,EVENTOS!$F:$F,0)),0)</f>
        <v>0</v>
      </c>
      <c r="AD586" s="3">
        <f>IFERROR(INDEX(EVENTOS!$D:$D,MATCH(SCORE!AD$2&amp;" "&amp;SCORE!$D586,EVENTOS!$F:$F,0)),0)</f>
        <v>0</v>
      </c>
      <c r="AE586" s="3">
        <f t="shared" si="27"/>
        <v>0</v>
      </c>
      <c r="AF586" s="10" t="e">
        <f t="shared" si="28"/>
        <v>#N/A</v>
      </c>
      <c r="AG586" s="3" t="str">
        <f t="shared" si="29"/>
        <v/>
      </c>
    </row>
    <row r="587" spans="1:33" x14ac:dyDescent="0.25">
      <c r="A587" s="7"/>
      <c r="B587" s="8"/>
      <c r="C587" s="3"/>
      <c r="D587" s="3"/>
      <c r="E587" s="3" t="e">
        <f>VLOOKUP(D587,VIAJES!$D:$E,2,FALSE)</f>
        <v>#N/A</v>
      </c>
      <c r="F587" s="9" t="e">
        <f>VLOOKUP(D587,VIAJES!$D:$F,3,FALSE)</f>
        <v>#N/A</v>
      </c>
      <c r="G587" s="9" t="e">
        <f>VLOOKUP(D587,VIAJES!$D:$G,4,FALSE)</f>
        <v>#N/A</v>
      </c>
      <c r="H587" s="3" t="e">
        <f>VLOOKUP(D587,VIAJES!$D:$H,5,FALSE)</f>
        <v>#N/A</v>
      </c>
      <c r="S587" s="3">
        <f>IFERROR(INDEX(EVENTOS!$D:$D,MATCH(SCORE!S$2&amp;" "&amp;SCORE!$D587,EVENTOS!$F:$F,0)),0)</f>
        <v>0</v>
      </c>
      <c r="T587" s="3">
        <f>IFERROR(INDEX(EVENTOS!$D:$D,MATCH(SCORE!T$2&amp;" "&amp;SCORE!$D587,EVENTOS!$F:$F,0)),0)</f>
        <v>0</v>
      </c>
      <c r="U587" s="3">
        <f>IFERROR(INDEX(EVENTOS!$D:$D,MATCH(SCORE!U$2&amp;" "&amp;SCORE!$D587,EVENTOS!$F:$F,0)),0)</f>
        <v>0</v>
      </c>
      <c r="V587" s="3">
        <f>IFERROR(INDEX(EVENTOS!$D:$D,MATCH(SCORE!V$2&amp;" "&amp;SCORE!$D587,EVENTOS!$F:$F,0)),0)</f>
        <v>0</v>
      </c>
      <c r="W587" s="3">
        <f>IFERROR(INDEX(EVENTOS!$D:$D,MATCH(SCORE!W$2&amp;" "&amp;SCORE!$D587,EVENTOS!$F:$F,0)),0)</f>
        <v>0</v>
      </c>
      <c r="X587" s="3">
        <f>IFERROR(INDEX(EVENTOS!$D:$D,MATCH(SCORE!X$2&amp;" "&amp;SCORE!$D587,EVENTOS!$F:$F,0)),0)</f>
        <v>0</v>
      </c>
      <c r="Y587" s="3">
        <f>SUMIFS(EVENTOS!$D:$D, EVENTOS!$B:$B, D587, EVENTOS!$E:$E, "*GirAlto*")</f>
        <v>0</v>
      </c>
      <c r="Z587" s="3">
        <f>SUMIFS(EVENTOS!$D:$D, EVENTOS!$B:$B, D587, EVENTOS!$E:$E, "*GirMed*")</f>
        <v>0</v>
      </c>
      <c r="AA587" s="3">
        <f>SUMIFS(EVENTOS!$D:$D, EVENTOS!$B:$B, D587, EVENTOS!$E:$E, "*GirBajo*")</f>
        <v>0</v>
      </c>
      <c r="AB587" s="3">
        <f>IFERROR(INDEX(EVENTOS!$D:$D,MATCH(SCORE!AB$2&amp;" "&amp;SCORE!$D587,EVENTOS!$F:$F,0)),0)</f>
        <v>0</v>
      </c>
      <c r="AC587" s="3">
        <f>IFERROR(INDEX(EVENTOS!$D:$D,MATCH(SCORE!AC$2&amp;" "&amp;SCORE!$D587,EVENTOS!$F:$F,0)),0)</f>
        <v>0</v>
      </c>
      <c r="AD587" s="3">
        <f>IFERROR(INDEX(EVENTOS!$D:$D,MATCH(SCORE!AD$2&amp;" "&amp;SCORE!$D587,EVENTOS!$F:$F,0)),0)</f>
        <v>0</v>
      </c>
      <c r="AE587" s="3">
        <f t="shared" si="27"/>
        <v>0</v>
      </c>
      <c r="AF587" s="10" t="e">
        <f t="shared" si="28"/>
        <v>#N/A</v>
      </c>
      <c r="AG587" s="3" t="str">
        <f t="shared" si="29"/>
        <v/>
      </c>
    </row>
    <row r="588" spans="1:33" x14ac:dyDescent="0.25">
      <c r="A588" s="7"/>
      <c r="B588" s="8"/>
      <c r="C588" s="3"/>
      <c r="D588" s="3"/>
      <c r="E588" s="3" t="e">
        <f>VLOOKUP(D588,VIAJES!$D:$E,2,FALSE)</f>
        <v>#N/A</v>
      </c>
      <c r="F588" s="9" t="e">
        <f>VLOOKUP(D588,VIAJES!$D:$F,3,FALSE)</f>
        <v>#N/A</v>
      </c>
      <c r="G588" s="9" t="e">
        <f>VLOOKUP(D588,VIAJES!$D:$G,4,FALSE)</f>
        <v>#N/A</v>
      </c>
      <c r="H588" s="3" t="e">
        <f>VLOOKUP(D588,VIAJES!$D:$H,5,FALSE)</f>
        <v>#N/A</v>
      </c>
      <c r="S588" s="3">
        <f>IFERROR(INDEX(EVENTOS!$D:$D,MATCH(SCORE!S$2&amp;" "&amp;SCORE!$D588,EVENTOS!$F:$F,0)),0)</f>
        <v>0</v>
      </c>
      <c r="T588" s="3">
        <f>IFERROR(INDEX(EVENTOS!$D:$D,MATCH(SCORE!T$2&amp;" "&amp;SCORE!$D588,EVENTOS!$F:$F,0)),0)</f>
        <v>0</v>
      </c>
      <c r="U588" s="3">
        <f>IFERROR(INDEX(EVENTOS!$D:$D,MATCH(SCORE!U$2&amp;" "&amp;SCORE!$D588,EVENTOS!$F:$F,0)),0)</f>
        <v>0</v>
      </c>
      <c r="V588" s="3">
        <f>IFERROR(INDEX(EVENTOS!$D:$D,MATCH(SCORE!V$2&amp;" "&amp;SCORE!$D588,EVENTOS!$F:$F,0)),0)</f>
        <v>0</v>
      </c>
      <c r="W588" s="3">
        <f>IFERROR(INDEX(EVENTOS!$D:$D,MATCH(SCORE!W$2&amp;" "&amp;SCORE!$D588,EVENTOS!$F:$F,0)),0)</f>
        <v>0</v>
      </c>
      <c r="X588" s="3">
        <f>IFERROR(INDEX(EVENTOS!$D:$D,MATCH(SCORE!X$2&amp;" "&amp;SCORE!$D588,EVENTOS!$F:$F,0)),0)</f>
        <v>0</v>
      </c>
      <c r="Y588" s="3">
        <f>SUMIFS(EVENTOS!$D:$D, EVENTOS!$B:$B, D588, EVENTOS!$E:$E, "*GirAlto*")</f>
        <v>0</v>
      </c>
      <c r="Z588" s="3">
        <f>SUMIFS(EVENTOS!$D:$D, EVENTOS!$B:$B, D588, EVENTOS!$E:$E, "*GirMed*")</f>
        <v>0</v>
      </c>
      <c r="AA588" s="3">
        <f>SUMIFS(EVENTOS!$D:$D, EVENTOS!$B:$B, D588, EVENTOS!$E:$E, "*GirBajo*")</f>
        <v>0</v>
      </c>
      <c r="AB588" s="3">
        <f>IFERROR(INDEX(EVENTOS!$D:$D,MATCH(SCORE!AB$2&amp;" "&amp;SCORE!$D588,EVENTOS!$F:$F,0)),0)</f>
        <v>0</v>
      </c>
      <c r="AC588" s="3">
        <f>IFERROR(INDEX(EVENTOS!$D:$D,MATCH(SCORE!AC$2&amp;" "&amp;SCORE!$D588,EVENTOS!$F:$F,0)),0)</f>
        <v>0</v>
      </c>
      <c r="AD588" s="3">
        <f>IFERROR(INDEX(EVENTOS!$D:$D,MATCH(SCORE!AD$2&amp;" "&amp;SCORE!$D588,EVENTOS!$F:$F,0)),0)</f>
        <v>0</v>
      </c>
      <c r="AE588" s="3">
        <f t="shared" si="27"/>
        <v>0</v>
      </c>
      <c r="AF588" s="10" t="e">
        <f t="shared" si="28"/>
        <v>#N/A</v>
      </c>
      <c r="AG588" s="3" t="str">
        <f t="shared" si="29"/>
        <v/>
      </c>
    </row>
    <row r="589" spans="1:33" x14ac:dyDescent="0.25">
      <c r="A589" s="7"/>
      <c r="B589" s="8"/>
      <c r="C589" s="3"/>
      <c r="D589" s="3"/>
      <c r="E589" s="3" t="e">
        <f>VLOOKUP(D589,VIAJES!$D:$E,2,FALSE)</f>
        <v>#N/A</v>
      </c>
      <c r="F589" s="9" t="e">
        <f>VLOOKUP(D589,VIAJES!$D:$F,3,FALSE)</f>
        <v>#N/A</v>
      </c>
      <c r="G589" s="9" t="e">
        <f>VLOOKUP(D589,VIAJES!$D:$G,4,FALSE)</f>
        <v>#N/A</v>
      </c>
      <c r="H589" s="3" t="e">
        <f>VLOOKUP(D589,VIAJES!$D:$H,5,FALSE)</f>
        <v>#N/A</v>
      </c>
      <c r="S589" s="3">
        <f>IFERROR(INDEX(EVENTOS!$D:$D,MATCH(SCORE!S$2&amp;" "&amp;SCORE!$D589,EVENTOS!$F:$F,0)),0)</f>
        <v>0</v>
      </c>
      <c r="T589" s="3">
        <f>IFERROR(INDEX(EVENTOS!$D:$D,MATCH(SCORE!T$2&amp;" "&amp;SCORE!$D589,EVENTOS!$F:$F,0)),0)</f>
        <v>0</v>
      </c>
      <c r="U589" s="3">
        <f>IFERROR(INDEX(EVENTOS!$D:$D,MATCH(SCORE!U$2&amp;" "&amp;SCORE!$D589,EVENTOS!$F:$F,0)),0)</f>
        <v>0</v>
      </c>
      <c r="V589" s="3">
        <f>IFERROR(INDEX(EVENTOS!$D:$D,MATCH(SCORE!V$2&amp;" "&amp;SCORE!$D589,EVENTOS!$F:$F,0)),0)</f>
        <v>0</v>
      </c>
      <c r="W589" s="3">
        <f>IFERROR(INDEX(EVENTOS!$D:$D,MATCH(SCORE!W$2&amp;" "&amp;SCORE!$D589,EVENTOS!$F:$F,0)),0)</f>
        <v>0</v>
      </c>
      <c r="X589" s="3">
        <f>IFERROR(INDEX(EVENTOS!$D:$D,MATCH(SCORE!X$2&amp;" "&amp;SCORE!$D589,EVENTOS!$F:$F,0)),0)</f>
        <v>0</v>
      </c>
      <c r="Y589" s="3">
        <f>SUMIFS(EVENTOS!$D:$D, EVENTOS!$B:$B, D589, EVENTOS!$E:$E, "*GirAlto*")</f>
        <v>0</v>
      </c>
      <c r="Z589" s="3">
        <f>SUMIFS(EVENTOS!$D:$D, EVENTOS!$B:$B, D589, EVENTOS!$E:$E, "*GirMed*")</f>
        <v>0</v>
      </c>
      <c r="AA589" s="3">
        <f>SUMIFS(EVENTOS!$D:$D, EVENTOS!$B:$B, D589, EVENTOS!$E:$E, "*GirBajo*")</f>
        <v>0</v>
      </c>
      <c r="AB589" s="3">
        <f>IFERROR(INDEX(EVENTOS!$D:$D,MATCH(SCORE!AB$2&amp;" "&amp;SCORE!$D589,EVENTOS!$F:$F,0)),0)</f>
        <v>0</v>
      </c>
      <c r="AC589" s="3">
        <f>IFERROR(INDEX(EVENTOS!$D:$D,MATCH(SCORE!AC$2&amp;" "&amp;SCORE!$D589,EVENTOS!$F:$F,0)),0)</f>
        <v>0</v>
      </c>
      <c r="AD589" s="3">
        <f>IFERROR(INDEX(EVENTOS!$D:$D,MATCH(SCORE!AD$2&amp;" "&amp;SCORE!$D589,EVENTOS!$F:$F,0)),0)</f>
        <v>0</v>
      </c>
      <c r="AE589" s="3">
        <f t="shared" si="27"/>
        <v>0</v>
      </c>
      <c r="AF589" s="10" t="e">
        <f t="shared" si="28"/>
        <v>#N/A</v>
      </c>
      <c r="AG589" s="3" t="str">
        <f t="shared" si="29"/>
        <v/>
      </c>
    </row>
    <row r="590" spans="1:33" x14ac:dyDescent="0.25">
      <c r="A590" s="7"/>
      <c r="B590" s="8"/>
      <c r="C590" s="3"/>
      <c r="D590" s="3"/>
      <c r="E590" s="3" t="e">
        <f>VLOOKUP(D590,VIAJES!$D:$E,2,FALSE)</f>
        <v>#N/A</v>
      </c>
      <c r="F590" s="9" t="e">
        <f>VLOOKUP(D590,VIAJES!$D:$F,3,FALSE)</f>
        <v>#N/A</v>
      </c>
      <c r="G590" s="9" t="e">
        <f>VLOOKUP(D590,VIAJES!$D:$G,4,FALSE)</f>
        <v>#N/A</v>
      </c>
      <c r="H590" s="3" t="e">
        <f>VLOOKUP(D590,VIAJES!$D:$H,5,FALSE)</f>
        <v>#N/A</v>
      </c>
      <c r="S590" s="3">
        <f>IFERROR(INDEX(EVENTOS!$D:$D,MATCH(SCORE!S$2&amp;" "&amp;SCORE!$D590,EVENTOS!$F:$F,0)),0)</f>
        <v>0</v>
      </c>
      <c r="T590" s="3">
        <f>IFERROR(INDEX(EVENTOS!$D:$D,MATCH(SCORE!T$2&amp;" "&amp;SCORE!$D590,EVENTOS!$F:$F,0)),0)</f>
        <v>0</v>
      </c>
      <c r="U590" s="3">
        <f>IFERROR(INDEX(EVENTOS!$D:$D,MATCH(SCORE!U$2&amp;" "&amp;SCORE!$D590,EVENTOS!$F:$F,0)),0)</f>
        <v>0</v>
      </c>
      <c r="V590" s="3">
        <f>IFERROR(INDEX(EVENTOS!$D:$D,MATCH(SCORE!V$2&amp;" "&amp;SCORE!$D590,EVENTOS!$F:$F,0)),0)</f>
        <v>0</v>
      </c>
      <c r="W590" s="3">
        <f>IFERROR(INDEX(EVENTOS!$D:$D,MATCH(SCORE!W$2&amp;" "&amp;SCORE!$D590,EVENTOS!$F:$F,0)),0)</f>
        <v>0</v>
      </c>
      <c r="X590" s="3">
        <f>IFERROR(INDEX(EVENTOS!$D:$D,MATCH(SCORE!X$2&amp;" "&amp;SCORE!$D590,EVENTOS!$F:$F,0)),0)</f>
        <v>0</v>
      </c>
      <c r="Y590" s="3">
        <f>SUMIFS(EVENTOS!$D:$D, EVENTOS!$B:$B, D590, EVENTOS!$E:$E, "*GirAlto*")</f>
        <v>0</v>
      </c>
      <c r="Z590" s="3">
        <f>SUMIFS(EVENTOS!$D:$D, EVENTOS!$B:$B, D590, EVENTOS!$E:$E, "*GirMed*")</f>
        <v>0</v>
      </c>
      <c r="AA590" s="3">
        <f>SUMIFS(EVENTOS!$D:$D, EVENTOS!$B:$B, D590, EVENTOS!$E:$E, "*GirBajo*")</f>
        <v>0</v>
      </c>
      <c r="AB590" s="3">
        <f>IFERROR(INDEX(EVENTOS!$D:$D,MATCH(SCORE!AB$2&amp;" "&amp;SCORE!$D590,EVENTOS!$F:$F,0)),0)</f>
        <v>0</v>
      </c>
      <c r="AC590" s="3">
        <f>IFERROR(INDEX(EVENTOS!$D:$D,MATCH(SCORE!AC$2&amp;" "&amp;SCORE!$D590,EVENTOS!$F:$F,0)),0)</f>
        <v>0</v>
      </c>
      <c r="AD590" s="3">
        <f>IFERROR(INDEX(EVENTOS!$D:$D,MATCH(SCORE!AD$2&amp;" "&amp;SCORE!$D590,EVENTOS!$F:$F,0)),0)</f>
        <v>0</v>
      </c>
      <c r="AE590" s="3">
        <f t="shared" si="27"/>
        <v>0</v>
      </c>
      <c r="AF590" s="10" t="e">
        <f t="shared" si="28"/>
        <v>#N/A</v>
      </c>
      <c r="AG590" s="3" t="str">
        <f t="shared" si="29"/>
        <v/>
      </c>
    </row>
    <row r="591" spans="1:33" x14ac:dyDescent="0.25">
      <c r="A591" s="7"/>
      <c r="B591" s="8"/>
      <c r="C591" s="3"/>
      <c r="D591" s="3"/>
      <c r="E591" s="3" t="e">
        <f>VLOOKUP(D591,VIAJES!$D:$E,2,FALSE)</f>
        <v>#N/A</v>
      </c>
      <c r="F591" s="9" t="e">
        <f>VLOOKUP(D591,VIAJES!$D:$F,3,FALSE)</f>
        <v>#N/A</v>
      </c>
      <c r="G591" s="9" t="e">
        <f>VLOOKUP(D591,VIAJES!$D:$G,4,FALSE)</f>
        <v>#N/A</v>
      </c>
      <c r="H591" s="3" t="e">
        <f>VLOOKUP(D591,VIAJES!$D:$H,5,FALSE)</f>
        <v>#N/A</v>
      </c>
      <c r="S591" s="3">
        <f>IFERROR(INDEX(EVENTOS!$D:$D,MATCH(SCORE!S$2&amp;" "&amp;SCORE!$D591,EVENTOS!$F:$F,0)),0)</f>
        <v>0</v>
      </c>
      <c r="T591" s="3">
        <f>IFERROR(INDEX(EVENTOS!$D:$D,MATCH(SCORE!T$2&amp;" "&amp;SCORE!$D591,EVENTOS!$F:$F,0)),0)</f>
        <v>0</v>
      </c>
      <c r="U591" s="3">
        <f>IFERROR(INDEX(EVENTOS!$D:$D,MATCH(SCORE!U$2&amp;" "&amp;SCORE!$D591,EVENTOS!$F:$F,0)),0)</f>
        <v>0</v>
      </c>
      <c r="V591" s="3">
        <f>IFERROR(INDEX(EVENTOS!$D:$D,MATCH(SCORE!V$2&amp;" "&amp;SCORE!$D591,EVENTOS!$F:$F,0)),0)</f>
        <v>0</v>
      </c>
      <c r="W591" s="3">
        <f>IFERROR(INDEX(EVENTOS!$D:$D,MATCH(SCORE!W$2&amp;" "&amp;SCORE!$D591,EVENTOS!$F:$F,0)),0)</f>
        <v>0</v>
      </c>
      <c r="X591" s="3">
        <f>IFERROR(INDEX(EVENTOS!$D:$D,MATCH(SCORE!X$2&amp;" "&amp;SCORE!$D591,EVENTOS!$F:$F,0)),0)</f>
        <v>0</v>
      </c>
      <c r="Y591" s="3">
        <f>SUMIFS(EVENTOS!$D:$D, EVENTOS!$B:$B, D591, EVENTOS!$E:$E, "*GirAlto*")</f>
        <v>0</v>
      </c>
      <c r="Z591" s="3">
        <f>SUMIFS(EVENTOS!$D:$D, EVENTOS!$B:$B, D591, EVENTOS!$E:$E, "*GirMed*")</f>
        <v>0</v>
      </c>
      <c r="AA591" s="3">
        <f>SUMIFS(EVENTOS!$D:$D, EVENTOS!$B:$B, D591, EVENTOS!$E:$E, "*GirBajo*")</f>
        <v>0</v>
      </c>
      <c r="AB591" s="3">
        <f>IFERROR(INDEX(EVENTOS!$D:$D,MATCH(SCORE!AB$2&amp;" "&amp;SCORE!$D591,EVENTOS!$F:$F,0)),0)</f>
        <v>0</v>
      </c>
      <c r="AC591" s="3">
        <f>IFERROR(INDEX(EVENTOS!$D:$D,MATCH(SCORE!AC$2&amp;" "&amp;SCORE!$D591,EVENTOS!$F:$F,0)),0)</f>
        <v>0</v>
      </c>
      <c r="AD591" s="3">
        <f>IFERROR(INDEX(EVENTOS!$D:$D,MATCH(SCORE!AD$2&amp;" "&amp;SCORE!$D591,EVENTOS!$F:$F,0)),0)</f>
        <v>0</v>
      </c>
      <c r="AE591" s="3">
        <f t="shared" si="27"/>
        <v>0</v>
      </c>
      <c r="AF591" s="10" t="e">
        <f t="shared" si="28"/>
        <v>#N/A</v>
      </c>
      <c r="AG591" s="3" t="str">
        <f t="shared" si="29"/>
        <v/>
      </c>
    </row>
    <row r="592" spans="1:33" x14ac:dyDescent="0.25">
      <c r="A592" s="7"/>
      <c r="B592" s="8"/>
      <c r="C592" s="3"/>
      <c r="D592" s="3"/>
      <c r="E592" s="3" t="e">
        <f>VLOOKUP(D592,VIAJES!$D:$E,2,FALSE)</f>
        <v>#N/A</v>
      </c>
      <c r="F592" s="9" t="e">
        <f>VLOOKUP(D592,VIAJES!$D:$F,3,FALSE)</f>
        <v>#N/A</v>
      </c>
      <c r="G592" s="9" t="e">
        <f>VLOOKUP(D592,VIAJES!$D:$G,4,FALSE)</f>
        <v>#N/A</v>
      </c>
      <c r="H592" s="3" t="e">
        <f>VLOOKUP(D592,VIAJES!$D:$H,5,FALSE)</f>
        <v>#N/A</v>
      </c>
      <c r="S592" s="3">
        <f>IFERROR(INDEX(EVENTOS!$D:$D,MATCH(SCORE!S$2&amp;" "&amp;SCORE!$D592,EVENTOS!$F:$F,0)),0)</f>
        <v>0</v>
      </c>
      <c r="T592" s="3">
        <f>IFERROR(INDEX(EVENTOS!$D:$D,MATCH(SCORE!T$2&amp;" "&amp;SCORE!$D592,EVENTOS!$F:$F,0)),0)</f>
        <v>0</v>
      </c>
      <c r="U592" s="3">
        <f>IFERROR(INDEX(EVENTOS!$D:$D,MATCH(SCORE!U$2&amp;" "&amp;SCORE!$D592,EVENTOS!$F:$F,0)),0)</f>
        <v>0</v>
      </c>
      <c r="V592" s="3">
        <f>IFERROR(INDEX(EVENTOS!$D:$D,MATCH(SCORE!V$2&amp;" "&amp;SCORE!$D592,EVENTOS!$F:$F,0)),0)</f>
        <v>0</v>
      </c>
      <c r="W592" s="3">
        <f>IFERROR(INDEX(EVENTOS!$D:$D,MATCH(SCORE!W$2&amp;" "&amp;SCORE!$D592,EVENTOS!$F:$F,0)),0)</f>
        <v>0</v>
      </c>
      <c r="X592" s="3">
        <f>IFERROR(INDEX(EVENTOS!$D:$D,MATCH(SCORE!X$2&amp;" "&amp;SCORE!$D592,EVENTOS!$F:$F,0)),0)</f>
        <v>0</v>
      </c>
      <c r="Y592" s="3">
        <f>SUMIFS(EVENTOS!$D:$D, EVENTOS!$B:$B, D592, EVENTOS!$E:$E, "*GirAlto*")</f>
        <v>0</v>
      </c>
      <c r="Z592" s="3">
        <f>SUMIFS(EVENTOS!$D:$D, EVENTOS!$B:$B, D592, EVENTOS!$E:$E, "*GirMed*")</f>
        <v>0</v>
      </c>
      <c r="AA592" s="3">
        <f>SUMIFS(EVENTOS!$D:$D, EVENTOS!$B:$B, D592, EVENTOS!$E:$E, "*GirBajo*")</f>
        <v>0</v>
      </c>
      <c r="AB592" s="3">
        <f>IFERROR(INDEX(EVENTOS!$D:$D,MATCH(SCORE!AB$2&amp;" "&amp;SCORE!$D592,EVENTOS!$F:$F,0)),0)</f>
        <v>0</v>
      </c>
      <c r="AC592" s="3">
        <f>IFERROR(INDEX(EVENTOS!$D:$D,MATCH(SCORE!AC$2&amp;" "&amp;SCORE!$D592,EVENTOS!$F:$F,0)),0)</f>
        <v>0</v>
      </c>
      <c r="AD592" s="3">
        <f>IFERROR(INDEX(EVENTOS!$D:$D,MATCH(SCORE!AD$2&amp;" "&amp;SCORE!$D592,EVENTOS!$F:$F,0)),0)</f>
        <v>0</v>
      </c>
      <c r="AE592" s="3">
        <f t="shared" si="27"/>
        <v>0</v>
      </c>
      <c r="AF592" s="10" t="e">
        <f t="shared" si="28"/>
        <v>#N/A</v>
      </c>
      <c r="AG592" s="3" t="str">
        <f t="shared" si="29"/>
        <v/>
      </c>
    </row>
    <row r="593" spans="1:33" x14ac:dyDescent="0.25">
      <c r="A593" s="7"/>
      <c r="B593" s="8"/>
      <c r="C593" s="3"/>
      <c r="D593" s="3"/>
      <c r="E593" s="3" t="e">
        <f>VLOOKUP(D593,VIAJES!$D:$E,2,FALSE)</f>
        <v>#N/A</v>
      </c>
      <c r="F593" s="9" t="e">
        <f>VLOOKUP(D593,VIAJES!$D:$F,3,FALSE)</f>
        <v>#N/A</v>
      </c>
      <c r="G593" s="9" t="e">
        <f>VLOOKUP(D593,VIAJES!$D:$G,4,FALSE)</f>
        <v>#N/A</v>
      </c>
      <c r="H593" s="3" t="e">
        <f>VLOOKUP(D593,VIAJES!$D:$H,5,FALSE)</f>
        <v>#N/A</v>
      </c>
      <c r="S593" s="3">
        <f>IFERROR(INDEX(EVENTOS!$D:$D,MATCH(SCORE!S$2&amp;" "&amp;SCORE!$D593,EVENTOS!$F:$F,0)),0)</f>
        <v>0</v>
      </c>
      <c r="T593" s="3">
        <f>IFERROR(INDEX(EVENTOS!$D:$D,MATCH(SCORE!T$2&amp;" "&amp;SCORE!$D593,EVENTOS!$F:$F,0)),0)</f>
        <v>0</v>
      </c>
      <c r="U593" s="3">
        <f>IFERROR(INDEX(EVENTOS!$D:$D,MATCH(SCORE!U$2&amp;" "&amp;SCORE!$D593,EVENTOS!$F:$F,0)),0)</f>
        <v>0</v>
      </c>
      <c r="V593" s="3">
        <f>IFERROR(INDEX(EVENTOS!$D:$D,MATCH(SCORE!V$2&amp;" "&amp;SCORE!$D593,EVENTOS!$F:$F,0)),0)</f>
        <v>0</v>
      </c>
      <c r="W593" s="3">
        <f>IFERROR(INDEX(EVENTOS!$D:$D,MATCH(SCORE!W$2&amp;" "&amp;SCORE!$D593,EVENTOS!$F:$F,0)),0)</f>
        <v>0</v>
      </c>
      <c r="X593" s="3">
        <f>IFERROR(INDEX(EVENTOS!$D:$D,MATCH(SCORE!X$2&amp;" "&amp;SCORE!$D593,EVENTOS!$F:$F,0)),0)</f>
        <v>0</v>
      </c>
      <c r="Y593" s="3">
        <f>SUMIFS(EVENTOS!$D:$D, EVENTOS!$B:$B, D593, EVENTOS!$E:$E, "*GirAlto*")</f>
        <v>0</v>
      </c>
      <c r="Z593" s="3">
        <f>SUMIFS(EVENTOS!$D:$D, EVENTOS!$B:$B, D593, EVENTOS!$E:$E, "*GirMed*")</f>
        <v>0</v>
      </c>
      <c r="AA593" s="3">
        <f>SUMIFS(EVENTOS!$D:$D, EVENTOS!$B:$B, D593, EVENTOS!$E:$E, "*GirBajo*")</f>
        <v>0</v>
      </c>
      <c r="AB593" s="3">
        <f>IFERROR(INDEX(EVENTOS!$D:$D,MATCH(SCORE!AB$2&amp;" "&amp;SCORE!$D593,EVENTOS!$F:$F,0)),0)</f>
        <v>0</v>
      </c>
      <c r="AC593" s="3">
        <f>IFERROR(INDEX(EVENTOS!$D:$D,MATCH(SCORE!AC$2&amp;" "&amp;SCORE!$D593,EVENTOS!$F:$F,0)),0)</f>
        <v>0</v>
      </c>
      <c r="AD593" s="3">
        <f>IFERROR(INDEX(EVENTOS!$D:$D,MATCH(SCORE!AD$2&amp;" "&amp;SCORE!$D593,EVENTOS!$F:$F,0)),0)</f>
        <v>0</v>
      </c>
      <c r="AE593" s="3">
        <f t="shared" si="27"/>
        <v>0</v>
      </c>
      <c r="AF593" s="10" t="e">
        <f t="shared" si="28"/>
        <v>#N/A</v>
      </c>
      <c r="AG593" s="3" t="str">
        <f t="shared" si="29"/>
        <v/>
      </c>
    </row>
    <row r="594" spans="1:33" x14ac:dyDescent="0.25">
      <c r="A594" s="7"/>
      <c r="B594" s="8"/>
      <c r="C594" s="3"/>
      <c r="D594" s="3"/>
      <c r="E594" s="3" t="e">
        <f>VLOOKUP(D594,VIAJES!$D:$E,2,FALSE)</f>
        <v>#N/A</v>
      </c>
      <c r="F594" s="9" t="e">
        <f>VLOOKUP(D594,VIAJES!$D:$F,3,FALSE)</f>
        <v>#N/A</v>
      </c>
      <c r="G594" s="9" t="e">
        <f>VLOOKUP(D594,VIAJES!$D:$G,4,FALSE)</f>
        <v>#N/A</v>
      </c>
      <c r="H594" s="3" t="e">
        <f>VLOOKUP(D594,VIAJES!$D:$H,5,FALSE)</f>
        <v>#N/A</v>
      </c>
      <c r="S594" s="3">
        <f>IFERROR(INDEX(EVENTOS!$D:$D,MATCH(SCORE!S$2&amp;" "&amp;SCORE!$D594,EVENTOS!$F:$F,0)),0)</f>
        <v>0</v>
      </c>
      <c r="T594" s="3">
        <f>IFERROR(INDEX(EVENTOS!$D:$D,MATCH(SCORE!T$2&amp;" "&amp;SCORE!$D594,EVENTOS!$F:$F,0)),0)</f>
        <v>0</v>
      </c>
      <c r="U594" s="3">
        <f>IFERROR(INDEX(EVENTOS!$D:$D,MATCH(SCORE!U$2&amp;" "&amp;SCORE!$D594,EVENTOS!$F:$F,0)),0)</f>
        <v>0</v>
      </c>
      <c r="V594" s="3">
        <f>IFERROR(INDEX(EVENTOS!$D:$D,MATCH(SCORE!V$2&amp;" "&amp;SCORE!$D594,EVENTOS!$F:$F,0)),0)</f>
        <v>0</v>
      </c>
      <c r="W594" s="3">
        <f>IFERROR(INDEX(EVENTOS!$D:$D,MATCH(SCORE!W$2&amp;" "&amp;SCORE!$D594,EVENTOS!$F:$F,0)),0)</f>
        <v>0</v>
      </c>
      <c r="X594" s="3">
        <f>IFERROR(INDEX(EVENTOS!$D:$D,MATCH(SCORE!X$2&amp;" "&amp;SCORE!$D594,EVENTOS!$F:$F,0)),0)</f>
        <v>0</v>
      </c>
      <c r="Y594" s="3">
        <f>SUMIFS(EVENTOS!$D:$D, EVENTOS!$B:$B, D594, EVENTOS!$E:$E, "*GirAlto*")</f>
        <v>0</v>
      </c>
      <c r="Z594" s="3">
        <f>SUMIFS(EVENTOS!$D:$D, EVENTOS!$B:$B, D594, EVENTOS!$E:$E, "*GirMed*")</f>
        <v>0</v>
      </c>
      <c r="AA594" s="3">
        <f>SUMIFS(EVENTOS!$D:$D, EVENTOS!$B:$B, D594, EVENTOS!$E:$E, "*GirBajo*")</f>
        <v>0</v>
      </c>
      <c r="AB594" s="3">
        <f>IFERROR(INDEX(EVENTOS!$D:$D,MATCH(SCORE!AB$2&amp;" "&amp;SCORE!$D594,EVENTOS!$F:$F,0)),0)</f>
        <v>0</v>
      </c>
      <c r="AC594" s="3">
        <f>IFERROR(INDEX(EVENTOS!$D:$D,MATCH(SCORE!AC$2&amp;" "&amp;SCORE!$D594,EVENTOS!$F:$F,0)),0)</f>
        <v>0</v>
      </c>
      <c r="AD594" s="3">
        <f>IFERROR(INDEX(EVENTOS!$D:$D,MATCH(SCORE!AD$2&amp;" "&amp;SCORE!$D594,EVENTOS!$F:$F,0)),0)</f>
        <v>0</v>
      </c>
      <c r="AE594" s="3">
        <f t="shared" si="27"/>
        <v>0</v>
      </c>
      <c r="AF594" s="10" t="e">
        <f t="shared" si="28"/>
        <v>#N/A</v>
      </c>
      <c r="AG594" s="3" t="str">
        <f t="shared" si="29"/>
        <v/>
      </c>
    </row>
    <row r="595" spans="1:33" x14ac:dyDescent="0.25">
      <c r="A595" s="7"/>
      <c r="B595" s="8"/>
      <c r="C595" s="3"/>
      <c r="D595" s="3"/>
      <c r="E595" s="3" t="e">
        <f>VLOOKUP(D595,VIAJES!$D:$E,2,FALSE)</f>
        <v>#N/A</v>
      </c>
      <c r="F595" s="9" t="e">
        <f>VLOOKUP(D595,VIAJES!$D:$F,3,FALSE)</f>
        <v>#N/A</v>
      </c>
      <c r="G595" s="9" t="e">
        <f>VLOOKUP(D595,VIAJES!$D:$G,4,FALSE)</f>
        <v>#N/A</v>
      </c>
      <c r="H595" s="3" t="e">
        <f>VLOOKUP(D595,VIAJES!$D:$H,5,FALSE)</f>
        <v>#N/A</v>
      </c>
      <c r="S595" s="3">
        <f>IFERROR(INDEX(EVENTOS!$D:$D,MATCH(SCORE!S$2&amp;" "&amp;SCORE!$D595,EVENTOS!$F:$F,0)),0)</f>
        <v>0</v>
      </c>
      <c r="T595" s="3">
        <f>IFERROR(INDEX(EVENTOS!$D:$D,MATCH(SCORE!T$2&amp;" "&amp;SCORE!$D595,EVENTOS!$F:$F,0)),0)</f>
        <v>0</v>
      </c>
      <c r="U595" s="3">
        <f>IFERROR(INDEX(EVENTOS!$D:$D,MATCH(SCORE!U$2&amp;" "&amp;SCORE!$D595,EVENTOS!$F:$F,0)),0)</f>
        <v>0</v>
      </c>
      <c r="V595" s="3">
        <f>IFERROR(INDEX(EVENTOS!$D:$D,MATCH(SCORE!V$2&amp;" "&amp;SCORE!$D595,EVENTOS!$F:$F,0)),0)</f>
        <v>0</v>
      </c>
      <c r="W595" s="3">
        <f>IFERROR(INDEX(EVENTOS!$D:$D,MATCH(SCORE!W$2&amp;" "&amp;SCORE!$D595,EVENTOS!$F:$F,0)),0)</f>
        <v>0</v>
      </c>
      <c r="X595" s="3">
        <f>IFERROR(INDEX(EVENTOS!$D:$D,MATCH(SCORE!X$2&amp;" "&amp;SCORE!$D595,EVENTOS!$F:$F,0)),0)</f>
        <v>0</v>
      </c>
      <c r="Y595" s="3">
        <f>SUMIFS(EVENTOS!$D:$D, EVENTOS!$B:$B, D595, EVENTOS!$E:$E, "*GirAlto*")</f>
        <v>0</v>
      </c>
      <c r="Z595" s="3">
        <f>SUMIFS(EVENTOS!$D:$D, EVENTOS!$B:$B, D595, EVENTOS!$E:$E, "*GirMed*")</f>
        <v>0</v>
      </c>
      <c r="AA595" s="3">
        <f>SUMIFS(EVENTOS!$D:$D, EVENTOS!$B:$B, D595, EVENTOS!$E:$E, "*GirBajo*")</f>
        <v>0</v>
      </c>
      <c r="AB595" s="3">
        <f>IFERROR(INDEX(EVENTOS!$D:$D,MATCH(SCORE!AB$2&amp;" "&amp;SCORE!$D595,EVENTOS!$F:$F,0)),0)</f>
        <v>0</v>
      </c>
      <c r="AC595" s="3">
        <f>IFERROR(INDEX(EVENTOS!$D:$D,MATCH(SCORE!AC$2&amp;" "&amp;SCORE!$D595,EVENTOS!$F:$F,0)),0)</f>
        <v>0</v>
      </c>
      <c r="AD595" s="3">
        <f>IFERROR(INDEX(EVENTOS!$D:$D,MATCH(SCORE!AD$2&amp;" "&amp;SCORE!$D595,EVENTOS!$F:$F,0)),0)</f>
        <v>0</v>
      </c>
      <c r="AE595" s="3">
        <f t="shared" si="27"/>
        <v>0</v>
      </c>
      <c r="AF595" s="10" t="e">
        <f t="shared" si="28"/>
        <v>#N/A</v>
      </c>
      <c r="AG595" s="3" t="str">
        <f t="shared" si="29"/>
        <v/>
      </c>
    </row>
    <row r="596" spans="1:33" x14ac:dyDescent="0.25">
      <c r="A596" s="7"/>
      <c r="B596" s="8"/>
      <c r="C596" s="3"/>
      <c r="D596" s="3"/>
      <c r="E596" s="3" t="e">
        <f>VLOOKUP(D596,VIAJES!$D:$E,2,FALSE)</f>
        <v>#N/A</v>
      </c>
      <c r="F596" s="9" t="e">
        <f>VLOOKUP(D596,VIAJES!$D:$F,3,FALSE)</f>
        <v>#N/A</v>
      </c>
      <c r="G596" s="9" t="e">
        <f>VLOOKUP(D596,VIAJES!$D:$G,4,FALSE)</f>
        <v>#N/A</v>
      </c>
      <c r="H596" s="3" t="e">
        <f>VLOOKUP(D596,VIAJES!$D:$H,5,FALSE)</f>
        <v>#N/A</v>
      </c>
      <c r="S596" s="3">
        <f>IFERROR(INDEX(EVENTOS!$D:$D,MATCH(SCORE!S$2&amp;" "&amp;SCORE!$D596,EVENTOS!$F:$F,0)),0)</f>
        <v>0</v>
      </c>
      <c r="T596" s="3">
        <f>IFERROR(INDEX(EVENTOS!$D:$D,MATCH(SCORE!T$2&amp;" "&amp;SCORE!$D596,EVENTOS!$F:$F,0)),0)</f>
        <v>0</v>
      </c>
      <c r="U596" s="3">
        <f>IFERROR(INDEX(EVENTOS!$D:$D,MATCH(SCORE!U$2&amp;" "&amp;SCORE!$D596,EVENTOS!$F:$F,0)),0)</f>
        <v>0</v>
      </c>
      <c r="V596" s="3">
        <f>IFERROR(INDEX(EVENTOS!$D:$D,MATCH(SCORE!V$2&amp;" "&amp;SCORE!$D596,EVENTOS!$F:$F,0)),0)</f>
        <v>0</v>
      </c>
      <c r="W596" s="3">
        <f>IFERROR(INDEX(EVENTOS!$D:$D,MATCH(SCORE!W$2&amp;" "&amp;SCORE!$D596,EVENTOS!$F:$F,0)),0)</f>
        <v>0</v>
      </c>
      <c r="X596" s="3">
        <f>IFERROR(INDEX(EVENTOS!$D:$D,MATCH(SCORE!X$2&amp;" "&amp;SCORE!$D596,EVENTOS!$F:$F,0)),0)</f>
        <v>0</v>
      </c>
      <c r="Y596" s="3">
        <f>SUMIFS(EVENTOS!$D:$D, EVENTOS!$B:$B, D596, EVENTOS!$E:$E, "*GirAlto*")</f>
        <v>0</v>
      </c>
      <c r="Z596" s="3">
        <f>SUMIFS(EVENTOS!$D:$D, EVENTOS!$B:$B, D596, EVENTOS!$E:$E, "*GirMed*")</f>
        <v>0</v>
      </c>
      <c r="AA596" s="3">
        <f>SUMIFS(EVENTOS!$D:$D, EVENTOS!$B:$B, D596, EVENTOS!$E:$E, "*GirBajo*")</f>
        <v>0</v>
      </c>
      <c r="AB596" s="3">
        <f>IFERROR(INDEX(EVENTOS!$D:$D,MATCH(SCORE!AB$2&amp;" "&amp;SCORE!$D596,EVENTOS!$F:$F,0)),0)</f>
        <v>0</v>
      </c>
      <c r="AC596" s="3">
        <f>IFERROR(INDEX(EVENTOS!$D:$D,MATCH(SCORE!AC$2&amp;" "&amp;SCORE!$D596,EVENTOS!$F:$F,0)),0)</f>
        <v>0</v>
      </c>
      <c r="AD596" s="3">
        <f>IFERROR(INDEX(EVENTOS!$D:$D,MATCH(SCORE!AD$2&amp;" "&amp;SCORE!$D596,EVENTOS!$F:$F,0)),0)</f>
        <v>0</v>
      </c>
      <c r="AE596" s="3">
        <f t="shared" si="27"/>
        <v>0</v>
      </c>
      <c r="AF596" s="10" t="e">
        <f t="shared" si="28"/>
        <v>#N/A</v>
      </c>
      <c r="AG596" s="3" t="str">
        <f t="shared" si="29"/>
        <v/>
      </c>
    </row>
    <row r="597" spans="1:33" x14ac:dyDescent="0.25">
      <c r="A597" s="7"/>
      <c r="B597" s="8"/>
      <c r="C597" s="3"/>
      <c r="D597" s="3"/>
      <c r="E597" s="3" t="e">
        <f>VLOOKUP(D597,VIAJES!$D:$E,2,FALSE)</f>
        <v>#N/A</v>
      </c>
      <c r="F597" s="9" t="e">
        <f>VLOOKUP(D597,VIAJES!$D:$F,3,FALSE)</f>
        <v>#N/A</v>
      </c>
      <c r="G597" s="9" t="e">
        <f>VLOOKUP(D597,VIAJES!$D:$G,4,FALSE)</f>
        <v>#N/A</v>
      </c>
      <c r="H597" s="3" t="e">
        <f>VLOOKUP(D597,VIAJES!$D:$H,5,FALSE)</f>
        <v>#N/A</v>
      </c>
      <c r="S597" s="3">
        <f>IFERROR(INDEX(EVENTOS!$D:$D,MATCH(SCORE!S$2&amp;" "&amp;SCORE!$D597,EVENTOS!$F:$F,0)),0)</f>
        <v>0</v>
      </c>
      <c r="T597" s="3">
        <f>IFERROR(INDEX(EVENTOS!$D:$D,MATCH(SCORE!T$2&amp;" "&amp;SCORE!$D597,EVENTOS!$F:$F,0)),0)</f>
        <v>0</v>
      </c>
      <c r="U597" s="3">
        <f>IFERROR(INDEX(EVENTOS!$D:$D,MATCH(SCORE!U$2&amp;" "&amp;SCORE!$D597,EVENTOS!$F:$F,0)),0)</f>
        <v>0</v>
      </c>
      <c r="V597" s="3">
        <f>IFERROR(INDEX(EVENTOS!$D:$D,MATCH(SCORE!V$2&amp;" "&amp;SCORE!$D597,EVENTOS!$F:$F,0)),0)</f>
        <v>0</v>
      </c>
      <c r="W597" s="3">
        <f>IFERROR(INDEX(EVENTOS!$D:$D,MATCH(SCORE!W$2&amp;" "&amp;SCORE!$D597,EVENTOS!$F:$F,0)),0)</f>
        <v>0</v>
      </c>
      <c r="X597" s="3">
        <f>IFERROR(INDEX(EVENTOS!$D:$D,MATCH(SCORE!X$2&amp;" "&amp;SCORE!$D597,EVENTOS!$F:$F,0)),0)</f>
        <v>0</v>
      </c>
      <c r="Y597" s="3">
        <f>SUMIFS(EVENTOS!$D:$D, EVENTOS!$B:$B, D597, EVENTOS!$E:$E, "*GirAlto*")</f>
        <v>0</v>
      </c>
      <c r="Z597" s="3">
        <f>SUMIFS(EVENTOS!$D:$D, EVENTOS!$B:$B, D597, EVENTOS!$E:$E, "*GirMed*")</f>
        <v>0</v>
      </c>
      <c r="AA597" s="3">
        <f>SUMIFS(EVENTOS!$D:$D, EVENTOS!$B:$B, D597, EVENTOS!$E:$E, "*GirBajo*")</f>
        <v>0</v>
      </c>
      <c r="AB597" s="3">
        <f>IFERROR(INDEX(EVENTOS!$D:$D,MATCH(SCORE!AB$2&amp;" "&amp;SCORE!$D597,EVENTOS!$F:$F,0)),0)</f>
        <v>0</v>
      </c>
      <c r="AC597" s="3">
        <f>IFERROR(INDEX(EVENTOS!$D:$D,MATCH(SCORE!AC$2&amp;" "&amp;SCORE!$D597,EVENTOS!$F:$F,0)),0)</f>
        <v>0</v>
      </c>
      <c r="AD597" s="3">
        <f>IFERROR(INDEX(EVENTOS!$D:$D,MATCH(SCORE!AD$2&amp;" "&amp;SCORE!$D597,EVENTOS!$F:$F,0)),0)</f>
        <v>0</v>
      </c>
      <c r="AE597" s="3">
        <f t="shared" si="27"/>
        <v>0</v>
      </c>
      <c r="AF597" s="10" t="e">
        <f t="shared" si="28"/>
        <v>#N/A</v>
      </c>
      <c r="AG597" s="3" t="str">
        <f t="shared" si="29"/>
        <v/>
      </c>
    </row>
    <row r="598" spans="1:33" x14ac:dyDescent="0.25">
      <c r="A598" s="7"/>
      <c r="B598" s="8"/>
      <c r="C598" s="3"/>
      <c r="D598" s="3"/>
      <c r="E598" s="3" t="e">
        <f>VLOOKUP(D598,VIAJES!$D:$E,2,FALSE)</f>
        <v>#N/A</v>
      </c>
      <c r="F598" s="9" t="e">
        <f>VLOOKUP(D598,VIAJES!$D:$F,3,FALSE)</f>
        <v>#N/A</v>
      </c>
      <c r="G598" s="9" t="e">
        <f>VLOOKUP(D598,VIAJES!$D:$G,4,FALSE)</f>
        <v>#N/A</v>
      </c>
      <c r="H598" s="3" t="e">
        <f>VLOOKUP(D598,VIAJES!$D:$H,5,FALSE)</f>
        <v>#N/A</v>
      </c>
      <c r="S598" s="3">
        <f>IFERROR(INDEX(EVENTOS!$D:$D,MATCH(SCORE!S$2&amp;" "&amp;SCORE!$D598,EVENTOS!$F:$F,0)),0)</f>
        <v>0</v>
      </c>
      <c r="T598" s="3">
        <f>IFERROR(INDEX(EVENTOS!$D:$D,MATCH(SCORE!T$2&amp;" "&amp;SCORE!$D598,EVENTOS!$F:$F,0)),0)</f>
        <v>0</v>
      </c>
      <c r="U598" s="3">
        <f>IFERROR(INDEX(EVENTOS!$D:$D,MATCH(SCORE!U$2&amp;" "&amp;SCORE!$D598,EVENTOS!$F:$F,0)),0)</f>
        <v>0</v>
      </c>
      <c r="V598" s="3">
        <f>IFERROR(INDEX(EVENTOS!$D:$D,MATCH(SCORE!V$2&amp;" "&amp;SCORE!$D598,EVENTOS!$F:$F,0)),0)</f>
        <v>0</v>
      </c>
      <c r="W598" s="3">
        <f>IFERROR(INDEX(EVENTOS!$D:$D,MATCH(SCORE!W$2&amp;" "&amp;SCORE!$D598,EVENTOS!$F:$F,0)),0)</f>
        <v>0</v>
      </c>
      <c r="X598" s="3">
        <f>IFERROR(INDEX(EVENTOS!$D:$D,MATCH(SCORE!X$2&amp;" "&amp;SCORE!$D598,EVENTOS!$F:$F,0)),0)</f>
        <v>0</v>
      </c>
      <c r="Y598" s="3">
        <f>SUMIFS(EVENTOS!$D:$D, EVENTOS!$B:$B, D598, EVENTOS!$E:$E, "*GirAlto*")</f>
        <v>0</v>
      </c>
      <c r="Z598" s="3">
        <f>SUMIFS(EVENTOS!$D:$D, EVENTOS!$B:$B, D598, EVENTOS!$E:$E, "*GirMed*")</f>
        <v>0</v>
      </c>
      <c r="AA598" s="3">
        <f>SUMIFS(EVENTOS!$D:$D, EVENTOS!$B:$B, D598, EVENTOS!$E:$E, "*GirBajo*")</f>
        <v>0</v>
      </c>
      <c r="AB598" s="3">
        <f>IFERROR(INDEX(EVENTOS!$D:$D,MATCH(SCORE!AB$2&amp;" "&amp;SCORE!$D598,EVENTOS!$F:$F,0)),0)</f>
        <v>0</v>
      </c>
      <c r="AC598" s="3">
        <f>IFERROR(INDEX(EVENTOS!$D:$D,MATCH(SCORE!AC$2&amp;" "&amp;SCORE!$D598,EVENTOS!$F:$F,0)),0)</f>
        <v>0</v>
      </c>
      <c r="AD598" s="3">
        <f>IFERROR(INDEX(EVENTOS!$D:$D,MATCH(SCORE!AD$2&amp;" "&amp;SCORE!$D598,EVENTOS!$F:$F,0)),0)</f>
        <v>0</v>
      </c>
      <c r="AE598" s="3">
        <f t="shared" si="27"/>
        <v>0</v>
      </c>
      <c r="AF598" s="10" t="e">
        <f t="shared" si="28"/>
        <v>#N/A</v>
      </c>
      <c r="AG598" s="3" t="str">
        <f t="shared" si="29"/>
        <v/>
      </c>
    </row>
    <row r="599" spans="1:33" x14ac:dyDescent="0.25">
      <c r="A599" s="7"/>
      <c r="B599" s="8"/>
      <c r="C599" s="3"/>
      <c r="D599" s="3"/>
      <c r="E599" s="3" t="e">
        <f>VLOOKUP(D599,VIAJES!$D:$E,2,FALSE)</f>
        <v>#N/A</v>
      </c>
      <c r="F599" s="9" t="e">
        <f>VLOOKUP(D599,VIAJES!$D:$F,3,FALSE)</f>
        <v>#N/A</v>
      </c>
      <c r="G599" s="9" t="e">
        <f>VLOOKUP(D599,VIAJES!$D:$G,4,FALSE)</f>
        <v>#N/A</v>
      </c>
      <c r="H599" s="3" t="e">
        <f>VLOOKUP(D599,VIAJES!$D:$H,5,FALSE)</f>
        <v>#N/A</v>
      </c>
      <c r="S599" s="3">
        <f>IFERROR(INDEX(EVENTOS!$D:$D,MATCH(SCORE!S$2&amp;" "&amp;SCORE!$D599,EVENTOS!$F:$F,0)),0)</f>
        <v>0</v>
      </c>
      <c r="T599" s="3">
        <f>IFERROR(INDEX(EVENTOS!$D:$D,MATCH(SCORE!T$2&amp;" "&amp;SCORE!$D599,EVENTOS!$F:$F,0)),0)</f>
        <v>0</v>
      </c>
      <c r="U599" s="3">
        <f>IFERROR(INDEX(EVENTOS!$D:$D,MATCH(SCORE!U$2&amp;" "&amp;SCORE!$D599,EVENTOS!$F:$F,0)),0)</f>
        <v>0</v>
      </c>
      <c r="V599" s="3">
        <f>IFERROR(INDEX(EVENTOS!$D:$D,MATCH(SCORE!V$2&amp;" "&amp;SCORE!$D599,EVENTOS!$F:$F,0)),0)</f>
        <v>0</v>
      </c>
      <c r="W599" s="3">
        <f>IFERROR(INDEX(EVENTOS!$D:$D,MATCH(SCORE!W$2&amp;" "&amp;SCORE!$D599,EVENTOS!$F:$F,0)),0)</f>
        <v>0</v>
      </c>
      <c r="X599" s="3">
        <f>IFERROR(INDEX(EVENTOS!$D:$D,MATCH(SCORE!X$2&amp;" "&amp;SCORE!$D599,EVENTOS!$F:$F,0)),0)</f>
        <v>0</v>
      </c>
      <c r="Y599" s="3">
        <f>SUMIFS(EVENTOS!$D:$D, EVENTOS!$B:$B, D599, EVENTOS!$E:$E, "*GirAlto*")</f>
        <v>0</v>
      </c>
      <c r="Z599" s="3">
        <f>SUMIFS(EVENTOS!$D:$D, EVENTOS!$B:$B, D599, EVENTOS!$E:$E, "*GirMed*")</f>
        <v>0</v>
      </c>
      <c r="AA599" s="3">
        <f>SUMIFS(EVENTOS!$D:$D, EVENTOS!$B:$B, D599, EVENTOS!$E:$E, "*GirBajo*")</f>
        <v>0</v>
      </c>
      <c r="AB599" s="3">
        <f>IFERROR(INDEX(EVENTOS!$D:$D,MATCH(SCORE!AB$2&amp;" "&amp;SCORE!$D599,EVENTOS!$F:$F,0)),0)</f>
        <v>0</v>
      </c>
      <c r="AC599" s="3">
        <f>IFERROR(INDEX(EVENTOS!$D:$D,MATCH(SCORE!AC$2&amp;" "&amp;SCORE!$D599,EVENTOS!$F:$F,0)),0)</f>
        <v>0</v>
      </c>
      <c r="AD599" s="3">
        <f>IFERROR(INDEX(EVENTOS!$D:$D,MATCH(SCORE!AD$2&amp;" "&amp;SCORE!$D599,EVENTOS!$F:$F,0)),0)</f>
        <v>0</v>
      </c>
      <c r="AE599" s="3">
        <f t="shared" si="27"/>
        <v>0</v>
      </c>
      <c r="AF599" s="10" t="e">
        <f t="shared" si="28"/>
        <v>#N/A</v>
      </c>
      <c r="AG599" s="3" t="str">
        <f t="shared" si="29"/>
        <v/>
      </c>
    </row>
    <row r="600" spans="1:33" x14ac:dyDescent="0.25">
      <c r="A600" s="7"/>
      <c r="B600" s="8"/>
      <c r="C600" s="3"/>
      <c r="D600" s="3"/>
      <c r="E600" s="3" t="e">
        <f>VLOOKUP(D600,VIAJES!$D:$E,2,FALSE)</f>
        <v>#N/A</v>
      </c>
      <c r="F600" s="9" t="e">
        <f>VLOOKUP(D600,VIAJES!$D:$F,3,FALSE)</f>
        <v>#N/A</v>
      </c>
      <c r="G600" s="9" t="e">
        <f>VLOOKUP(D600,VIAJES!$D:$G,4,FALSE)</f>
        <v>#N/A</v>
      </c>
      <c r="H600" s="3" t="e">
        <f>VLOOKUP(D600,VIAJES!$D:$H,5,FALSE)</f>
        <v>#N/A</v>
      </c>
      <c r="S600" s="3">
        <f>IFERROR(INDEX(EVENTOS!$D:$D,MATCH(SCORE!S$2&amp;" "&amp;SCORE!$D600,EVENTOS!$F:$F,0)),0)</f>
        <v>0</v>
      </c>
      <c r="T600" s="3">
        <f>IFERROR(INDEX(EVENTOS!$D:$D,MATCH(SCORE!T$2&amp;" "&amp;SCORE!$D600,EVENTOS!$F:$F,0)),0)</f>
        <v>0</v>
      </c>
      <c r="U600" s="3">
        <f>IFERROR(INDEX(EVENTOS!$D:$D,MATCH(SCORE!U$2&amp;" "&amp;SCORE!$D600,EVENTOS!$F:$F,0)),0)</f>
        <v>0</v>
      </c>
      <c r="V600" s="3">
        <f>IFERROR(INDEX(EVENTOS!$D:$D,MATCH(SCORE!V$2&amp;" "&amp;SCORE!$D600,EVENTOS!$F:$F,0)),0)</f>
        <v>0</v>
      </c>
      <c r="W600" s="3">
        <f>IFERROR(INDEX(EVENTOS!$D:$D,MATCH(SCORE!W$2&amp;" "&amp;SCORE!$D600,EVENTOS!$F:$F,0)),0)</f>
        <v>0</v>
      </c>
      <c r="X600" s="3">
        <f>IFERROR(INDEX(EVENTOS!$D:$D,MATCH(SCORE!X$2&amp;" "&amp;SCORE!$D600,EVENTOS!$F:$F,0)),0)</f>
        <v>0</v>
      </c>
      <c r="Y600" s="3">
        <f>SUMIFS(EVENTOS!$D:$D, EVENTOS!$B:$B, D600, EVENTOS!$E:$E, "*GirAlto*")</f>
        <v>0</v>
      </c>
      <c r="Z600" s="3">
        <f>SUMIFS(EVENTOS!$D:$D, EVENTOS!$B:$B, D600, EVENTOS!$E:$E, "*GirMed*")</f>
        <v>0</v>
      </c>
      <c r="AA600" s="3">
        <f>SUMIFS(EVENTOS!$D:$D, EVENTOS!$B:$B, D600, EVENTOS!$E:$E, "*GirBajo*")</f>
        <v>0</v>
      </c>
      <c r="AB600" s="3">
        <f>IFERROR(INDEX(EVENTOS!$D:$D,MATCH(SCORE!AB$2&amp;" "&amp;SCORE!$D600,EVENTOS!$F:$F,0)),0)</f>
        <v>0</v>
      </c>
      <c r="AC600" s="3">
        <f>IFERROR(INDEX(EVENTOS!$D:$D,MATCH(SCORE!AC$2&amp;" "&amp;SCORE!$D600,EVENTOS!$F:$F,0)),0)</f>
        <v>0</v>
      </c>
      <c r="AD600" s="3">
        <f>IFERROR(INDEX(EVENTOS!$D:$D,MATCH(SCORE!AD$2&amp;" "&amp;SCORE!$D600,EVENTOS!$F:$F,0)),0)</f>
        <v>0</v>
      </c>
      <c r="AE600" s="3">
        <f t="shared" si="27"/>
        <v>0</v>
      </c>
      <c r="AF600" s="10" t="e">
        <f t="shared" si="28"/>
        <v>#N/A</v>
      </c>
      <c r="AG600" s="3" t="str">
        <f t="shared" si="29"/>
        <v/>
      </c>
    </row>
    <row r="601" spans="1:33" x14ac:dyDescent="0.25">
      <c r="A601" s="7"/>
      <c r="B601" s="8"/>
      <c r="C601" s="3"/>
      <c r="D601" s="3"/>
      <c r="E601" s="3" t="e">
        <f>VLOOKUP(D601,VIAJES!$D:$E,2,FALSE)</f>
        <v>#N/A</v>
      </c>
      <c r="F601" s="9" t="e">
        <f>VLOOKUP(D601,VIAJES!$D:$F,3,FALSE)</f>
        <v>#N/A</v>
      </c>
      <c r="G601" s="9" t="e">
        <f>VLOOKUP(D601,VIAJES!$D:$G,4,FALSE)</f>
        <v>#N/A</v>
      </c>
      <c r="H601" s="3" t="e">
        <f>VLOOKUP(D601,VIAJES!$D:$H,5,FALSE)</f>
        <v>#N/A</v>
      </c>
      <c r="S601" s="3">
        <f>IFERROR(INDEX(EVENTOS!$D:$D,MATCH(SCORE!S$2&amp;" "&amp;SCORE!$D601,EVENTOS!$F:$F,0)),0)</f>
        <v>0</v>
      </c>
      <c r="T601" s="3">
        <f>IFERROR(INDEX(EVENTOS!$D:$D,MATCH(SCORE!T$2&amp;" "&amp;SCORE!$D601,EVENTOS!$F:$F,0)),0)</f>
        <v>0</v>
      </c>
      <c r="U601" s="3">
        <f>IFERROR(INDEX(EVENTOS!$D:$D,MATCH(SCORE!U$2&amp;" "&amp;SCORE!$D601,EVENTOS!$F:$F,0)),0)</f>
        <v>0</v>
      </c>
      <c r="V601" s="3">
        <f>IFERROR(INDEX(EVENTOS!$D:$D,MATCH(SCORE!V$2&amp;" "&amp;SCORE!$D601,EVENTOS!$F:$F,0)),0)</f>
        <v>0</v>
      </c>
      <c r="W601" s="3">
        <f>IFERROR(INDEX(EVENTOS!$D:$D,MATCH(SCORE!W$2&amp;" "&amp;SCORE!$D601,EVENTOS!$F:$F,0)),0)</f>
        <v>0</v>
      </c>
      <c r="X601" s="3">
        <f>IFERROR(INDEX(EVENTOS!$D:$D,MATCH(SCORE!X$2&amp;" "&amp;SCORE!$D601,EVENTOS!$F:$F,0)),0)</f>
        <v>0</v>
      </c>
      <c r="Y601" s="3">
        <f>SUMIFS(EVENTOS!$D:$D, EVENTOS!$B:$B, D601, EVENTOS!$E:$E, "*GirAlto*")</f>
        <v>0</v>
      </c>
      <c r="Z601" s="3">
        <f>SUMIFS(EVENTOS!$D:$D, EVENTOS!$B:$B, D601, EVENTOS!$E:$E, "*GirMed*")</f>
        <v>0</v>
      </c>
      <c r="AA601" s="3">
        <f>SUMIFS(EVENTOS!$D:$D, EVENTOS!$B:$B, D601, EVENTOS!$E:$E, "*GirBajo*")</f>
        <v>0</v>
      </c>
      <c r="AB601" s="3">
        <f>IFERROR(INDEX(EVENTOS!$D:$D,MATCH(SCORE!AB$2&amp;" "&amp;SCORE!$D601,EVENTOS!$F:$F,0)),0)</f>
        <v>0</v>
      </c>
      <c r="AC601" s="3">
        <f>IFERROR(INDEX(EVENTOS!$D:$D,MATCH(SCORE!AC$2&amp;" "&amp;SCORE!$D601,EVENTOS!$F:$F,0)),0)</f>
        <v>0</v>
      </c>
      <c r="AD601" s="3">
        <f>IFERROR(INDEX(EVENTOS!$D:$D,MATCH(SCORE!AD$2&amp;" "&amp;SCORE!$D601,EVENTOS!$F:$F,0)),0)</f>
        <v>0</v>
      </c>
      <c r="AE601" s="3">
        <f t="shared" si="27"/>
        <v>0</v>
      </c>
      <c r="AF601" s="10" t="e">
        <f t="shared" si="28"/>
        <v>#N/A</v>
      </c>
      <c r="AG601" s="3" t="str">
        <f t="shared" si="29"/>
        <v/>
      </c>
    </row>
    <row r="602" spans="1:33" x14ac:dyDescent="0.25">
      <c r="A602" s="7"/>
      <c r="B602" s="8"/>
      <c r="C602" s="3"/>
      <c r="D602" s="3"/>
      <c r="E602" s="3" t="e">
        <f>VLOOKUP(D602,VIAJES!$D:$E,2,FALSE)</f>
        <v>#N/A</v>
      </c>
      <c r="F602" s="9" t="e">
        <f>VLOOKUP(D602,VIAJES!$D:$F,3,FALSE)</f>
        <v>#N/A</v>
      </c>
      <c r="G602" s="9" t="e">
        <f>VLOOKUP(D602,VIAJES!$D:$G,4,FALSE)</f>
        <v>#N/A</v>
      </c>
      <c r="H602" s="3" t="e">
        <f>VLOOKUP(D602,VIAJES!$D:$H,5,FALSE)</f>
        <v>#N/A</v>
      </c>
      <c r="S602" s="3">
        <f>IFERROR(INDEX(EVENTOS!$D:$D,MATCH(SCORE!S$2&amp;" "&amp;SCORE!$D602,EVENTOS!$F:$F,0)),0)</f>
        <v>0</v>
      </c>
      <c r="T602" s="3">
        <f>IFERROR(INDEX(EVENTOS!$D:$D,MATCH(SCORE!T$2&amp;" "&amp;SCORE!$D602,EVENTOS!$F:$F,0)),0)</f>
        <v>0</v>
      </c>
      <c r="U602" s="3">
        <f>IFERROR(INDEX(EVENTOS!$D:$D,MATCH(SCORE!U$2&amp;" "&amp;SCORE!$D602,EVENTOS!$F:$F,0)),0)</f>
        <v>0</v>
      </c>
      <c r="V602" s="3">
        <f>IFERROR(INDEX(EVENTOS!$D:$D,MATCH(SCORE!V$2&amp;" "&amp;SCORE!$D602,EVENTOS!$F:$F,0)),0)</f>
        <v>0</v>
      </c>
      <c r="W602" s="3">
        <f>IFERROR(INDEX(EVENTOS!$D:$D,MATCH(SCORE!W$2&amp;" "&amp;SCORE!$D602,EVENTOS!$F:$F,0)),0)</f>
        <v>0</v>
      </c>
      <c r="X602" s="3">
        <f>IFERROR(INDEX(EVENTOS!$D:$D,MATCH(SCORE!X$2&amp;" "&amp;SCORE!$D602,EVENTOS!$F:$F,0)),0)</f>
        <v>0</v>
      </c>
      <c r="Y602" s="3">
        <f>SUMIFS(EVENTOS!$D:$D, EVENTOS!$B:$B, D602, EVENTOS!$E:$E, "*GirAlto*")</f>
        <v>0</v>
      </c>
      <c r="Z602" s="3">
        <f>SUMIFS(EVENTOS!$D:$D, EVENTOS!$B:$B, D602, EVENTOS!$E:$E, "*GirMed*")</f>
        <v>0</v>
      </c>
      <c r="AA602" s="3">
        <f>SUMIFS(EVENTOS!$D:$D, EVENTOS!$B:$B, D602, EVENTOS!$E:$E, "*GirBajo*")</f>
        <v>0</v>
      </c>
      <c r="AB602" s="3">
        <f>IFERROR(INDEX(EVENTOS!$D:$D,MATCH(SCORE!AB$2&amp;" "&amp;SCORE!$D602,EVENTOS!$F:$F,0)),0)</f>
        <v>0</v>
      </c>
      <c r="AC602" s="3">
        <f>IFERROR(INDEX(EVENTOS!$D:$D,MATCH(SCORE!AC$2&amp;" "&amp;SCORE!$D602,EVENTOS!$F:$F,0)),0)</f>
        <v>0</v>
      </c>
      <c r="AD602" s="3">
        <f>IFERROR(INDEX(EVENTOS!$D:$D,MATCH(SCORE!AD$2&amp;" "&amp;SCORE!$D602,EVENTOS!$F:$F,0)),0)</f>
        <v>0</v>
      </c>
      <c r="AE602" s="3">
        <f t="shared" si="27"/>
        <v>0</v>
      </c>
      <c r="AF602" s="10" t="e">
        <f t="shared" si="28"/>
        <v>#N/A</v>
      </c>
      <c r="AG602" s="3" t="str">
        <f t="shared" si="29"/>
        <v/>
      </c>
    </row>
    <row r="603" spans="1:33" x14ac:dyDescent="0.25">
      <c r="A603" s="7"/>
      <c r="B603" s="8"/>
      <c r="C603" s="3"/>
      <c r="D603" s="3"/>
      <c r="E603" s="3" t="e">
        <f>VLOOKUP(D603,VIAJES!$D:$E,2,FALSE)</f>
        <v>#N/A</v>
      </c>
      <c r="F603" s="9" t="e">
        <f>VLOOKUP(D603,VIAJES!$D:$F,3,FALSE)</f>
        <v>#N/A</v>
      </c>
      <c r="G603" s="9" t="e">
        <f>VLOOKUP(D603,VIAJES!$D:$G,4,FALSE)</f>
        <v>#N/A</v>
      </c>
      <c r="H603" s="3" t="e">
        <f>VLOOKUP(D603,VIAJES!$D:$H,5,FALSE)</f>
        <v>#N/A</v>
      </c>
      <c r="S603" s="3">
        <f>IFERROR(INDEX(EVENTOS!$D:$D,MATCH(SCORE!S$2&amp;" "&amp;SCORE!$D603,EVENTOS!$F:$F,0)),0)</f>
        <v>0</v>
      </c>
      <c r="T603" s="3">
        <f>IFERROR(INDEX(EVENTOS!$D:$D,MATCH(SCORE!T$2&amp;" "&amp;SCORE!$D603,EVENTOS!$F:$F,0)),0)</f>
        <v>0</v>
      </c>
      <c r="U603" s="3">
        <f>IFERROR(INDEX(EVENTOS!$D:$D,MATCH(SCORE!U$2&amp;" "&amp;SCORE!$D603,EVENTOS!$F:$F,0)),0)</f>
        <v>0</v>
      </c>
      <c r="V603" s="3">
        <f>IFERROR(INDEX(EVENTOS!$D:$D,MATCH(SCORE!V$2&amp;" "&amp;SCORE!$D603,EVENTOS!$F:$F,0)),0)</f>
        <v>0</v>
      </c>
      <c r="W603" s="3">
        <f>IFERROR(INDEX(EVENTOS!$D:$D,MATCH(SCORE!W$2&amp;" "&amp;SCORE!$D603,EVENTOS!$F:$F,0)),0)</f>
        <v>0</v>
      </c>
      <c r="X603" s="3">
        <f>IFERROR(INDEX(EVENTOS!$D:$D,MATCH(SCORE!X$2&amp;" "&amp;SCORE!$D603,EVENTOS!$F:$F,0)),0)</f>
        <v>0</v>
      </c>
      <c r="Y603" s="3">
        <f>SUMIFS(EVENTOS!$D:$D, EVENTOS!$B:$B, D603, EVENTOS!$E:$E, "*GirAlto*")</f>
        <v>0</v>
      </c>
      <c r="Z603" s="3">
        <f>SUMIFS(EVENTOS!$D:$D, EVENTOS!$B:$B, D603, EVENTOS!$E:$E, "*GirMed*")</f>
        <v>0</v>
      </c>
      <c r="AA603" s="3">
        <f>SUMIFS(EVENTOS!$D:$D, EVENTOS!$B:$B, D603, EVENTOS!$E:$E, "*GirBajo*")</f>
        <v>0</v>
      </c>
      <c r="AB603" s="3">
        <f>IFERROR(INDEX(EVENTOS!$D:$D,MATCH(SCORE!AB$2&amp;" "&amp;SCORE!$D603,EVENTOS!$F:$F,0)),0)</f>
        <v>0</v>
      </c>
      <c r="AC603" s="3">
        <f>IFERROR(INDEX(EVENTOS!$D:$D,MATCH(SCORE!AC$2&amp;" "&amp;SCORE!$D603,EVENTOS!$F:$F,0)),0)</f>
        <v>0</v>
      </c>
      <c r="AD603" s="3">
        <f>IFERROR(INDEX(EVENTOS!$D:$D,MATCH(SCORE!AD$2&amp;" "&amp;SCORE!$D603,EVENTOS!$F:$F,0)),0)</f>
        <v>0</v>
      </c>
      <c r="AE603" s="3">
        <f t="shared" si="27"/>
        <v>0</v>
      </c>
      <c r="AF603" s="10" t="e">
        <f t="shared" si="28"/>
        <v>#N/A</v>
      </c>
      <c r="AG603" s="3" t="str">
        <f t="shared" si="29"/>
        <v/>
      </c>
    </row>
    <row r="604" spans="1:33" x14ac:dyDescent="0.25">
      <c r="A604" s="7"/>
      <c r="B604" s="8"/>
      <c r="C604" s="3"/>
      <c r="D604" s="3"/>
      <c r="E604" s="3" t="e">
        <f>VLOOKUP(D604,VIAJES!$D:$E,2,FALSE)</f>
        <v>#N/A</v>
      </c>
      <c r="F604" s="9" t="e">
        <f>VLOOKUP(D604,VIAJES!$D:$F,3,FALSE)</f>
        <v>#N/A</v>
      </c>
      <c r="G604" s="9" t="e">
        <f>VLOOKUP(D604,VIAJES!$D:$G,4,FALSE)</f>
        <v>#N/A</v>
      </c>
      <c r="H604" s="3" t="e">
        <f>VLOOKUP(D604,VIAJES!$D:$H,5,FALSE)</f>
        <v>#N/A</v>
      </c>
      <c r="S604" s="3">
        <f>IFERROR(INDEX(EVENTOS!$D:$D,MATCH(SCORE!S$2&amp;" "&amp;SCORE!$D604,EVENTOS!$F:$F,0)),0)</f>
        <v>0</v>
      </c>
      <c r="T604" s="3">
        <f>IFERROR(INDEX(EVENTOS!$D:$D,MATCH(SCORE!T$2&amp;" "&amp;SCORE!$D604,EVENTOS!$F:$F,0)),0)</f>
        <v>0</v>
      </c>
      <c r="U604" s="3">
        <f>IFERROR(INDEX(EVENTOS!$D:$D,MATCH(SCORE!U$2&amp;" "&amp;SCORE!$D604,EVENTOS!$F:$F,0)),0)</f>
        <v>0</v>
      </c>
      <c r="V604" s="3">
        <f>IFERROR(INDEX(EVENTOS!$D:$D,MATCH(SCORE!V$2&amp;" "&amp;SCORE!$D604,EVENTOS!$F:$F,0)),0)</f>
        <v>0</v>
      </c>
      <c r="W604" s="3">
        <f>IFERROR(INDEX(EVENTOS!$D:$D,MATCH(SCORE!W$2&amp;" "&amp;SCORE!$D604,EVENTOS!$F:$F,0)),0)</f>
        <v>0</v>
      </c>
      <c r="X604" s="3">
        <f>IFERROR(INDEX(EVENTOS!$D:$D,MATCH(SCORE!X$2&amp;" "&amp;SCORE!$D604,EVENTOS!$F:$F,0)),0)</f>
        <v>0</v>
      </c>
      <c r="Y604" s="3">
        <f>SUMIFS(EVENTOS!$D:$D, EVENTOS!$B:$B, D604, EVENTOS!$E:$E, "*GirAlto*")</f>
        <v>0</v>
      </c>
      <c r="Z604" s="3">
        <f>SUMIFS(EVENTOS!$D:$D, EVENTOS!$B:$B, D604, EVENTOS!$E:$E, "*GirMed*")</f>
        <v>0</v>
      </c>
      <c r="AA604" s="3">
        <f>SUMIFS(EVENTOS!$D:$D, EVENTOS!$B:$B, D604, EVENTOS!$E:$E, "*GirBajo*")</f>
        <v>0</v>
      </c>
      <c r="AB604" s="3">
        <f>IFERROR(INDEX(EVENTOS!$D:$D,MATCH(SCORE!AB$2&amp;" "&amp;SCORE!$D604,EVENTOS!$F:$F,0)),0)</f>
        <v>0</v>
      </c>
      <c r="AC604" s="3">
        <f>IFERROR(INDEX(EVENTOS!$D:$D,MATCH(SCORE!AC$2&amp;" "&amp;SCORE!$D604,EVENTOS!$F:$F,0)),0)</f>
        <v>0</v>
      </c>
      <c r="AD604" s="3">
        <f>IFERROR(INDEX(EVENTOS!$D:$D,MATCH(SCORE!AD$2&amp;" "&amp;SCORE!$D604,EVENTOS!$F:$F,0)),0)</f>
        <v>0</v>
      </c>
      <c r="AE604" s="3">
        <f t="shared" si="27"/>
        <v>0</v>
      </c>
      <c r="AF604" s="10" t="e">
        <f t="shared" si="28"/>
        <v>#N/A</v>
      </c>
      <c r="AG604" s="3" t="str">
        <f t="shared" si="29"/>
        <v/>
      </c>
    </row>
    <row r="605" spans="1:33" x14ac:dyDescent="0.25">
      <c r="A605" s="7"/>
      <c r="B605" s="8"/>
      <c r="C605" s="3"/>
      <c r="D605" s="3"/>
      <c r="E605" s="3" t="e">
        <f>VLOOKUP(D605,VIAJES!$D:$E,2,FALSE)</f>
        <v>#N/A</v>
      </c>
      <c r="F605" s="9" t="e">
        <f>VLOOKUP(D605,VIAJES!$D:$F,3,FALSE)</f>
        <v>#N/A</v>
      </c>
      <c r="G605" s="9" t="e">
        <f>VLOOKUP(D605,VIAJES!$D:$G,4,FALSE)</f>
        <v>#N/A</v>
      </c>
      <c r="H605" s="3" t="e">
        <f>VLOOKUP(D605,VIAJES!$D:$H,5,FALSE)</f>
        <v>#N/A</v>
      </c>
      <c r="S605" s="3">
        <f>IFERROR(INDEX(EVENTOS!$D:$D,MATCH(SCORE!S$2&amp;" "&amp;SCORE!$D605,EVENTOS!$F:$F,0)),0)</f>
        <v>0</v>
      </c>
      <c r="T605" s="3">
        <f>IFERROR(INDEX(EVENTOS!$D:$D,MATCH(SCORE!T$2&amp;" "&amp;SCORE!$D605,EVENTOS!$F:$F,0)),0)</f>
        <v>0</v>
      </c>
      <c r="U605" s="3">
        <f>IFERROR(INDEX(EVENTOS!$D:$D,MATCH(SCORE!U$2&amp;" "&amp;SCORE!$D605,EVENTOS!$F:$F,0)),0)</f>
        <v>0</v>
      </c>
      <c r="V605" s="3">
        <f>IFERROR(INDEX(EVENTOS!$D:$D,MATCH(SCORE!V$2&amp;" "&amp;SCORE!$D605,EVENTOS!$F:$F,0)),0)</f>
        <v>0</v>
      </c>
      <c r="W605" s="3">
        <f>IFERROR(INDEX(EVENTOS!$D:$D,MATCH(SCORE!W$2&amp;" "&amp;SCORE!$D605,EVENTOS!$F:$F,0)),0)</f>
        <v>0</v>
      </c>
      <c r="X605" s="3">
        <f>IFERROR(INDEX(EVENTOS!$D:$D,MATCH(SCORE!X$2&amp;" "&amp;SCORE!$D605,EVENTOS!$F:$F,0)),0)</f>
        <v>0</v>
      </c>
      <c r="Y605" s="3">
        <f>SUMIFS(EVENTOS!$D:$D, EVENTOS!$B:$B, D605, EVENTOS!$E:$E, "*GirAlto*")</f>
        <v>0</v>
      </c>
      <c r="Z605" s="3">
        <f>SUMIFS(EVENTOS!$D:$D, EVENTOS!$B:$B, D605, EVENTOS!$E:$E, "*GirMed*")</f>
        <v>0</v>
      </c>
      <c r="AA605" s="3">
        <f>SUMIFS(EVENTOS!$D:$D, EVENTOS!$B:$B, D605, EVENTOS!$E:$E, "*GirBajo*")</f>
        <v>0</v>
      </c>
      <c r="AB605" s="3">
        <f>IFERROR(INDEX(EVENTOS!$D:$D,MATCH(SCORE!AB$2&amp;" "&amp;SCORE!$D605,EVENTOS!$F:$F,0)),0)</f>
        <v>0</v>
      </c>
      <c r="AC605" s="3">
        <f>IFERROR(INDEX(EVENTOS!$D:$D,MATCH(SCORE!AC$2&amp;" "&amp;SCORE!$D605,EVENTOS!$F:$F,0)),0)</f>
        <v>0</v>
      </c>
      <c r="AD605" s="3">
        <f>IFERROR(INDEX(EVENTOS!$D:$D,MATCH(SCORE!AD$2&amp;" "&amp;SCORE!$D605,EVENTOS!$F:$F,0)),0)</f>
        <v>0</v>
      </c>
      <c r="AE605" s="3">
        <f t="shared" si="27"/>
        <v>0</v>
      </c>
      <c r="AF605" s="10" t="e">
        <f t="shared" si="28"/>
        <v>#N/A</v>
      </c>
      <c r="AG605" s="3" t="str">
        <f t="shared" si="29"/>
        <v/>
      </c>
    </row>
    <row r="606" spans="1:33" x14ac:dyDescent="0.25">
      <c r="A606" s="7"/>
      <c r="B606" s="8"/>
      <c r="C606" s="3"/>
      <c r="D606" s="3"/>
      <c r="E606" s="3" t="e">
        <f>VLOOKUP(D606,VIAJES!$D:$E,2,FALSE)</f>
        <v>#N/A</v>
      </c>
      <c r="F606" s="9" t="e">
        <f>VLOOKUP(D606,VIAJES!$D:$F,3,FALSE)</f>
        <v>#N/A</v>
      </c>
      <c r="G606" s="9" t="e">
        <f>VLOOKUP(D606,VIAJES!$D:$G,4,FALSE)</f>
        <v>#N/A</v>
      </c>
      <c r="H606" s="3" t="e">
        <f>VLOOKUP(D606,VIAJES!$D:$H,5,FALSE)</f>
        <v>#N/A</v>
      </c>
      <c r="S606" s="3">
        <f>IFERROR(INDEX(EVENTOS!$D:$D,MATCH(SCORE!S$2&amp;" "&amp;SCORE!$D606,EVENTOS!$F:$F,0)),0)</f>
        <v>0</v>
      </c>
      <c r="T606" s="3">
        <f>IFERROR(INDEX(EVENTOS!$D:$D,MATCH(SCORE!T$2&amp;" "&amp;SCORE!$D606,EVENTOS!$F:$F,0)),0)</f>
        <v>0</v>
      </c>
      <c r="U606" s="3">
        <f>IFERROR(INDEX(EVENTOS!$D:$D,MATCH(SCORE!U$2&amp;" "&amp;SCORE!$D606,EVENTOS!$F:$F,0)),0)</f>
        <v>0</v>
      </c>
      <c r="V606" s="3">
        <f>IFERROR(INDEX(EVENTOS!$D:$D,MATCH(SCORE!V$2&amp;" "&amp;SCORE!$D606,EVENTOS!$F:$F,0)),0)</f>
        <v>0</v>
      </c>
      <c r="W606" s="3">
        <f>IFERROR(INDEX(EVENTOS!$D:$D,MATCH(SCORE!W$2&amp;" "&amp;SCORE!$D606,EVENTOS!$F:$F,0)),0)</f>
        <v>0</v>
      </c>
      <c r="X606" s="3">
        <f>IFERROR(INDEX(EVENTOS!$D:$D,MATCH(SCORE!X$2&amp;" "&amp;SCORE!$D606,EVENTOS!$F:$F,0)),0)</f>
        <v>0</v>
      </c>
      <c r="Y606" s="3">
        <f>SUMIFS(EVENTOS!$D:$D, EVENTOS!$B:$B, D606, EVENTOS!$E:$E, "*GirAlto*")</f>
        <v>0</v>
      </c>
      <c r="Z606" s="3">
        <f>SUMIFS(EVENTOS!$D:$D, EVENTOS!$B:$B, D606, EVENTOS!$E:$E, "*GirMed*")</f>
        <v>0</v>
      </c>
      <c r="AA606" s="3">
        <f>SUMIFS(EVENTOS!$D:$D, EVENTOS!$B:$B, D606, EVENTOS!$E:$E, "*GirBajo*")</f>
        <v>0</v>
      </c>
      <c r="AB606" s="3">
        <f>IFERROR(INDEX(EVENTOS!$D:$D,MATCH(SCORE!AB$2&amp;" "&amp;SCORE!$D606,EVENTOS!$F:$F,0)),0)</f>
        <v>0</v>
      </c>
      <c r="AC606" s="3">
        <f>IFERROR(INDEX(EVENTOS!$D:$D,MATCH(SCORE!AC$2&amp;" "&amp;SCORE!$D606,EVENTOS!$F:$F,0)),0)</f>
        <v>0</v>
      </c>
      <c r="AD606" s="3">
        <f>IFERROR(INDEX(EVENTOS!$D:$D,MATCH(SCORE!AD$2&amp;" "&amp;SCORE!$D606,EVENTOS!$F:$F,0)),0)</f>
        <v>0</v>
      </c>
      <c r="AE606" s="3">
        <f t="shared" si="27"/>
        <v>0</v>
      </c>
      <c r="AF606" s="10" t="e">
        <f t="shared" si="28"/>
        <v>#N/A</v>
      </c>
      <c r="AG606" s="3" t="str">
        <f t="shared" si="29"/>
        <v/>
      </c>
    </row>
    <row r="607" spans="1:33" x14ac:dyDescent="0.25">
      <c r="A607" s="7"/>
      <c r="B607" s="8"/>
      <c r="C607" s="3"/>
      <c r="D607" s="3"/>
      <c r="E607" s="3" t="e">
        <f>VLOOKUP(D607,VIAJES!$D:$E,2,FALSE)</f>
        <v>#N/A</v>
      </c>
      <c r="F607" s="9" t="e">
        <f>VLOOKUP(D607,VIAJES!$D:$F,3,FALSE)</f>
        <v>#N/A</v>
      </c>
      <c r="G607" s="9" t="e">
        <f>VLOOKUP(D607,VIAJES!$D:$G,4,FALSE)</f>
        <v>#N/A</v>
      </c>
      <c r="H607" s="3" t="e">
        <f>VLOOKUP(D607,VIAJES!$D:$H,5,FALSE)</f>
        <v>#N/A</v>
      </c>
      <c r="S607" s="3">
        <f>IFERROR(INDEX(EVENTOS!$D:$D,MATCH(SCORE!S$2&amp;" "&amp;SCORE!$D607,EVENTOS!$F:$F,0)),0)</f>
        <v>0</v>
      </c>
      <c r="T607" s="3">
        <f>IFERROR(INDEX(EVENTOS!$D:$D,MATCH(SCORE!T$2&amp;" "&amp;SCORE!$D607,EVENTOS!$F:$F,0)),0)</f>
        <v>0</v>
      </c>
      <c r="U607" s="3">
        <f>IFERROR(INDEX(EVENTOS!$D:$D,MATCH(SCORE!U$2&amp;" "&amp;SCORE!$D607,EVENTOS!$F:$F,0)),0)</f>
        <v>0</v>
      </c>
      <c r="V607" s="3">
        <f>IFERROR(INDEX(EVENTOS!$D:$D,MATCH(SCORE!V$2&amp;" "&amp;SCORE!$D607,EVENTOS!$F:$F,0)),0)</f>
        <v>0</v>
      </c>
      <c r="W607" s="3">
        <f>IFERROR(INDEX(EVENTOS!$D:$D,MATCH(SCORE!W$2&amp;" "&amp;SCORE!$D607,EVENTOS!$F:$F,0)),0)</f>
        <v>0</v>
      </c>
      <c r="X607" s="3">
        <f>IFERROR(INDEX(EVENTOS!$D:$D,MATCH(SCORE!X$2&amp;" "&amp;SCORE!$D607,EVENTOS!$F:$F,0)),0)</f>
        <v>0</v>
      </c>
      <c r="Y607" s="3">
        <f>SUMIFS(EVENTOS!$D:$D, EVENTOS!$B:$B, D607, EVENTOS!$E:$E, "*GirAlto*")</f>
        <v>0</v>
      </c>
      <c r="Z607" s="3">
        <f>SUMIFS(EVENTOS!$D:$D, EVENTOS!$B:$B, D607, EVENTOS!$E:$E, "*GirMed*")</f>
        <v>0</v>
      </c>
      <c r="AA607" s="3">
        <f>SUMIFS(EVENTOS!$D:$D, EVENTOS!$B:$B, D607, EVENTOS!$E:$E, "*GirBajo*")</f>
        <v>0</v>
      </c>
      <c r="AB607" s="3">
        <f>IFERROR(INDEX(EVENTOS!$D:$D,MATCH(SCORE!AB$2&amp;" "&amp;SCORE!$D607,EVENTOS!$F:$F,0)),0)</f>
        <v>0</v>
      </c>
      <c r="AC607" s="3">
        <f>IFERROR(INDEX(EVENTOS!$D:$D,MATCH(SCORE!AC$2&amp;" "&amp;SCORE!$D607,EVENTOS!$F:$F,0)),0)</f>
        <v>0</v>
      </c>
      <c r="AD607" s="3">
        <f>IFERROR(INDEX(EVENTOS!$D:$D,MATCH(SCORE!AD$2&amp;" "&amp;SCORE!$D607,EVENTOS!$F:$F,0)),0)</f>
        <v>0</v>
      </c>
      <c r="AE607" s="3">
        <f t="shared" si="27"/>
        <v>0</v>
      </c>
      <c r="AF607" s="10" t="e">
        <f t="shared" si="28"/>
        <v>#N/A</v>
      </c>
      <c r="AG607" s="3" t="str">
        <f t="shared" si="29"/>
        <v/>
      </c>
    </row>
    <row r="608" spans="1:33" x14ac:dyDescent="0.25">
      <c r="A608" s="7"/>
      <c r="B608" s="8"/>
      <c r="C608" s="3"/>
      <c r="D608" s="3"/>
      <c r="E608" s="3" t="e">
        <f>VLOOKUP(D608,VIAJES!$D:$E,2,FALSE)</f>
        <v>#N/A</v>
      </c>
      <c r="F608" s="9" t="e">
        <f>VLOOKUP(D608,VIAJES!$D:$F,3,FALSE)</f>
        <v>#N/A</v>
      </c>
      <c r="G608" s="9" t="e">
        <f>VLOOKUP(D608,VIAJES!$D:$G,4,FALSE)</f>
        <v>#N/A</v>
      </c>
      <c r="H608" s="3" t="e">
        <f>VLOOKUP(D608,VIAJES!$D:$H,5,FALSE)</f>
        <v>#N/A</v>
      </c>
      <c r="S608" s="3">
        <f>IFERROR(INDEX(EVENTOS!$D:$D,MATCH(SCORE!S$2&amp;" "&amp;SCORE!$D608,EVENTOS!$F:$F,0)),0)</f>
        <v>0</v>
      </c>
      <c r="T608" s="3">
        <f>IFERROR(INDEX(EVENTOS!$D:$D,MATCH(SCORE!T$2&amp;" "&amp;SCORE!$D608,EVENTOS!$F:$F,0)),0)</f>
        <v>0</v>
      </c>
      <c r="U608" s="3">
        <f>IFERROR(INDEX(EVENTOS!$D:$D,MATCH(SCORE!U$2&amp;" "&amp;SCORE!$D608,EVENTOS!$F:$F,0)),0)</f>
        <v>0</v>
      </c>
      <c r="V608" s="3">
        <f>IFERROR(INDEX(EVENTOS!$D:$D,MATCH(SCORE!V$2&amp;" "&amp;SCORE!$D608,EVENTOS!$F:$F,0)),0)</f>
        <v>0</v>
      </c>
      <c r="W608" s="3">
        <f>IFERROR(INDEX(EVENTOS!$D:$D,MATCH(SCORE!W$2&amp;" "&amp;SCORE!$D608,EVENTOS!$F:$F,0)),0)</f>
        <v>0</v>
      </c>
      <c r="X608" s="3">
        <f>IFERROR(INDEX(EVENTOS!$D:$D,MATCH(SCORE!X$2&amp;" "&amp;SCORE!$D608,EVENTOS!$F:$F,0)),0)</f>
        <v>0</v>
      </c>
      <c r="Y608" s="3">
        <f>SUMIFS(EVENTOS!$D:$D, EVENTOS!$B:$B, D608, EVENTOS!$E:$E, "*GirAlto*")</f>
        <v>0</v>
      </c>
      <c r="Z608" s="3">
        <f>SUMIFS(EVENTOS!$D:$D, EVENTOS!$B:$B, D608, EVENTOS!$E:$E, "*GirMed*")</f>
        <v>0</v>
      </c>
      <c r="AA608" s="3">
        <f>SUMIFS(EVENTOS!$D:$D, EVENTOS!$B:$B, D608, EVENTOS!$E:$E, "*GirBajo*")</f>
        <v>0</v>
      </c>
      <c r="AB608" s="3">
        <f>IFERROR(INDEX(EVENTOS!$D:$D,MATCH(SCORE!AB$2&amp;" "&amp;SCORE!$D608,EVENTOS!$F:$F,0)),0)</f>
        <v>0</v>
      </c>
      <c r="AC608" s="3">
        <f>IFERROR(INDEX(EVENTOS!$D:$D,MATCH(SCORE!AC$2&amp;" "&amp;SCORE!$D608,EVENTOS!$F:$F,0)),0)</f>
        <v>0</v>
      </c>
      <c r="AD608" s="3">
        <f>IFERROR(INDEX(EVENTOS!$D:$D,MATCH(SCORE!AD$2&amp;" "&amp;SCORE!$D608,EVENTOS!$F:$F,0)),0)</f>
        <v>0</v>
      </c>
      <c r="AE608" s="3">
        <f t="shared" si="27"/>
        <v>0</v>
      </c>
      <c r="AF608" s="10" t="e">
        <f t="shared" si="28"/>
        <v>#N/A</v>
      </c>
      <c r="AG608" s="3" t="str">
        <f t="shared" si="29"/>
        <v/>
      </c>
    </row>
    <row r="609" spans="1:33" x14ac:dyDescent="0.25">
      <c r="A609" s="7"/>
      <c r="B609" s="8"/>
      <c r="C609" s="3"/>
      <c r="D609" s="3"/>
      <c r="E609" s="3" t="e">
        <f>VLOOKUP(D609,VIAJES!$D:$E,2,FALSE)</f>
        <v>#N/A</v>
      </c>
      <c r="F609" s="9" t="e">
        <f>VLOOKUP(D609,VIAJES!$D:$F,3,FALSE)</f>
        <v>#N/A</v>
      </c>
      <c r="G609" s="9" t="e">
        <f>VLOOKUP(D609,VIAJES!$D:$G,4,FALSE)</f>
        <v>#N/A</v>
      </c>
      <c r="H609" s="3" t="e">
        <f>VLOOKUP(D609,VIAJES!$D:$H,5,FALSE)</f>
        <v>#N/A</v>
      </c>
      <c r="S609" s="3">
        <f>IFERROR(INDEX(EVENTOS!$D:$D,MATCH(SCORE!S$2&amp;" "&amp;SCORE!$D609,EVENTOS!$F:$F,0)),0)</f>
        <v>0</v>
      </c>
      <c r="T609" s="3">
        <f>IFERROR(INDEX(EVENTOS!$D:$D,MATCH(SCORE!T$2&amp;" "&amp;SCORE!$D609,EVENTOS!$F:$F,0)),0)</f>
        <v>0</v>
      </c>
      <c r="U609" s="3">
        <f>IFERROR(INDEX(EVENTOS!$D:$D,MATCH(SCORE!U$2&amp;" "&amp;SCORE!$D609,EVENTOS!$F:$F,0)),0)</f>
        <v>0</v>
      </c>
      <c r="V609" s="3">
        <f>IFERROR(INDEX(EVENTOS!$D:$D,MATCH(SCORE!V$2&amp;" "&amp;SCORE!$D609,EVENTOS!$F:$F,0)),0)</f>
        <v>0</v>
      </c>
      <c r="W609" s="3">
        <f>IFERROR(INDEX(EVENTOS!$D:$D,MATCH(SCORE!W$2&amp;" "&amp;SCORE!$D609,EVENTOS!$F:$F,0)),0)</f>
        <v>0</v>
      </c>
      <c r="X609" s="3">
        <f>IFERROR(INDEX(EVENTOS!$D:$D,MATCH(SCORE!X$2&amp;" "&amp;SCORE!$D609,EVENTOS!$F:$F,0)),0)</f>
        <v>0</v>
      </c>
      <c r="Y609" s="3">
        <f>SUMIFS(EVENTOS!$D:$D, EVENTOS!$B:$B, D609, EVENTOS!$E:$E, "*GirAlto*")</f>
        <v>0</v>
      </c>
      <c r="Z609" s="3">
        <f>SUMIFS(EVENTOS!$D:$D, EVENTOS!$B:$B, D609, EVENTOS!$E:$E, "*GirMed*")</f>
        <v>0</v>
      </c>
      <c r="AA609" s="3">
        <f>SUMIFS(EVENTOS!$D:$D, EVENTOS!$B:$B, D609, EVENTOS!$E:$E, "*GirBajo*")</f>
        <v>0</v>
      </c>
      <c r="AB609" s="3">
        <f>IFERROR(INDEX(EVENTOS!$D:$D,MATCH(SCORE!AB$2&amp;" "&amp;SCORE!$D609,EVENTOS!$F:$F,0)),0)</f>
        <v>0</v>
      </c>
      <c r="AC609" s="3">
        <f>IFERROR(INDEX(EVENTOS!$D:$D,MATCH(SCORE!AC$2&amp;" "&amp;SCORE!$D609,EVENTOS!$F:$F,0)),0)</f>
        <v>0</v>
      </c>
      <c r="AD609" s="3">
        <f>IFERROR(INDEX(EVENTOS!$D:$D,MATCH(SCORE!AD$2&amp;" "&amp;SCORE!$D609,EVENTOS!$F:$F,0)),0)</f>
        <v>0</v>
      </c>
      <c r="AE609" s="3">
        <f t="shared" si="27"/>
        <v>0</v>
      </c>
      <c r="AF609" s="10" t="e">
        <f t="shared" si="28"/>
        <v>#N/A</v>
      </c>
      <c r="AG609" s="3" t="str">
        <f t="shared" si="29"/>
        <v/>
      </c>
    </row>
    <row r="610" spans="1:33" x14ac:dyDescent="0.25">
      <c r="A610" s="7"/>
      <c r="B610" s="8"/>
      <c r="C610" s="3"/>
      <c r="D610" s="3"/>
      <c r="E610" s="3" t="e">
        <f>VLOOKUP(D610,VIAJES!$D:$E,2,FALSE)</f>
        <v>#N/A</v>
      </c>
      <c r="F610" s="9" t="e">
        <f>VLOOKUP(D610,VIAJES!$D:$F,3,FALSE)</f>
        <v>#N/A</v>
      </c>
      <c r="G610" s="9" t="e">
        <f>VLOOKUP(D610,VIAJES!$D:$G,4,FALSE)</f>
        <v>#N/A</v>
      </c>
      <c r="H610" s="3" t="e">
        <f>VLOOKUP(D610,VIAJES!$D:$H,5,FALSE)</f>
        <v>#N/A</v>
      </c>
      <c r="S610" s="3">
        <f>IFERROR(INDEX(EVENTOS!$D:$D,MATCH(SCORE!S$2&amp;" "&amp;SCORE!$D610,EVENTOS!$F:$F,0)),0)</f>
        <v>0</v>
      </c>
      <c r="T610" s="3">
        <f>IFERROR(INDEX(EVENTOS!$D:$D,MATCH(SCORE!T$2&amp;" "&amp;SCORE!$D610,EVENTOS!$F:$F,0)),0)</f>
        <v>0</v>
      </c>
      <c r="U610" s="3">
        <f>IFERROR(INDEX(EVENTOS!$D:$D,MATCH(SCORE!U$2&amp;" "&amp;SCORE!$D610,EVENTOS!$F:$F,0)),0)</f>
        <v>0</v>
      </c>
      <c r="V610" s="3">
        <f>IFERROR(INDEX(EVENTOS!$D:$D,MATCH(SCORE!V$2&amp;" "&amp;SCORE!$D610,EVENTOS!$F:$F,0)),0)</f>
        <v>0</v>
      </c>
      <c r="W610" s="3">
        <f>IFERROR(INDEX(EVENTOS!$D:$D,MATCH(SCORE!W$2&amp;" "&amp;SCORE!$D610,EVENTOS!$F:$F,0)),0)</f>
        <v>0</v>
      </c>
      <c r="X610" s="3">
        <f>IFERROR(INDEX(EVENTOS!$D:$D,MATCH(SCORE!X$2&amp;" "&amp;SCORE!$D610,EVENTOS!$F:$F,0)),0)</f>
        <v>0</v>
      </c>
      <c r="Y610" s="3">
        <f>SUMIFS(EVENTOS!$D:$D, EVENTOS!$B:$B, D610, EVENTOS!$E:$E, "*GirAlto*")</f>
        <v>0</v>
      </c>
      <c r="Z610" s="3">
        <f>SUMIFS(EVENTOS!$D:$D, EVENTOS!$B:$B, D610, EVENTOS!$E:$E, "*GirMed*")</f>
        <v>0</v>
      </c>
      <c r="AA610" s="3">
        <f>SUMIFS(EVENTOS!$D:$D, EVENTOS!$B:$B, D610, EVENTOS!$E:$E, "*GirBajo*")</f>
        <v>0</v>
      </c>
      <c r="AB610" s="3">
        <f>IFERROR(INDEX(EVENTOS!$D:$D,MATCH(SCORE!AB$2&amp;" "&amp;SCORE!$D610,EVENTOS!$F:$F,0)),0)</f>
        <v>0</v>
      </c>
      <c r="AC610" s="3">
        <f>IFERROR(INDEX(EVENTOS!$D:$D,MATCH(SCORE!AC$2&amp;" "&amp;SCORE!$D610,EVENTOS!$F:$F,0)),0)</f>
        <v>0</v>
      </c>
      <c r="AD610" s="3">
        <f>IFERROR(INDEX(EVENTOS!$D:$D,MATCH(SCORE!AD$2&amp;" "&amp;SCORE!$D610,EVENTOS!$F:$F,0)),0)</f>
        <v>0</v>
      </c>
      <c r="AE610" s="3">
        <f t="shared" si="27"/>
        <v>0</v>
      </c>
      <c r="AF610" s="10" t="e">
        <f t="shared" si="28"/>
        <v>#N/A</v>
      </c>
      <c r="AG610" s="3" t="str">
        <f t="shared" si="29"/>
        <v/>
      </c>
    </row>
    <row r="611" spans="1:33" x14ac:dyDescent="0.25">
      <c r="A611" s="7"/>
      <c r="B611" s="8"/>
      <c r="C611" s="3"/>
      <c r="D611" s="3"/>
      <c r="E611" s="3" t="e">
        <f>VLOOKUP(D611,VIAJES!$D:$E,2,FALSE)</f>
        <v>#N/A</v>
      </c>
      <c r="F611" s="9" t="e">
        <f>VLOOKUP(D611,VIAJES!$D:$F,3,FALSE)</f>
        <v>#N/A</v>
      </c>
      <c r="G611" s="9" t="e">
        <f>VLOOKUP(D611,VIAJES!$D:$G,4,FALSE)</f>
        <v>#N/A</v>
      </c>
      <c r="H611" s="3" t="e">
        <f>VLOOKUP(D611,VIAJES!$D:$H,5,FALSE)</f>
        <v>#N/A</v>
      </c>
      <c r="S611" s="3">
        <f>IFERROR(INDEX(EVENTOS!$D:$D,MATCH(SCORE!S$2&amp;" "&amp;SCORE!$D611,EVENTOS!$F:$F,0)),0)</f>
        <v>0</v>
      </c>
      <c r="T611" s="3">
        <f>IFERROR(INDEX(EVENTOS!$D:$D,MATCH(SCORE!T$2&amp;" "&amp;SCORE!$D611,EVENTOS!$F:$F,0)),0)</f>
        <v>0</v>
      </c>
      <c r="U611" s="3">
        <f>IFERROR(INDEX(EVENTOS!$D:$D,MATCH(SCORE!U$2&amp;" "&amp;SCORE!$D611,EVENTOS!$F:$F,0)),0)</f>
        <v>0</v>
      </c>
      <c r="V611" s="3">
        <f>IFERROR(INDEX(EVENTOS!$D:$D,MATCH(SCORE!V$2&amp;" "&amp;SCORE!$D611,EVENTOS!$F:$F,0)),0)</f>
        <v>0</v>
      </c>
      <c r="W611" s="3">
        <f>IFERROR(INDEX(EVENTOS!$D:$D,MATCH(SCORE!W$2&amp;" "&amp;SCORE!$D611,EVENTOS!$F:$F,0)),0)</f>
        <v>0</v>
      </c>
      <c r="X611" s="3">
        <f>IFERROR(INDEX(EVENTOS!$D:$D,MATCH(SCORE!X$2&amp;" "&amp;SCORE!$D611,EVENTOS!$F:$F,0)),0)</f>
        <v>0</v>
      </c>
      <c r="Y611" s="3">
        <f>SUMIFS(EVENTOS!$D:$D, EVENTOS!$B:$B, D611, EVENTOS!$E:$E, "*GirAlto*")</f>
        <v>0</v>
      </c>
      <c r="Z611" s="3">
        <f>SUMIFS(EVENTOS!$D:$D, EVENTOS!$B:$B, D611, EVENTOS!$E:$E, "*GirMed*")</f>
        <v>0</v>
      </c>
      <c r="AA611" s="3">
        <f>SUMIFS(EVENTOS!$D:$D, EVENTOS!$B:$B, D611, EVENTOS!$E:$E, "*GirBajo*")</f>
        <v>0</v>
      </c>
      <c r="AB611" s="3">
        <f>IFERROR(INDEX(EVENTOS!$D:$D,MATCH(SCORE!AB$2&amp;" "&amp;SCORE!$D611,EVENTOS!$F:$F,0)),0)</f>
        <v>0</v>
      </c>
      <c r="AC611" s="3">
        <f>IFERROR(INDEX(EVENTOS!$D:$D,MATCH(SCORE!AC$2&amp;" "&amp;SCORE!$D611,EVENTOS!$F:$F,0)),0)</f>
        <v>0</v>
      </c>
      <c r="AD611" s="3">
        <f>IFERROR(INDEX(EVENTOS!$D:$D,MATCH(SCORE!AD$2&amp;" "&amp;SCORE!$D611,EVENTOS!$F:$F,0)),0)</f>
        <v>0</v>
      </c>
      <c r="AE611" s="3">
        <f t="shared" si="27"/>
        <v>0</v>
      </c>
      <c r="AF611" s="10" t="e">
        <f t="shared" si="28"/>
        <v>#N/A</v>
      </c>
      <c r="AG611" s="3" t="str">
        <f t="shared" si="29"/>
        <v/>
      </c>
    </row>
    <row r="612" spans="1:33" x14ac:dyDescent="0.25">
      <c r="A612" s="7"/>
      <c r="B612" s="8"/>
      <c r="C612" s="3"/>
      <c r="D612" s="3"/>
      <c r="E612" s="3" t="e">
        <f>VLOOKUP(D612,VIAJES!$D:$E,2,FALSE)</f>
        <v>#N/A</v>
      </c>
      <c r="F612" s="9" t="e">
        <f>VLOOKUP(D612,VIAJES!$D:$F,3,FALSE)</f>
        <v>#N/A</v>
      </c>
      <c r="G612" s="9" t="e">
        <f>VLOOKUP(D612,VIAJES!$D:$G,4,FALSE)</f>
        <v>#N/A</v>
      </c>
      <c r="H612" s="3" t="e">
        <f>VLOOKUP(D612,VIAJES!$D:$H,5,FALSE)</f>
        <v>#N/A</v>
      </c>
      <c r="S612" s="3">
        <f>IFERROR(INDEX(EVENTOS!$D:$D,MATCH(SCORE!S$2&amp;" "&amp;SCORE!$D612,EVENTOS!$F:$F,0)),0)</f>
        <v>0</v>
      </c>
      <c r="T612" s="3">
        <f>IFERROR(INDEX(EVENTOS!$D:$D,MATCH(SCORE!T$2&amp;" "&amp;SCORE!$D612,EVENTOS!$F:$F,0)),0)</f>
        <v>0</v>
      </c>
      <c r="U612" s="3">
        <f>IFERROR(INDEX(EVENTOS!$D:$D,MATCH(SCORE!U$2&amp;" "&amp;SCORE!$D612,EVENTOS!$F:$F,0)),0)</f>
        <v>0</v>
      </c>
      <c r="V612" s="3">
        <f>IFERROR(INDEX(EVENTOS!$D:$D,MATCH(SCORE!V$2&amp;" "&amp;SCORE!$D612,EVENTOS!$F:$F,0)),0)</f>
        <v>0</v>
      </c>
      <c r="W612" s="3">
        <f>IFERROR(INDEX(EVENTOS!$D:$D,MATCH(SCORE!W$2&amp;" "&amp;SCORE!$D612,EVENTOS!$F:$F,0)),0)</f>
        <v>0</v>
      </c>
      <c r="X612" s="3">
        <f>IFERROR(INDEX(EVENTOS!$D:$D,MATCH(SCORE!X$2&amp;" "&amp;SCORE!$D612,EVENTOS!$F:$F,0)),0)</f>
        <v>0</v>
      </c>
      <c r="Y612" s="3">
        <f>SUMIFS(EVENTOS!$D:$D, EVENTOS!$B:$B, D612, EVENTOS!$E:$E, "*GirAlto*")</f>
        <v>0</v>
      </c>
      <c r="Z612" s="3">
        <f>SUMIFS(EVENTOS!$D:$D, EVENTOS!$B:$B, D612, EVENTOS!$E:$E, "*GirMed*")</f>
        <v>0</v>
      </c>
      <c r="AA612" s="3">
        <f>SUMIFS(EVENTOS!$D:$D, EVENTOS!$B:$B, D612, EVENTOS!$E:$E, "*GirBajo*")</f>
        <v>0</v>
      </c>
      <c r="AB612" s="3">
        <f>IFERROR(INDEX(EVENTOS!$D:$D,MATCH(SCORE!AB$2&amp;" "&amp;SCORE!$D612,EVENTOS!$F:$F,0)),0)</f>
        <v>0</v>
      </c>
      <c r="AC612" s="3">
        <f>IFERROR(INDEX(EVENTOS!$D:$D,MATCH(SCORE!AC$2&amp;" "&amp;SCORE!$D612,EVENTOS!$F:$F,0)),0)</f>
        <v>0</v>
      </c>
      <c r="AD612" s="3">
        <f>IFERROR(INDEX(EVENTOS!$D:$D,MATCH(SCORE!AD$2&amp;" "&amp;SCORE!$D612,EVENTOS!$F:$F,0)),0)</f>
        <v>0</v>
      </c>
      <c r="AE612" s="3">
        <f t="shared" si="27"/>
        <v>0</v>
      </c>
      <c r="AF612" s="10" t="e">
        <f t="shared" si="28"/>
        <v>#N/A</v>
      </c>
      <c r="AG612" s="3" t="str">
        <f t="shared" si="29"/>
        <v/>
      </c>
    </row>
    <row r="613" spans="1:33" x14ac:dyDescent="0.25">
      <c r="A613" s="7"/>
      <c r="B613" s="8"/>
      <c r="C613" s="3"/>
      <c r="D613" s="3"/>
      <c r="E613" s="3" t="e">
        <f>VLOOKUP(D613,VIAJES!$D:$E,2,FALSE)</f>
        <v>#N/A</v>
      </c>
      <c r="F613" s="9" t="e">
        <f>VLOOKUP(D613,VIAJES!$D:$F,3,FALSE)</f>
        <v>#N/A</v>
      </c>
      <c r="G613" s="9" t="e">
        <f>VLOOKUP(D613,VIAJES!$D:$G,4,FALSE)</f>
        <v>#N/A</v>
      </c>
      <c r="H613" s="3" t="e">
        <f>VLOOKUP(D613,VIAJES!$D:$H,5,FALSE)</f>
        <v>#N/A</v>
      </c>
      <c r="S613" s="3">
        <f>IFERROR(INDEX(EVENTOS!$D:$D,MATCH(SCORE!S$2&amp;" "&amp;SCORE!$D613,EVENTOS!$F:$F,0)),0)</f>
        <v>0</v>
      </c>
      <c r="T613" s="3">
        <f>IFERROR(INDEX(EVENTOS!$D:$D,MATCH(SCORE!T$2&amp;" "&amp;SCORE!$D613,EVENTOS!$F:$F,0)),0)</f>
        <v>0</v>
      </c>
      <c r="U613" s="3">
        <f>IFERROR(INDEX(EVENTOS!$D:$D,MATCH(SCORE!U$2&amp;" "&amp;SCORE!$D613,EVENTOS!$F:$F,0)),0)</f>
        <v>0</v>
      </c>
      <c r="V613" s="3">
        <f>IFERROR(INDEX(EVENTOS!$D:$D,MATCH(SCORE!V$2&amp;" "&amp;SCORE!$D613,EVENTOS!$F:$F,0)),0)</f>
        <v>0</v>
      </c>
      <c r="W613" s="3">
        <f>IFERROR(INDEX(EVENTOS!$D:$D,MATCH(SCORE!W$2&amp;" "&amp;SCORE!$D613,EVENTOS!$F:$F,0)),0)</f>
        <v>0</v>
      </c>
      <c r="X613" s="3">
        <f>IFERROR(INDEX(EVENTOS!$D:$D,MATCH(SCORE!X$2&amp;" "&amp;SCORE!$D613,EVENTOS!$F:$F,0)),0)</f>
        <v>0</v>
      </c>
      <c r="Y613" s="3">
        <f>SUMIFS(EVENTOS!$D:$D, EVENTOS!$B:$B, D613, EVENTOS!$E:$E, "*GirAlto*")</f>
        <v>0</v>
      </c>
      <c r="Z613" s="3">
        <f>SUMIFS(EVENTOS!$D:$D, EVENTOS!$B:$B, D613, EVENTOS!$E:$E, "*GirMed*")</f>
        <v>0</v>
      </c>
      <c r="AA613" s="3">
        <f>SUMIFS(EVENTOS!$D:$D, EVENTOS!$B:$B, D613, EVENTOS!$E:$E, "*GirBajo*")</f>
        <v>0</v>
      </c>
      <c r="AB613" s="3">
        <f>IFERROR(INDEX(EVENTOS!$D:$D,MATCH(SCORE!AB$2&amp;" "&amp;SCORE!$D613,EVENTOS!$F:$F,0)),0)</f>
        <v>0</v>
      </c>
      <c r="AC613" s="3">
        <f>IFERROR(INDEX(EVENTOS!$D:$D,MATCH(SCORE!AC$2&amp;" "&amp;SCORE!$D613,EVENTOS!$F:$F,0)),0)</f>
        <v>0</v>
      </c>
      <c r="AD613" s="3">
        <f>IFERROR(INDEX(EVENTOS!$D:$D,MATCH(SCORE!AD$2&amp;" "&amp;SCORE!$D613,EVENTOS!$F:$F,0)),0)</f>
        <v>0</v>
      </c>
      <c r="AE613" s="3">
        <f t="shared" si="27"/>
        <v>0</v>
      </c>
      <c r="AF613" s="10" t="e">
        <f t="shared" si="28"/>
        <v>#N/A</v>
      </c>
      <c r="AG613" s="3" t="str">
        <f t="shared" si="29"/>
        <v/>
      </c>
    </row>
    <row r="614" spans="1:33" x14ac:dyDescent="0.25">
      <c r="A614" s="7"/>
      <c r="B614" s="8"/>
      <c r="C614" s="3"/>
      <c r="D614" s="3"/>
      <c r="E614" s="3" t="e">
        <f>VLOOKUP(D614,VIAJES!$D:$E,2,FALSE)</f>
        <v>#N/A</v>
      </c>
      <c r="F614" s="9" t="e">
        <f>VLOOKUP(D614,VIAJES!$D:$F,3,FALSE)</f>
        <v>#N/A</v>
      </c>
      <c r="G614" s="9" t="e">
        <f>VLOOKUP(D614,VIAJES!$D:$G,4,FALSE)</f>
        <v>#N/A</v>
      </c>
      <c r="H614" s="3" t="e">
        <f>VLOOKUP(D614,VIAJES!$D:$H,5,FALSE)</f>
        <v>#N/A</v>
      </c>
      <c r="S614" s="3">
        <f>IFERROR(INDEX(EVENTOS!$D:$D,MATCH(SCORE!S$2&amp;" "&amp;SCORE!$D614,EVENTOS!$F:$F,0)),0)</f>
        <v>0</v>
      </c>
      <c r="T614" s="3">
        <f>IFERROR(INDEX(EVENTOS!$D:$D,MATCH(SCORE!T$2&amp;" "&amp;SCORE!$D614,EVENTOS!$F:$F,0)),0)</f>
        <v>0</v>
      </c>
      <c r="U614" s="3">
        <f>IFERROR(INDEX(EVENTOS!$D:$D,MATCH(SCORE!U$2&amp;" "&amp;SCORE!$D614,EVENTOS!$F:$F,0)),0)</f>
        <v>0</v>
      </c>
      <c r="V614" s="3">
        <f>IFERROR(INDEX(EVENTOS!$D:$D,MATCH(SCORE!V$2&amp;" "&amp;SCORE!$D614,EVENTOS!$F:$F,0)),0)</f>
        <v>0</v>
      </c>
      <c r="W614" s="3">
        <f>IFERROR(INDEX(EVENTOS!$D:$D,MATCH(SCORE!W$2&amp;" "&amp;SCORE!$D614,EVENTOS!$F:$F,0)),0)</f>
        <v>0</v>
      </c>
      <c r="X614" s="3">
        <f>IFERROR(INDEX(EVENTOS!$D:$D,MATCH(SCORE!X$2&amp;" "&amp;SCORE!$D614,EVENTOS!$F:$F,0)),0)</f>
        <v>0</v>
      </c>
      <c r="Y614" s="3">
        <f>SUMIFS(EVENTOS!$D:$D, EVENTOS!$B:$B, D614, EVENTOS!$E:$E, "*GirAlto*")</f>
        <v>0</v>
      </c>
      <c r="Z614" s="3">
        <f>SUMIFS(EVENTOS!$D:$D, EVENTOS!$B:$B, D614, EVENTOS!$E:$E, "*GirMed*")</f>
        <v>0</v>
      </c>
      <c r="AA614" s="3">
        <f>SUMIFS(EVENTOS!$D:$D, EVENTOS!$B:$B, D614, EVENTOS!$E:$E, "*GirBajo*")</f>
        <v>0</v>
      </c>
      <c r="AB614" s="3">
        <f>IFERROR(INDEX(EVENTOS!$D:$D,MATCH(SCORE!AB$2&amp;" "&amp;SCORE!$D614,EVENTOS!$F:$F,0)),0)</f>
        <v>0</v>
      </c>
      <c r="AC614" s="3">
        <f>IFERROR(INDEX(EVENTOS!$D:$D,MATCH(SCORE!AC$2&amp;" "&amp;SCORE!$D614,EVENTOS!$F:$F,0)),0)</f>
        <v>0</v>
      </c>
      <c r="AD614" s="3">
        <f>IFERROR(INDEX(EVENTOS!$D:$D,MATCH(SCORE!AD$2&amp;" "&amp;SCORE!$D614,EVENTOS!$F:$F,0)),0)</f>
        <v>0</v>
      </c>
      <c r="AE614" s="3">
        <f t="shared" si="27"/>
        <v>0</v>
      </c>
      <c r="AF614" s="10" t="e">
        <f t="shared" si="28"/>
        <v>#N/A</v>
      </c>
      <c r="AG614" s="3" t="str">
        <f t="shared" si="29"/>
        <v/>
      </c>
    </row>
    <row r="615" spans="1:33" x14ac:dyDescent="0.25">
      <c r="A615" s="7"/>
      <c r="B615" s="8"/>
      <c r="C615" s="3"/>
      <c r="D615" s="3"/>
      <c r="E615" s="3" t="e">
        <f>VLOOKUP(D615,VIAJES!$D:$E,2,FALSE)</f>
        <v>#N/A</v>
      </c>
      <c r="F615" s="9" t="e">
        <f>VLOOKUP(D615,VIAJES!$D:$F,3,FALSE)</f>
        <v>#N/A</v>
      </c>
      <c r="G615" s="9" t="e">
        <f>VLOOKUP(D615,VIAJES!$D:$G,4,FALSE)</f>
        <v>#N/A</v>
      </c>
      <c r="H615" s="3" t="e">
        <f>VLOOKUP(D615,VIAJES!$D:$H,5,FALSE)</f>
        <v>#N/A</v>
      </c>
      <c r="S615" s="3">
        <f>IFERROR(INDEX(EVENTOS!$D:$D,MATCH(SCORE!S$2&amp;" "&amp;SCORE!$D615,EVENTOS!$F:$F,0)),0)</f>
        <v>0</v>
      </c>
      <c r="T615" s="3">
        <f>IFERROR(INDEX(EVENTOS!$D:$D,MATCH(SCORE!T$2&amp;" "&amp;SCORE!$D615,EVENTOS!$F:$F,0)),0)</f>
        <v>0</v>
      </c>
      <c r="U615" s="3">
        <f>IFERROR(INDEX(EVENTOS!$D:$D,MATCH(SCORE!U$2&amp;" "&amp;SCORE!$D615,EVENTOS!$F:$F,0)),0)</f>
        <v>0</v>
      </c>
      <c r="V615" s="3">
        <f>IFERROR(INDEX(EVENTOS!$D:$D,MATCH(SCORE!V$2&amp;" "&amp;SCORE!$D615,EVENTOS!$F:$F,0)),0)</f>
        <v>0</v>
      </c>
      <c r="W615" s="3">
        <f>IFERROR(INDEX(EVENTOS!$D:$D,MATCH(SCORE!W$2&amp;" "&amp;SCORE!$D615,EVENTOS!$F:$F,0)),0)</f>
        <v>0</v>
      </c>
      <c r="X615" s="3">
        <f>IFERROR(INDEX(EVENTOS!$D:$D,MATCH(SCORE!X$2&amp;" "&amp;SCORE!$D615,EVENTOS!$F:$F,0)),0)</f>
        <v>0</v>
      </c>
      <c r="Y615" s="3">
        <f>SUMIFS(EVENTOS!$D:$D, EVENTOS!$B:$B, D615, EVENTOS!$E:$E, "*GirAlto*")</f>
        <v>0</v>
      </c>
      <c r="Z615" s="3">
        <f>SUMIFS(EVENTOS!$D:$D, EVENTOS!$B:$B, D615, EVENTOS!$E:$E, "*GirMed*")</f>
        <v>0</v>
      </c>
      <c r="AA615" s="3">
        <f>SUMIFS(EVENTOS!$D:$D, EVENTOS!$B:$B, D615, EVENTOS!$E:$E, "*GirBajo*")</f>
        <v>0</v>
      </c>
      <c r="AB615" s="3">
        <f>IFERROR(INDEX(EVENTOS!$D:$D,MATCH(SCORE!AB$2&amp;" "&amp;SCORE!$D615,EVENTOS!$F:$F,0)),0)</f>
        <v>0</v>
      </c>
      <c r="AC615" s="3">
        <f>IFERROR(INDEX(EVENTOS!$D:$D,MATCH(SCORE!AC$2&amp;" "&amp;SCORE!$D615,EVENTOS!$F:$F,0)),0)</f>
        <v>0</v>
      </c>
      <c r="AD615" s="3">
        <f>IFERROR(INDEX(EVENTOS!$D:$D,MATCH(SCORE!AD$2&amp;" "&amp;SCORE!$D615,EVENTOS!$F:$F,0)),0)</f>
        <v>0</v>
      </c>
      <c r="AE615" s="3">
        <f t="shared" si="27"/>
        <v>0</v>
      </c>
      <c r="AF615" s="10" t="e">
        <f t="shared" si="28"/>
        <v>#N/A</v>
      </c>
      <c r="AG615" s="3" t="str">
        <f t="shared" si="29"/>
        <v/>
      </c>
    </row>
    <row r="616" spans="1:33" x14ac:dyDescent="0.25">
      <c r="A616" s="7"/>
      <c r="B616" s="8"/>
      <c r="C616" s="3"/>
      <c r="D616" s="3"/>
      <c r="E616" s="3" t="e">
        <f>VLOOKUP(D616,VIAJES!$D:$E,2,FALSE)</f>
        <v>#N/A</v>
      </c>
      <c r="F616" s="9" t="e">
        <f>VLOOKUP(D616,VIAJES!$D:$F,3,FALSE)</f>
        <v>#N/A</v>
      </c>
      <c r="G616" s="9" t="e">
        <f>VLOOKUP(D616,VIAJES!$D:$G,4,FALSE)</f>
        <v>#N/A</v>
      </c>
      <c r="H616" s="3" t="e">
        <f>VLOOKUP(D616,VIAJES!$D:$H,5,FALSE)</f>
        <v>#N/A</v>
      </c>
      <c r="S616" s="3">
        <f>IFERROR(INDEX(EVENTOS!$D:$D,MATCH(SCORE!S$2&amp;" "&amp;SCORE!$D616,EVENTOS!$F:$F,0)),0)</f>
        <v>0</v>
      </c>
      <c r="T616" s="3">
        <f>IFERROR(INDEX(EVENTOS!$D:$D,MATCH(SCORE!T$2&amp;" "&amp;SCORE!$D616,EVENTOS!$F:$F,0)),0)</f>
        <v>0</v>
      </c>
      <c r="U616" s="3">
        <f>IFERROR(INDEX(EVENTOS!$D:$D,MATCH(SCORE!U$2&amp;" "&amp;SCORE!$D616,EVENTOS!$F:$F,0)),0)</f>
        <v>0</v>
      </c>
      <c r="V616" s="3">
        <f>IFERROR(INDEX(EVENTOS!$D:$D,MATCH(SCORE!V$2&amp;" "&amp;SCORE!$D616,EVENTOS!$F:$F,0)),0)</f>
        <v>0</v>
      </c>
      <c r="W616" s="3">
        <f>IFERROR(INDEX(EVENTOS!$D:$D,MATCH(SCORE!W$2&amp;" "&amp;SCORE!$D616,EVENTOS!$F:$F,0)),0)</f>
        <v>0</v>
      </c>
      <c r="X616" s="3">
        <f>IFERROR(INDEX(EVENTOS!$D:$D,MATCH(SCORE!X$2&amp;" "&amp;SCORE!$D616,EVENTOS!$F:$F,0)),0)</f>
        <v>0</v>
      </c>
      <c r="Y616" s="3">
        <f>SUMIFS(EVENTOS!$D:$D, EVENTOS!$B:$B, D616, EVENTOS!$E:$E, "*GirAlto*")</f>
        <v>0</v>
      </c>
      <c r="Z616" s="3">
        <f>SUMIFS(EVENTOS!$D:$D, EVENTOS!$B:$B, D616, EVENTOS!$E:$E, "*GirMed*")</f>
        <v>0</v>
      </c>
      <c r="AA616" s="3">
        <f>SUMIFS(EVENTOS!$D:$D, EVENTOS!$B:$B, D616, EVENTOS!$E:$E, "*GirBajo*")</f>
        <v>0</v>
      </c>
      <c r="AB616" s="3">
        <f>IFERROR(INDEX(EVENTOS!$D:$D,MATCH(SCORE!AB$2&amp;" "&amp;SCORE!$D616,EVENTOS!$F:$F,0)),0)</f>
        <v>0</v>
      </c>
      <c r="AC616" s="3">
        <f>IFERROR(INDEX(EVENTOS!$D:$D,MATCH(SCORE!AC$2&amp;" "&amp;SCORE!$D616,EVENTOS!$F:$F,0)),0)</f>
        <v>0</v>
      </c>
      <c r="AD616" s="3">
        <f>IFERROR(INDEX(EVENTOS!$D:$D,MATCH(SCORE!AD$2&amp;" "&amp;SCORE!$D616,EVENTOS!$F:$F,0)),0)</f>
        <v>0</v>
      </c>
      <c r="AE616" s="3">
        <f t="shared" si="27"/>
        <v>0</v>
      </c>
      <c r="AF616" s="10" t="e">
        <f t="shared" si="28"/>
        <v>#N/A</v>
      </c>
      <c r="AG616" s="3" t="str">
        <f t="shared" si="29"/>
        <v/>
      </c>
    </row>
    <row r="617" spans="1:33" x14ac:dyDescent="0.25">
      <c r="A617" s="7"/>
      <c r="B617" s="8"/>
      <c r="C617" s="3"/>
      <c r="D617" s="3"/>
      <c r="E617" s="3" t="e">
        <f>VLOOKUP(D617,VIAJES!$D:$E,2,FALSE)</f>
        <v>#N/A</v>
      </c>
      <c r="F617" s="9" t="e">
        <f>VLOOKUP(D617,VIAJES!$D:$F,3,FALSE)</f>
        <v>#N/A</v>
      </c>
      <c r="G617" s="9" t="e">
        <f>VLOOKUP(D617,VIAJES!$D:$G,4,FALSE)</f>
        <v>#N/A</v>
      </c>
      <c r="H617" s="3" t="e">
        <f>VLOOKUP(D617,VIAJES!$D:$H,5,FALSE)</f>
        <v>#N/A</v>
      </c>
      <c r="S617" s="3">
        <f>IFERROR(INDEX(EVENTOS!$D:$D,MATCH(SCORE!S$2&amp;" "&amp;SCORE!$D617,EVENTOS!$F:$F,0)),0)</f>
        <v>0</v>
      </c>
      <c r="T617" s="3">
        <f>IFERROR(INDEX(EVENTOS!$D:$D,MATCH(SCORE!T$2&amp;" "&amp;SCORE!$D617,EVENTOS!$F:$F,0)),0)</f>
        <v>0</v>
      </c>
      <c r="U617" s="3">
        <f>IFERROR(INDEX(EVENTOS!$D:$D,MATCH(SCORE!U$2&amp;" "&amp;SCORE!$D617,EVENTOS!$F:$F,0)),0)</f>
        <v>0</v>
      </c>
      <c r="V617" s="3">
        <f>IFERROR(INDEX(EVENTOS!$D:$D,MATCH(SCORE!V$2&amp;" "&amp;SCORE!$D617,EVENTOS!$F:$F,0)),0)</f>
        <v>0</v>
      </c>
      <c r="W617" s="3">
        <f>IFERROR(INDEX(EVENTOS!$D:$D,MATCH(SCORE!W$2&amp;" "&amp;SCORE!$D617,EVENTOS!$F:$F,0)),0)</f>
        <v>0</v>
      </c>
      <c r="X617" s="3">
        <f>IFERROR(INDEX(EVENTOS!$D:$D,MATCH(SCORE!X$2&amp;" "&amp;SCORE!$D617,EVENTOS!$F:$F,0)),0)</f>
        <v>0</v>
      </c>
      <c r="Y617" s="3">
        <f>SUMIFS(EVENTOS!$D:$D, EVENTOS!$B:$B, D617, EVENTOS!$E:$E, "*GirAlto*")</f>
        <v>0</v>
      </c>
      <c r="Z617" s="3">
        <f>SUMIFS(EVENTOS!$D:$D, EVENTOS!$B:$B, D617, EVENTOS!$E:$E, "*GirMed*")</f>
        <v>0</v>
      </c>
      <c r="AA617" s="3">
        <f>SUMIFS(EVENTOS!$D:$D, EVENTOS!$B:$B, D617, EVENTOS!$E:$E, "*GirBajo*")</f>
        <v>0</v>
      </c>
      <c r="AB617" s="3">
        <f>IFERROR(INDEX(EVENTOS!$D:$D,MATCH(SCORE!AB$2&amp;" "&amp;SCORE!$D617,EVENTOS!$F:$F,0)),0)</f>
        <v>0</v>
      </c>
      <c r="AC617" s="3">
        <f>IFERROR(INDEX(EVENTOS!$D:$D,MATCH(SCORE!AC$2&amp;" "&amp;SCORE!$D617,EVENTOS!$F:$F,0)),0)</f>
        <v>0</v>
      </c>
      <c r="AD617" s="3">
        <f>IFERROR(INDEX(EVENTOS!$D:$D,MATCH(SCORE!AD$2&amp;" "&amp;SCORE!$D617,EVENTOS!$F:$F,0)),0)</f>
        <v>0</v>
      </c>
      <c r="AE617" s="3">
        <f t="shared" si="27"/>
        <v>0</v>
      </c>
      <c r="AF617" s="10" t="e">
        <f t="shared" si="28"/>
        <v>#N/A</v>
      </c>
      <c r="AG617" s="3" t="str">
        <f t="shared" si="29"/>
        <v/>
      </c>
    </row>
    <row r="618" spans="1:33" x14ac:dyDescent="0.25">
      <c r="A618" s="7"/>
      <c r="B618" s="8"/>
      <c r="C618" s="3"/>
      <c r="D618" s="3"/>
      <c r="E618" s="3" t="e">
        <f>VLOOKUP(D618,VIAJES!$D:$E,2,FALSE)</f>
        <v>#N/A</v>
      </c>
      <c r="F618" s="9" t="e">
        <f>VLOOKUP(D618,VIAJES!$D:$F,3,FALSE)</f>
        <v>#N/A</v>
      </c>
      <c r="G618" s="9" t="e">
        <f>VLOOKUP(D618,VIAJES!$D:$G,4,FALSE)</f>
        <v>#N/A</v>
      </c>
      <c r="H618" s="3" t="e">
        <f>VLOOKUP(D618,VIAJES!$D:$H,5,FALSE)</f>
        <v>#N/A</v>
      </c>
      <c r="S618" s="3">
        <f>IFERROR(INDEX(EVENTOS!$D:$D,MATCH(SCORE!S$2&amp;" "&amp;SCORE!$D618,EVENTOS!$F:$F,0)),0)</f>
        <v>0</v>
      </c>
      <c r="T618" s="3">
        <f>IFERROR(INDEX(EVENTOS!$D:$D,MATCH(SCORE!T$2&amp;" "&amp;SCORE!$D618,EVENTOS!$F:$F,0)),0)</f>
        <v>0</v>
      </c>
      <c r="U618" s="3">
        <f>IFERROR(INDEX(EVENTOS!$D:$D,MATCH(SCORE!U$2&amp;" "&amp;SCORE!$D618,EVENTOS!$F:$F,0)),0)</f>
        <v>0</v>
      </c>
      <c r="V618" s="3">
        <f>IFERROR(INDEX(EVENTOS!$D:$D,MATCH(SCORE!V$2&amp;" "&amp;SCORE!$D618,EVENTOS!$F:$F,0)),0)</f>
        <v>0</v>
      </c>
      <c r="W618" s="3">
        <f>IFERROR(INDEX(EVENTOS!$D:$D,MATCH(SCORE!W$2&amp;" "&amp;SCORE!$D618,EVENTOS!$F:$F,0)),0)</f>
        <v>0</v>
      </c>
      <c r="X618" s="3">
        <f>IFERROR(INDEX(EVENTOS!$D:$D,MATCH(SCORE!X$2&amp;" "&amp;SCORE!$D618,EVENTOS!$F:$F,0)),0)</f>
        <v>0</v>
      </c>
      <c r="Y618" s="3">
        <f>SUMIFS(EVENTOS!$D:$D, EVENTOS!$B:$B, D618, EVENTOS!$E:$E, "*GirAlto*")</f>
        <v>0</v>
      </c>
      <c r="Z618" s="3">
        <f>SUMIFS(EVENTOS!$D:$D, EVENTOS!$B:$B, D618, EVENTOS!$E:$E, "*GirMed*")</f>
        <v>0</v>
      </c>
      <c r="AA618" s="3">
        <f>SUMIFS(EVENTOS!$D:$D, EVENTOS!$B:$B, D618, EVENTOS!$E:$E, "*GirBajo*")</f>
        <v>0</v>
      </c>
      <c r="AB618" s="3">
        <f>IFERROR(INDEX(EVENTOS!$D:$D,MATCH(SCORE!AB$2&amp;" "&amp;SCORE!$D618,EVENTOS!$F:$F,0)),0)</f>
        <v>0</v>
      </c>
      <c r="AC618" s="3">
        <f>IFERROR(INDEX(EVENTOS!$D:$D,MATCH(SCORE!AC$2&amp;" "&amp;SCORE!$D618,EVENTOS!$F:$F,0)),0)</f>
        <v>0</v>
      </c>
      <c r="AD618" s="3">
        <f>IFERROR(INDEX(EVENTOS!$D:$D,MATCH(SCORE!AD$2&amp;" "&amp;SCORE!$D618,EVENTOS!$F:$F,0)),0)</f>
        <v>0</v>
      </c>
      <c r="AE618" s="3">
        <f t="shared" si="27"/>
        <v>0</v>
      </c>
      <c r="AF618" s="10" t="e">
        <f t="shared" si="28"/>
        <v>#N/A</v>
      </c>
      <c r="AG618" s="3" t="str">
        <f t="shared" si="29"/>
        <v/>
      </c>
    </row>
    <row r="619" spans="1:33" x14ac:dyDescent="0.25">
      <c r="A619" s="7"/>
      <c r="B619" s="8"/>
      <c r="C619" s="3"/>
      <c r="D619" s="3"/>
      <c r="E619" s="3" t="e">
        <f>VLOOKUP(D619,VIAJES!$D:$E,2,FALSE)</f>
        <v>#N/A</v>
      </c>
      <c r="F619" s="9" t="e">
        <f>VLOOKUP(D619,VIAJES!$D:$F,3,FALSE)</f>
        <v>#N/A</v>
      </c>
      <c r="G619" s="9" t="e">
        <f>VLOOKUP(D619,VIAJES!$D:$G,4,FALSE)</f>
        <v>#N/A</v>
      </c>
      <c r="H619" s="3" t="e">
        <f>VLOOKUP(D619,VIAJES!$D:$H,5,FALSE)</f>
        <v>#N/A</v>
      </c>
      <c r="S619" s="3">
        <f>IFERROR(INDEX(EVENTOS!$D:$D,MATCH(SCORE!S$2&amp;" "&amp;SCORE!$D619,EVENTOS!$F:$F,0)),0)</f>
        <v>0</v>
      </c>
      <c r="T619" s="3">
        <f>IFERROR(INDEX(EVENTOS!$D:$D,MATCH(SCORE!T$2&amp;" "&amp;SCORE!$D619,EVENTOS!$F:$F,0)),0)</f>
        <v>0</v>
      </c>
      <c r="U619" s="3">
        <f>IFERROR(INDEX(EVENTOS!$D:$D,MATCH(SCORE!U$2&amp;" "&amp;SCORE!$D619,EVENTOS!$F:$F,0)),0)</f>
        <v>0</v>
      </c>
      <c r="V619" s="3">
        <f>IFERROR(INDEX(EVENTOS!$D:$D,MATCH(SCORE!V$2&amp;" "&amp;SCORE!$D619,EVENTOS!$F:$F,0)),0)</f>
        <v>0</v>
      </c>
      <c r="W619" s="3">
        <f>IFERROR(INDEX(EVENTOS!$D:$D,MATCH(SCORE!W$2&amp;" "&amp;SCORE!$D619,EVENTOS!$F:$F,0)),0)</f>
        <v>0</v>
      </c>
      <c r="X619" s="3">
        <f>IFERROR(INDEX(EVENTOS!$D:$D,MATCH(SCORE!X$2&amp;" "&amp;SCORE!$D619,EVENTOS!$F:$F,0)),0)</f>
        <v>0</v>
      </c>
      <c r="Y619" s="3">
        <f>SUMIFS(EVENTOS!$D:$D, EVENTOS!$B:$B, D619, EVENTOS!$E:$E, "*GirAlto*")</f>
        <v>0</v>
      </c>
      <c r="Z619" s="3">
        <f>SUMIFS(EVENTOS!$D:$D, EVENTOS!$B:$B, D619, EVENTOS!$E:$E, "*GirMed*")</f>
        <v>0</v>
      </c>
      <c r="AA619" s="3">
        <f>SUMIFS(EVENTOS!$D:$D, EVENTOS!$B:$B, D619, EVENTOS!$E:$E, "*GirBajo*")</f>
        <v>0</v>
      </c>
      <c r="AB619" s="3">
        <f>IFERROR(INDEX(EVENTOS!$D:$D,MATCH(SCORE!AB$2&amp;" "&amp;SCORE!$D619,EVENTOS!$F:$F,0)),0)</f>
        <v>0</v>
      </c>
      <c r="AC619" s="3">
        <f>IFERROR(INDEX(EVENTOS!$D:$D,MATCH(SCORE!AC$2&amp;" "&amp;SCORE!$D619,EVENTOS!$F:$F,0)),0)</f>
        <v>0</v>
      </c>
      <c r="AD619" s="3">
        <f>IFERROR(INDEX(EVENTOS!$D:$D,MATCH(SCORE!AD$2&amp;" "&amp;SCORE!$D619,EVENTOS!$F:$F,0)),0)</f>
        <v>0</v>
      </c>
      <c r="AE619" s="3">
        <f t="shared" si="27"/>
        <v>0</v>
      </c>
      <c r="AF619" s="10" t="e">
        <f t="shared" si="28"/>
        <v>#N/A</v>
      </c>
      <c r="AG619" s="3" t="str">
        <f t="shared" si="29"/>
        <v/>
      </c>
    </row>
    <row r="620" spans="1:33" x14ac:dyDescent="0.25">
      <c r="A620" s="7"/>
      <c r="B620" s="8"/>
      <c r="C620" s="3"/>
      <c r="D620" s="3"/>
      <c r="E620" s="3" t="e">
        <f>VLOOKUP(D620,VIAJES!$D:$E,2,FALSE)</f>
        <v>#N/A</v>
      </c>
      <c r="F620" s="9" t="e">
        <f>VLOOKUP(D620,VIAJES!$D:$F,3,FALSE)</f>
        <v>#N/A</v>
      </c>
      <c r="G620" s="9" t="e">
        <f>VLOOKUP(D620,VIAJES!$D:$G,4,FALSE)</f>
        <v>#N/A</v>
      </c>
      <c r="H620" s="3" t="e">
        <f>VLOOKUP(D620,VIAJES!$D:$H,5,FALSE)</f>
        <v>#N/A</v>
      </c>
      <c r="S620" s="3">
        <f>IFERROR(INDEX(EVENTOS!$D:$D,MATCH(SCORE!S$2&amp;" "&amp;SCORE!$D620,EVENTOS!$F:$F,0)),0)</f>
        <v>0</v>
      </c>
      <c r="T620" s="3">
        <f>IFERROR(INDEX(EVENTOS!$D:$D,MATCH(SCORE!T$2&amp;" "&amp;SCORE!$D620,EVENTOS!$F:$F,0)),0)</f>
        <v>0</v>
      </c>
      <c r="U620" s="3">
        <f>IFERROR(INDEX(EVENTOS!$D:$D,MATCH(SCORE!U$2&amp;" "&amp;SCORE!$D620,EVENTOS!$F:$F,0)),0)</f>
        <v>0</v>
      </c>
      <c r="V620" s="3">
        <f>IFERROR(INDEX(EVENTOS!$D:$D,MATCH(SCORE!V$2&amp;" "&amp;SCORE!$D620,EVENTOS!$F:$F,0)),0)</f>
        <v>0</v>
      </c>
      <c r="W620" s="3">
        <f>IFERROR(INDEX(EVENTOS!$D:$D,MATCH(SCORE!W$2&amp;" "&amp;SCORE!$D620,EVENTOS!$F:$F,0)),0)</f>
        <v>0</v>
      </c>
      <c r="X620" s="3">
        <f>IFERROR(INDEX(EVENTOS!$D:$D,MATCH(SCORE!X$2&amp;" "&amp;SCORE!$D620,EVENTOS!$F:$F,0)),0)</f>
        <v>0</v>
      </c>
      <c r="Y620" s="3">
        <f>SUMIFS(EVENTOS!$D:$D, EVENTOS!$B:$B, D620, EVENTOS!$E:$E, "*GirAlto*")</f>
        <v>0</v>
      </c>
      <c r="Z620" s="3">
        <f>SUMIFS(EVENTOS!$D:$D, EVENTOS!$B:$B, D620, EVENTOS!$E:$E, "*GirMed*")</f>
        <v>0</v>
      </c>
      <c r="AA620" s="3">
        <f>SUMIFS(EVENTOS!$D:$D, EVENTOS!$B:$B, D620, EVENTOS!$E:$E, "*GirBajo*")</f>
        <v>0</v>
      </c>
      <c r="AB620" s="3">
        <f>IFERROR(INDEX(EVENTOS!$D:$D,MATCH(SCORE!AB$2&amp;" "&amp;SCORE!$D620,EVENTOS!$F:$F,0)),0)</f>
        <v>0</v>
      </c>
      <c r="AC620" s="3">
        <f>IFERROR(INDEX(EVENTOS!$D:$D,MATCH(SCORE!AC$2&amp;" "&amp;SCORE!$D620,EVENTOS!$F:$F,0)),0)</f>
        <v>0</v>
      </c>
      <c r="AD620" s="3">
        <f>IFERROR(INDEX(EVENTOS!$D:$D,MATCH(SCORE!AD$2&amp;" "&amp;SCORE!$D620,EVENTOS!$F:$F,0)),0)</f>
        <v>0</v>
      </c>
      <c r="AE620" s="3">
        <f t="shared" si="27"/>
        <v>0</v>
      </c>
      <c r="AF620" s="10" t="e">
        <f t="shared" si="28"/>
        <v>#N/A</v>
      </c>
      <c r="AG620" s="3" t="str">
        <f t="shared" si="29"/>
        <v/>
      </c>
    </row>
    <row r="621" spans="1:33" x14ac:dyDescent="0.25">
      <c r="A621" s="7"/>
      <c r="B621" s="8"/>
      <c r="C621" s="3"/>
      <c r="D621" s="3"/>
      <c r="E621" s="3" t="e">
        <f>VLOOKUP(D621,VIAJES!$D:$E,2,FALSE)</f>
        <v>#N/A</v>
      </c>
      <c r="F621" s="9" t="e">
        <f>VLOOKUP(D621,VIAJES!$D:$F,3,FALSE)</f>
        <v>#N/A</v>
      </c>
      <c r="G621" s="9" t="e">
        <f>VLOOKUP(D621,VIAJES!$D:$G,4,FALSE)</f>
        <v>#N/A</v>
      </c>
      <c r="H621" s="3" t="e">
        <f>VLOOKUP(D621,VIAJES!$D:$H,5,FALSE)</f>
        <v>#N/A</v>
      </c>
      <c r="S621" s="3">
        <f>IFERROR(INDEX(EVENTOS!$D:$D,MATCH(SCORE!S$2&amp;" "&amp;SCORE!$D621,EVENTOS!$F:$F,0)),0)</f>
        <v>0</v>
      </c>
      <c r="T621" s="3">
        <f>IFERROR(INDEX(EVENTOS!$D:$D,MATCH(SCORE!T$2&amp;" "&amp;SCORE!$D621,EVENTOS!$F:$F,0)),0)</f>
        <v>0</v>
      </c>
      <c r="U621" s="3">
        <f>IFERROR(INDEX(EVENTOS!$D:$D,MATCH(SCORE!U$2&amp;" "&amp;SCORE!$D621,EVENTOS!$F:$F,0)),0)</f>
        <v>0</v>
      </c>
      <c r="V621" s="3">
        <f>IFERROR(INDEX(EVENTOS!$D:$D,MATCH(SCORE!V$2&amp;" "&amp;SCORE!$D621,EVENTOS!$F:$F,0)),0)</f>
        <v>0</v>
      </c>
      <c r="W621" s="3">
        <f>IFERROR(INDEX(EVENTOS!$D:$D,MATCH(SCORE!W$2&amp;" "&amp;SCORE!$D621,EVENTOS!$F:$F,0)),0)</f>
        <v>0</v>
      </c>
      <c r="X621" s="3">
        <f>IFERROR(INDEX(EVENTOS!$D:$D,MATCH(SCORE!X$2&amp;" "&amp;SCORE!$D621,EVENTOS!$F:$F,0)),0)</f>
        <v>0</v>
      </c>
      <c r="Y621" s="3">
        <f>SUMIFS(EVENTOS!$D:$D, EVENTOS!$B:$B, D621, EVENTOS!$E:$E, "*GirAlto*")</f>
        <v>0</v>
      </c>
      <c r="Z621" s="3">
        <f>SUMIFS(EVENTOS!$D:$D, EVENTOS!$B:$B, D621, EVENTOS!$E:$E, "*GirMed*")</f>
        <v>0</v>
      </c>
      <c r="AA621" s="3">
        <f>SUMIFS(EVENTOS!$D:$D, EVENTOS!$B:$B, D621, EVENTOS!$E:$E, "*GirBajo*")</f>
        <v>0</v>
      </c>
      <c r="AB621" s="3">
        <f>IFERROR(INDEX(EVENTOS!$D:$D,MATCH(SCORE!AB$2&amp;" "&amp;SCORE!$D621,EVENTOS!$F:$F,0)),0)</f>
        <v>0</v>
      </c>
      <c r="AC621" s="3">
        <f>IFERROR(INDEX(EVENTOS!$D:$D,MATCH(SCORE!AC$2&amp;" "&amp;SCORE!$D621,EVENTOS!$F:$F,0)),0)</f>
        <v>0</v>
      </c>
      <c r="AD621" s="3">
        <f>IFERROR(INDEX(EVENTOS!$D:$D,MATCH(SCORE!AD$2&amp;" "&amp;SCORE!$D621,EVENTOS!$F:$F,0)),0)</f>
        <v>0</v>
      </c>
      <c r="AE621" s="3">
        <f t="shared" si="27"/>
        <v>0</v>
      </c>
      <c r="AF621" s="10" t="e">
        <f t="shared" si="28"/>
        <v>#N/A</v>
      </c>
      <c r="AG621" s="3" t="str">
        <f t="shared" si="29"/>
        <v/>
      </c>
    </row>
    <row r="622" spans="1:33" x14ac:dyDescent="0.25">
      <c r="A622" s="7"/>
      <c r="B622" s="8"/>
      <c r="C622" s="3"/>
      <c r="D622" s="3"/>
      <c r="E622" s="3" t="e">
        <f>VLOOKUP(D622,VIAJES!$D:$E,2,FALSE)</f>
        <v>#N/A</v>
      </c>
      <c r="F622" s="9" t="e">
        <f>VLOOKUP(D622,VIAJES!$D:$F,3,FALSE)</f>
        <v>#N/A</v>
      </c>
      <c r="G622" s="9" t="e">
        <f>VLOOKUP(D622,VIAJES!$D:$G,4,FALSE)</f>
        <v>#N/A</v>
      </c>
      <c r="H622" s="3" t="e">
        <f>VLOOKUP(D622,VIAJES!$D:$H,5,FALSE)</f>
        <v>#N/A</v>
      </c>
      <c r="S622" s="3">
        <f>IFERROR(INDEX(EVENTOS!$D:$D,MATCH(SCORE!S$2&amp;" "&amp;SCORE!$D622,EVENTOS!$F:$F,0)),0)</f>
        <v>0</v>
      </c>
      <c r="T622" s="3">
        <f>IFERROR(INDEX(EVENTOS!$D:$D,MATCH(SCORE!T$2&amp;" "&amp;SCORE!$D622,EVENTOS!$F:$F,0)),0)</f>
        <v>0</v>
      </c>
      <c r="U622" s="3">
        <f>IFERROR(INDEX(EVENTOS!$D:$D,MATCH(SCORE!U$2&amp;" "&amp;SCORE!$D622,EVENTOS!$F:$F,0)),0)</f>
        <v>0</v>
      </c>
      <c r="V622" s="3">
        <f>IFERROR(INDEX(EVENTOS!$D:$D,MATCH(SCORE!V$2&amp;" "&amp;SCORE!$D622,EVENTOS!$F:$F,0)),0)</f>
        <v>0</v>
      </c>
      <c r="W622" s="3">
        <f>IFERROR(INDEX(EVENTOS!$D:$D,MATCH(SCORE!W$2&amp;" "&amp;SCORE!$D622,EVENTOS!$F:$F,0)),0)</f>
        <v>0</v>
      </c>
      <c r="X622" s="3">
        <f>IFERROR(INDEX(EVENTOS!$D:$D,MATCH(SCORE!X$2&amp;" "&amp;SCORE!$D622,EVENTOS!$F:$F,0)),0)</f>
        <v>0</v>
      </c>
      <c r="Y622" s="3">
        <f>SUMIFS(EVENTOS!$D:$D, EVENTOS!$B:$B, D622, EVENTOS!$E:$E, "*GirAlto*")</f>
        <v>0</v>
      </c>
      <c r="Z622" s="3">
        <f>SUMIFS(EVENTOS!$D:$D, EVENTOS!$B:$B, D622, EVENTOS!$E:$E, "*GirMed*")</f>
        <v>0</v>
      </c>
      <c r="AA622" s="3">
        <f>SUMIFS(EVENTOS!$D:$D, EVENTOS!$B:$B, D622, EVENTOS!$E:$E, "*GirBajo*")</f>
        <v>0</v>
      </c>
      <c r="AB622" s="3">
        <f>IFERROR(INDEX(EVENTOS!$D:$D,MATCH(SCORE!AB$2&amp;" "&amp;SCORE!$D622,EVENTOS!$F:$F,0)),0)</f>
        <v>0</v>
      </c>
      <c r="AC622" s="3">
        <f>IFERROR(INDEX(EVENTOS!$D:$D,MATCH(SCORE!AC$2&amp;" "&amp;SCORE!$D622,EVENTOS!$F:$F,0)),0)</f>
        <v>0</v>
      </c>
      <c r="AD622" s="3">
        <f>IFERROR(INDEX(EVENTOS!$D:$D,MATCH(SCORE!AD$2&amp;" "&amp;SCORE!$D622,EVENTOS!$F:$F,0)),0)</f>
        <v>0</v>
      </c>
      <c r="AE622" s="3">
        <f t="shared" si="27"/>
        <v>0</v>
      </c>
      <c r="AF622" s="10" t="e">
        <f t="shared" si="28"/>
        <v>#N/A</v>
      </c>
      <c r="AG622" s="3" t="str">
        <f t="shared" si="29"/>
        <v/>
      </c>
    </row>
    <row r="623" spans="1:33" x14ac:dyDescent="0.25">
      <c r="A623" s="7"/>
      <c r="B623" s="8"/>
      <c r="C623" s="3"/>
      <c r="D623" s="3"/>
      <c r="E623" s="3" t="e">
        <f>VLOOKUP(D623,VIAJES!$D:$E,2,FALSE)</f>
        <v>#N/A</v>
      </c>
      <c r="F623" s="9" t="e">
        <f>VLOOKUP(D623,VIAJES!$D:$F,3,FALSE)</f>
        <v>#N/A</v>
      </c>
      <c r="G623" s="9" t="e">
        <f>VLOOKUP(D623,VIAJES!$D:$G,4,FALSE)</f>
        <v>#N/A</v>
      </c>
      <c r="H623" s="3" t="e">
        <f>VLOOKUP(D623,VIAJES!$D:$H,5,FALSE)</f>
        <v>#N/A</v>
      </c>
      <c r="S623" s="3">
        <f>IFERROR(INDEX(EVENTOS!$D:$D,MATCH(SCORE!S$2&amp;" "&amp;SCORE!$D623,EVENTOS!$F:$F,0)),0)</f>
        <v>0</v>
      </c>
      <c r="T623" s="3">
        <f>IFERROR(INDEX(EVENTOS!$D:$D,MATCH(SCORE!T$2&amp;" "&amp;SCORE!$D623,EVENTOS!$F:$F,0)),0)</f>
        <v>0</v>
      </c>
      <c r="U623" s="3">
        <f>IFERROR(INDEX(EVENTOS!$D:$D,MATCH(SCORE!U$2&amp;" "&amp;SCORE!$D623,EVENTOS!$F:$F,0)),0)</f>
        <v>0</v>
      </c>
      <c r="V623" s="3">
        <f>IFERROR(INDEX(EVENTOS!$D:$D,MATCH(SCORE!V$2&amp;" "&amp;SCORE!$D623,EVENTOS!$F:$F,0)),0)</f>
        <v>0</v>
      </c>
      <c r="W623" s="3">
        <f>IFERROR(INDEX(EVENTOS!$D:$D,MATCH(SCORE!W$2&amp;" "&amp;SCORE!$D623,EVENTOS!$F:$F,0)),0)</f>
        <v>0</v>
      </c>
      <c r="X623" s="3">
        <f>IFERROR(INDEX(EVENTOS!$D:$D,MATCH(SCORE!X$2&amp;" "&amp;SCORE!$D623,EVENTOS!$F:$F,0)),0)</f>
        <v>0</v>
      </c>
      <c r="Y623" s="3">
        <f>SUMIFS(EVENTOS!$D:$D, EVENTOS!$B:$B, D623, EVENTOS!$E:$E, "*GirAlto*")</f>
        <v>0</v>
      </c>
      <c r="Z623" s="3">
        <f>SUMIFS(EVENTOS!$D:$D, EVENTOS!$B:$B, D623, EVENTOS!$E:$E, "*GirMed*")</f>
        <v>0</v>
      </c>
      <c r="AA623" s="3">
        <f>SUMIFS(EVENTOS!$D:$D, EVENTOS!$B:$B, D623, EVENTOS!$E:$E, "*GirBajo*")</f>
        <v>0</v>
      </c>
      <c r="AB623" s="3">
        <f>IFERROR(INDEX(EVENTOS!$D:$D,MATCH(SCORE!AB$2&amp;" "&amp;SCORE!$D623,EVENTOS!$F:$F,0)),0)</f>
        <v>0</v>
      </c>
      <c r="AC623" s="3">
        <f>IFERROR(INDEX(EVENTOS!$D:$D,MATCH(SCORE!AC$2&amp;" "&amp;SCORE!$D623,EVENTOS!$F:$F,0)),0)</f>
        <v>0</v>
      </c>
      <c r="AD623" s="3">
        <f>IFERROR(INDEX(EVENTOS!$D:$D,MATCH(SCORE!AD$2&amp;" "&amp;SCORE!$D623,EVENTOS!$F:$F,0)),0)</f>
        <v>0</v>
      </c>
      <c r="AE623" s="3">
        <f t="shared" si="27"/>
        <v>0</v>
      </c>
      <c r="AF623" s="10" t="e">
        <f t="shared" si="28"/>
        <v>#N/A</v>
      </c>
      <c r="AG623" s="3" t="str">
        <f t="shared" si="29"/>
        <v/>
      </c>
    </row>
    <row r="624" spans="1:33" x14ac:dyDescent="0.25">
      <c r="A624" s="7"/>
      <c r="B624" s="8"/>
      <c r="C624" s="3"/>
      <c r="D624" s="3"/>
      <c r="E624" s="3" t="e">
        <f>VLOOKUP(D624,VIAJES!$D:$E,2,FALSE)</f>
        <v>#N/A</v>
      </c>
      <c r="F624" s="9" t="e">
        <f>VLOOKUP(D624,VIAJES!$D:$F,3,FALSE)</f>
        <v>#N/A</v>
      </c>
      <c r="G624" s="9" t="e">
        <f>VLOOKUP(D624,VIAJES!$D:$G,4,FALSE)</f>
        <v>#N/A</v>
      </c>
      <c r="H624" s="3" t="e">
        <f>VLOOKUP(D624,VIAJES!$D:$H,5,FALSE)</f>
        <v>#N/A</v>
      </c>
      <c r="S624" s="3">
        <f>IFERROR(INDEX(EVENTOS!$D:$D,MATCH(SCORE!S$2&amp;" "&amp;SCORE!$D624,EVENTOS!$F:$F,0)),0)</f>
        <v>0</v>
      </c>
      <c r="T624" s="3">
        <f>IFERROR(INDEX(EVENTOS!$D:$D,MATCH(SCORE!T$2&amp;" "&amp;SCORE!$D624,EVENTOS!$F:$F,0)),0)</f>
        <v>0</v>
      </c>
      <c r="U624" s="3">
        <f>IFERROR(INDEX(EVENTOS!$D:$D,MATCH(SCORE!U$2&amp;" "&amp;SCORE!$D624,EVENTOS!$F:$F,0)),0)</f>
        <v>0</v>
      </c>
      <c r="V624" s="3">
        <f>IFERROR(INDEX(EVENTOS!$D:$D,MATCH(SCORE!V$2&amp;" "&amp;SCORE!$D624,EVENTOS!$F:$F,0)),0)</f>
        <v>0</v>
      </c>
      <c r="W624" s="3">
        <f>IFERROR(INDEX(EVENTOS!$D:$D,MATCH(SCORE!W$2&amp;" "&amp;SCORE!$D624,EVENTOS!$F:$F,0)),0)</f>
        <v>0</v>
      </c>
      <c r="X624" s="3">
        <f>IFERROR(INDEX(EVENTOS!$D:$D,MATCH(SCORE!X$2&amp;" "&amp;SCORE!$D624,EVENTOS!$F:$F,0)),0)</f>
        <v>0</v>
      </c>
      <c r="Y624" s="3">
        <f>SUMIFS(EVENTOS!$D:$D, EVENTOS!$B:$B, D624, EVENTOS!$E:$E, "*GirAlto*")</f>
        <v>0</v>
      </c>
      <c r="Z624" s="3">
        <f>SUMIFS(EVENTOS!$D:$D, EVENTOS!$B:$B, D624, EVENTOS!$E:$E, "*GirMed*")</f>
        <v>0</v>
      </c>
      <c r="AA624" s="3">
        <f>SUMIFS(EVENTOS!$D:$D, EVENTOS!$B:$B, D624, EVENTOS!$E:$E, "*GirBajo*")</f>
        <v>0</v>
      </c>
      <c r="AB624" s="3">
        <f>IFERROR(INDEX(EVENTOS!$D:$D,MATCH(SCORE!AB$2&amp;" "&amp;SCORE!$D624,EVENTOS!$F:$F,0)),0)</f>
        <v>0</v>
      </c>
      <c r="AC624" s="3">
        <f>IFERROR(INDEX(EVENTOS!$D:$D,MATCH(SCORE!AC$2&amp;" "&amp;SCORE!$D624,EVENTOS!$F:$F,0)),0)</f>
        <v>0</v>
      </c>
      <c r="AD624" s="3">
        <f>IFERROR(INDEX(EVENTOS!$D:$D,MATCH(SCORE!AD$2&amp;" "&amp;SCORE!$D624,EVENTOS!$F:$F,0)),0)</f>
        <v>0</v>
      </c>
      <c r="AE624" s="3">
        <f t="shared" si="27"/>
        <v>0</v>
      </c>
      <c r="AF624" s="10" t="e">
        <f t="shared" si="28"/>
        <v>#N/A</v>
      </c>
      <c r="AG624" s="3" t="str">
        <f t="shared" si="29"/>
        <v/>
      </c>
    </row>
    <row r="625" spans="1:33" x14ac:dyDescent="0.25">
      <c r="A625" s="7"/>
      <c r="B625" s="8"/>
      <c r="C625" s="3"/>
      <c r="D625" s="3"/>
      <c r="E625" s="3" t="e">
        <f>VLOOKUP(D625,VIAJES!$D:$E,2,FALSE)</f>
        <v>#N/A</v>
      </c>
      <c r="F625" s="9" t="e">
        <f>VLOOKUP(D625,VIAJES!$D:$F,3,FALSE)</f>
        <v>#N/A</v>
      </c>
      <c r="G625" s="9" t="e">
        <f>VLOOKUP(D625,VIAJES!$D:$G,4,FALSE)</f>
        <v>#N/A</v>
      </c>
      <c r="H625" s="3" t="e">
        <f>VLOOKUP(D625,VIAJES!$D:$H,5,FALSE)</f>
        <v>#N/A</v>
      </c>
      <c r="S625" s="3">
        <f>IFERROR(INDEX(EVENTOS!$D:$D,MATCH(SCORE!S$2&amp;" "&amp;SCORE!$D625,EVENTOS!$F:$F,0)),0)</f>
        <v>0</v>
      </c>
      <c r="T625" s="3">
        <f>IFERROR(INDEX(EVENTOS!$D:$D,MATCH(SCORE!T$2&amp;" "&amp;SCORE!$D625,EVENTOS!$F:$F,0)),0)</f>
        <v>0</v>
      </c>
      <c r="U625" s="3">
        <f>IFERROR(INDEX(EVENTOS!$D:$D,MATCH(SCORE!U$2&amp;" "&amp;SCORE!$D625,EVENTOS!$F:$F,0)),0)</f>
        <v>0</v>
      </c>
      <c r="V625" s="3">
        <f>IFERROR(INDEX(EVENTOS!$D:$D,MATCH(SCORE!V$2&amp;" "&amp;SCORE!$D625,EVENTOS!$F:$F,0)),0)</f>
        <v>0</v>
      </c>
      <c r="W625" s="3">
        <f>IFERROR(INDEX(EVENTOS!$D:$D,MATCH(SCORE!W$2&amp;" "&amp;SCORE!$D625,EVENTOS!$F:$F,0)),0)</f>
        <v>0</v>
      </c>
      <c r="X625" s="3">
        <f>IFERROR(INDEX(EVENTOS!$D:$D,MATCH(SCORE!X$2&amp;" "&amp;SCORE!$D625,EVENTOS!$F:$F,0)),0)</f>
        <v>0</v>
      </c>
      <c r="Y625" s="3">
        <f>SUMIFS(EVENTOS!$D:$D, EVENTOS!$B:$B, D625, EVENTOS!$E:$E, "*GirAlto*")</f>
        <v>0</v>
      </c>
      <c r="Z625" s="3">
        <f>SUMIFS(EVENTOS!$D:$D, EVENTOS!$B:$B, D625, EVENTOS!$E:$E, "*GirMed*")</f>
        <v>0</v>
      </c>
      <c r="AA625" s="3">
        <f>SUMIFS(EVENTOS!$D:$D, EVENTOS!$B:$B, D625, EVENTOS!$E:$E, "*GirBajo*")</f>
        <v>0</v>
      </c>
      <c r="AB625" s="3">
        <f>IFERROR(INDEX(EVENTOS!$D:$D,MATCH(SCORE!AB$2&amp;" "&amp;SCORE!$D625,EVENTOS!$F:$F,0)),0)</f>
        <v>0</v>
      </c>
      <c r="AC625" s="3">
        <f>IFERROR(INDEX(EVENTOS!$D:$D,MATCH(SCORE!AC$2&amp;" "&amp;SCORE!$D625,EVENTOS!$F:$F,0)),0)</f>
        <v>0</v>
      </c>
      <c r="AD625" s="3">
        <f>IFERROR(INDEX(EVENTOS!$D:$D,MATCH(SCORE!AD$2&amp;" "&amp;SCORE!$D625,EVENTOS!$F:$F,0)),0)</f>
        <v>0</v>
      </c>
      <c r="AE625" s="3">
        <f t="shared" si="27"/>
        <v>0</v>
      </c>
      <c r="AF625" s="10" t="e">
        <f t="shared" si="28"/>
        <v>#N/A</v>
      </c>
      <c r="AG625" s="3" t="str">
        <f t="shared" si="29"/>
        <v/>
      </c>
    </row>
    <row r="626" spans="1:33" x14ac:dyDescent="0.25">
      <c r="A626" s="7"/>
      <c r="B626" s="8"/>
      <c r="C626" s="3"/>
      <c r="D626" s="3"/>
      <c r="E626" s="3" t="e">
        <f>VLOOKUP(D626,VIAJES!$D:$E,2,FALSE)</f>
        <v>#N/A</v>
      </c>
      <c r="F626" s="9" t="e">
        <f>VLOOKUP(D626,VIAJES!$D:$F,3,FALSE)</f>
        <v>#N/A</v>
      </c>
      <c r="G626" s="9" t="e">
        <f>VLOOKUP(D626,VIAJES!$D:$G,4,FALSE)</f>
        <v>#N/A</v>
      </c>
      <c r="H626" s="3" t="e">
        <f>VLOOKUP(D626,VIAJES!$D:$H,5,FALSE)</f>
        <v>#N/A</v>
      </c>
      <c r="S626" s="3">
        <f>IFERROR(INDEX(EVENTOS!$D:$D,MATCH(SCORE!S$2&amp;" "&amp;SCORE!$D626,EVENTOS!$F:$F,0)),0)</f>
        <v>0</v>
      </c>
      <c r="T626" s="3">
        <f>IFERROR(INDEX(EVENTOS!$D:$D,MATCH(SCORE!T$2&amp;" "&amp;SCORE!$D626,EVENTOS!$F:$F,0)),0)</f>
        <v>0</v>
      </c>
      <c r="U626" s="3">
        <f>IFERROR(INDEX(EVENTOS!$D:$D,MATCH(SCORE!U$2&amp;" "&amp;SCORE!$D626,EVENTOS!$F:$F,0)),0)</f>
        <v>0</v>
      </c>
      <c r="V626" s="3">
        <f>IFERROR(INDEX(EVENTOS!$D:$D,MATCH(SCORE!V$2&amp;" "&amp;SCORE!$D626,EVENTOS!$F:$F,0)),0)</f>
        <v>0</v>
      </c>
      <c r="W626" s="3">
        <f>IFERROR(INDEX(EVENTOS!$D:$D,MATCH(SCORE!W$2&amp;" "&amp;SCORE!$D626,EVENTOS!$F:$F,0)),0)</f>
        <v>0</v>
      </c>
      <c r="X626" s="3">
        <f>IFERROR(INDEX(EVENTOS!$D:$D,MATCH(SCORE!X$2&amp;" "&amp;SCORE!$D626,EVENTOS!$F:$F,0)),0)</f>
        <v>0</v>
      </c>
      <c r="Y626" s="3">
        <f>SUMIFS(EVENTOS!$D:$D, EVENTOS!$B:$B, D626, EVENTOS!$E:$E, "*GirAlto*")</f>
        <v>0</v>
      </c>
      <c r="Z626" s="3">
        <f>SUMIFS(EVENTOS!$D:$D, EVENTOS!$B:$B, D626, EVENTOS!$E:$E, "*GirMed*")</f>
        <v>0</v>
      </c>
      <c r="AA626" s="3">
        <f>SUMIFS(EVENTOS!$D:$D, EVENTOS!$B:$B, D626, EVENTOS!$E:$E, "*GirBajo*")</f>
        <v>0</v>
      </c>
      <c r="AB626" s="3">
        <f>IFERROR(INDEX(EVENTOS!$D:$D,MATCH(SCORE!AB$2&amp;" "&amp;SCORE!$D626,EVENTOS!$F:$F,0)),0)</f>
        <v>0</v>
      </c>
      <c r="AC626" s="3">
        <f>IFERROR(INDEX(EVENTOS!$D:$D,MATCH(SCORE!AC$2&amp;" "&amp;SCORE!$D626,EVENTOS!$F:$F,0)),0)</f>
        <v>0</v>
      </c>
      <c r="AD626" s="3">
        <f>IFERROR(INDEX(EVENTOS!$D:$D,MATCH(SCORE!AD$2&amp;" "&amp;SCORE!$D626,EVENTOS!$F:$F,0)),0)</f>
        <v>0</v>
      </c>
      <c r="AE626" s="3">
        <f t="shared" si="27"/>
        <v>0</v>
      </c>
      <c r="AF626" s="10" t="e">
        <f t="shared" si="28"/>
        <v>#N/A</v>
      </c>
      <c r="AG626" s="3" t="str">
        <f t="shared" si="29"/>
        <v/>
      </c>
    </row>
    <row r="627" spans="1:33" x14ac:dyDescent="0.25">
      <c r="A627" s="7"/>
      <c r="B627" s="8"/>
      <c r="C627" s="3"/>
      <c r="D627" s="3"/>
      <c r="E627" s="3" t="e">
        <f>VLOOKUP(D627,VIAJES!$D:$E,2,FALSE)</f>
        <v>#N/A</v>
      </c>
      <c r="F627" s="9" t="e">
        <f>VLOOKUP(D627,VIAJES!$D:$F,3,FALSE)</f>
        <v>#N/A</v>
      </c>
      <c r="G627" s="9" t="e">
        <f>VLOOKUP(D627,VIAJES!$D:$G,4,FALSE)</f>
        <v>#N/A</v>
      </c>
      <c r="H627" s="3" t="e">
        <f>VLOOKUP(D627,VIAJES!$D:$H,5,FALSE)</f>
        <v>#N/A</v>
      </c>
      <c r="S627" s="3">
        <f>IFERROR(INDEX(EVENTOS!$D:$D,MATCH(SCORE!S$2&amp;" "&amp;SCORE!$D627,EVENTOS!$F:$F,0)),0)</f>
        <v>0</v>
      </c>
      <c r="T627" s="3">
        <f>IFERROR(INDEX(EVENTOS!$D:$D,MATCH(SCORE!T$2&amp;" "&amp;SCORE!$D627,EVENTOS!$F:$F,0)),0)</f>
        <v>0</v>
      </c>
      <c r="U627" s="3">
        <f>IFERROR(INDEX(EVENTOS!$D:$D,MATCH(SCORE!U$2&amp;" "&amp;SCORE!$D627,EVENTOS!$F:$F,0)),0)</f>
        <v>0</v>
      </c>
      <c r="V627" s="3">
        <f>IFERROR(INDEX(EVENTOS!$D:$D,MATCH(SCORE!V$2&amp;" "&amp;SCORE!$D627,EVENTOS!$F:$F,0)),0)</f>
        <v>0</v>
      </c>
      <c r="W627" s="3">
        <f>IFERROR(INDEX(EVENTOS!$D:$D,MATCH(SCORE!W$2&amp;" "&amp;SCORE!$D627,EVENTOS!$F:$F,0)),0)</f>
        <v>0</v>
      </c>
      <c r="X627" s="3">
        <f>IFERROR(INDEX(EVENTOS!$D:$D,MATCH(SCORE!X$2&amp;" "&amp;SCORE!$D627,EVENTOS!$F:$F,0)),0)</f>
        <v>0</v>
      </c>
      <c r="Y627" s="3">
        <f>SUMIFS(EVENTOS!$D:$D, EVENTOS!$B:$B, D627, EVENTOS!$E:$E, "*GirAlto*")</f>
        <v>0</v>
      </c>
      <c r="Z627" s="3">
        <f>SUMIFS(EVENTOS!$D:$D, EVENTOS!$B:$B, D627, EVENTOS!$E:$E, "*GirMed*")</f>
        <v>0</v>
      </c>
      <c r="AA627" s="3">
        <f>SUMIFS(EVENTOS!$D:$D, EVENTOS!$B:$B, D627, EVENTOS!$E:$E, "*GirBajo*")</f>
        <v>0</v>
      </c>
      <c r="AB627" s="3">
        <f>IFERROR(INDEX(EVENTOS!$D:$D,MATCH(SCORE!AB$2&amp;" "&amp;SCORE!$D627,EVENTOS!$F:$F,0)),0)</f>
        <v>0</v>
      </c>
      <c r="AC627" s="3">
        <f>IFERROR(INDEX(EVENTOS!$D:$D,MATCH(SCORE!AC$2&amp;" "&amp;SCORE!$D627,EVENTOS!$F:$F,0)),0)</f>
        <v>0</v>
      </c>
      <c r="AD627" s="3">
        <f>IFERROR(INDEX(EVENTOS!$D:$D,MATCH(SCORE!AD$2&amp;" "&amp;SCORE!$D627,EVENTOS!$F:$F,0)),0)</f>
        <v>0</v>
      </c>
      <c r="AE627" s="3">
        <f t="shared" si="27"/>
        <v>0</v>
      </c>
      <c r="AF627" s="10" t="e">
        <f t="shared" si="28"/>
        <v>#N/A</v>
      </c>
      <c r="AG627" s="3" t="str">
        <f t="shared" si="29"/>
        <v/>
      </c>
    </row>
    <row r="628" spans="1:33" x14ac:dyDescent="0.25">
      <c r="A628" s="7"/>
      <c r="B628" s="8"/>
      <c r="C628" s="3"/>
      <c r="D628" s="3"/>
      <c r="E628" s="3" t="e">
        <f>VLOOKUP(D628,VIAJES!$D:$E,2,FALSE)</f>
        <v>#N/A</v>
      </c>
      <c r="F628" s="9" t="e">
        <f>VLOOKUP(D628,VIAJES!$D:$F,3,FALSE)</f>
        <v>#N/A</v>
      </c>
      <c r="G628" s="9" t="e">
        <f>VLOOKUP(D628,VIAJES!$D:$G,4,FALSE)</f>
        <v>#N/A</v>
      </c>
      <c r="H628" s="3" t="e">
        <f>VLOOKUP(D628,VIAJES!$D:$H,5,FALSE)</f>
        <v>#N/A</v>
      </c>
      <c r="S628" s="3">
        <f>IFERROR(INDEX(EVENTOS!$D:$D,MATCH(SCORE!S$2&amp;" "&amp;SCORE!$D628,EVENTOS!$F:$F,0)),0)</f>
        <v>0</v>
      </c>
      <c r="T628" s="3">
        <f>IFERROR(INDEX(EVENTOS!$D:$D,MATCH(SCORE!T$2&amp;" "&amp;SCORE!$D628,EVENTOS!$F:$F,0)),0)</f>
        <v>0</v>
      </c>
      <c r="U628" s="3">
        <f>IFERROR(INDEX(EVENTOS!$D:$D,MATCH(SCORE!U$2&amp;" "&amp;SCORE!$D628,EVENTOS!$F:$F,0)),0)</f>
        <v>0</v>
      </c>
      <c r="V628" s="3">
        <f>IFERROR(INDEX(EVENTOS!$D:$D,MATCH(SCORE!V$2&amp;" "&amp;SCORE!$D628,EVENTOS!$F:$F,0)),0)</f>
        <v>0</v>
      </c>
      <c r="W628" s="3">
        <f>IFERROR(INDEX(EVENTOS!$D:$D,MATCH(SCORE!W$2&amp;" "&amp;SCORE!$D628,EVENTOS!$F:$F,0)),0)</f>
        <v>0</v>
      </c>
      <c r="X628" s="3">
        <f>IFERROR(INDEX(EVENTOS!$D:$D,MATCH(SCORE!X$2&amp;" "&amp;SCORE!$D628,EVENTOS!$F:$F,0)),0)</f>
        <v>0</v>
      </c>
      <c r="Y628" s="3">
        <f>SUMIFS(EVENTOS!$D:$D, EVENTOS!$B:$B, D628, EVENTOS!$E:$E, "*GirAlto*")</f>
        <v>0</v>
      </c>
      <c r="Z628" s="3">
        <f>SUMIFS(EVENTOS!$D:$D, EVENTOS!$B:$B, D628, EVENTOS!$E:$E, "*GirMed*")</f>
        <v>0</v>
      </c>
      <c r="AA628" s="3">
        <f>SUMIFS(EVENTOS!$D:$D, EVENTOS!$B:$B, D628, EVENTOS!$E:$E, "*GirBajo*")</f>
        <v>0</v>
      </c>
      <c r="AB628" s="3">
        <f>IFERROR(INDEX(EVENTOS!$D:$D,MATCH(SCORE!AB$2&amp;" "&amp;SCORE!$D628,EVENTOS!$F:$F,0)),0)</f>
        <v>0</v>
      </c>
      <c r="AC628" s="3">
        <f>IFERROR(INDEX(EVENTOS!$D:$D,MATCH(SCORE!AC$2&amp;" "&amp;SCORE!$D628,EVENTOS!$F:$F,0)),0)</f>
        <v>0</v>
      </c>
      <c r="AD628" s="3">
        <f>IFERROR(INDEX(EVENTOS!$D:$D,MATCH(SCORE!AD$2&amp;" "&amp;SCORE!$D628,EVENTOS!$F:$F,0)),0)</f>
        <v>0</v>
      </c>
      <c r="AE628" s="3">
        <f t="shared" si="27"/>
        <v>0</v>
      </c>
      <c r="AF628" s="10" t="e">
        <f t="shared" si="28"/>
        <v>#N/A</v>
      </c>
      <c r="AG628" s="3" t="str">
        <f t="shared" si="29"/>
        <v/>
      </c>
    </row>
    <row r="629" spans="1:33" x14ac:dyDescent="0.25">
      <c r="A629" s="7"/>
      <c r="B629" s="8"/>
      <c r="C629" s="3"/>
      <c r="D629" s="3"/>
      <c r="E629" s="3" t="e">
        <f>VLOOKUP(D629,VIAJES!$D:$E,2,FALSE)</f>
        <v>#N/A</v>
      </c>
      <c r="F629" s="9" t="e">
        <f>VLOOKUP(D629,VIAJES!$D:$F,3,FALSE)</f>
        <v>#N/A</v>
      </c>
      <c r="G629" s="9" t="e">
        <f>VLOOKUP(D629,VIAJES!$D:$G,4,FALSE)</f>
        <v>#N/A</v>
      </c>
      <c r="H629" s="3" t="e">
        <f>VLOOKUP(D629,VIAJES!$D:$H,5,FALSE)</f>
        <v>#N/A</v>
      </c>
      <c r="S629" s="3">
        <f>IFERROR(INDEX(EVENTOS!$D:$D,MATCH(SCORE!S$2&amp;" "&amp;SCORE!$D629,EVENTOS!$F:$F,0)),0)</f>
        <v>0</v>
      </c>
      <c r="T629" s="3">
        <f>IFERROR(INDEX(EVENTOS!$D:$D,MATCH(SCORE!T$2&amp;" "&amp;SCORE!$D629,EVENTOS!$F:$F,0)),0)</f>
        <v>0</v>
      </c>
      <c r="U629" s="3">
        <f>IFERROR(INDEX(EVENTOS!$D:$D,MATCH(SCORE!U$2&amp;" "&amp;SCORE!$D629,EVENTOS!$F:$F,0)),0)</f>
        <v>0</v>
      </c>
      <c r="V629" s="3">
        <f>IFERROR(INDEX(EVENTOS!$D:$D,MATCH(SCORE!V$2&amp;" "&amp;SCORE!$D629,EVENTOS!$F:$F,0)),0)</f>
        <v>0</v>
      </c>
      <c r="W629" s="3">
        <f>IFERROR(INDEX(EVENTOS!$D:$D,MATCH(SCORE!W$2&amp;" "&amp;SCORE!$D629,EVENTOS!$F:$F,0)),0)</f>
        <v>0</v>
      </c>
      <c r="X629" s="3">
        <f>IFERROR(INDEX(EVENTOS!$D:$D,MATCH(SCORE!X$2&amp;" "&amp;SCORE!$D629,EVENTOS!$F:$F,0)),0)</f>
        <v>0</v>
      </c>
      <c r="Y629" s="3">
        <f>SUMIFS(EVENTOS!$D:$D, EVENTOS!$B:$B, D629, EVENTOS!$E:$E, "*GirAlto*")</f>
        <v>0</v>
      </c>
      <c r="Z629" s="3">
        <f>SUMIFS(EVENTOS!$D:$D, EVENTOS!$B:$B, D629, EVENTOS!$E:$E, "*GirMed*")</f>
        <v>0</v>
      </c>
      <c r="AA629" s="3">
        <f>SUMIFS(EVENTOS!$D:$D, EVENTOS!$B:$B, D629, EVENTOS!$E:$E, "*GirBajo*")</f>
        <v>0</v>
      </c>
      <c r="AB629" s="3">
        <f>IFERROR(INDEX(EVENTOS!$D:$D,MATCH(SCORE!AB$2&amp;" "&amp;SCORE!$D629,EVENTOS!$F:$F,0)),0)</f>
        <v>0</v>
      </c>
      <c r="AC629" s="3">
        <f>IFERROR(INDEX(EVENTOS!$D:$D,MATCH(SCORE!AC$2&amp;" "&amp;SCORE!$D629,EVENTOS!$F:$F,0)),0)</f>
        <v>0</v>
      </c>
      <c r="AD629" s="3">
        <f>IFERROR(INDEX(EVENTOS!$D:$D,MATCH(SCORE!AD$2&amp;" "&amp;SCORE!$D629,EVENTOS!$F:$F,0)),0)</f>
        <v>0</v>
      </c>
      <c r="AE629" s="3">
        <f t="shared" si="27"/>
        <v>0</v>
      </c>
      <c r="AF629" s="10" t="e">
        <f t="shared" si="28"/>
        <v>#N/A</v>
      </c>
      <c r="AG629" s="3" t="str">
        <f t="shared" si="29"/>
        <v/>
      </c>
    </row>
    <row r="630" spans="1:33" x14ac:dyDescent="0.25">
      <c r="A630" s="7"/>
      <c r="B630" s="8"/>
      <c r="C630" s="3"/>
      <c r="D630" s="3"/>
      <c r="E630" s="3" t="e">
        <f>VLOOKUP(D630,VIAJES!$D:$E,2,FALSE)</f>
        <v>#N/A</v>
      </c>
      <c r="F630" s="9" t="e">
        <f>VLOOKUP(D630,VIAJES!$D:$F,3,FALSE)</f>
        <v>#N/A</v>
      </c>
      <c r="G630" s="9" t="e">
        <f>VLOOKUP(D630,VIAJES!$D:$G,4,FALSE)</f>
        <v>#N/A</v>
      </c>
      <c r="H630" s="3" t="e">
        <f>VLOOKUP(D630,VIAJES!$D:$H,5,FALSE)</f>
        <v>#N/A</v>
      </c>
      <c r="S630" s="3">
        <f>IFERROR(INDEX(EVENTOS!$D:$D,MATCH(SCORE!S$2&amp;" "&amp;SCORE!$D630,EVENTOS!$F:$F,0)),0)</f>
        <v>0</v>
      </c>
      <c r="T630" s="3">
        <f>IFERROR(INDEX(EVENTOS!$D:$D,MATCH(SCORE!T$2&amp;" "&amp;SCORE!$D630,EVENTOS!$F:$F,0)),0)</f>
        <v>0</v>
      </c>
      <c r="U630" s="3">
        <f>IFERROR(INDEX(EVENTOS!$D:$D,MATCH(SCORE!U$2&amp;" "&amp;SCORE!$D630,EVENTOS!$F:$F,0)),0)</f>
        <v>0</v>
      </c>
      <c r="V630" s="3">
        <f>IFERROR(INDEX(EVENTOS!$D:$D,MATCH(SCORE!V$2&amp;" "&amp;SCORE!$D630,EVENTOS!$F:$F,0)),0)</f>
        <v>0</v>
      </c>
      <c r="W630" s="3">
        <f>IFERROR(INDEX(EVENTOS!$D:$D,MATCH(SCORE!W$2&amp;" "&amp;SCORE!$D630,EVENTOS!$F:$F,0)),0)</f>
        <v>0</v>
      </c>
      <c r="X630" s="3">
        <f>IFERROR(INDEX(EVENTOS!$D:$D,MATCH(SCORE!X$2&amp;" "&amp;SCORE!$D630,EVENTOS!$F:$F,0)),0)</f>
        <v>0</v>
      </c>
      <c r="Y630" s="3">
        <f>SUMIFS(EVENTOS!$D:$D, EVENTOS!$B:$B, D630, EVENTOS!$E:$E, "*GirAlto*")</f>
        <v>0</v>
      </c>
      <c r="Z630" s="3">
        <f>SUMIFS(EVENTOS!$D:$D, EVENTOS!$B:$B, D630, EVENTOS!$E:$E, "*GirMed*")</f>
        <v>0</v>
      </c>
      <c r="AA630" s="3">
        <f>SUMIFS(EVENTOS!$D:$D, EVENTOS!$B:$B, D630, EVENTOS!$E:$E, "*GirBajo*")</f>
        <v>0</v>
      </c>
      <c r="AB630" s="3">
        <f>IFERROR(INDEX(EVENTOS!$D:$D,MATCH(SCORE!AB$2&amp;" "&amp;SCORE!$D630,EVENTOS!$F:$F,0)),0)</f>
        <v>0</v>
      </c>
      <c r="AC630" s="3">
        <f>IFERROR(INDEX(EVENTOS!$D:$D,MATCH(SCORE!AC$2&amp;" "&amp;SCORE!$D630,EVENTOS!$F:$F,0)),0)</f>
        <v>0</v>
      </c>
      <c r="AD630" s="3">
        <f>IFERROR(INDEX(EVENTOS!$D:$D,MATCH(SCORE!AD$2&amp;" "&amp;SCORE!$D630,EVENTOS!$F:$F,0)),0)</f>
        <v>0</v>
      </c>
      <c r="AE630" s="3">
        <f t="shared" si="27"/>
        <v>0</v>
      </c>
      <c r="AF630" s="10" t="e">
        <f t="shared" si="28"/>
        <v>#N/A</v>
      </c>
      <c r="AG630" s="3" t="str">
        <f t="shared" si="29"/>
        <v/>
      </c>
    </row>
    <row r="631" spans="1:33" x14ac:dyDescent="0.25">
      <c r="A631" s="7"/>
      <c r="B631" s="8"/>
      <c r="C631" s="3"/>
      <c r="D631" s="3"/>
      <c r="E631" s="3" t="e">
        <f>VLOOKUP(D631,VIAJES!$D:$E,2,FALSE)</f>
        <v>#N/A</v>
      </c>
      <c r="F631" s="9" t="e">
        <f>VLOOKUP(D631,VIAJES!$D:$F,3,FALSE)</f>
        <v>#N/A</v>
      </c>
      <c r="G631" s="9" t="e">
        <f>VLOOKUP(D631,VIAJES!$D:$G,4,FALSE)</f>
        <v>#N/A</v>
      </c>
      <c r="H631" s="3" t="e">
        <f>VLOOKUP(D631,VIAJES!$D:$H,5,FALSE)</f>
        <v>#N/A</v>
      </c>
      <c r="S631" s="3">
        <f>IFERROR(INDEX(EVENTOS!$D:$D,MATCH(SCORE!S$2&amp;" "&amp;SCORE!$D631,EVENTOS!$F:$F,0)),0)</f>
        <v>0</v>
      </c>
      <c r="T631" s="3">
        <f>IFERROR(INDEX(EVENTOS!$D:$D,MATCH(SCORE!T$2&amp;" "&amp;SCORE!$D631,EVENTOS!$F:$F,0)),0)</f>
        <v>0</v>
      </c>
      <c r="U631" s="3">
        <f>IFERROR(INDEX(EVENTOS!$D:$D,MATCH(SCORE!U$2&amp;" "&amp;SCORE!$D631,EVENTOS!$F:$F,0)),0)</f>
        <v>0</v>
      </c>
      <c r="V631" s="3">
        <f>IFERROR(INDEX(EVENTOS!$D:$D,MATCH(SCORE!V$2&amp;" "&amp;SCORE!$D631,EVENTOS!$F:$F,0)),0)</f>
        <v>0</v>
      </c>
      <c r="W631" s="3">
        <f>IFERROR(INDEX(EVENTOS!$D:$D,MATCH(SCORE!W$2&amp;" "&amp;SCORE!$D631,EVENTOS!$F:$F,0)),0)</f>
        <v>0</v>
      </c>
      <c r="X631" s="3">
        <f>IFERROR(INDEX(EVENTOS!$D:$D,MATCH(SCORE!X$2&amp;" "&amp;SCORE!$D631,EVENTOS!$F:$F,0)),0)</f>
        <v>0</v>
      </c>
      <c r="Y631" s="3">
        <f>SUMIFS(EVENTOS!$D:$D, EVENTOS!$B:$B, D631, EVENTOS!$E:$E, "*GirAlto*")</f>
        <v>0</v>
      </c>
      <c r="Z631" s="3">
        <f>SUMIFS(EVENTOS!$D:$D, EVENTOS!$B:$B, D631, EVENTOS!$E:$E, "*GirMed*")</f>
        <v>0</v>
      </c>
      <c r="AA631" s="3">
        <f>SUMIFS(EVENTOS!$D:$D, EVENTOS!$B:$B, D631, EVENTOS!$E:$E, "*GirBajo*")</f>
        <v>0</v>
      </c>
      <c r="AB631" s="3">
        <f>IFERROR(INDEX(EVENTOS!$D:$D,MATCH(SCORE!AB$2&amp;" "&amp;SCORE!$D631,EVENTOS!$F:$F,0)),0)</f>
        <v>0</v>
      </c>
      <c r="AC631" s="3">
        <f>IFERROR(INDEX(EVENTOS!$D:$D,MATCH(SCORE!AC$2&amp;" "&amp;SCORE!$D631,EVENTOS!$F:$F,0)),0)</f>
        <v>0</v>
      </c>
      <c r="AD631" s="3">
        <f>IFERROR(INDEX(EVENTOS!$D:$D,MATCH(SCORE!AD$2&amp;" "&amp;SCORE!$D631,EVENTOS!$F:$F,0)),0)</f>
        <v>0</v>
      </c>
      <c r="AE631" s="3">
        <f t="shared" si="27"/>
        <v>0</v>
      </c>
      <c r="AF631" s="10" t="e">
        <f t="shared" si="28"/>
        <v>#N/A</v>
      </c>
      <c r="AG631" s="3" t="str">
        <f t="shared" si="29"/>
        <v/>
      </c>
    </row>
    <row r="632" spans="1:33" x14ac:dyDescent="0.25">
      <c r="A632" s="7"/>
      <c r="B632" s="8"/>
      <c r="C632" s="3"/>
      <c r="D632" s="3"/>
      <c r="E632" s="3" t="e">
        <f>VLOOKUP(D632,VIAJES!$D:$E,2,FALSE)</f>
        <v>#N/A</v>
      </c>
      <c r="F632" s="9" t="e">
        <f>VLOOKUP(D632,VIAJES!$D:$F,3,FALSE)</f>
        <v>#N/A</v>
      </c>
      <c r="G632" s="9" t="e">
        <f>VLOOKUP(D632,VIAJES!$D:$G,4,FALSE)</f>
        <v>#N/A</v>
      </c>
      <c r="H632" s="3" t="e">
        <f>VLOOKUP(D632,VIAJES!$D:$H,5,FALSE)</f>
        <v>#N/A</v>
      </c>
      <c r="S632" s="3">
        <f>IFERROR(INDEX(EVENTOS!$D:$D,MATCH(SCORE!S$2&amp;" "&amp;SCORE!$D632,EVENTOS!$F:$F,0)),0)</f>
        <v>0</v>
      </c>
      <c r="T632" s="3">
        <f>IFERROR(INDEX(EVENTOS!$D:$D,MATCH(SCORE!T$2&amp;" "&amp;SCORE!$D632,EVENTOS!$F:$F,0)),0)</f>
        <v>0</v>
      </c>
      <c r="U632" s="3">
        <f>IFERROR(INDEX(EVENTOS!$D:$D,MATCH(SCORE!U$2&amp;" "&amp;SCORE!$D632,EVENTOS!$F:$F,0)),0)</f>
        <v>0</v>
      </c>
      <c r="V632" s="3">
        <f>IFERROR(INDEX(EVENTOS!$D:$D,MATCH(SCORE!V$2&amp;" "&amp;SCORE!$D632,EVENTOS!$F:$F,0)),0)</f>
        <v>0</v>
      </c>
      <c r="W632" s="3">
        <f>IFERROR(INDEX(EVENTOS!$D:$D,MATCH(SCORE!W$2&amp;" "&amp;SCORE!$D632,EVENTOS!$F:$F,0)),0)</f>
        <v>0</v>
      </c>
      <c r="X632" s="3">
        <f>IFERROR(INDEX(EVENTOS!$D:$D,MATCH(SCORE!X$2&amp;" "&amp;SCORE!$D632,EVENTOS!$F:$F,0)),0)</f>
        <v>0</v>
      </c>
      <c r="Y632" s="3">
        <f>SUMIFS(EVENTOS!$D:$D, EVENTOS!$B:$B, D632, EVENTOS!$E:$E, "*GirAlto*")</f>
        <v>0</v>
      </c>
      <c r="Z632" s="3">
        <f>SUMIFS(EVENTOS!$D:$D, EVENTOS!$B:$B, D632, EVENTOS!$E:$E, "*GirMed*")</f>
        <v>0</v>
      </c>
      <c r="AA632" s="3">
        <f>SUMIFS(EVENTOS!$D:$D, EVENTOS!$B:$B, D632, EVENTOS!$E:$E, "*GirBajo*")</f>
        <v>0</v>
      </c>
      <c r="AB632" s="3">
        <f>IFERROR(INDEX(EVENTOS!$D:$D,MATCH(SCORE!AB$2&amp;" "&amp;SCORE!$D632,EVENTOS!$F:$F,0)),0)</f>
        <v>0</v>
      </c>
      <c r="AC632" s="3">
        <f>IFERROR(INDEX(EVENTOS!$D:$D,MATCH(SCORE!AC$2&amp;" "&amp;SCORE!$D632,EVENTOS!$F:$F,0)),0)</f>
        <v>0</v>
      </c>
      <c r="AD632" s="3">
        <f>IFERROR(INDEX(EVENTOS!$D:$D,MATCH(SCORE!AD$2&amp;" "&amp;SCORE!$D632,EVENTOS!$F:$F,0)),0)</f>
        <v>0</v>
      </c>
      <c r="AE632" s="3">
        <f t="shared" si="27"/>
        <v>0</v>
      </c>
      <c r="AF632" s="10" t="e">
        <f t="shared" si="28"/>
        <v>#N/A</v>
      </c>
      <c r="AG632" s="3" t="str">
        <f t="shared" si="29"/>
        <v/>
      </c>
    </row>
    <row r="633" spans="1:33" x14ac:dyDescent="0.25">
      <c r="A633" s="7"/>
      <c r="B633" s="8"/>
      <c r="C633" s="3"/>
      <c r="D633" s="3"/>
      <c r="E633" s="3" t="e">
        <f>VLOOKUP(D633,VIAJES!$D:$E,2,FALSE)</f>
        <v>#N/A</v>
      </c>
      <c r="F633" s="9" t="e">
        <f>VLOOKUP(D633,VIAJES!$D:$F,3,FALSE)</f>
        <v>#N/A</v>
      </c>
      <c r="G633" s="9" t="e">
        <f>VLOOKUP(D633,VIAJES!$D:$G,4,FALSE)</f>
        <v>#N/A</v>
      </c>
      <c r="H633" s="3" t="e">
        <f>VLOOKUP(D633,VIAJES!$D:$H,5,FALSE)</f>
        <v>#N/A</v>
      </c>
      <c r="S633" s="3">
        <f>IFERROR(INDEX(EVENTOS!$D:$D,MATCH(SCORE!S$2&amp;" "&amp;SCORE!$D633,EVENTOS!$F:$F,0)),0)</f>
        <v>0</v>
      </c>
      <c r="T633" s="3">
        <f>IFERROR(INDEX(EVENTOS!$D:$D,MATCH(SCORE!T$2&amp;" "&amp;SCORE!$D633,EVENTOS!$F:$F,0)),0)</f>
        <v>0</v>
      </c>
      <c r="U633" s="3">
        <f>IFERROR(INDEX(EVENTOS!$D:$D,MATCH(SCORE!U$2&amp;" "&amp;SCORE!$D633,EVENTOS!$F:$F,0)),0)</f>
        <v>0</v>
      </c>
      <c r="V633" s="3">
        <f>IFERROR(INDEX(EVENTOS!$D:$D,MATCH(SCORE!V$2&amp;" "&amp;SCORE!$D633,EVENTOS!$F:$F,0)),0)</f>
        <v>0</v>
      </c>
      <c r="W633" s="3">
        <f>IFERROR(INDEX(EVENTOS!$D:$D,MATCH(SCORE!W$2&amp;" "&amp;SCORE!$D633,EVENTOS!$F:$F,0)),0)</f>
        <v>0</v>
      </c>
      <c r="X633" s="3">
        <f>IFERROR(INDEX(EVENTOS!$D:$D,MATCH(SCORE!X$2&amp;" "&amp;SCORE!$D633,EVENTOS!$F:$F,0)),0)</f>
        <v>0</v>
      </c>
      <c r="Y633" s="3">
        <f>SUMIFS(EVENTOS!$D:$D, EVENTOS!$B:$B, D633, EVENTOS!$E:$E, "*GirAlto*")</f>
        <v>0</v>
      </c>
      <c r="Z633" s="3">
        <f>SUMIFS(EVENTOS!$D:$D, EVENTOS!$B:$B, D633, EVENTOS!$E:$E, "*GirMed*")</f>
        <v>0</v>
      </c>
      <c r="AA633" s="3">
        <f>SUMIFS(EVENTOS!$D:$D, EVENTOS!$B:$B, D633, EVENTOS!$E:$E, "*GirBajo*")</f>
        <v>0</v>
      </c>
      <c r="AB633" s="3">
        <f>IFERROR(INDEX(EVENTOS!$D:$D,MATCH(SCORE!AB$2&amp;" "&amp;SCORE!$D633,EVENTOS!$F:$F,0)),0)</f>
        <v>0</v>
      </c>
      <c r="AC633" s="3">
        <f>IFERROR(INDEX(EVENTOS!$D:$D,MATCH(SCORE!AC$2&amp;" "&amp;SCORE!$D633,EVENTOS!$F:$F,0)),0)</f>
        <v>0</v>
      </c>
      <c r="AD633" s="3">
        <f>IFERROR(INDEX(EVENTOS!$D:$D,MATCH(SCORE!AD$2&amp;" "&amp;SCORE!$D633,EVENTOS!$F:$F,0)),0)</f>
        <v>0</v>
      </c>
      <c r="AE633" s="3">
        <f t="shared" si="27"/>
        <v>0</v>
      </c>
      <c r="AF633" s="10" t="e">
        <f t="shared" si="28"/>
        <v>#N/A</v>
      </c>
      <c r="AG633" s="3" t="str">
        <f t="shared" si="29"/>
        <v/>
      </c>
    </row>
    <row r="634" spans="1:33" x14ac:dyDescent="0.25">
      <c r="A634" s="7"/>
      <c r="B634" s="8"/>
      <c r="C634" s="3"/>
      <c r="D634" s="3"/>
      <c r="E634" s="3" t="e">
        <f>VLOOKUP(D634,VIAJES!$D:$E,2,FALSE)</f>
        <v>#N/A</v>
      </c>
      <c r="F634" s="9" t="e">
        <f>VLOOKUP(D634,VIAJES!$D:$F,3,FALSE)</f>
        <v>#N/A</v>
      </c>
      <c r="G634" s="9" t="e">
        <f>VLOOKUP(D634,VIAJES!$D:$G,4,FALSE)</f>
        <v>#N/A</v>
      </c>
      <c r="H634" s="3" t="e">
        <f>VLOOKUP(D634,VIAJES!$D:$H,5,FALSE)</f>
        <v>#N/A</v>
      </c>
      <c r="S634" s="3">
        <f>IFERROR(INDEX(EVENTOS!$D:$D,MATCH(SCORE!S$2&amp;" "&amp;SCORE!$D634,EVENTOS!$F:$F,0)),0)</f>
        <v>0</v>
      </c>
      <c r="T634" s="3">
        <f>IFERROR(INDEX(EVENTOS!$D:$D,MATCH(SCORE!T$2&amp;" "&amp;SCORE!$D634,EVENTOS!$F:$F,0)),0)</f>
        <v>0</v>
      </c>
      <c r="U634" s="3">
        <f>IFERROR(INDEX(EVENTOS!$D:$D,MATCH(SCORE!U$2&amp;" "&amp;SCORE!$D634,EVENTOS!$F:$F,0)),0)</f>
        <v>0</v>
      </c>
      <c r="V634" s="3">
        <f>IFERROR(INDEX(EVENTOS!$D:$D,MATCH(SCORE!V$2&amp;" "&amp;SCORE!$D634,EVENTOS!$F:$F,0)),0)</f>
        <v>0</v>
      </c>
      <c r="W634" s="3">
        <f>IFERROR(INDEX(EVENTOS!$D:$D,MATCH(SCORE!W$2&amp;" "&amp;SCORE!$D634,EVENTOS!$F:$F,0)),0)</f>
        <v>0</v>
      </c>
      <c r="X634" s="3">
        <f>IFERROR(INDEX(EVENTOS!$D:$D,MATCH(SCORE!X$2&amp;" "&amp;SCORE!$D634,EVENTOS!$F:$F,0)),0)</f>
        <v>0</v>
      </c>
      <c r="Y634" s="3">
        <f>SUMIFS(EVENTOS!$D:$D, EVENTOS!$B:$B, D634, EVENTOS!$E:$E, "*GirAlto*")</f>
        <v>0</v>
      </c>
      <c r="Z634" s="3">
        <f>SUMIFS(EVENTOS!$D:$D, EVENTOS!$B:$B, D634, EVENTOS!$E:$E, "*GirMed*")</f>
        <v>0</v>
      </c>
      <c r="AA634" s="3">
        <f>SUMIFS(EVENTOS!$D:$D, EVENTOS!$B:$B, D634, EVENTOS!$E:$E, "*GirBajo*")</f>
        <v>0</v>
      </c>
      <c r="AB634" s="3">
        <f>IFERROR(INDEX(EVENTOS!$D:$D,MATCH(SCORE!AB$2&amp;" "&amp;SCORE!$D634,EVENTOS!$F:$F,0)),0)</f>
        <v>0</v>
      </c>
      <c r="AC634" s="3">
        <f>IFERROR(INDEX(EVENTOS!$D:$D,MATCH(SCORE!AC$2&amp;" "&amp;SCORE!$D634,EVENTOS!$F:$F,0)),0)</f>
        <v>0</v>
      </c>
      <c r="AD634" s="3">
        <f>IFERROR(INDEX(EVENTOS!$D:$D,MATCH(SCORE!AD$2&amp;" "&amp;SCORE!$D634,EVENTOS!$F:$F,0)),0)</f>
        <v>0</v>
      </c>
      <c r="AE634" s="3">
        <f t="shared" si="27"/>
        <v>0</v>
      </c>
      <c r="AF634" s="10" t="e">
        <f t="shared" si="28"/>
        <v>#N/A</v>
      </c>
      <c r="AG634" s="3" t="str">
        <f t="shared" si="29"/>
        <v/>
      </c>
    </row>
    <row r="635" spans="1:33" x14ac:dyDescent="0.25">
      <c r="A635" s="7"/>
      <c r="B635" s="8"/>
      <c r="C635" s="3"/>
      <c r="D635" s="3"/>
      <c r="E635" s="3" t="e">
        <f>VLOOKUP(D635,VIAJES!$D:$E,2,FALSE)</f>
        <v>#N/A</v>
      </c>
      <c r="F635" s="9" t="e">
        <f>VLOOKUP(D635,VIAJES!$D:$F,3,FALSE)</f>
        <v>#N/A</v>
      </c>
      <c r="G635" s="9" t="e">
        <f>VLOOKUP(D635,VIAJES!$D:$G,4,FALSE)</f>
        <v>#N/A</v>
      </c>
      <c r="H635" s="3" t="e">
        <f>VLOOKUP(D635,VIAJES!$D:$H,5,FALSE)</f>
        <v>#N/A</v>
      </c>
      <c r="S635" s="3">
        <f>IFERROR(INDEX(EVENTOS!$D:$D,MATCH(SCORE!S$2&amp;" "&amp;SCORE!$D635,EVENTOS!$F:$F,0)),0)</f>
        <v>0</v>
      </c>
      <c r="T635" s="3">
        <f>IFERROR(INDEX(EVENTOS!$D:$D,MATCH(SCORE!T$2&amp;" "&amp;SCORE!$D635,EVENTOS!$F:$F,0)),0)</f>
        <v>0</v>
      </c>
      <c r="U635" s="3">
        <f>IFERROR(INDEX(EVENTOS!$D:$D,MATCH(SCORE!U$2&amp;" "&amp;SCORE!$D635,EVENTOS!$F:$F,0)),0)</f>
        <v>0</v>
      </c>
      <c r="V635" s="3">
        <f>IFERROR(INDEX(EVENTOS!$D:$D,MATCH(SCORE!V$2&amp;" "&amp;SCORE!$D635,EVENTOS!$F:$F,0)),0)</f>
        <v>0</v>
      </c>
      <c r="W635" s="3">
        <f>IFERROR(INDEX(EVENTOS!$D:$D,MATCH(SCORE!W$2&amp;" "&amp;SCORE!$D635,EVENTOS!$F:$F,0)),0)</f>
        <v>0</v>
      </c>
      <c r="X635" s="3">
        <f>IFERROR(INDEX(EVENTOS!$D:$D,MATCH(SCORE!X$2&amp;" "&amp;SCORE!$D635,EVENTOS!$F:$F,0)),0)</f>
        <v>0</v>
      </c>
      <c r="Y635" s="3">
        <f>SUMIFS(EVENTOS!$D:$D, EVENTOS!$B:$B, D635, EVENTOS!$E:$E, "*GirAlto*")</f>
        <v>0</v>
      </c>
      <c r="Z635" s="3">
        <f>SUMIFS(EVENTOS!$D:$D, EVENTOS!$B:$B, D635, EVENTOS!$E:$E, "*GirMed*")</f>
        <v>0</v>
      </c>
      <c r="AA635" s="3">
        <f>SUMIFS(EVENTOS!$D:$D, EVENTOS!$B:$B, D635, EVENTOS!$E:$E, "*GirBajo*")</f>
        <v>0</v>
      </c>
      <c r="AB635" s="3">
        <f>IFERROR(INDEX(EVENTOS!$D:$D,MATCH(SCORE!AB$2&amp;" "&amp;SCORE!$D635,EVENTOS!$F:$F,0)),0)</f>
        <v>0</v>
      </c>
      <c r="AC635" s="3">
        <f>IFERROR(INDEX(EVENTOS!$D:$D,MATCH(SCORE!AC$2&amp;" "&amp;SCORE!$D635,EVENTOS!$F:$F,0)),0)</f>
        <v>0</v>
      </c>
      <c r="AD635" s="3">
        <f>IFERROR(INDEX(EVENTOS!$D:$D,MATCH(SCORE!AD$2&amp;" "&amp;SCORE!$D635,EVENTOS!$F:$F,0)),0)</f>
        <v>0</v>
      </c>
      <c r="AE635" s="3">
        <f t="shared" si="27"/>
        <v>0</v>
      </c>
      <c r="AF635" s="10" t="e">
        <f t="shared" si="28"/>
        <v>#N/A</v>
      </c>
      <c r="AG635" s="3" t="str">
        <f t="shared" si="29"/>
        <v/>
      </c>
    </row>
    <row r="636" spans="1:33" x14ac:dyDescent="0.25">
      <c r="A636" s="7"/>
      <c r="B636" s="8"/>
      <c r="C636" s="3"/>
      <c r="D636" s="3"/>
      <c r="E636" s="3" t="e">
        <f>VLOOKUP(D636,VIAJES!$D:$E,2,FALSE)</f>
        <v>#N/A</v>
      </c>
      <c r="F636" s="9" t="e">
        <f>VLOOKUP(D636,VIAJES!$D:$F,3,FALSE)</f>
        <v>#N/A</v>
      </c>
      <c r="G636" s="9" t="e">
        <f>VLOOKUP(D636,VIAJES!$D:$G,4,FALSE)</f>
        <v>#N/A</v>
      </c>
      <c r="H636" s="3" t="e">
        <f>VLOOKUP(D636,VIAJES!$D:$H,5,FALSE)</f>
        <v>#N/A</v>
      </c>
      <c r="S636" s="3">
        <f>IFERROR(INDEX(EVENTOS!$D:$D,MATCH(SCORE!S$2&amp;" "&amp;SCORE!$D636,EVENTOS!$F:$F,0)),0)</f>
        <v>0</v>
      </c>
      <c r="T636" s="3">
        <f>IFERROR(INDEX(EVENTOS!$D:$D,MATCH(SCORE!T$2&amp;" "&amp;SCORE!$D636,EVENTOS!$F:$F,0)),0)</f>
        <v>0</v>
      </c>
      <c r="U636" s="3">
        <f>IFERROR(INDEX(EVENTOS!$D:$D,MATCH(SCORE!U$2&amp;" "&amp;SCORE!$D636,EVENTOS!$F:$F,0)),0)</f>
        <v>0</v>
      </c>
      <c r="V636" s="3">
        <f>IFERROR(INDEX(EVENTOS!$D:$D,MATCH(SCORE!V$2&amp;" "&amp;SCORE!$D636,EVENTOS!$F:$F,0)),0)</f>
        <v>0</v>
      </c>
      <c r="W636" s="3">
        <f>IFERROR(INDEX(EVENTOS!$D:$D,MATCH(SCORE!W$2&amp;" "&amp;SCORE!$D636,EVENTOS!$F:$F,0)),0)</f>
        <v>0</v>
      </c>
      <c r="X636" s="3">
        <f>IFERROR(INDEX(EVENTOS!$D:$D,MATCH(SCORE!X$2&amp;" "&amp;SCORE!$D636,EVENTOS!$F:$F,0)),0)</f>
        <v>0</v>
      </c>
      <c r="Y636" s="3">
        <f>SUMIFS(EVENTOS!$D:$D, EVENTOS!$B:$B, D636, EVENTOS!$E:$E, "*GirAlto*")</f>
        <v>0</v>
      </c>
      <c r="Z636" s="3">
        <f>SUMIFS(EVENTOS!$D:$D, EVENTOS!$B:$B, D636, EVENTOS!$E:$E, "*GirMed*")</f>
        <v>0</v>
      </c>
      <c r="AA636" s="3">
        <f>SUMIFS(EVENTOS!$D:$D, EVENTOS!$B:$B, D636, EVENTOS!$E:$E, "*GirBajo*")</f>
        <v>0</v>
      </c>
      <c r="AB636" s="3">
        <f>IFERROR(INDEX(EVENTOS!$D:$D,MATCH(SCORE!AB$2&amp;" "&amp;SCORE!$D636,EVENTOS!$F:$F,0)),0)</f>
        <v>0</v>
      </c>
      <c r="AC636" s="3">
        <f>IFERROR(INDEX(EVENTOS!$D:$D,MATCH(SCORE!AC$2&amp;" "&amp;SCORE!$D636,EVENTOS!$F:$F,0)),0)</f>
        <v>0</v>
      </c>
      <c r="AD636" s="3">
        <f>IFERROR(INDEX(EVENTOS!$D:$D,MATCH(SCORE!AD$2&amp;" "&amp;SCORE!$D636,EVENTOS!$F:$F,0)),0)</f>
        <v>0</v>
      </c>
      <c r="AE636" s="3">
        <f t="shared" si="27"/>
        <v>0</v>
      </c>
      <c r="AF636" s="10" t="e">
        <f t="shared" si="28"/>
        <v>#N/A</v>
      </c>
      <c r="AG636" s="3" t="str">
        <f t="shared" si="29"/>
        <v/>
      </c>
    </row>
    <row r="637" spans="1:33" x14ac:dyDescent="0.25">
      <c r="A637" s="7"/>
      <c r="B637" s="8"/>
      <c r="C637" s="3"/>
      <c r="D637" s="3"/>
      <c r="E637" s="3" t="e">
        <f>VLOOKUP(D637,VIAJES!$D:$E,2,FALSE)</f>
        <v>#N/A</v>
      </c>
      <c r="F637" s="9" t="e">
        <f>VLOOKUP(D637,VIAJES!$D:$F,3,FALSE)</f>
        <v>#N/A</v>
      </c>
      <c r="G637" s="9" t="e">
        <f>VLOOKUP(D637,VIAJES!$D:$G,4,FALSE)</f>
        <v>#N/A</v>
      </c>
      <c r="H637" s="3" t="e">
        <f>VLOOKUP(D637,VIAJES!$D:$H,5,FALSE)</f>
        <v>#N/A</v>
      </c>
      <c r="S637" s="3">
        <f>IFERROR(INDEX(EVENTOS!$D:$D,MATCH(SCORE!S$2&amp;" "&amp;SCORE!$D637,EVENTOS!$F:$F,0)),0)</f>
        <v>0</v>
      </c>
      <c r="T637" s="3">
        <f>IFERROR(INDEX(EVENTOS!$D:$D,MATCH(SCORE!T$2&amp;" "&amp;SCORE!$D637,EVENTOS!$F:$F,0)),0)</f>
        <v>0</v>
      </c>
      <c r="U637" s="3">
        <f>IFERROR(INDEX(EVENTOS!$D:$D,MATCH(SCORE!U$2&amp;" "&amp;SCORE!$D637,EVENTOS!$F:$F,0)),0)</f>
        <v>0</v>
      </c>
      <c r="V637" s="3">
        <f>IFERROR(INDEX(EVENTOS!$D:$D,MATCH(SCORE!V$2&amp;" "&amp;SCORE!$D637,EVENTOS!$F:$F,0)),0)</f>
        <v>0</v>
      </c>
      <c r="W637" s="3">
        <f>IFERROR(INDEX(EVENTOS!$D:$D,MATCH(SCORE!W$2&amp;" "&amp;SCORE!$D637,EVENTOS!$F:$F,0)),0)</f>
        <v>0</v>
      </c>
      <c r="X637" s="3">
        <f>IFERROR(INDEX(EVENTOS!$D:$D,MATCH(SCORE!X$2&amp;" "&amp;SCORE!$D637,EVENTOS!$F:$F,0)),0)</f>
        <v>0</v>
      </c>
      <c r="Y637" s="3">
        <f>SUMIFS(EVENTOS!$D:$D, EVENTOS!$B:$B, D637, EVENTOS!$E:$E, "*GirAlto*")</f>
        <v>0</v>
      </c>
      <c r="Z637" s="3">
        <f>SUMIFS(EVENTOS!$D:$D, EVENTOS!$B:$B, D637, EVENTOS!$E:$E, "*GirMed*")</f>
        <v>0</v>
      </c>
      <c r="AA637" s="3">
        <f>SUMIFS(EVENTOS!$D:$D, EVENTOS!$B:$B, D637, EVENTOS!$E:$E, "*GirBajo*")</f>
        <v>0</v>
      </c>
      <c r="AB637" s="3">
        <f>IFERROR(INDEX(EVENTOS!$D:$D,MATCH(SCORE!AB$2&amp;" "&amp;SCORE!$D637,EVENTOS!$F:$F,0)),0)</f>
        <v>0</v>
      </c>
      <c r="AC637" s="3">
        <f>IFERROR(INDEX(EVENTOS!$D:$D,MATCH(SCORE!AC$2&amp;" "&amp;SCORE!$D637,EVENTOS!$F:$F,0)),0)</f>
        <v>0</v>
      </c>
      <c r="AD637" s="3">
        <f>IFERROR(INDEX(EVENTOS!$D:$D,MATCH(SCORE!AD$2&amp;" "&amp;SCORE!$D637,EVENTOS!$F:$F,0)),0)</f>
        <v>0</v>
      </c>
      <c r="AE637" s="3">
        <f t="shared" si="27"/>
        <v>0</v>
      </c>
      <c r="AF637" s="10" t="e">
        <f t="shared" si="28"/>
        <v>#N/A</v>
      </c>
      <c r="AG637" s="3" t="str">
        <f t="shared" si="29"/>
        <v/>
      </c>
    </row>
    <row r="638" spans="1:33" x14ac:dyDescent="0.25">
      <c r="A638" s="7"/>
      <c r="B638" s="8"/>
      <c r="C638" s="3"/>
      <c r="D638" s="3"/>
      <c r="E638" s="3" t="e">
        <f>VLOOKUP(D638,VIAJES!$D:$E,2,FALSE)</f>
        <v>#N/A</v>
      </c>
      <c r="F638" s="9" t="e">
        <f>VLOOKUP(D638,VIAJES!$D:$F,3,FALSE)</f>
        <v>#N/A</v>
      </c>
      <c r="G638" s="9" t="e">
        <f>VLOOKUP(D638,VIAJES!$D:$G,4,FALSE)</f>
        <v>#N/A</v>
      </c>
      <c r="H638" s="3" t="e">
        <f>VLOOKUP(D638,VIAJES!$D:$H,5,FALSE)</f>
        <v>#N/A</v>
      </c>
      <c r="S638" s="3">
        <f>IFERROR(INDEX(EVENTOS!$D:$D,MATCH(SCORE!S$2&amp;" "&amp;SCORE!$D638,EVENTOS!$F:$F,0)),0)</f>
        <v>0</v>
      </c>
      <c r="T638" s="3">
        <f>IFERROR(INDEX(EVENTOS!$D:$D,MATCH(SCORE!T$2&amp;" "&amp;SCORE!$D638,EVENTOS!$F:$F,0)),0)</f>
        <v>0</v>
      </c>
      <c r="U638" s="3">
        <f>IFERROR(INDEX(EVENTOS!$D:$D,MATCH(SCORE!U$2&amp;" "&amp;SCORE!$D638,EVENTOS!$F:$F,0)),0)</f>
        <v>0</v>
      </c>
      <c r="V638" s="3">
        <f>IFERROR(INDEX(EVENTOS!$D:$D,MATCH(SCORE!V$2&amp;" "&amp;SCORE!$D638,EVENTOS!$F:$F,0)),0)</f>
        <v>0</v>
      </c>
      <c r="W638" s="3">
        <f>IFERROR(INDEX(EVENTOS!$D:$D,MATCH(SCORE!W$2&amp;" "&amp;SCORE!$D638,EVENTOS!$F:$F,0)),0)</f>
        <v>0</v>
      </c>
      <c r="X638" s="3">
        <f>IFERROR(INDEX(EVENTOS!$D:$D,MATCH(SCORE!X$2&amp;" "&amp;SCORE!$D638,EVENTOS!$F:$F,0)),0)</f>
        <v>0</v>
      </c>
      <c r="Y638" s="3">
        <f>SUMIFS(EVENTOS!$D:$D, EVENTOS!$B:$B, D638, EVENTOS!$E:$E, "*GirAlto*")</f>
        <v>0</v>
      </c>
      <c r="Z638" s="3">
        <f>SUMIFS(EVENTOS!$D:$D, EVENTOS!$B:$B, D638, EVENTOS!$E:$E, "*GirMed*")</f>
        <v>0</v>
      </c>
      <c r="AA638" s="3">
        <f>SUMIFS(EVENTOS!$D:$D, EVENTOS!$B:$B, D638, EVENTOS!$E:$E, "*GirBajo*")</f>
        <v>0</v>
      </c>
      <c r="AB638" s="3">
        <f>IFERROR(INDEX(EVENTOS!$D:$D,MATCH(SCORE!AB$2&amp;" "&amp;SCORE!$D638,EVENTOS!$F:$F,0)),0)</f>
        <v>0</v>
      </c>
      <c r="AC638" s="3">
        <f>IFERROR(INDEX(EVENTOS!$D:$D,MATCH(SCORE!AC$2&amp;" "&amp;SCORE!$D638,EVENTOS!$F:$F,0)),0)</f>
        <v>0</v>
      </c>
      <c r="AD638" s="3">
        <f>IFERROR(INDEX(EVENTOS!$D:$D,MATCH(SCORE!AD$2&amp;" "&amp;SCORE!$D638,EVENTOS!$F:$F,0)),0)</f>
        <v>0</v>
      </c>
      <c r="AE638" s="3">
        <f t="shared" si="27"/>
        <v>0</v>
      </c>
      <c r="AF638" s="10" t="e">
        <f t="shared" si="28"/>
        <v>#N/A</v>
      </c>
      <c r="AG638" s="3" t="str">
        <f t="shared" si="29"/>
        <v/>
      </c>
    </row>
    <row r="639" spans="1:33" x14ac:dyDescent="0.25">
      <c r="A639" s="7"/>
      <c r="B639" s="8"/>
      <c r="C639" s="3"/>
      <c r="D639" s="3"/>
      <c r="E639" s="3" t="e">
        <f>VLOOKUP(D639,VIAJES!$D:$E,2,FALSE)</f>
        <v>#N/A</v>
      </c>
      <c r="F639" s="9" t="e">
        <f>VLOOKUP(D639,VIAJES!$D:$F,3,FALSE)</f>
        <v>#N/A</v>
      </c>
      <c r="G639" s="9" t="e">
        <f>VLOOKUP(D639,VIAJES!$D:$G,4,FALSE)</f>
        <v>#N/A</v>
      </c>
      <c r="H639" s="3" t="e">
        <f>VLOOKUP(D639,VIAJES!$D:$H,5,FALSE)</f>
        <v>#N/A</v>
      </c>
      <c r="S639" s="3">
        <f>IFERROR(INDEX(EVENTOS!$D:$D,MATCH(SCORE!S$2&amp;" "&amp;SCORE!$D639,EVENTOS!$F:$F,0)),0)</f>
        <v>0</v>
      </c>
      <c r="T639" s="3">
        <f>IFERROR(INDEX(EVENTOS!$D:$D,MATCH(SCORE!T$2&amp;" "&amp;SCORE!$D639,EVENTOS!$F:$F,0)),0)</f>
        <v>0</v>
      </c>
      <c r="U639" s="3">
        <f>IFERROR(INDEX(EVENTOS!$D:$D,MATCH(SCORE!U$2&amp;" "&amp;SCORE!$D639,EVENTOS!$F:$F,0)),0)</f>
        <v>0</v>
      </c>
      <c r="V639" s="3">
        <f>IFERROR(INDEX(EVENTOS!$D:$D,MATCH(SCORE!V$2&amp;" "&amp;SCORE!$D639,EVENTOS!$F:$F,0)),0)</f>
        <v>0</v>
      </c>
      <c r="W639" s="3">
        <f>IFERROR(INDEX(EVENTOS!$D:$D,MATCH(SCORE!W$2&amp;" "&amp;SCORE!$D639,EVENTOS!$F:$F,0)),0)</f>
        <v>0</v>
      </c>
      <c r="X639" s="3">
        <f>IFERROR(INDEX(EVENTOS!$D:$D,MATCH(SCORE!X$2&amp;" "&amp;SCORE!$D639,EVENTOS!$F:$F,0)),0)</f>
        <v>0</v>
      </c>
      <c r="Y639" s="3">
        <f>SUMIFS(EVENTOS!$D:$D, EVENTOS!$B:$B, D639, EVENTOS!$E:$E, "*GirAlto*")</f>
        <v>0</v>
      </c>
      <c r="Z639" s="3">
        <f>SUMIFS(EVENTOS!$D:$D, EVENTOS!$B:$B, D639, EVENTOS!$E:$E, "*GirMed*")</f>
        <v>0</v>
      </c>
      <c r="AA639" s="3">
        <f>SUMIFS(EVENTOS!$D:$D, EVENTOS!$B:$B, D639, EVENTOS!$E:$E, "*GirBajo*")</f>
        <v>0</v>
      </c>
      <c r="AB639" s="3">
        <f>IFERROR(INDEX(EVENTOS!$D:$D,MATCH(SCORE!AB$2&amp;" "&amp;SCORE!$D639,EVENTOS!$F:$F,0)),0)</f>
        <v>0</v>
      </c>
      <c r="AC639" s="3">
        <f>IFERROR(INDEX(EVENTOS!$D:$D,MATCH(SCORE!AC$2&amp;" "&amp;SCORE!$D639,EVENTOS!$F:$F,0)),0)</f>
        <v>0</v>
      </c>
      <c r="AD639" s="3">
        <f>IFERROR(INDEX(EVENTOS!$D:$D,MATCH(SCORE!AD$2&amp;" "&amp;SCORE!$D639,EVENTOS!$F:$F,0)),0)</f>
        <v>0</v>
      </c>
      <c r="AE639" s="3">
        <f t="shared" si="27"/>
        <v>0</v>
      </c>
      <c r="AF639" s="10" t="e">
        <f t="shared" si="28"/>
        <v>#N/A</v>
      </c>
      <c r="AG639" s="3" t="str">
        <f t="shared" si="29"/>
        <v/>
      </c>
    </row>
    <row r="640" spans="1:33" x14ac:dyDescent="0.25">
      <c r="A640" s="7"/>
      <c r="B640" s="8"/>
      <c r="C640" s="3"/>
      <c r="D640" s="3"/>
      <c r="E640" s="3" t="e">
        <f>VLOOKUP(D640,VIAJES!$D:$E,2,FALSE)</f>
        <v>#N/A</v>
      </c>
      <c r="F640" s="9" t="e">
        <f>VLOOKUP(D640,VIAJES!$D:$F,3,FALSE)</f>
        <v>#N/A</v>
      </c>
      <c r="G640" s="9" t="e">
        <f>VLOOKUP(D640,VIAJES!$D:$G,4,FALSE)</f>
        <v>#N/A</v>
      </c>
      <c r="H640" s="3" t="e">
        <f>VLOOKUP(D640,VIAJES!$D:$H,5,FALSE)</f>
        <v>#N/A</v>
      </c>
      <c r="S640" s="3">
        <f>IFERROR(INDEX(EVENTOS!$D:$D,MATCH(SCORE!S$2&amp;" "&amp;SCORE!$D640,EVENTOS!$F:$F,0)),0)</f>
        <v>0</v>
      </c>
      <c r="T640" s="3">
        <f>IFERROR(INDEX(EVENTOS!$D:$D,MATCH(SCORE!T$2&amp;" "&amp;SCORE!$D640,EVENTOS!$F:$F,0)),0)</f>
        <v>0</v>
      </c>
      <c r="U640" s="3">
        <f>IFERROR(INDEX(EVENTOS!$D:$D,MATCH(SCORE!U$2&amp;" "&amp;SCORE!$D640,EVENTOS!$F:$F,0)),0)</f>
        <v>0</v>
      </c>
      <c r="V640" s="3">
        <f>IFERROR(INDEX(EVENTOS!$D:$D,MATCH(SCORE!V$2&amp;" "&amp;SCORE!$D640,EVENTOS!$F:$F,0)),0)</f>
        <v>0</v>
      </c>
      <c r="W640" s="3">
        <f>IFERROR(INDEX(EVENTOS!$D:$D,MATCH(SCORE!W$2&amp;" "&amp;SCORE!$D640,EVENTOS!$F:$F,0)),0)</f>
        <v>0</v>
      </c>
      <c r="X640" s="3">
        <f>IFERROR(INDEX(EVENTOS!$D:$D,MATCH(SCORE!X$2&amp;" "&amp;SCORE!$D640,EVENTOS!$F:$F,0)),0)</f>
        <v>0</v>
      </c>
      <c r="Y640" s="3">
        <f>SUMIFS(EVENTOS!$D:$D, EVENTOS!$B:$B, D640, EVENTOS!$E:$E, "*GirAlto*")</f>
        <v>0</v>
      </c>
      <c r="Z640" s="3">
        <f>SUMIFS(EVENTOS!$D:$D, EVENTOS!$B:$B, D640, EVENTOS!$E:$E, "*GirMed*")</f>
        <v>0</v>
      </c>
      <c r="AA640" s="3">
        <f>SUMIFS(EVENTOS!$D:$D, EVENTOS!$B:$B, D640, EVENTOS!$E:$E, "*GirBajo*")</f>
        <v>0</v>
      </c>
      <c r="AB640" s="3">
        <f>IFERROR(INDEX(EVENTOS!$D:$D,MATCH(SCORE!AB$2&amp;" "&amp;SCORE!$D640,EVENTOS!$F:$F,0)),0)</f>
        <v>0</v>
      </c>
      <c r="AC640" s="3">
        <f>IFERROR(INDEX(EVENTOS!$D:$D,MATCH(SCORE!AC$2&amp;" "&amp;SCORE!$D640,EVENTOS!$F:$F,0)),0)</f>
        <v>0</v>
      </c>
      <c r="AD640" s="3">
        <f>IFERROR(INDEX(EVENTOS!$D:$D,MATCH(SCORE!AD$2&amp;" "&amp;SCORE!$D640,EVENTOS!$F:$F,0)),0)</f>
        <v>0</v>
      </c>
      <c r="AE640" s="3">
        <f t="shared" si="27"/>
        <v>0</v>
      </c>
      <c r="AF640" s="10" t="e">
        <f t="shared" si="28"/>
        <v>#N/A</v>
      </c>
      <c r="AG640" s="3" t="str">
        <f t="shared" si="29"/>
        <v/>
      </c>
    </row>
    <row r="641" spans="1:33" x14ac:dyDescent="0.25">
      <c r="A641" s="7"/>
      <c r="B641" s="8"/>
      <c r="C641" s="3"/>
      <c r="D641" s="3"/>
      <c r="E641" s="3" t="e">
        <f>VLOOKUP(D641,VIAJES!$D:$E,2,FALSE)</f>
        <v>#N/A</v>
      </c>
      <c r="F641" s="9" t="e">
        <f>VLOOKUP(D641,VIAJES!$D:$F,3,FALSE)</f>
        <v>#N/A</v>
      </c>
      <c r="G641" s="9" t="e">
        <f>VLOOKUP(D641,VIAJES!$D:$G,4,FALSE)</f>
        <v>#N/A</v>
      </c>
      <c r="H641" s="3" t="e">
        <f>VLOOKUP(D641,VIAJES!$D:$H,5,FALSE)</f>
        <v>#N/A</v>
      </c>
      <c r="S641" s="3">
        <f>IFERROR(INDEX(EVENTOS!$D:$D,MATCH(SCORE!S$2&amp;" "&amp;SCORE!$D641,EVENTOS!$F:$F,0)),0)</f>
        <v>0</v>
      </c>
      <c r="T641" s="3">
        <f>IFERROR(INDEX(EVENTOS!$D:$D,MATCH(SCORE!T$2&amp;" "&amp;SCORE!$D641,EVENTOS!$F:$F,0)),0)</f>
        <v>0</v>
      </c>
      <c r="U641" s="3">
        <f>IFERROR(INDEX(EVENTOS!$D:$D,MATCH(SCORE!U$2&amp;" "&amp;SCORE!$D641,EVENTOS!$F:$F,0)),0)</f>
        <v>0</v>
      </c>
      <c r="V641" s="3">
        <f>IFERROR(INDEX(EVENTOS!$D:$D,MATCH(SCORE!V$2&amp;" "&amp;SCORE!$D641,EVENTOS!$F:$F,0)),0)</f>
        <v>0</v>
      </c>
      <c r="W641" s="3">
        <f>IFERROR(INDEX(EVENTOS!$D:$D,MATCH(SCORE!W$2&amp;" "&amp;SCORE!$D641,EVENTOS!$F:$F,0)),0)</f>
        <v>0</v>
      </c>
      <c r="X641" s="3">
        <f>IFERROR(INDEX(EVENTOS!$D:$D,MATCH(SCORE!X$2&amp;" "&amp;SCORE!$D641,EVENTOS!$F:$F,0)),0)</f>
        <v>0</v>
      </c>
      <c r="Y641" s="3">
        <f>SUMIFS(EVENTOS!$D:$D, EVENTOS!$B:$B, D641, EVENTOS!$E:$E, "*GirAlto*")</f>
        <v>0</v>
      </c>
      <c r="Z641" s="3">
        <f>SUMIFS(EVENTOS!$D:$D, EVENTOS!$B:$B, D641, EVENTOS!$E:$E, "*GirMed*")</f>
        <v>0</v>
      </c>
      <c r="AA641" s="3">
        <f>SUMIFS(EVENTOS!$D:$D, EVENTOS!$B:$B, D641, EVENTOS!$E:$E, "*GirBajo*")</f>
        <v>0</v>
      </c>
      <c r="AB641" s="3">
        <f>IFERROR(INDEX(EVENTOS!$D:$D,MATCH(SCORE!AB$2&amp;" "&amp;SCORE!$D641,EVENTOS!$F:$F,0)),0)</f>
        <v>0</v>
      </c>
      <c r="AC641" s="3">
        <f>IFERROR(INDEX(EVENTOS!$D:$D,MATCH(SCORE!AC$2&amp;" "&amp;SCORE!$D641,EVENTOS!$F:$F,0)),0)</f>
        <v>0</v>
      </c>
      <c r="AD641" s="3">
        <f>IFERROR(INDEX(EVENTOS!$D:$D,MATCH(SCORE!AD$2&amp;" "&amp;SCORE!$D641,EVENTOS!$F:$F,0)),0)</f>
        <v>0</v>
      </c>
      <c r="AE641" s="3">
        <f t="shared" si="27"/>
        <v>0</v>
      </c>
      <c r="AF641" s="10" t="e">
        <f t="shared" si="28"/>
        <v>#N/A</v>
      </c>
      <c r="AG641" s="3" t="str">
        <f t="shared" si="29"/>
        <v/>
      </c>
    </row>
    <row r="642" spans="1:33" x14ac:dyDescent="0.25">
      <c r="A642" s="7"/>
      <c r="B642" s="8"/>
      <c r="C642" s="3"/>
      <c r="D642" s="3"/>
      <c r="E642" s="3" t="e">
        <f>VLOOKUP(D642,VIAJES!$D:$E,2,FALSE)</f>
        <v>#N/A</v>
      </c>
      <c r="F642" s="9" t="e">
        <f>VLOOKUP(D642,VIAJES!$D:$F,3,FALSE)</f>
        <v>#N/A</v>
      </c>
      <c r="G642" s="9" t="e">
        <f>VLOOKUP(D642,VIAJES!$D:$G,4,FALSE)</f>
        <v>#N/A</v>
      </c>
      <c r="H642" s="3" t="e">
        <f>VLOOKUP(D642,VIAJES!$D:$H,5,FALSE)</f>
        <v>#N/A</v>
      </c>
      <c r="S642" s="3">
        <f>IFERROR(INDEX(EVENTOS!$D:$D,MATCH(SCORE!S$2&amp;" "&amp;SCORE!$D642,EVENTOS!$F:$F,0)),0)</f>
        <v>0</v>
      </c>
      <c r="T642" s="3">
        <f>IFERROR(INDEX(EVENTOS!$D:$D,MATCH(SCORE!T$2&amp;" "&amp;SCORE!$D642,EVENTOS!$F:$F,0)),0)</f>
        <v>0</v>
      </c>
      <c r="U642" s="3">
        <f>IFERROR(INDEX(EVENTOS!$D:$D,MATCH(SCORE!U$2&amp;" "&amp;SCORE!$D642,EVENTOS!$F:$F,0)),0)</f>
        <v>0</v>
      </c>
      <c r="V642" s="3">
        <f>IFERROR(INDEX(EVENTOS!$D:$D,MATCH(SCORE!V$2&amp;" "&amp;SCORE!$D642,EVENTOS!$F:$F,0)),0)</f>
        <v>0</v>
      </c>
      <c r="W642" s="3">
        <f>IFERROR(INDEX(EVENTOS!$D:$D,MATCH(SCORE!W$2&amp;" "&amp;SCORE!$D642,EVENTOS!$F:$F,0)),0)</f>
        <v>0</v>
      </c>
      <c r="X642" s="3">
        <f>IFERROR(INDEX(EVENTOS!$D:$D,MATCH(SCORE!X$2&amp;" "&amp;SCORE!$D642,EVENTOS!$F:$F,0)),0)</f>
        <v>0</v>
      </c>
      <c r="Y642" s="3">
        <f>SUMIFS(EVENTOS!$D:$D, EVENTOS!$B:$B, D642, EVENTOS!$E:$E, "*GirAlto*")</f>
        <v>0</v>
      </c>
      <c r="Z642" s="3">
        <f>SUMIFS(EVENTOS!$D:$D, EVENTOS!$B:$B, D642, EVENTOS!$E:$E, "*GirMed*")</f>
        <v>0</v>
      </c>
      <c r="AA642" s="3">
        <f>SUMIFS(EVENTOS!$D:$D, EVENTOS!$B:$B, D642, EVENTOS!$E:$E, "*GirBajo*")</f>
        <v>0</v>
      </c>
      <c r="AB642" s="3">
        <f>IFERROR(INDEX(EVENTOS!$D:$D,MATCH(SCORE!AB$2&amp;" "&amp;SCORE!$D642,EVENTOS!$F:$F,0)),0)</f>
        <v>0</v>
      </c>
      <c r="AC642" s="3">
        <f>IFERROR(INDEX(EVENTOS!$D:$D,MATCH(SCORE!AC$2&amp;" "&amp;SCORE!$D642,EVENTOS!$F:$F,0)),0)</f>
        <v>0</v>
      </c>
      <c r="AD642" s="3">
        <f>IFERROR(INDEX(EVENTOS!$D:$D,MATCH(SCORE!AD$2&amp;" "&amp;SCORE!$D642,EVENTOS!$F:$F,0)),0)</f>
        <v>0</v>
      </c>
      <c r="AE642" s="3">
        <f t="shared" si="27"/>
        <v>0</v>
      </c>
      <c r="AF642" s="10" t="e">
        <f t="shared" si="28"/>
        <v>#N/A</v>
      </c>
      <c r="AG642" s="3" t="str">
        <f t="shared" si="29"/>
        <v/>
      </c>
    </row>
    <row r="643" spans="1:33" x14ac:dyDescent="0.25">
      <c r="A643" s="7"/>
      <c r="B643" s="8"/>
      <c r="C643" s="3"/>
      <c r="D643" s="3"/>
      <c r="E643" s="3" t="e">
        <f>VLOOKUP(D643,VIAJES!$D:$E,2,FALSE)</f>
        <v>#N/A</v>
      </c>
      <c r="F643" s="9" t="e">
        <f>VLOOKUP(D643,VIAJES!$D:$F,3,FALSE)</f>
        <v>#N/A</v>
      </c>
      <c r="G643" s="9" t="e">
        <f>VLOOKUP(D643,VIAJES!$D:$G,4,FALSE)</f>
        <v>#N/A</v>
      </c>
      <c r="H643" s="3" t="e">
        <f>VLOOKUP(D643,VIAJES!$D:$H,5,FALSE)</f>
        <v>#N/A</v>
      </c>
      <c r="S643" s="3">
        <f>IFERROR(INDEX(EVENTOS!$D:$D,MATCH(SCORE!S$2&amp;" "&amp;SCORE!$D643,EVENTOS!$F:$F,0)),0)</f>
        <v>0</v>
      </c>
      <c r="T643" s="3">
        <f>IFERROR(INDEX(EVENTOS!$D:$D,MATCH(SCORE!T$2&amp;" "&amp;SCORE!$D643,EVENTOS!$F:$F,0)),0)</f>
        <v>0</v>
      </c>
      <c r="U643" s="3">
        <f>IFERROR(INDEX(EVENTOS!$D:$D,MATCH(SCORE!U$2&amp;" "&amp;SCORE!$D643,EVENTOS!$F:$F,0)),0)</f>
        <v>0</v>
      </c>
      <c r="V643" s="3">
        <f>IFERROR(INDEX(EVENTOS!$D:$D,MATCH(SCORE!V$2&amp;" "&amp;SCORE!$D643,EVENTOS!$F:$F,0)),0)</f>
        <v>0</v>
      </c>
      <c r="W643" s="3">
        <f>IFERROR(INDEX(EVENTOS!$D:$D,MATCH(SCORE!W$2&amp;" "&amp;SCORE!$D643,EVENTOS!$F:$F,0)),0)</f>
        <v>0</v>
      </c>
      <c r="X643" s="3">
        <f>IFERROR(INDEX(EVENTOS!$D:$D,MATCH(SCORE!X$2&amp;" "&amp;SCORE!$D643,EVENTOS!$F:$F,0)),0)</f>
        <v>0</v>
      </c>
      <c r="Y643" s="3">
        <f>SUMIFS(EVENTOS!$D:$D, EVENTOS!$B:$B, D643, EVENTOS!$E:$E, "*GirAlto*")</f>
        <v>0</v>
      </c>
      <c r="Z643" s="3">
        <f>SUMIFS(EVENTOS!$D:$D, EVENTOS!$B:$B, D643, EVENTOS!$E:$E, "*GirMed*")</f>
        <v>0</v>
      </c>
      <c r="AA643" s="3">
        <f>SUMIFS(EVENTOS!$D:$D, EVENTOS!$B:$B, D643, EVENTOS!$E:$E, "*GirBajo*")</f>
        <v>0</v>
      </c>
      <c r="AB643" s="3">
        <f>IFERROR(INDEX(EVENTOS!$D:$D,MATCH(SCORE!AB$2&amp;" "&amp;SCORE!$D643,EVENTOS!$F:$F,0)),0)</f>
        <v>0</v>
      </c>
      <c r="AC643" s="3">
        <f>IFERROR(INDEX(EVENTOS!$D:$D,MATCH(SCORE!AC$2&amp;" "&amp;SCORE!$D643,EVENTOS!$F:$F,0)),0)</f>
        <v>0</v>
      </c>
      <c r="AD643" s="3">
        <f>IFERROR(INDEX(EVENTOS!$D:$D,MATCH(SCORE!AD$2&amp;" "&amp;SCORE!$D643,EVENTOS!$F:$F,0)),0)</f>
        <v>0</v>
      </c>
      <c r="AE643" s="3">
        <f t="shared" ref="AE643:AE706" si="30">((S643+V643+Y643+AB643)*50)+((T643+W643+Z643+AC643)*25)+((U643+X643+AA643+AD643)*5)</f>
        <v>0</v>
      </c>
      <c r="AF643" s="10" t="e">
        <f t="shared" ref="AF643:AF706" si="31">AE643/(G643*24)*100</f>
        <v>#N/A</v>
      </c>
      <c r="AG643" s="3" t="str">
        <f t="shared" ref="AG643:AG706" si="32">IF(D643&lt;&gt;"",IF(AF643&gt;=30000,5,ROUNDDOWN((((5-95)*(AF643-0))/(30000-0))+95,0)),"")</f>
        <v/>
      </c>
    </row>
    <row r="644" spans="1:33" x14ac:dyDescent="0.25">
      <c r="A644" s="7"/>
      <c r="B644" s="8"/>
      <c r="C644" s="3"/>
      <c r="D644" s="3"/>
      <c r="E644" s="3" t="e">
        <f>VLOOKUP(D644,VIAJES!$D:$E,2,FALSE)</f>
        <v>#N/A</v>
      </c>
      <c r="F644" s="9" t="e">
        <f>VLOOKUP(D644,VIAJES!$D:$F,3,FALSE)</f>
        <v>#N/A</v>
      </c>
      <c r="G644" s="9" t="e">
        <f>VLOOKUP(D644,VIAJES!$D:$G,4,FALSE)</f>
        <v>#N/A</v>
      </c>
      <c r="H644" s="3" t="e">
        <f>VLOOKUP(D644,VIAJES!$D:$H,5,FALSE)</f>
        <v>#N/A</v>
      </c>
      <c r="S644" s="3">
        <f>IFERROR(INDEX(EVENTOS!$D:$D,MATCH(SCORE!S$2&amp;" "&amp;SCORE!$D644,EVENTOS!$F:$F,0)),0)</f>
        <v>0</v>
      </c>
      <c r="T644" s="3">
        <f>IFERROR(INDEX(EVENTOS!$D:$D,MATCH(SCORE!T$2&amp;" "&amp;SCORE!$D644,EVENTOS!$F:$F,0)),0)</f>
        <v>0</v>
      </c>
      <c r="U644" s="3">
        <f>IFERROR(INDEX(EVENTOS!$D:$D,MATCH(SCORE!U$2&amp;" "&amp;SCORE!$D644,EVENTOS!$F:$F,0)),0)</f>
        <v>0</v>
      </c>
      <c r="V644" s="3">
        <f>IFERROR(INDEX(EVENTOS!$D:$D,MATCH(SCORE!V$2&amp;" "&amp;SCORE!$D644,EVENTOS!$F:$F,0)),0)</f>
        <v>0</v>
      </c>
      <c r="W644" s="3">
        <f>IFERROR(INDEX(EVENTOS!$D:$D,MATCH(SCORE!W$2&amp;" "&amp;SCORE!$D644,EVENTOS!$F:$F,0)),0)</f>
        <v>0</v>
      </c>
      <c r="X644" s="3">
        <f>IFERROR(INDEX(EVENTOS!$D:$D,MATCH(SCORE!X$2&amp;" "&amp;SCORE!$D644,EVENTOS!$F:$F,0)),0)</f>
        <v>0</v>
      </c>
      <c r="Y644" s="3">
        <f>SUMIFS(EVENTOS!$D:$D, EVENTOS!$B:$B, D644, EVENTOS!$E:$E, "*GirAlto*")</f>
        <v>0</v>
      </c>
      <c r="Z644" s="3">
        <f>SUMIFS(EVENTOS!$D:$D, EVENTOS!$B:$B, D644, EVENTOS!$E:$E, "*GirMed*")</f>
        <v>0</v>
      </c>
      <c r="AA644" s="3">
        <f>SUMIFS(EVENTOS!$D:$D, EVENTOS!$B:$B, D644, EVENTOS!$E:$E, "*GirBajo*")</f>
        <v>0</v>
      </c>
      <c r="AB644" s="3">
        <f>IFERROR(INDEX(EVENTOS!$D:$D,MATCH(SCORE!AB$2&amp;" "&amp;SCORE!$D644,EVENTOS!$F:$F,0)),0)</f>
        <v>0</v>
      </c>
      <c r="AC644" s="3">
        <f>IFERROR(INDEX(EVENTOS!$D:$D,MATCH(SCORE!AC$2&amp;" "&amp;SCORE!$D644,EVENTOS!$F:$F,0)),0)</f>
        <v>0</v>
      </c>
      <c r="AD644" s="3">
        <f>IFERROR(INDEX(EVENTOS!$D:$D,MATCH(SCORE!AD$2&amp;" "&amp;SCORE!$D644,EVENTOS!$F:$F,0)),0)</f>
        <v>0</v>
      </c>
      <c r="AE644" s="3">
        <f t="shared" si="30"/>
        <v>0</v>
      </c>
      <c r="AF644" s="10" t="e">
        <f t="shared" si="31"/>
        <v>#N/A</v>
      </c>
      <c r="AG644" s="3" t="str">
        <f t="shared" si="32"/>
        <v/>
      </c>
    </row>
    <row r="645" spans="1:33" x14ac:dyDescent="0.25">
      <c r="A645" s="7"/>
      <c r="B645" s="8"/>
      <c r="C645" s="3"/>
      <c r="D645" s="3"/>
      <c r="E645" s="3" t="e">
        <f>VLOOKUP(D645,VIAJES!$D:$E,2,FALSE)</f>
        <v>#N/A</v>
      </c>
      <c r="F645" s="9" t="e">
        <f>VLOOKUP(D645,VIAJES!$D:$F,3,FALSE)</f>
        <v>#N/A</v>
      </c>
      <c r="G645" s="9" t="e">
        <f>VLOOKUP(D645,VIAJES!$D:$G,4,FALSE)</f>
        <v>#N/A</v>
      </c>
      <c r="H645" s="3" t="e">
        <f>VLOOKUP(D645,VIAJES!$D:$H,5,FALSE)</f>
        <v>#N/A</v>
      </c>
      <c r="S645" s="3">
        <f>IFERROR(INDEX(EVENTOS!$D:$D,MATCH(SCORE!S$2&amp;" "&amp;SCORE!$D645,EVENTOS!$F:$F,0)),0)</f>
        <v>0</v>
      </c>
      <c r="T645" s="3">
        <f>IFERROR(INDEX(EVENTOS!$D:$D,MATCH(SCORE!T$2&amp;" "&amp;SCORE!$D645,EVENTOS!$F:$F,0)),0)</f>
        <v>0</v>
      </c>
      <c r="U645" s="3">
        <f>IFERROR(INDEX(EVENTOS!$D:$D,MATCH(SCORE!U$2&amp;" "&amp;SCORE!$D645,EVENTOS!$F:$F,0)),0)</f>
        <v>0</v>
      </c>
      <c r="V645" s="3">
        <f>IFERROR(INDEX(EVENTOS!$D:$D,MATCH(SCORE!V$2&amp;" "&amp;SCORE!$D645,EVENTOS!$F:$F,0)),0)</f>
        <v>0</v>
      </c>
      <c r="W645" s="3">
        <f>IFERROR(INDEX(EVENTOS!$D:$D,MATCH(SCORE!W$2&amp;" "&amp;SCORE!$D645,EVENTOS!$F:$F,0)),0)</f>
        <v>0</v>
      </c>
      <c r="X645" s="3">
        <f>IFERROR(INDEX(EVENTOS!$D:$D,MATCH(SCORE!X$2&amp;" "&amp;SCORE!$D645,EVENTOS!$F:$F,0)),0)</f>
        <v>0</v>
      </c>
      <c r="Y645" s="3">
        <f>SUMIFS(EVENTOS!$D:$D, EVENTOS!$B:$B, D645, EVENTOS!$E:$E, "*GirAlto*")</f>
        <v>0</v>
      </c>
      <c r="Z645" s="3">
        <f>SUMIFS(EVENTOS!$D:$D, EVENTOS!$B:$B, D645, EVENTOS!$E:$E, "*GirMed*")</f>
        <v>0</v>
      </c>
      <c r="AA645" s="3">
        <f>SUMIFS(EVENTOS!$D:$D, EVENTOS!$B:$B, D645, EVENTOS!$E:$E, "*GirBajo*")</f>
        <v>0</v>
      </c>
      <c r="AB645" s="3">
        <f>IFERROR(INDEX(EVENTOS!$D:$D,MATCH(SCORE!AB$2&amp;" "&amp;SCORE!$D645,EVENTOS!$F:$F,0)),0)</f>
        <v>0</v>
      </c>
      <c r="AC645" s="3">
        <f>IFERROR(INDEX(EVENTOS!$D:$D,MATCH(SCORE!AC$2&amp;" "&amp;SCORE!$D645,EVENTOS!$F:$F,0)),0)</f>
        <v>0</v>
      </c>
      <c r="AD645" s="3">
        <f>IFERROR(INDEX(EVENTOS!$D:$D,MATCH(SCORE!AD$2&amp;" "&amp;SCORE!$D645,EVENTOS!$F:$F,0)),0)</f>
        <v>0</v>
      </c>
      <c r="AE645" s="3">
        <f t="shared" si="30"/>
        <v>0</v>
      </c>
      <c r="AF645" s="10" t="e">
        <f t="shared" si="31"/>
        <v>#N/A</v>
      </c>
      <c r="AG645" s="3" t="str">
        <f t="shared" si="32"/>
        <v/>
      </c>
    </row>
    <row r="646" spans="1:33" x14ac:dyDescent="0.25">
      <c r="A646" s="7"/>
      <c r="B646" s="8"/>
      <c r="C646" s="3"/>
      <c r="D646" s="3"/>
      <c r="E646" s="3" t="e">
        <f>VLOOKUP(D646,VIAJES!$D:$E,2,FALSE)</f>
        <v>#N/A</v>
      </c>
      <c r="F646" s="9" t="e">
        <f>VLOOKUP(D646,VIAJES!$D:$F,3,FALSE)</f>
        <v>#N/A</v>
      </c>
      <c r="G646" s="9" t="e">
        <f>VLOOKUP(D646,VIAJES!$D:$G,4,FALSE)</f>
        <v>#N/A</v>
      </c>
      <c r="H646" s="3" t="e">
        <f>VLOOKUP(D646,VIAJES!$D:$H,5,FALSE)</f>
        <v>#N/A</v>
      </c>
      <c r="S646" s="3">
        <f>IFERROR(INDEX(EVENTOS!$D:$D,MATCH(SCORE!S$2&amp;" "&amp;SCORE!$D646,EVENTOS!$F:$F,0)),0)</f>
        <v>0</v>
      </c>
      <c r="T646" s="3">
        <f>IFERROR(INDEX(EVENTOS!$D:$D,MATCH(SCORE!T$2&amp;" "&amp;SCORE!$D646,EVENTOS!$F:$F,0)),0)</f>
        <v>0</v>
      </c>
      <c r="U646" s="3">
        <f>IFERROR(INDEX(EVENTOS!$D:$D,MATCH(SCORE!U$2&amp;" "&amp;SCORE!$D646,EVENTOS!$F:$F,0)),0)</f>
        <v>0</v>
      </c>
      <c r="V646" s="3">
        <f>IFERROR(INDEX(EVENTOS!$D:$D,MATCH(SCORE!V$2&amp;" "&amp;SCORE!$D646,EVENTOS!$F:$F,0)),0)</f>
        <v>0</v>
      </c>
      <c r="W646" s="3">
        <f>IFERROR(INDEX(EVENTOS!$D:$D,MATCH(SCORE!W$2&amp;" "&amp;SCORE!$D646,EVENTOS!$F:$F,0)),0)</f>
        <v>0</v>
      </c>
      <c r="X646" s="3">
        <f>IFERROR(INDEX(EVENTOS!$D:$D,MATCH(SCORE!X$2&amp;" "&amp;SCORE!$D646,EVENTOS!$F:$F,0)),0)</f>
        <v>0</v>
      </c>
      <c r="Y646" s="3">
        <f>SUMIFS(EVENTOS!$D:$D, EVENTOS!$B:$B, D646, EVENTOS!$E:$E, "*GirAlto*")</f>
        <v>0</v>
      </c>
      <c r="Z646" s="3">
        <f>SUMIFS(EVENTOS!$D:$D, EVENTOS!$B:$B, D646, EVENTOS!$E:$E, "*GirMed*")</f>
        <v>0</v>
      </c>
      <c r="AA646" s="3">
        <f>SUMIFS(EVENTOS!$D:$D, EVENTOS!$B:$B, D646, EVENTOS!$E:$E, "*GirBajo*")</f>
        <v>0</v>
      </c>
      <c r="AB646" s="3">
        <f>IFERROR(INDEX(EVENTOS!$D:$D,MATCH(SCORE!AB$2&amp;" "&amp;SCORE!$D646,EVENTOS!$F:$F,0)),0)</f>
        <v>0</v>
      </c>
      <c r="AC646" s="3">
        <f>IFERROR(INDEX(EVENTOS!$D:$D,MATCH(SCORE!AC$2&amp;" "&amp;SCORE!$D646,EVENTOS!$F:$F,0)),0)</f>
        <v>0</v>
      </c>
      <c r="AD646" s="3">
        <f>IFERROR(INDEX(EVENTOS!$D:$D,MATCH(SCORE!AD$2&amp;" "&amp;SCORE!$D646,EVENTOS!$F:$F,0)),0)</f>
        <v>0</v>
      </c>
      <c r="AE646" s="3">
        <f t="shared" si="30"/>
        <v>0</v>
      </c>
      <c r="AF646" s="10" t="e">
        <f t="shared" si="31"/>
        <v>#N/A</v>
      </c>
      <c r="AG646" s="3" t="str">
        <f t="shared" si="32"/>
        <v/>
      </c>
    </row>
    <row r="647" spans="1:33" x14ac:dyDescent="0.25">
      <c r="A647" s="7"/>
      <c r="B647" s="8"/>
      <c r="C647" s="3"/>
      <c r="D647" s="3"/>
      <c r="E647" s="3" t="e">
        <f>VLOOKUP(D647,VIAJES!$D:$E,2,FALSE)</f>
        <v>#N/A</v>
      </c>
      <c r="F647" s="9" t="e">
        <f>VLOOKUP(D647,VIAJES!$D:$F,3,FALSE)</f>
        <v>#N/A</v>
      </c>
      <c r="G647" s="9" t="e">
        <f>VLOOKUP(D647,VIAJES!$D:$G,4,FALSE)</f>
        <v>#N/A</v>
      </c>
      <c r="H647" s="3" t="e">
        <f>VLOOKUP(D647,VIAJES!$D:$H,5,FALSE)</f>
        <v>#N/A</v>
      </c>
      <c r="S647" s="3">
        <f>IFERROR(INDEX(EVENTOS!$D:$D,MATCH(SCORE!S$2&amp;" "&amp;SCORE!$D647,EVENTOS!$F:$F,0)),0)</f>
        <v>0</v>
      </c>
      <c r="T647" s="3">
        <f>IFERROR(INDEX(EVENTOS!$D:$D,MATCH(SCORE!T$2&amp;" "&amp;SCORE!$D647,EVENTOS!$F:$F,0)),0)</f>
        <v>0</v>
      </c>
      <c r="U647" s="3">
        <f>IFERROR(INDEX(EVENTOS!$D:$D,MATCH(SCORE!U$2&amp;" "&amp;SCORE!$D647,EVENTOS!$F:$F,0)),0)</f>
        <v>0</v>
      </c>
      <c r="V647" s="3">
        <f>IFERROR(INDEX(EVENTOS!$D:$D,MATCH(SCORE!V$2&amp;" "&amp;SCORE!$D647,EVENTOS!$F:$F,0)),0)</f>
        <v>0</v>
      </c>
      <c r="W647" s="3">
        <f>IFERROR(INDEX(EVENTOS!$D:$D,MATCH(SCORE!W$2&amp;" "&amp;SCORE!$D647,EVENTOS!$F:$F,0)),0)</f>
        <v>0</v>
      </c>
      <c r="X647" s="3">
        <f>IFERROR(INDEX(EVENTOS!$D:$D,MATCH(SCORE!X$2&amp;" "&amp;SCORE!$D647,EVENTOS!$F:$F,0)),0)</f>
        <v>0</v>
      </c>
      <c r="Y647" s="3">
        <f>SUMIFS(EVENTOS!$D:$D, EVENTOS!$B:$B, D647, EVENTOS!$E:$E, "*GirAlto*")</f>
        <v>0</v>
      </c>
      <c r="Z647" s="3">
        <f>SUMIFS(EVENTOS!$D:$D, EVENTOS!$B:$B, D647, EVENTOS!$E:$E, "*GirMed*")</f>
        <v>0</v>
      </c>
      <c r="AA647" s="3">
        <f>SUMIFS(EVENTOS!$D:$D, EVENTOS!$B:$B, D647, EVENTOS!$E:$E, "*GirBajo*")</f>
        <v>0</v>
      </c>
      <c r="AB647" s="3">
        <f>IFERROR(INDEX(EVENTOS!$D:$D,MATCH(SCORE!AB$2&amp;" "&amp;SCORE!$D647,EVENTOS!$F:$F,0)),0)</f>
        <v>0</v>
      </c>
      <c r="AC647" s="3">
        <f>IFERROR(INDEX(EVENTOS!$D:$D,MATCH(SCORE!AC$2&amp;" "&amp;SCORE!$D647,EVENTOS!$F:$F,0)),0)</f>
        <v>0</v>
      </c>
      <c r="AD647" s="3">
        <f>IFERROR(INDEX(EVENTOS!$D:$D,MATCH(SCORE!AD$2&amp;" "&amp;SCORE!$D647,EVENTOS!$F:$F,0)),0)</f>
        <v>0</v>
      </c>
      <c r="AE647" s="3">
        <f t="shared" si="30"/>
        <v>0</v>
      </c>
      <c r="AF647" s="10" t="e">
        <f t="shared" si="31"/>
        <v>#N/A</v>
      </c>
      <c r="AG647" s="3" t="str">
        <f t="shared" si="32"/>
        <v/>
      </c>
    </row>
    <row r="648" spans="1:33" x14ac:dyDescent="0.25">
      <c r="A648" s="7"/>
      <c r="B648" s="8"/>
      <c r="C648" s="3"/>
      <c r="D648" s="3"/>
      <c r="E648" s="3" t="e">
        <f>VLOOKUP(D648,VIAJES!$D:$E,2,FALSE)</f>
        <v>#N/A</v>
      </c>
      <c r="F648" s="9" t="e">
        <f>VLOOKUP(D648,VIAJES!$D:$F,3,FALSE)</f>
        <v>#N/A</v>
      </c>
      <c r="G648" s="9" t="e">
        <f>VLOOKUP(D648,VIAJES!$D:$G,4,FALSE)</f>
        <v>#N/A</v>
      </c>
      <c r="H648" s="3" t="e">
        <f>VLOOKUP(D648,VIAJES!$D:$H,5,FALSE)</f>
        <v>#N/A</v>
      </c>
      <c r="S648" s="3">
        <f>IFERROR(INDEX(EVENTOS!$D:$D,MATCH(SCORE!S$2&amp;" "&amp;SCORE!$D648,EVENTOS!$F:$F,0)),0)</f>
        <v>0</v>
      </c>
      <c r="T648" s="3">
        <f>IFERROR(INDEX(EVENTOS!$D:$D,MATCH(SCORE!T$2&amp;" "&amp;SCORE!$D648,EVENTOS!$F:$F,0)),0)</f>
        <v>0</v>
      </c>
      <c r="U648" s="3">
        <f>IFERROR(INDEX(EVENTOS!$D:$D,MATCH(SCORE!U$2&amp;" "&amp;SCORE!$D648,EVENTOS!$F:$F,0)),0)</f>
        <v>0</v>
      </c>
      <c r="V648" s="3">
        <f>IFERROR(INDEX(EVENTOS!$D:$D,MATCH(SCORE!V$2&amp;" "&amp;SCORE!$D648,EVENTOS!$F:$F,0)),0)</f>
        <v>0</v>
      </c>
      <c r="W648" s="3">
        <f>IFERROR(INDEX(EVENTOS!$D:$D,MATCH(SCORE!W$2&amp;" "&amp;SCORE!$D648,EVENTOS!$F:$F,0)),0)</f>
        <v>0</v>
      </c>
      <c r="X648" s="3">
        <f>IFERROR(INDEX(EVENTOS!$D:$D,MATCH(SCORE!X$2&amp;" "&amp;SCORE!$D648,EVENTOS!$F:$F,0)),0)</f>
        <v>0</v>
      </c>
      <c r="Y648" s="3">
        <f>SUMIFS(EVENTOS!$D:$D, EVENTOS!$B:$B, D648, EVENTOS!$E:$E, "*GirAlto*")</f>
        <v>0</v>
      </c>
      <c r="Z648" s="3">
        <f>SUMIFS(EVENTOS!$D:$D, EVENTOS!$B:$B, D648, EVENTOS!$E:$E, "*GirMed*")</f>
        <v>0</v>
      </c>
      <c r="AA648" s="3">
        <f>SUMIFS(EVENTOS!$D:$D, EVENTOS!$B:$B, D648, EVENTOS!$E:$E, "*GirBajo*")</f>
        <v>0</v>
      </c>
      <c r="AB648" s="3">
        <f>IFERROR(INDEX(EVENTOS!$D:$D,MATCH(SCORE!AB$2&amp;" "&amp;SCORE!$D648,EVENTOS!$F:$F,0)),0)</f>
        <v>0</v>
      </c>
      <c r="AC648" s="3">
        <f>IFERROR(INDEX(EVENTOS!$D:$D,MATCH(SCORE!AC$2&amp;" "&amp;SCORE!$D648,EVENTOS!$F:$F,0)),0)</f>
        <v>0</v>
      </c>
      <c r="AD648" s="3">
        <f>IFERROR(INDEX(EVENTOS!$D:$D,MATCH(SCORE!AD$2&amp;" "&amp;SCORE!$D648,EVENTOS!$F:$F,0)),0)</f>
        <v>0</v>
      </c>
      <c r="AE648" s="3">
        <f t="shared" si="30"/>
        <v>0</v>
      </c>
      <c r="AF648" s="10" t="e">
        <f t="shared" si="31"/>
        <v>#N/A</v>
      </c>
      <c r="AG648" s="3" t="str">
        <f t="shared" si="32"/>
        <v/>
      </c>
    </row>
    <row r="649" spans="1:33" x14ac:dyDescent="0.25">
      <c r="A649" s="7"/>
      <c r="B649" s="8"/>
      <c r="C649" s="3"/>
      <c r="D649" s="3"/>
      <c r="E649" s="3" t="e">
        <f>VLOOKUP(D649,VIAJES!$D:$E,2,FALSE)</f>
        <v>#N/A</v>
      </c>
      <c r="F649" s="9" t="e">
        <f>VLOOKUP(D649,VIAJES!$D:$F,3,FALSE)</f>
        <v>#N/A</v>
      </c>
      <c r="G649" s="9" t="e">
        <f>VLOOKUP(D649,VIAJES!$D:$G,4,FALSE)</f>
        <v>#N/A</v>
      </c>
      <c r="H649" s="3" t="e">
        <f>VLOOKUP(D649,VIAJES!$D:$H,5,FALSE)</f>
        <v>#N/A</v>
      </c>
      <c r="S649" s="3">
        <f>IFERROR(INDEX(EVENTOS!$D:$D,MATCH(SCORE!S$2&amp;" "&amp;SCORE!$D649,EVENTOS!$F:$F,0)),0)</f>
        <v>0</v>
      </c>
      <c r="T649" s="3">
        <f>IFERROR(INDEX(EVENTOS!$D:$D,MATCH(SCORE!T$2&amp;" "&amp;SCORE!$D649,EVENTOS!$F:$F,0)),0)</f>
        <v>0</v>
      </c>
      <c r="U649" s="3">
        <f>IFERROR(INDEX(EVENTOS!$D:$D,MATCH(SCORE!U$2&amp;" "&amp;SCORE!$D649,EVENTOS!$F:$F,0)),0)</f>
        <v>0</v>
      </c>
      <c r="V649" s="3">
        <f>IFERROR(INDEX(EVENTOS!$D:$D,MATCH(SCORE!V$2&amp;" "&amp;SCORE!$D649,EVENTOS!$F:$F,0)),0)</f>
        <v>0</v>
      </c>
      <c r="W649" s="3">
        <f>IFERROR(INDEX(EVENTOS!$D:$D,MATCH(SCORE!W$2&amp;" "&amp;SCORE!$D649,EVENTOS!$F:$F,0)),0)</f>
        <v>0</v>
      </c>
      <c r="X649" s="3">
        <f>IFERROR(INDEX(EVENTOS!$D:$D,MATCH(SCORE!X$2&amp;" "&amp;SCORE!$D649,EVENTOS!$F:$F,0)),0)</f>
        <v>0</v>
      </c>
      <c r="Y649" s="3">
        <f>SUMIFS(EVENTOS!$D:$D, EVENTOS!$B:$B, D649, EVENTOS!$E:$E, "*GirAlto*")</f>
        <v>0</v>
      </c>
      <c r="Z649" s="3">
        <f>SUMIFS(EVENTOS!$D:$D, EVENTOS!$B:$B, D649, EVENTOS!$E:$E, "*GirMed*")</f>
        <v>0</v>
      </c>
      <c r="AA649" s="3">
        <f>SUMIFS(EVENTOS!$D:$D, EVENTOS!$B:$B, D649, EVENTOS!$E:$E, "*GirBajo*")</f>
        <v>0</v>
      </c>
      <c r="AB649" s="3">
        <f>IFERROR(INDEX(EVENTOS!$D:$D,MATCH(SCORE!AB$2&amp;" "&amp;SCORE!$D649,EVENTOS!$F:$F,0)),0)</f>
        <v>0</v>
      </c>
      <c r="AC649" s="3">
        <f>IFERROR(INDEX(EVENTOS!$D:$D,MATCH(SCORE!AC$2&amp;" "&amp;SCORE!$D649,EVENTOS!$F:$F,0)),0)</f>
        <v>0</v>
      </c>
      <c r="AD649" s="3">
        <f>IFERROR(INDEX(EVENTOS!$D:$D,MATCH(SCORE!AD$2&amp;" "&amp;SCORE!$D649,EVENTOS!$F:$F,0)),0)</f>
        <v>0</v>
      </c>
      <c r="AE649" s="3">
        <f t="shared" si="30"/>
        <v>0</v>
      </c>
      <c r="AF649" s="10" t="e">
        <f t="shared" si="31"/>
        <v>#N/A</v>
      </c>
      <c r="AG649" s="3" t="str">
        <f t="shared" si="32"/>
        <v/>
      </c>
    </row>
    <row r="650" spans="1:33" x14ac:dyDescent="0.25">
      <c r="A650" s="7"/>
      <c r="B650" s="8"/>
      <c r="C650" s="3"/>
      <c r="D650" s="3"/>
      <c r="E650" s="3" t="e">
        <f>VLOOKUP(D650,VIAJES!$D:$E,2,FALSE)</f>
        <v>#N/A</v>
      </c>
      <c r="F650" s="9" t="e">
        <f>VLOOKUP(D650,VIAJES!$D:$F,3,FALSE)</f>
        <v>#N/A</v>
      </c>
      <c r="G650" s="9" t="e">
        <f>VLOOKUP(D650,VIAJES!$D:$G,4,FALSE)</f>
        <v>#N/A</v>
      </c>
      <c r="H650" s="3" t="e">
        <f>VLOOKUP(D650,VIAJES!$D:$H,5,FALSE)</f>
        <v>#N/A</v>
      </c>
      <c r="S650" s="3">
        <f>IFERROR(INDEX(EVENTOS!$D:$D,MATCH(SCORE!S$2&amp;" "&amp;SCORE!$D650,EVENTOS!$F:$F,0)),0)</f>
        <v>0</v>
      </c>
      <c r="T650" s="3">
        <f>IFERROR(INDEX(EVENTOS!$D:$D,MATCH(SCORE!T$2&amp;" "&amp;SCORE!$D650,EVENTOS!$F:$F,0)),0)</f>
        <v>0</v>
      </c>
      <c r="U650" s="3">
        <f>IFERROR(INDEX(EVENTOS!$D:$D,MATCH(SCORE!U$2&amp;" "&amp;SCORE!$D650,EVENTOS!$F:$F,0)),0)</f>
        <v>0</v>
      </c>
      <c r="V650" s="3">
        <f>IFERROR(INDEX(EVENTOS!$D:$D,MATCH(SCORE!V$2&amp;" "&amp;SCORE!$D650,EVENTOS!$F:$F,0)),0)</f>
        <v>0</v>
      </c>
      <c r="W650" s="3">
        <f>IFERROR(INDEX(EVENTOS!$D:$D,MATCH(SCORE!W$2&amp;" "&amp;SCORE!$D650,EVENTOS!$F:$F,0)),0)</f>
        <v>0</v>
      </c>
      <c r="X650" s="3">
        <f>IFERROR(INDEX(EVENTOS!$D:$D,MATCH(SCORE!X$2&amp;" "&amp;SCORE!$D650,EVENTOS!$F:$F,0)),0)</f>
        <v>0</v>
      </c>
      <c r="Y650" s="3">
        <f>SUMIFS(EVENTOS!$D:$D, EVENTOS!$B:$B, D650, EVENTOS!$E:$E, "*GirAlto*")</f>
        <v>0</v>
      </c>
      <c r="Z650" s="3">
        <f>SUMIFS(EVENTOS!$D:$D, EVENTOS!$B:$B, D650, EVENTOS!$E:$E, "*GirMed*")</f>
        <v>0</v>
      </c>
      <c r="AA650" s="3">
        <f>SUMIFS(EVENTOS!$D:$D, EVENTOS!$B:$B, D650, EVENTOS!$E:$E, "*GirBajo*")</f>
        <v>0</v>
      </c>
      <c r="AB650" s="3">
        <f>IFERROR(INDEX(EVENTOS!$D:$D,MATCH(SCORE!AB$2&amp;" "&amp;SCORE!$D650,EVENTOS!$F:$F,0)),0)</f>
        <v>0</v>
      </c>
      <c r="AC650" s="3">
        <f>IFERROR(INDEX(EVENTOS!$D:$D,MATCH(SCORE!AC$2&amp;" "&amp;SCORE!$D650,EVENTOS!$F:$F,0)),0)</f>
        <v>0</v>
      </c>
      <c r="AD650" s="3">
        <f>IFERROR(INDEX(EVENTOS!$D:$D,MATCH(SCORE!AD$2&amp;" "&amp;SCORE!$D650,EVENTOS!$F:$F,0)),0)</f>
        <v>0</v>
      </c>
      <c r="AE650" s="3">
        <f t="shared" si="30"/>
        <v>0</v>
      </c>
      <c r="AF650" s="10" t="e">
        <f t="shared" si="31"/>
        <v>#N/A</v>
      </c>
      <c r="AG650" s="3" t="str">
        <f t="shared" si="32"/>
        <v/>
      </c>
    </row>
    <row r="651" spans="1:33" x14ac:dyDescent="0.25">
      <c r="A651" s="7"/>
      <c r="B651" s="8"/>
      <c r="C651" s="3"/>
      <c r="D651" s="3"/>
      <c r="E651" s="3" t="e">
        <f>VLOOKUP(D651,VIAJES!$D:$E,2,FALSE)</f>
        <v>#N/A</v>
      </c>
      <c r="F651" s="9" t="e">
        <f>VLOOKUP(D651,VIAJES!$D:$F,3,FALSE)</f>
        <v>#N/A</v>
      </c>
      <c r="G651" s="9" t="e">
        <f>VLOOKUP(D651,VIAJES!$D:$G,4,FALSE)</f>
        <v>#N/A</v>
      </c>
      <c r="H651" s="3" t="e">
        <f>VLOOKUP(D651,VIAJES!$D:$H,5,FALSE)</f>
        <v>#N/A</v>
      </c>
      <c r="S651" s="3">
        <f>IFERROR(INDEX(EVENTOS!$D:$D,MATCH(SCORE!S$2&amp;" "&amp;SCORE!$D651,EVENTOS!$F:$F,0)),0)</f>
        <v>0</v>
      </c>
      <c r="T651" s="3">
        <f>IFERROR(INDEX(EVENTOS!$D:$D,MATCH(SCORE!T$2&amp;" "&amp;SCORE!$D651,EVENTOS!$F:$F,0)),0)</f>
        <v>0</v>
      </c>
      <c r="U651" s="3">
        <f>IFERROR(INDEX(EVENTOS!$D:$D,MATCH(SCORE!U$2&amp;" "&amp;SCORE!$D651,EVENTOS!$F:$F,0)),0)</f>
        <v>0</v>
      </c>
      <c r="V651" s="3">
        <f>IFERROR(INDEX(EVENTOS!$D:$D,MATCH(SCORE!V$2&amp;" "&amp;SCORE!$D651,EVENTOS!$F:$F,0)),0)</f>
        <v>0</v>
      </c>
      <c r="W651" s="3">
        <f>IFERROR(INDEX(EVENTOS!$D:$D,MATCH(SCORE!W$2&amp;" "&amp;SCORE!$D651,EVENTOS!$F:$F,0)),0)</f>
        <v>0</v>
      </c>
      <c r="X651" s="3">
        <f>IFERROR(INDEX(EVENTOS!$D:$D,MATCH(SCORE!X$2&amp;" "&amp;SCORE!$D651,EVENTOS!$F:$F,0)),0)</f>
        <v>0</v>
      </c>
      <c r="Y651" s="3">
        <f>SUMIFS(EVENTOS!$D:$D, EVENTOS!$B:$B, D651, EVENTOS!$E:$E, "*GirAlto*")</f>
        <v>0</v>
      </c>
      <c r="Z651" s="3">
        <f>SUMIFS(EVENTOS!$D:$D, EVENTOS!$B:$B, D651, EVENTOS!$E:$E, "*GirMed*")</f>
        <v>0</v>
      </c>
      <c r="AA651" s="3">
        <f>SUMIFS(EVENTOS!$D:$D, EVENTOS!$B:$B, D651, EVENTOS!$E:$E, "*GirBajo*")</f>
        <v>0</v>
      </c>
      <c r="AB651" s="3">
        <f>IFERROR(INDEX(EVENTOS!$D:$D,MATCH(SCORE!AB$2&amp;" "&amp;SCORE!$D651,EVENTOS!$F:$F,0)),0)</f>
        <v>0</v>
      </c>
      <c r="AC651" s="3">
        <f>IFERROR(INDEX(EVENTOS!$D:$D,MATCH(SCORE!AC$2&amp;" "&amp;SCORE!$D651,EVENTOS!$F:$F,0)),0)</f>
        <v>0</v>
      </c>
      <c r="AD651" s="3">
        <f>IFERROR(INDEX(EVENTOS!$D:$D,MATCH(SCORE!AD$2&amp;" "&amp;SCORE!$D651,EVENTOS!$F:$F,0)),0)</f>
        <v>0</v>
      </c>
      <c r="AE651" s="3">
        <f t="shared" si="30"/>
        <v>0</v>
      </c>
      <c r="AF651" s="10" t="e">
        <f t="shared" si="31"/>
        <v>#N/A</v>
      </c>
      <c r="AG651" s="3" t="str">
        <f t="shared" si="32"/>
        <v/>
      </c>
    </row>
    <row r="652" spans="1:33" x14ac:dyDescent="0.25">
      <c r="A652" s="7"/>
      <c r="B652" s="8"/>
      <c r="C652" s="3"/>
      <c r="D652" s="3"/>
      <c r="E652" s="3" t="e">
        <f>VLOOKUP(D652,VIAJES!$D:$E,2,FALSE)</f>
        <v>#N/A</v>
      </c>
      <c r="F652" s="9" t="e">
        <f>VLOOKUP(D652,VIAJES!$D:$F,3,FALSE)</f>
        <v>#N/A</v>
      </c>
      <c r="G652" s="9" t="e">
        <f>VLOOKUP(D652,VIAJES!$D:$G,4,FALSE)</f>
        <v>#N/A</v>
      </c>
      <c r="H652" s="3" t="e">
        <f>VLOOKUP(D652,VIAJES!$D:$H,5,FALSE)</f>
        <v>#N/A</v>
      </c>
      <c r="S652" s="3">
        <f>IFERROR(INDEX(EVENTOS!$D:$D,MATCH(SCORE!S$2&amp;" "&amp;SCORE!$D652,EVENTOS!$F:$F,0)),0)</f>
        <v>0</v>
      </c>
      <c r="T652" s="3">
        <f>IFERROR(INDEX(EVENTOS!$D:$D,MATCH(SCORE!T$2&amp;" "&amp;SCORE!$D652,EVENTOS!$F:$F,0)),0)</f>
        <v>0</v>
      </c>
      <c r="U652" s="3">
        <f>IFERROR(INDEX(EVENTOS!$D:$D,MATCH(SCORE!U$2&amp;" "&amp;SCORE!$D652,EVENTOS!$F:$F,0)),0)</f>
        <v>0</v>
      </c>
      <c r="V652" s="3">
        <f>IFERROR(INDEX(EVENTOS!$D:$D,MATCH(SCORE!V$2&amp;" "&amp;SCORE!$D652,EVENTOS!$F:$F,0)),0)</f>
        <v>0</v>
      </c>
      <c r="W652" s="3">
        <f>IFERROR(INDEX(EVENTOS!$D:$D,MATCH(SCORE!W$2&amp;" "&amp;SCORE!$D652,EVENTOS!$F:$F,0)),0)</f>
        <v>0</v>
      </c>
      <c r="X652" s="3">
        <f>IFERROR(INDEX(EVENTOS!$D:$D,MATCH(SCORE!X$2&amp;" "&amp;SCORE!$D652,EVENTOS!$F:$F,0)),0)</f>
        <v>0</v>
      </c>
      <c r="Y652" s="3">
        <f>SUMIFS(EVENTOS!$D:$D, EVENTOS!$B:$B, D652, EVENTOS!$E:$E, "*GirAlto*")</f>
        <v>0</v>
      </c>
      <c r="Z652" s="3">
        <f>SUMIFS(EVENTOS!$D:$D, EVENTOS!$B:$B, D652, EVENTOS!$E:$E, "*GirMed*")</f>
        <v>0</v>
      </c>
      <c r="AA652" s="3">
        <f>SUMIFS(EVENTOS!$D:$D, EVENTOS!$B:$B, D652, EVENTOS!$E:$E, "*GirBajo*")</f>
        <v>0</v>
      </c>
      <c r="AB652" s="3">
        <f>IFERROR(INDEX(EVENTOS!$D:$D,MATCH(SCORE!AB$2&amp;" "&amp;SCORE!$D652,EVENTOS!$F:$F,0)),0)</f>
        <v>0</v>
      </c>
      <c r="AC652" s="3">
        <f>IFERROR(INDEX(EVENTOS!$D:$D,MATCH(SCORE!AC$2&amp;" "&amp;SCORE!$D652,EVENTOS!$F:$F,0)),0)</f>
        <v>0</v>
      </c>
      <c r="AD652" s="3">
        <f>IFERROR(INDEX(EVENTOS!$D:$D,MATCH(SCORE!AD$2&amp;" "&amp;SCORE!$D652,EVENTOS!$F:$F,0)),0)</f>
        <v>0</v>
      </c>
      <c r="AE652" s="3">
        <f t="shared" si="30"/>
        <v>0</v>
      </c>
      <c r="AF652" s="10" t="e">
        <f t="shared" si="31"/>
        <v>#N/A</v>
      </c>
      <c r="AG652" s="3" t="str">
        <f t="shared" si="32"/>
        <v/>
      </c>
    </row>
    <row r="653" spans="1:33" x14ac:dyDescent="0.25">
      <c r="A653" s="7"/>
      <c r="B653" s="8"/>
      <c r="C653" s="3"/>
      <c r="D653" s="3"/>
      <c r="E653" s="3" t="e">
        <f>VLOOKUP(D653,VIAJES!$D:$E,2,FALSE)</f>
        <v>#N/A</v>
      </c>
      <c r="F653" s="9" t="e">
        <f>VLOOKUP(D653,VIAJES!$D:$F,3,FALSE)</f>
        <v>#N/A</v>
      </c>
      <c r="G653" s="9" t="e">
        <f>VLOOKUP(D653,VIAJES!$D:$G,4,FALSE)</f>
        <v>#N/A</v>
      </c>
      <c r="H653" s="3" t="e">
        <f>VLOOKUP(D653,VIAJES!$D:$H,5,FALSE)</f>
        <v>#N/A</v>
      </c>
      <c r="S653" s="3">
        <f>IFERROR(INDEX(EVENTOS!$D:$D,MATCH(SCORE!S$2&amp;" "&amp;SCORE!$D653,EVENTOS!$F:$F,0)),0)</f>
        <v>0</v>
      </c>
      <c r="T653" s="3">
        <f>IFERROR(INDEX(EVENTOS!$D:$D,MATCH(SCORE!T$2&amp;" "&amp;SCORE!$D653,EVENTOS!$F:$F,0)),0)</f>
        <v>0</v>
      </c>
      <c r="U653" s="3">
        <f>IFERROR(INDEX(EVENTOS!$D:$D,MATCH(SCORE!U$2&amp;" "&amp;SCORE!$D653,EVENTOS!$F:$F,0)),0)</f>
        <v>0</v>
      </c>
      <c r="V653" s="3">
        <f>IFERROR(INDEX(EVENTOS!$D:$D,MATCH(SCORE!V$2&amp;" "&amp;SCORE!$D653,EVENTOS!$F:$F,0)),0)</f>
        <v>0</v>
      </c>
      <c r="W653" s="3">
        <f>IFERROR(INDEX(EVENTOS!$D:$D,MATCH(SCORE!W$2&amp;" "&amp;SCORE!$D653,EVENTOS!$F:$F,0)),0)</f>
        <v>0</v>
      </c>
      <c r="X653" s="3">
        <f>IFERROR(INDEX(EVENTOS!$D:$D,MATCH(SCORE!X$2&amp;" "&amp;SCORE!$D653,EVENTOS!$F:$F,0)),0)</f>
        <v>0</v>
      </c>
      <c r="Y653" s="3">
        <f>SUMIFS(EVENTOS!$D:$D, EVENTOS!$B:$B, D653, EVENTOS!$E:$E, "*GirAlto*")</f>
        <v>0</v>
      </c>
      <c r="Z653" s="3">
        <f>SUMIFS(EVENTOS!$D:$D, EVENTOS!$B:$B, D653, EVENTOS!$E:$E, "*GirMed*")</f>
        <v>0</v>
      </c>
      <c r="AA653" s="3">
        <f>SUMIFS(EVENTOS!$D:$D, EVENTOS!$B:$B, D653, EVENTOS!$E:$E, "*GirBajo*")</f>
        <v>0</v>
      </c>
      <c r="AB653" s="3">
        <f>IFERROR(INDEX(EVENTOS!$D:$D,MATCH(SCORE!AB$2&amp;" "&amp;SCORE!$D653,EVENTOS!$F:$F,0)),0)</f>
        <v>0</v>
      </c>
      <c r="AC653" s="3">
        <f>IFERROR(INDEX(EVENTOS!$D:$D,MATCH(SCORE!AC$2&amp;" "&amp;SCORE!$D653,EVENTOS!$F:$F,0)),0)</f>
        <v>0</v>
      </c>
      <c r="AD653" s="3">
        <f>IFERROR(INDEX(EVENTOS!$D:$D,MATCH(SCORE!AD$2&amp;" "&amp;SCORE!$D653,EVENTOS!$F:$F,0)),0)</f>
        <v>0</v>
      </c>
      <c r="AE653" s="3">
        <f t="shared" si="30"/>
        <v>0</v>
      </c>
      <c r="AF653" s="10" t="e">
        <f t="shared" si="31"/>
        <v>#N/A</v>
      </c>
      <c r="AG653" s="3" t="str">
        <f t="shared" si="32"/>
        <v/>
      </c>
    </row>
    <row r="654" spans="1:33" x14ac:dyDescent="0.25">
      <c r="A654" s="7"/>
      <c r="B654" s="8"/>
      <c r="C654" s="3"/>
      <c r="D654" s="3"/>
      <c r="E654" s="3" t="e">
        <f>VLOOKUP(D654,VIAJES!$D:$E,2,FALSE)</f>
        <v>#N/A</v>
      </c>
      <c r="F654" s="9" t="e">
        <f>VLOOKUP(D654,VIAJES!$D:$F,3,FALSE)</f>
        <v>#N/A</v>
      </c>
      <c r="G654" s="9" t="e">
        <f>VLOOKUP(D654,VIAJES!$D:$G,4,FALSE)</f>
        <v>#N/A</v>
      </c>
      <c r="H654" s="3" t="e">
        <f>VLOOKUP(D654,VIAJES!$D:$H,5,FALSE)</f>
        <v>#N/A</v>
      </c>
      <c r="S654" s="3">
        <f>IFERROR(INDEX(EVENTOS!$D:$D,MATCH(SCORE!S$2&amp;" "&amp;SCORE!$D654,EVENTOS!$F:$F,0)),0)</f>
        <v>0</v>
      </c>
      <c r="T654" s="3">
        <f>IFERROR(INDEX(EVENTOS!$D:$D,MATCH(SCORE!T$2&amp;" "&amp;SCORE!$D654,EVENTOS!$F:$F,0)),0)</f>
        <v>0</v>
      </c>
      <c r="U654" s="3">
        <f>IFERROR(INDEX(EVENTOS!$D:$D,MATCH(SCORE!U$2&amp;" "&amp;SCORE!$D654,EVENTOS!$F:$F,0)),0)</f>
        <v>0</v>
      </c>
      <c r="V654" s="3">
        <f>IFERROR(INDEX(EVENTOS!$D:$D,MATCH(SCORE!V$2&amp;" "&amp;SCORE!$D654,EVENTOS!$F:$F,0)),0)</f>
        <v>0</v>
      </c>
      <c r="W654" s="3">
        <f>IFERROR(INDEX(EVENTOS!$D:$D,MATCH(SCORE!W$2&amp;" "&amp;SCORE!$D654,EVENTOS!$F:$F,0)),0)</f>
        <v>0</v>
      </c>
      <c r="X654" s="3">
        <f>IFERROR(INDEX(EVENTOS!$D:$D,MATCH(SCORE!X$2&amp;" "&amp;SCORE!$D654,EVENTOS!$F:$F,0)),0)</f>
        <v>0</v>
      </c>
      <c r="Y654" s="3">
        <f>SUMIFS(EVENTOS!$D:$D, EVENTOS!$B:$B, D654, EVENTOS!$E:$E, "*GirAlto*")</f>
        <v>0</v>
      </c>
      <c r="Z654" s="3">
        <f>SUMIFS(EVENTOS!$D:$D, EVENTOS!$B:$B, D654, EVENTOS!$E:$E, "*GirMed*")</f>
        <v>0</v>
      </c>
      <c r="AA654" s="3">
        <f>SUMIFS(EVENTOS!$D:$D, EVENTOS!$B:$B, D654, EVENTOS!$E:$E, "*GirBajo*")</f>
        <v>0</v>
      </c>
      <c r="AB654" s="3">
        <f>IFERROR(INDEX(EVENTOS!$D:$D,MATCH(SCORE!AB$2&amp;" "&amp;SCORE!$D654,EVENTOS!$F:$F,0)),0)</f>
        <v>0</v>
      </c>
      <c r="AC654" s="3">
        <f>IFERROR(INDEX(EVENTOS!$D:$D,MATCH(SCORE!AC$2&amp;" "&amp;SCORE!$D654,EVENTOS!$F:$F,0)),0)</f>
        <v>0</v>
      </c>
      <c r="AD654" s="3">
        <f>IFERROR(INDEX(EVENTOS!$D:$D,MATCH(SCORE!AD$2&amp;" "&amp;SCORE!$D654,EVENTOS!$F:$F,0)),0)</f>
        <v>0</v>
      </c>
      <c r="AE654" s="3">
        <f t="shared" si="30"/>
        <v>0</v>
      </c>
      <c r="AF654" s="10" t="e">
        <f t="shared" si="31"/>
        <v>#N/A</v>
      </c>
      <c r="AG654" s="3" t="str">
        <f t="shared" si="32"/>
        <v/>
      </c>
    </row>
    <row r="655" spans="1:33" x14ac:dyDescent="0.25">
      <c r="A655" s="7"/>
      <c r="B655" s="8"/>
      <c r="C655" s="3"/>
      <c r="D655" s="3"/>
      <c r="E655" s="3" t="e">
        <f>VLOOKUP(D655,VIAJES!$D:$E,2,FALSE)</f>
        <v>#N/A</v>
      </c>
      <c r="F655" s="9" t="e">
        <f>VLOOKUP(D655,VIAJES!$D:$F,3,FALSE)</f>
        <v>#N/A</v>
      </c>
      <c r="G655" s="9" t="e">
        <f>VLOOKUP(D655,VIAJES!$D:$G,4,FALSE)</f>
        <v>#N/A</v>
      </c>
      <c r="H655" s="3" t="e">
        <f>VLOOKUP(D655,VIAJES!$D:$H,5,FALSE)</f>
        <v>#N/A</v>
      </c>
      <c r="S655" s="3">
        <f>IFERROR(INDEX(EVENTOS!$D:$D,MATCH(SCORE!S$2&amp;" "&amp;SCORE!$D655,EVENTOS!$F:$F,0)),0)</f>
        <v>0</v>
      </c>
      <c r="T655" s="3">
        <f>IFERROR(INDEX(EVENTOS!$D:$D,MATCH(SCORE!T$2&amp;" "&amp;SCORE!$D655,EVENTOS!$F:$F,0)),0)</f>
        <v>0</v>
      </c>
      <c r="U655" s="3">
        <f>IFERROR(INDEX(EVENTOS!$D:$D,MATCH(SCORE!U$2&amp;" "&amp;SCORE!$D655,EVENTOS!$F:$F,0)),0)</f>
        <v>0</v>
      </c>
      <c r="V655" s="3">
        <f>IFERROR(INDEX(EVENTOS!$D:$D,MATCH(SCORE!V$2&amp;" "&amp;SCORE!$D655,EVENTOS!$F:$F,0)),0)</f>
        <v>0</v>
      </c>
      <c r="W655" s="3">
        <f>IFERROR(INDEX(EVENTOS!$D:$D,MATCH(SCORE!W$2&amp;" "&amp;SCORE!$D655,EVENTOS!$F:$F,0)),0)</f>
        <v>0</v>
      </c>
      <c r="X655" s="3">
        <f>IFERROR(INDEX(EVENTOS!$D:$D,MATCH(SCORE!X$2&amp;" "&amp;SCORE!$D655,EVENTOS!$F:$F,0)),0)</f>
        <v>0</v>
      </c>
      <c r="Y655" s="3">
        <f>SUMIFS(EVENTOS!$D:$D, EVENTOS!$B:$B, D655, EVENTOS!$E:$E, "*GirAlto*")</f>
        <v>0</v>
      </c>
      <c r="Z655" s="3">
        <f>SUMIFS(EVENTOS!$D:$D, EVENTOS!$B:$B, D655, EVENTOS!$E:$E, "*GirMed*")</f>
        <v>0</v>
      </c>
      <c r="AA655" s="3">
        <f>SUMIFS(EVENTOS!$D:$D, EVENTOS!$B:$B, D655, EVENTOS!$E:$E, "*GirBajo*")</f>
        <v>0</v>
      </c>
      <c r="AB655" s="3">
        <f>IFERROR(INDEX(EVENTOS!$D:$D,MATCH(SCORE!AB$2&amp;" "&amp;SCORE!$D655,EVENTOS!$F:$F,0)),0)</f>
        <v>0</v>
      </c>
      <c r="AC655" s="3">
        <f>IFERROR(INDEX(EVENTOS!$D:$D,MATCH(SCORE!AC$2&amp;" "&amp;SCORE!$D655,EVENTOS!$F:$F,0)),0)</f>
        <v>0</v>
      </c>
      <c r="AD655" s="3">
        <f>IFERROR(INDEX(EVENTOS!$D:$D,MATCH(SCORE!AD$2&amp;" "&amp;SCORE!$D655,EVENTOS!$F:$F,0)),0)</f>
        <v>0</v>
      </c>
      <c r="AE655" s="3">
        <f t="shared" si="30"/>
        <v>0</v>
      </c>
      <c r="AF655" s="10" t="e">
        <f t="shared" si="31"/>
        <v>#N/A</v>
      </c>
      <c r="AG655" s="3" t="str">
        <f t="shared" si="32"/>
        <v/>
      </c>
    </row>
    <row r="656" spans="1:33" x14ac:dyDescent="0.25">
      <c r="A656" s="7"/>
      <c r="B656" s="8"/>
      <c r="C656" s="3"/>
      <c r="D656" s="3"/>
      <c r="E656" s="3" t="e">
        <f>VLOOKUP(D656,VIAJES!$D:$E,2,FALSE)</f>
        <v>#N/A</v>
      </c>
      <c r="F656" s="9" t="e">
        <f>VLOOKUP(D656,VIAJES!$D:$F,3,FALSE)</f>
        <v>#N/A</v>
      </c>
      <c r="G656" s="9" t="e">
        <f>VLOOKUP(D656,VIAJES!$D:$G,4,FALSE)</f>
        <v>#N/A</v>
      </c>
      <c r="H656" s="3" t="e">
        <f>VLOOKUP(D656,VIAJES!$D:$H,5,FALSE)</f>
        <v>#N/A</v>
      </c>
      <c r="S656" s="3">
        <f>IFERROR(INDEX(EVENTOS!$D:$D,MATCH(SCORE!S$2&amp;" "&amp;SCORE!$D656,EVENTOS!$F:$F,0)),0)</f>
        <v>0</v>
      </c>
      <c r="T656" s="3">
        <f>IFERROR(INDEX(EVENTOS!$D:$D,MATCH(SCORE!T$2&amp;" "&amp;SCORE!$D656,EVENTOS!$F:$F,0)),0)</f>
        <v>0</v>
      </c>
      <c r="U656" s="3">
        <f>IFERROR(INDEX(EVENTOS!$D:$D,MATCH(SCORE!U$2&amp;" "&amp;SCORE!$D656,EVENTOS!$F:$F,0)),0)</f>
        <v>0</v>
      </c>
      <c r="V656" s="3">
        <f>IFERROR(INDEX(EVENTOS!$D:$D,MATCH(SCORE!V$2&amp;" "&amp;SCORE!$D656,EVENTOS!$F:$F,0)),0)</f>
        <v>0</v>
      </c>
      <c r="W656" s="3">
        <f>IFERROR(INDEX(EVENTOS!$D:$D,MATCH(SCORE!W$2&amp;" "&amp;SCORE!$D656,EVENTOS!$F:$F,0)),0)</f>
        <v>0</v>
      </c>
      <c r="X656" s="3">
        <f>IFERROR(INDEX(EVENTOS!$D:$D,MATCH(SCORE!X$2&amp;" "&amp;SCORE!$D656,EVENTOS!$F:$F,0)),0)</f>
        <v>0</v>
      </c>
      <c r="Y656" s="3">
        <f>SUMIFS(EVENTOS!$D:$D, EVENTOS!$B:$B, D656, EVENTOS!$E:$E, "*GirAlto*")</f>
        <v>0</v>
      </c>
      <c r="Z656" s="3">
        <f>SUMIFS(EVENTOS!$D:$D, EVENTOS!$B:$B, D656, EVENTOS!$E:$E, "*GirMed*")</f>
        <v>0</v>
      </c>
      <c r="AA656" s="3">
        <f>SUMIFS(EVENTOS!$D:$D, EVENTOS!$B:$B, D656, EVENTOS!$E:$E, "*GirBajo*")</f>
        <v>0</v>
      </c>
      <c r="AB656" s="3">
        <f>IFERROR(INDEX(EVENTOS!$D:$D,MATCH(SCORE!AB$2&amp;" "&amp;SCORE!$D656,EVENTOS!$F:$F,0)),0)</f>
        <v>0</v>
      </c>
      <c r="AC656" s="3">
        <f>IFERROR(INDEX(EVENTOS!$D:$D,MATCH(SCORE!AC$2&amp;" "&amp;SCORE!$D656,EVENTOS!$F:$F,0)),0)</f>
        <v>0</v>
      </c>
      <c r="AD656" s="3">
        <f>IFERROR(INDEX(EVENTOS!$D:$D,MATCH(SCORE!AD$2&amp;" "&amp;SCORE!$D656,EVENTOS!$F:$F,0)),0)</f>
        <v>0</v>
      </c>
      <c r="AE656" s="3">
        <f t="shared" si="30"/>
        <v>0</v>
      </c>
      <c r="AF656" s="10" t="e">
        <f t="shared" si="31"/>
        <v>#N/A</v>
      </c>
      <c r="AG656" s="3" t="str">
        <f t="shared" si="32"/>
        <v/>
      </c>
    </row>
    <row r="657" spans="1:33" x14ac:dyDescent="0.25">
      <c r="A657" s="7"/>
      <c r="B657" s="8"/>
      <c r="C657" s="3"/>
      <c r="D657" s="3"/>
      <c r="E657" s="3" t="e">
        <f>VLOOKUP(D657,VIAJES!$D:$E,2,FALSE)</f>
        <v>#N/A</v>
      </c>
      <c r="F657" s="9" t="e">
        <f>VLOOKUP(D657,VIAJES!$D:$F,3,FALSE)</f>
        <v>#N/A</v>
      </c>
      <c r="G657" s="9" t="e">
        <f>VLOOKUP(D657,VIAJES!$D:$G,4,FALSE)</f>
        <v>#N/A</v>
      </c>
      <c r="H657" s="3" t="e">
        <f>VLOOKUP(D657,VIAJES!$D:$H,5,FALSE)</f>
        <v>#N/A</v>
      </c>
      <c r="S657" s="3">
        <f>IFERROR(INDEX(EVENTOS!$D:$D,MATCH(SCORE!S$2&amp;" "&amp;SCORE!$D657,EVENTOS!$F:$F,0)),0)</f>
        <v>0</v>
      </c>
      <c r="T657" s="3">
        <f>IFERROR(INDEX(EVENTOS!$D:$D,MATCH(SCORE!T$2&amp;" "&amp;SCORE!$D657,EVENTOS!$F:$F,0)),0)</f>
        <v>0</v>
      </c>
      <c r="U657" s="3">
        <f>IFERROR(INDEX(EVENTOS!$D:$D,MATCH(SCORE!U$2&amp;" "&amp;SCORE!$D657,EVENTOS!$F:$F,0)),0)</f>
        <v>0</v>
      </c>
      <c r="V657" s="3">
        <f>IFERROR(INDEX(EVENTOS!$D:$D,MATCH(SCORE!V$2&amp;" "&amp;SCORE!$D657,EVENTOS!$F:$F,0)),0)</f>
        <v>0</v>
      </c>
      <c r="W657" s="3">
        <f>IFERROR(INDEX(EVENTOS!$D:$D,MATCH(SCORE!W$2&amp;" "&amp;SCORE!$D657,EVENTOS!$F:$F,0)),0)</f>
        <v>0</v>
      </c>
      <c r="X657" s="3">
        <f>IFERROR(INDEX(EVENTOS!$D:$D,MATCH(SCORE!X$2&amp;" "&amp;SCORE!$D657,EVENTOS!$F:$F,0)),0)</f>
        <v>0</v>
      </c>
      <c r="Y657" s="3">
        <f>SUMIFS(EVENTOS!$D:$D, EVENTOS!$B:$B, D657, EVENTOS!$E:$E, "*GirAlto*")</f>
        <v>0</v>
      </c>
      <c r="Z657" s="3">
        <f>SUMIFS(EVENTOS!$D:$D, EVENTOS!$B:$B, D657, EVENTOS!$E:$E, "*GirMed*")</f>
        <v>0</v>
      </c>
      <c r="AA657" s="3">
        <f>SUMIFS(EVENTOS!$D:$D, EVENTOS!$B:$B, D657, EVENTOS!$E:$E, "*GirBajo*")</f>
        <v>0</v>
      </c>
      <c r="AB657" s="3">
        <f>IFERROR(INDEX(EVENTOS!$D:$D,MATCH(SCORE!AB$2&amp;" "&amp;SCORE!$D657,EVENTOS!$F:$F,0)),0)</f>
        <v>0</v>
      </c>
      <c r="AC657" s="3">
        <f>IFERROR(INDEX(EVENTOS!$D:$D,MATCH(SCORE!AC$2&amp;" "&amp;SCORE!$D657,EVENTOS!$F:$F,0)),0)</f>
        <v>0</v>
      </c>
      <c r="AD657" s="3">
        <f>IFERROR(INDEX(EVENTOS!$D:$D,MATCH(SCORE!AD$2&amp;" "&amp;SCORE!$D657,EVENTOS!$F:$F,0)),0)</f>
        <v>0</v>
      </c>
      <c r="AE657" s="3">
        <f t="shared" si="30"/>
        <v>0</v>
      </c>
      <c r="AF657" s="10" t="e">
        <f t="shared" si="31"/>
        <v>#N/A</v>
      </c>
      <c r="AG657" s="3" t="str">
        <f t="shared" si="32"/>
        <v/>
      </c>
    </row>
    <row r="658" spans="1:33" x14ac:dyDescent="0.25">
      <c r="A658" s="7"/>
      <c r="B658" s="8"/>
      <c r="C658" s="3"/>
      <c r="D658" s="3"/>
      <c r="E658" s="3" t="e">
        <f>VLOOKUP(D658,VIAJES!$D:$E,2,FALSE)</f>
        <v>#N/A</v>
      </c>
      <c r="F658" s="9" t="e">
        <f>VLOOKUP(D658,VIAJES!$D:$F,3,FALSE)</f>
        <v>#N/A</v>
      </c>
      <c r="G658" s="9" t="e">
        <f>VLOOKUP(D658,VIAJES!$D:$G,4,FALSE)</f>
        <v>#N/A</v>
      </c>
      <c r="H658" s="3" t="e">
        <f>VLOOKUP(D658,VIAJES!$D:$H,5,FALSE)</f>
        <v>#N/A</v>
      </c>
      <c r="S658" s="3">
        <f>IFERROR(INDEX(EVENTOS!$D:$D,MATCH(SCORE!S$2&amp;" "&amp;SCORE!$D658,EVENTOS!$F:$F,0)),0)</f>
        <v>0</v>
      </c>
      <c r="T658" s="3">
        <f>IFERROR(INDEX(EVENTOS!$D:$D,MATCH(SCORE!T$2&amp;" "&amp;SCORE!$D658,EVENTOS!$F:$F,0)),0)</f>
        <v>0</v>
      </c>
      <c r="U658" s="3">
        <f>IFERROR(INDEX(EVENTOS!$D:$D,MATCH(SCORE!U$2&amp;" "&amp;SCORE!$D658,EVENTOS!$F:$F,0)),0)</f>
        <v>0</v>
      </c>
      <c r="V658" s="3">
        <f>IFERROR(INDEX(EVENTOS!$D:$D,MATCH(SCORE!V$2&amp;" "&amp;SCORE!$D658,EVENTOS!$F:$F,0)),0)</f>
        <v>0</v>
      </c>
      <c r="W658" s="3">
        <f>IFERROR(INDEX(EVENTOS!$D:$D,MATCH(SCORE!W$2&amp;" "&amp;SCORE!$D658,EVENTOS!$F:$F,0)),0)</f>
        <v>0</v>
      </c>
      <c r="X658" s="3">
        <f>IFERROR(INDEX(EVENTOS!$D:$D,MATCH(SCORE!X$2&amp;" "&amp;SCORE!$D658,EVENTOS!$F:$F,0)),0)</f>
        <v>0</v>
      </c>
      <c r="Y658" s="3">
        <f>SUMIFS(EVENTOS!$D:$D, EVENTOS!$B:$B, D658, EVENTOS!$E:$E, "*GirAlto*")</f>
        <v>0</v>
      </c>
      <c r="Z658" s="3">
        <f>SUMIFS(EVENTOS!$D:$D, EVENTOS!$B:$B, D658, EVENTOS!$E:$E, "*GirMed*")</f>
        <v>0</v>
      </c>
      <c r="AA658" s="3">
        <f>SUMIFS(EVENTOS!$D:$D, EVENTOS!$B:$B, D658, EVENTOS!$E:$E, "*GirBajo*")</f>
        <v>0</v>
      </c>
      <c r="AB658" s="3">
        <f>IFERROR(INDEX(EVENTOS!$D:$D,MATCH(SCORE!AB$2&amp;" "&amp;SCORE!$D658,EVENTOS!$F:$F,0)),0)</f>
        <v>0</v>
      </c>
      <c r="AC658" s="3">
        <f>IFERROR(INDEX(EVENTOS!$D:$D,MATCH(SCORE!AC$2&amp;" "&amp;SCORE!$D658,EVENTOS!$F:$F,0)),0)</f>
        <v>0</v>
      </c>
      <c r="AD658" s="3">
        <f>IFERROR(INDEX(EVENTOS!$D:$D,MATCH(SCORE!AD$2&amp;" "&amp;SCORE!$D658,EVENTOS!$F:$F,0)),0)</f>
        <v>0</v>
      </c>
      <c r="AE658" s="3">
        <f t="shared" si="30"/>
        <v>0</v>
      </c>
      <c r="AF658" s="10" t="e">
        <f t="shared" si="31"/>
        <v>#N/A</v>
      </c>
      <c r="AG658" s="3" t="str">
        <f t="shared" si="32"/>
        <v/>
      </c>
    </row>
    <row r="659" spans="1:33" x14ac:dyDescent="0.25">
      <c r="A659" s="7"/>
      <c r="B659" s="8"/>
      <c r="C659" s="3"/>
      <c r="D659" s="3"/>
      <c r="E659" s="3" t="e">
        <f>VLOOKUP(D659,VIAJES!$D:$E,2,FALSE)</f>
        <v>#N/A</v>
      </c>
      <c r="F659" s="9" t="e">
        <f>VLOOKUP(D659,VIAJES!$D:$F,3,FALSE)</f>
        <v>#N/A</v>
      </c>
      <c r="G659" s="9" t="e">
        <f>VLOOKUP(D659,VIAJES!$D:$G,4,FALSE)</f>
        <v>#N/A</v>
      </c>
      <c r="H659" s="3" t="e">
        <f>VLOOKUP(D659,VIAJES!$D:$H,5,FALSE)</f>
        <v>#N/A</v>
      </c>
      <c r="S659" s="3">
        <f>IFERROR(INDEX(EVENTOS!$D:$D,MATCH(SCORE!S$2&amp;" "&amp;SCORE!$D659,EVENTOS!$F:$F,0)),0)</f>
        <v>0</v>
      </c>
      <c r="T659" s="3">
        <f>IFERROR(INDEX(EVENTOS!$D:$D,MATCH(SCORE!T$2&amp;" "&amp;SCORE!$D659,EVENTOS!$F:$F,0)),0)</f>
        <v>0</v>
      </c>
      <c r="U659" s="3">
        <f>IFERROR(INDEX(EVENTOS!$D:$D,MATCH(SCORE!U$2&amp;" "&amp;SCORE!$D659,EVENTOS!$F:$F,0)),0)</f>
        <v>0</v>
      </c>
      <c r="V659" s="3">
        <f>IFERROR(INDEX(EVENTOS!$D:$D,MATCH(SCORE!V$2&amp;" "&amp;SCORE!$D659,EVENTOS!$F:$F,0)),0)</f>
        <v>0</v>
      </c>
      <c r="W659" s="3">
        <f>IFERROR(INDEX(EVENTOS!$D:$D,MATCH(SCORE!W$2&amp;" "&amp;SCORE!$D659,EVENTOS!$F:$F,0)),0)</f>
        <v>0</v>
      </c>
      <c r="X659" s="3">
        <f>IFERROR(INDEX(EVENTOS!$D:$D,MATCH(SCORE!X$2&amp;" "&amp;SCORE!$D659,EVENTOS!$F:$F,0)),0)</f>
        <v>0</v>
      </c>
      <c r="Y659" s="3">
        <f>SUMIFS(EVENTOS!$D:$D, EVENTOS!$B:$B, D659, EVENTOS!$E:$E, "*GirAlto*")</f>
        <v>0</v>
      </c>
      <c r="Z659" s="3">
        <f>SUMIFS(EVENTOS!$D:$D, EVENTOS!$B:$B, D659, EVENTOS!$E:$E, "*GirMed*")</f>
        <v>0</v>
      </c>
      <c r="AA659" s="3">
        <f>SUMIFS(EVENTOS!$D:$D, EVENTOS!$B:$B, D659, EVENTOS!$E:$E, "*GirBajo*")</f>
        <v>0</v>
      </c>
      <c r="AB659" s="3">
        <f>IFERROR(INDEX(EVENTOS!$D:$D,MATCH(SCORE!AB$2&amp;" "&amp;SCORE!$D659,EVENTOS!$F:$F,0)),0)</f>
        <v>0</v>
      </c>
      <c r="AC659" s="3">
        <f>IFERROR(INDEX(EVENTOS!$D:$D,MATCH(SCORE!AC$2&amp;" "&amp;SCORE!$D659,EVENTOS!$F:$F,0)),0)</f>
        <v>0</v>
      </c>
      <c r="AD659" s="3">
        <f>IFERROR(INDEX(EVENTOS!$D:$D,MATCH(SCORE!AD$2&amp;" "&amp;SCORE!$D659,EVENTOS!$F:$F,0)),0)</f>
        <v>0</v>
      </c>
      <c r="AE659" s="3">
        <f t="shared" si="30"/>
        <v>0</v>
      </c>
      <c r="AF659" s="10" t="e">
        <f t="shared" si="31"/>
        <v>#N/A</v>
      </c>
      <c r="AG659" s="3" t="str">
        <f t="shared" si="32"/>
        <v/>
      </c>
    </row>
    <row r="660" spans="1:33" x14ac:dyDescent="0.25">
      <c r="A660" s="7"/>
      <c r="B660" s="8"/>
      <c r="C660" s="3"/>
      <c r="D660" s="3"/>
      <c r="E660" s="3" t="e">
        <f>VLOOKUP(D660,VIAJES!$D:$E,2,FALSE)</f>
        <v>#N/A</v>
      </c>
      <c r="F660" s="9" t="e">
        <f>VLOOKUP(D660,VIAJES!$D:$F,3,FALSE)</f>
        <v>#N/A</v>
      </c>
      <c r="G660" s="9" t="e">
        <f>VLOOKUP(D660,VIAJES!$D:$G,4,FALSE)</f>
        <v>#N/A</v>
      </c>
      <c r="H660" s="3" t="e">
        <f>VLOOKUP(D660,VIAJES!$D:$H,5,FALSE)</f>
        <v>#N/A</v>
      </c>
      <c r="S660" s="3">
        <f>IFERROR(INDEX(EVENTOS!$D:$D,MATCH(SCORE!S$2&amp;" "&amp;SCORE!$D660,EVENTOS!$F:$F,0)),0)</f>
        <v>0</v>
      </c>
      <c r="T660" s="3">
        <f>IFERROR(INDEX(EVENTOS!$D:$D,MATCH(SCORE!T$2&amp;" "&amp;SCORE!$D660,EVENTOS!$F:$F,0)),0)</f>
        <v>0</v>
      </c>
      <c r="U660" s="3">
        <f>IFERROR(INDEX(EVENTOS!$D:$D,MATCH(SCORE!U$2&amp;" "&amp;SCORE!$D660,EVENTOS!$F:$F,0)),0)</f>
        <v>0</v>
      </c>
      <c r="V660" s="3">
        <f>IFERROR(INDEX(EVENTOS!$D:$D,MATCH(SCORE!V$2&amp;" "&amp;SCORE!$D660,EVENTOS!$F:$F,0)),0)</f>
        <v>0</v>
      </c>
      <c r="W660" s="3">
        <f>IFERROR(INDEX(EVENTOS!$D:$D,MATCH(SCORE!W$2&amp;" "&amp;SCORE!$D660,EVENTOS!$F:$F,0)),0)</f>
        <v>0</v>
      </c>
      <c r="X660" s="3">
        <f>IFERROR(INDEX(EVENTOS!$D:$D,MATCH(SCORE!X$2&amp;" "&amp;SCORE!$D660,EVENTOS!$F:$F,0)),0)</f>
        <v>0</v>
      </c>
      <c r="Y660" s="3">
        <f>SUMIFS(EVENTOS!$D:$D, EVENTOS!$B:$B, D660, EVENTOS!$E:$E, "*GirAlto*")</f>
        <v>0</v>
      </c>
      <c r="Z660" s="3">
        <f>SUMIFS(EVENTOS!$D:$D, EVENTOS!$B:$B, D660, EVENTOS!$E:$E, "*GirMed*")</f>
        <v>0</v>
      </c>
      <c r="AA660" s="3">
        <f>SUMIFS(EVENTOS!$D:$D, EVENTOS!$B:$B, D660, EVENTOS!$E:$E, "*GirBajo*")</f>
        <v>0</v>
      </c>
      <c r="AB660" s="3">
        <f>IFERROR(INDEX(EVENTOS!$D:$D,MATCH(SCORE!AB$2&amp;" "&amp;SCORE!$D660,EVENTOS!$F:$F,0)),0)</f>
        <v>0</v>
      </c>
      <c r="AC660" s="3">
        <f>IFERROR(INDEX(EVENTOS!$D:$D,MATCH(SCORE!AC$2&amp;" "&amp;SCORE!$D660,EVENTOS!$F:$F,0)),0)</f>
        <v>0</v>
      </c>
      <c r="AD660" s="3">
        <f>IFERROR(INDEX(EVENTOS!$D:$D,MATCH(SCORE!AD$2&amp;" "&amp;SCORE!$D660,EVENTOS!$F:$F,0)),0)</f>
        <v>0</v>
      </c>
      <c r="AE660" s="3">
        <f t="shared" si="30"/>
        <v>0</v>
      </c>
      <c r="AF660" s="10" t="e">
        <f t="shared" si="31"/>
        <v>#N/A</v>
      </c>
      <c r="AG660" s="3" t="str">
        <f t="shared" si="32"/>
        <v/>
      </c>
    </row>
    <row r="661" spans="1:33" x14ac:dyDescent="0.25">
      <c r="A661" s="7"/>
      <c r="B661" s="8"/>
      <c r="C661" s="3"/>
      <c r="D661" s="3"/>
      <c r="E661" s="3" t="e">
        <f>VLOOKUP(D661,VIAJES!$D:$E,2,FALSE)</f>
        <v>#N/A</v>
      </c>
      <c r="F661" s="9" t="e">
        <f>VLOOKUP(D661,VIAJES!$D:$F,3,FALSE)</f>
        <v>#N/A</v>
      </c>
      <c r="G661" s="9" t="e">
        <f>VLOOKUP(D661,VIAJES!$D:$G,4,FALSE)</f>
        <v>#N/A</v>
      </c>
      <c r="H661" s="3" t="e">
        <f>VLOOKUP(D661,VIAJES!$D:$H,5,FALSE)</f>
        <v>#N/A</v>
      </c>
      <c r="S661" s="3">
        <f>IFERROR(INDEX(EVENTOS!$D:$D,MATCH(SCORE!S$2&amp;" "&amp;SCORE!$D661,EVENTOS!$F:$F,0)),0)</f>
        <v>0</v>
      </c>
      <c r="T661" s="3">
        <f>IFERROR(INDEX(EVENTOS!$D:$D,MATCH(SCORE!T$2&amp;" "&amp;SCORE!$D661,EVENTOS!$F:$F,0)),0)</f>
        <v>0</v>
      </c>
      <c r="U661" s="3">
        <f>IFERROR(INDEX(EVENTOS!$D:$D,MATCH(SCORE!U$2&amp;" "&amp;SCORE!$D661,EVENTOS!$F:$F,0)),0)</f>
        <v>0</v>
      </c>
      <c r="V661" s="3">
        <f>IFERROR(INDEX(EVENTOS!$D:$D,MATCH(SCORE!V$2&amp;" "&amp;SCORE!$D661,EVENTOS!$F:$F,0)),0)</f>
        <v>0</v>
      </c>
      <c r="W661" s="3">
        <f>IFERROR(INDEX(EVENTOS!$D:$D,MATCH(SCORE!W$2&amp;" "&amp;SCORE!$D661,EVENTOS!$F:$F,0)),0)</f>
        <v>0</v>
      </c>
      <c r="X661" s="3">
        <f>IFERROR(INDEX(EVENTOS!$D:$D,MATCH(SCORE!X$2&amp;" "&amp;SCORE!$D661,EVENTOS!$F:$F,0)),0)</f>
        <v>0</v>
      </c>
      <c r="Y661" s="3">
        <f>SUMIFS(EVENTOS!$D:$D, EVENTOS!$B:$B, D661, EVENTOS!$E:$E, "*GirAlto*")</f>
        <v>0</v>
      </c>
      <c r="Z661" s="3">
        <f>SUMIFS(EVENTOS!$D:$D, EVENTOS!$B:$B, D661, EVENTOS!$E:$E, "*GirMed*")</f>
        <v>0</v>
      </c>
      <c r="AA661" s="3">
        <f>SUMIFS(EVENTOS!$D:$D, EVENTOS!$B:$B, D661, EVENTOS!$E:$E, "*GirBajo*")</f>
        <v>0</v>
      </c>
      <c r="AB661" s="3">
        <f>IFERROR(INDEX(EVENTOS!$D:$D,MATCH(SCORE!AB$2&amp;" "&amp;SCORE!$D661,EVENTOS!$F:$F,0)),0)</f>
        <v>0</v>
      </c>
      <c r="AC661" s="3">
        <f>IFERROR(INDEX(EVENTOS!$D:$D,MATCH(SCORE!AC$2&amp;" "&amp;SCORE!$D661,EVENTOS!$F:$F,0)),0)</f>
        <v>0</v>
      </c>
      <c r="AD661" s="3">
        <f>IFERROR(INDEX(EVENTOS!$D:$D,MATCH(SCORE!AD$2&amp;" "&amp;SCORE!$D661,EVENTOS!$F:$F,0)),0)</f>
        <v>0</v>
      </c>
      <c r="AE661" s="3">
        <f t="shared" si="30"/>
        <v>0</v>
      </c>
      <c r="AF661" s="10" t="e">
        <f t="shared" si="31"/>
        <v>#N/A</v>
      </c>
      <c r="AG661" s="3" t="str">
        <f t="shared" si="32"/>
        <v/>
      </c>
    </row>
    <row r="662" spans="1:33" x14ac:dyDescent="0.25">
      <c r="A662" s="7"/>
      <c r="B662" s="8"/>
      <c r="C662" s="3"/>
      <c r="D662" s="3"/>
      <c r="E662" s="3" t="e">
        <f>VLOOKUP(D662,VIAJES!$D:$E,2,FALSE)</f>
        <v>#N/A</v>
      </c>
      <c r="F662" s="9" t="e">
        <f>VLOOKUP(D662,VIAJES!$D:$F,3,FALSE)</f>
        <v>#N/A</v>
      </c>
      <c r="G662" s="9" t="e">
        <f>VLOOKUP(D662,VIAJES!$D:$G,4,FALSE)</f>
        <v>#N/A</v>
      </c>
      <c r="H662" s="3" t="e">
        <f>VLOOKUP(D662,VIAJES!$D:$H,5,FALSE)</f>
        <v>#N/A</v>
      </c>
      <c r="S662" s="3">
        <f>IFERROR(INDEX(EVENTOS!$D:$D,MATCH(SCORE!S$2&amp;" "&amp;SCORE!$D662,EVENTOS!$F:$F,0)),0)</f>
        <v>0</v>
      </c>
      <c r="T662" s="3">
        <f>IFERROR(INDEX(EVENTOS!$D:$D,MATCH(SCORE!T$2&amp;" "&amp;SCORE!$D662,EVENTOS!$F:$F,0)),0)</f>
        <v>0</v>
      </c>
      <c r="U662" s="3">
        <f>IFERROR(INDEX(EVENTOS!$D:$D,MATCH(SCORE!U$2&amp;" "&amp;SCORE!$D662,EVENTOS!$F:$F,0)),0)</f>
        <v>0</v>
      </c>
      <c r="V662" s="3">
        <f>IFERROR(INDEX(EVENTOS!$D:$D,MATCH(SCORE!V$2&amp;" "&amp;SCORE!$D662,EVENTOS!$F:$F,0)),0)</f>
        <v>0</v>
      </c>
      <c r="W662" s="3">
        <f>IFERROR(INDEX(EVENTOS!$D:$D,MATCH(SCORE!W$2&amp;" "&amp;SCORE!$D662,EVENTOS!$F:$F,0)),0)</f>
        <v>0</v>
      </c>
      <c r="X662" s="3">
        <f>IFERROR(INDEX(EVENTOS!$D:$D,MATCH(SCORE!X$2&amp;" "&amp;SCORE!$D662,EVENTOS!$F:$F,0)),0)</f>
        <v>0</v>
      </c>
      <c r="Y662" s="3">
        <f>SUMIFS(EVENTOS!$D:$D, EVENTOS!$B:$B, D662, EVENTOS!$E:$E, "*GirAlto*")</f>
        <v>0</v>
      </c>
      <c r="Z662" s="3">
        <f>SUMIFS(EVENTOS!$D:$D, EVENTOS!$B:$B, D662, EVENTOS!$E:$E, "*GirMed*")</f>
        <v>0</v>
      </c>
      <c r="AA662" s="3">
        <f>SUMIFS(EVENTOS!$D:$D, EVENTOS!$B:$B, D662, EVENTOS!$E:$E, "*GirBajo*")</f>
        <v>0</v>
      </c>
      <c r="AB662" s="3">
        <f>IFERROR(INDEX(EVENTOS!$D:$D,MATCH(SCORE!AB$2&amp;" "&amp;SCORE!$D662,EVENTOS!$F:$F,0)),0)</f>
        <v>0</v>
      </c>
      <c r="AC662" s="3">
        <f>IFERROR(INDEX(EVENTOS!$D:$D,MATCH(SCORE!AC$2&amp;" "&amp;SCORE!$D662,EVENTOS!$F:$F,0)),0)</f>
        <v>0</v>
      </c>
      <c r="AD662" s="3">
        <f>IFERROR(INDEX(EVENTOS!$D:$D,MATCH(SCORE!AD$2&amp;" "&amp;SCORE!$D662,EVENTOS!$F:$F,0)),0)</f>
        <v>0</v>
      </c>
      <c r="AE662" s="3">
        <f t="shared" si="30"/>
        <v>0</v>
      </c>
      <c r="AF662" s="10" t="e">
        <f t="shared" si="31"/>
        <v>#N/A</v>
      </c>
      <c r="AG662" s="3" t="str">
        <f t="shared" si="32"/>
        <v/>
      </c>
    </row>
    <row r="663" spans="1:33" x14ac:dyDescent="0.25">
      <c r="A663" s="7"/>
      <c r="B663" s="8"/>
      <c r="C663" s="3"/>
      <c r="D663" s="3"/>
      <c r="E663" s="3" t="e">
        <f>VLOOKUP(D663,VIAJES!$D:$E,2,FALSE)</f>
        <v>#N/A</v>
      </c>
      <c r="F663" s="9" t="e">
        <f>VLOOKUP(D663,VIAJES!$D:$F,3,FALSE)</f>
        <v>#N/A</v>
      </c>
      <c r="G663" s="9" t="e">
        <f>VLOOKUP(D663,VIAJES!$D:$G,4,FALSE)</f>
        <v>#N/A</v>
      </c>
      <c r="H663" s="3" t="e">
        <f>VLOOKUP(D663,VIAJES!$D:$H,5,FALSE)</f>
        <v>#N/A</v>
      </c>
      <c r="S663" s="3">
        <f>IFERROR(INDEX(EVENTOS!$D:$D,MATCH(SCORE!S$2&amp;" "&amp;SCORE!$D663,EVENTOS!$F:$F,0)),0)</f>
        <v>0</v>
      </c>
      <c r="T663" s="3">
        <f>IFERROR(INDEX(EVENTOS!$D:$D,MATCH(SCORE!T$2&amp;" "&amp;SCORE!$D663,EVENTOS!$F:$F,0)),0)</f>
        <v>0</v>
      </c>
      <c r="U663" s="3">
        <f>IFERROR(INDEX(EVENTOS!$D:$D,MATCH(SCORE!U$2&amp;" "&amp;SCORE!$D663,EVENTOS!$F:$F,0)),0)</f>
        <v>0</v>
      </c>
      <c r="V663" s="3">
        <f>IFERROR(INDEX(EVENTOS!$D:$D,MATCH(SCORE!V$2&amp;" "&amp;SCORE!$D663,EVENTOS!$F:$F,0)),0)</f>
        <v>0</v>
      </c>
      <c r="W663" s="3">
        <f>IFERROR(INDEX(EVENTOS!$D:$D,MATCH(SCORE!W$2&amp;" "&amp;SCORE!$D663,EVENTOS!$F:$F,0)),0)</f>
        <v>0</v>
      </c>
      <c r="X663" s="3">
        <f>IFERROR(INDEX(EVENTOS!$D:$D,MATCH(SCORE!X$2&amp;" "&amp;SCORE!$D663,EVENTOS!$F:$F,0)),0)</f>
        <v>0</v>
      </c>
      <c r="Y663" s="3">
        <f>SUMIFS(EVENTOS!$D:$D, EVENTOS!$B:$B, D663, EVENTOS!$E:$E, "*GirAlto*")</f>
        <v>0</v>
      </c>
      <c r="Z663" s="3">
        <f>SUMIFS(EVENTOS!$D:$D, EVENTOS!$B:$B, D663, EVENTOS!$E:$E, "*GirMed*")</f>
        <v>0</v>
      </c>
      <c r="AA663" s="3">
        <f>SUMIFS(EVENTOS!$D:$D, EVENTOS!$B:$B, D663, EVENTOS!$E:$E, "*GirBajo*")</f>
        <v>0</v>
      </c>
      <c r="AB663" s="3">
        <f>IFERROR(INDEX(EVENTOS!$D:$D,MATCH(SCORE!AB$2&amp;" "&amp;SCORE!$D663,EVENTOS!$F:$F,0)),0)</f>
        <v>0</v>
      </c>
      <c r="AC663" s="3">
        <f>IFERROR(INDEX(EVENTOS!$D:$D,MATCH(SCORE!AC$2&amp;" "&amp;SCORE!$D663,EVENTOS!$F:$F,0)),0)</f>
        <v>0</v>
      </c>
      <c r="AD663" s="3">
        <f>IFERROR(INDEX(EVENTOS!$D:$D,MATCH(SCORE!AD$2&amp;" "&amp;SCORE!$D663,EVENTOS!$F:$F,0)),0)</f>
        <v>0</v>
      </c>
      <c r="AE663" s="3">
        <f t="shared" si="30"/>
        <v>0</v>
      </c>
      <c r="AF663" s="10" t="e">
        <f t="shared" si="31"/>
        <v>#N/A</v>
      </c>
      <c r="AG663" s="3" t="str">
        <f t="shared" si="32"/>
        <v/>
      </c>
    </row>
    <row r="664" spans="1:33" x14ac:dyDescent="0.25">
      <c r="A664" s="7"/>
      <c r="B664" s="8"/>
      <c r="C664" s="3"/>
      <c r="D664" s="3"/>
      <c r="E664" s="3" t="e">
        <f>VLOOKUP(D664,VIAJES!$D:$E,2,FALSE)</f>
        <v>#N/A</v>
      </c>
      <c r="F664" s="9" t="e">
        <f>VLOOKUP(D664,VIAJES!$D:$F,3,FALSE)</f>
        <v>#N/A</v>
      </c>
      <c r="G664" s="9" t="e">
        <f>VLOOKUP(D664,VIAJES!$D:$G,4,FALSE)</f>
        <v>#N/A</v>
      </c>
      <c r="H664" s="3" t="e">
        <f>VLOOKUP(D664,VIAJES!$D:$H,5,FALSE)</f>
        <v>#N/A</v>
      </c>
      <c r="S664" s="3">
        <f>IFERROR(INDEX(EVENTOS!$D:$D,MATCH(SCORE!S$2&amp;" "&amp;SCORE!$D664,EVENTOS!$F:$F,0)),0)</f>
        <v>0</v>
      </c>
      <c r="T664" s="3">
        <f>IFERROR(INDEX(EVENTOS!$D:$D,MATCH(SCORE!T$2&amp;" "&amp;SCORE!$D664,EVENTOS!$F:$F,0)),0)</f>
        <v>0</v>
      </c>
      <c r="U664" s="3">
        <f>IFERROR(INDEX(EVENTOS!$D:$D,MATCH(SCORE!U$2&amp;" "&amp;SCORE!$D664,EVENTOS!$F:$F,0)),0)</f>
        <v>0</v>
      </c>
      <c r="V664" s="3">
        <f>IFERROR(INDEX(EVENTOS!$D:$D,MATCH(SCORE!V$2&amp;" "&amp;SCORE!$D664,EVENTOS!$F:$F,0)),0)</f>
        <v>0</v>
      </c>
      <c r="W664" s="3">
        <f>IFERROR(INDEX(EVENTOS!$D:$D,MATCH(SCORE!W$2&amp;" "&amp;SCORE!$D664,EVENTOS!$F:$F,0)),0)</f>
        <v>0</v>
      </c>
      <c r="X664" s="3">
        <f>IFERROR(INDEX(EVENTOS!$D:$D,MATCH(SCORE!X$2&amp;" "&amp;SCORE!$D664,EVENTOS!$F:$F,0)),0)</f>
        <v>0</v>
      </c>
      <c r="Y664" s="3">
        <f>SUMIFS(EVENTOS!$D:$D, EVENTOS!$B:$B, D664, EVENTOS!$E:$E, "*GirAlto*")</f>
        <v>0</v>
      </c>
      <c r="Z664" s="3">
        <f>SUMIFS(EVENTOS!$D:$D, EVENTOS!$B:$B, D664, EVENTOS!$E:$E, "*GirMed*")</f>
        <v>0</v>
      </c>
      <c r="AA664" s="3">
        <f>SUMIFS(EVENTOS!$D:$D, EVENTOS!$B:$B, D664, EVENTOS!$E:$E, "*GirBajo*")</f>
        <v>0</v>
      </c>
      <c r="AB664" s="3">
        <f>IFERROR(INDEX(EVENTOS!$D:$D,MATCH(SCORE!AB$2&amp;" "&amp;SCORE!$D664,EVENTOS!$F:$F,0)),0)</f>
        <v>0</v>
      </c>
      <c r="AC664" s="3">
        <f>IFERROR(INDEX(EVENTOS!$D:$D,MATCH(SCORE!AC$2&amp;" "&amp;SCORE!$D664,EVENTOS!$F:$F,0)),0)</f>
        <v>0</v>
      </c>
      <c r="AD664" s="3">
        <f>IFERROR(INDEX(EVENTOS!$D:$D,MATCH(SCORE!AD$2&amp;" "&amp;SCORE!$D664,EVENTOS!$F:$F,0)),0)</f>
        <v>0</v>
      </c>
      <c r="AE664" s="3">
        <f t="shared" si="30"/>
        <v>0</v>
      </c>
      <c r="AF664" s="10" t="e">
        <f t="shared" si="31"/>
        <v>#N/A</v>
      </c>
      <c r="AG664" s="3" t="str">
        <f t="shared" si="32"/>
        <v/>
      </c>
    </row>
    <row r="665" spans="1:33" x14ac:dyDescent="0.25">
      <c r="A665" s="7"/>
      <c r="B665" s="8"/>
      <c r="C665" s="3"/>
      <c r="D665" s="3"/>
      <c r="E665" s="3" t="e">
        <f>VLOOKUP(D665,VIAJES!$D:$E,2,FALSE)</f>
        <v>#N/A</v>
      </c>
      <c r="F665" s="9" t="e">
        <f>VLOOKUP(D665,VIAJES!$D:$F,3,FALSE)</f>
        <v>#N/A</v>
      </c>
      <c r="G665" s="9" t="e">
        <f>VLOOKUP(D665,VIAJES!$D:$G,4,FALSE)</f>
        <v>#N/A</v>
      </c>
      <c r="H665" s="3" t="e">
        <f>VLOOKUP(D665,VIAJES!$D:$H,5,FALSE)</f>
        <v>#N/A</v>
      </c>
      <c r="S665" s="3">
        <f>IFERROR(INDEX(EVENTOS!$D:$D,MATCH(SCORE!S$2&amp;" "&amp;SCORE!$D665,EVENTOS!$F:$F,0)),0)</f>
        <v>0</v>
      </c>
      <c r="T665" s="3">
        <f>IFERROR(INDEX(EVENTOS!$D:$D,MATCH(SCORE!T$2&amp;" "&amp;SCORE!$D665,EVENTOS!$F:$F,0)),0)</f>
        <v>0</v>
      </c>
      <c r="U665" s="3">
        <f>IFERROR(INDEX(EVENTOS!$D:$D,MATCH(SCORE!U$2&amp;" "&amp;SCORE!$D665,EVENTOS!$F:$F,0)),0)</f>
        <v>0</v>
      </c>
      <c r="V665" s="3">
        <f>IFERROR(INDEX(EVENTOS!$D:$D,MATCH(SCORE!V$2&amp;" "&amp;SCORE!$D665,EVENTOS!$F:$F,0)),0)</f>
        <v>0</v>
      </c>
      <c r="W665" s="3">
        <f>IFERROR(INDEX(EVENTOS!$D:$D,MATCH(SCORE!W$2&amp;" "&amp;SCORE!$D665,EVENTOS!$F:$F,0)),0)</f>
        <v>0</v>
      </c>
      <c r="X665" s="3">
        <f>IFERROR(INDEX(EVENTOS!$D:$D,MATCH(SCORE!X$2&amp;" "&amp;SCORE!$D665,EVENTOS!$F:$F,0)),0)</f>
        <v>0</v>
      </c>
      <c r="Y665" s="3">
        <f>SUMIFS(EVENTOS!$D:$D, EVENTOS!$B:$B, D665, EVENTOS!$E:$E, "*GirAlto*")</f>
        <v>0</v>
      </c>
      <c r="Z665" s="3">
        <f>SUMIFS(EVENTOS!$D:$D, EVENTOS!$B:$B, D665, EVENTOS!$E:$E, "*GirMed*")</f>
        <v>0</v>
      </c>
      <c r="AA665" s="3">
        <f>SUMIFS(EVENTOS!$D:$D, EVENTOS!$B:$B, D665, EVENTOS!$E:$E, "*GirBajo*")</f>
        <v>0</v>
      </c>
      <c r="AB665" s="3">
        <f>IFERROR(INDEX(EVENTOS!$D:$D,MATCH(SCORE!AB$2&amp;" "&amp;SCORE!$D665,EVENTOS!$F:$F,0)),0)</f>
        <v>0</v>
      </c>
      <c r="AC665" s="3">
        <f>IFERROR(INDEX(EVENTOS!$D:$D,MATCH(SCORE!AC$2&amp;" "&amp;SCORE!$D665,EVENTOS!$F:$F,0)),0)</f>
        <v>0</v>
      </c>
      <c r="AD665" s="3">
        <f>IFERROR(INDEX(EVENTOS!$D:$D,MATCH(SCORE!AD$2&amp;" "&amp;SCORE!$D665,EVENTOS!$F:$F,0)),0)</f>
        <v>0</v>
      </c>
      <c r="AE665" s="3">
        <f t="shared" si="30"/>
        <v>0</v>
      </c>
      <c r="AF665" s="10" t="e">
        <f t="shared" si="31"/>
        <v>#N/A</v>
      </c>
      <c r="AG665" s="3" t="str">
        <f t="shared" si="32"/>
        <v/>
      </c>
    </row>
    <row r="666" spans="1:33" x14ac:dyDescent="0.25">
      <c r="A666" s="7"/>
      <c r="B666" s="8"/>
      <c r="C666" s="3"/>
      <c r="D666" s="3"/>
      <c r="E666" s="3" t="e">
        <f>VLOOKUP(D666,VIAJES!$D:$E,2,FALSE)</f>
        <v>#N/A</v>
      </c>
      <c r="F666" s="9" t="e">
        <f>VLOOKUP(D666,VIAJES!$D:$F,3,FALSE)</f>
        <v>#N/A</v>
      </c>
      <c r="G666" s="9" t="e">
        <f>VLOOKUP(D666,VIAJES!$D:$G,4,FALSE)</f>
        <v>#N/A</v>
      </c>
      <c r="H666" s="3" t="e">
        <f>VLOOKUP(D666,VIAJES!$D:$H,5,FALSE)</f>
        <v>#N/A</v>
      </c>
      <c r="S666" s="3">
        <f>IFERROR(INDEX(EVENTOS!$D:$D,MATCH(SCORE!S$2&amp;" "&amp;SCORE!$D666,EVENTOS!$F:$F,0)),0)</f>
        <v>0</v>
      </c>
      <c r="T666" s="3">
        <f>IFERROR(INDEX(EVENTOS!$D:$D,MATCH(SCORE!T$2&amp;" "&amp;SCORE!$D666,EVENTOS!$F:$F,0)),0)</f>
        <v>0</v>
      </c>
      <c r="U666" s="3">
        <f>IFERROR(INDEX(EVENTOS!$D:$D,MATCH(SCORE!U$2&amp;" "&amp;SCORE!$D666,EVENTOS!$F:$F,0)),0)</f>
        <v>0</v>
      </c>
      <c r="V666" s="3">
        <f>IFERROR(INDEX(EVENTOS!$D:$D,MATCH(SCORE!V$2&amp;" "&amp;SCORE!$D666,EVENTOS!$F:$F,0)),0)</f>
        <v>0</v>
      </c>
      <c r="W666" s="3">
        <f>IFERROR(INDEX(EVENTOS!$D:$D,MATCH(SCORE!W$2&amp;" "&amp;SCORE!$D666,EVENTOS!$F:$F,0)),0)</f>
        <v>0</v>
      </c>
      <c r="X666" s="3">
        <f>IFERROR(INDEX(EVENTOS!$D:$D,MATCH(SCORE!X$2&amp;" "&amp;SCORE!$D666,EVENTOS!$F:$F,0)),0)</f>
        <v>0</v>
      </c>
      <c r="Y666" s="3">
        <f>SUMIFS(EVENTOS!$D:$D, EVENTOS!$B:$B, D666, EVENTOS!$E:$E, "*GirAlto*")</f>
        <v>0</v>
      </c>
      <c r="Z666" s="3">
        <f>SUMIFS(EVENTOS!$D:$D, EVENTOS!$B:$B, D666, EVENTOS!$E:$E, "*GirMed*")</f>
        <v>0</v>
      </c>
      <c r="AA666" s="3">
        <f>SUMIFS(EVENTOS!$D:$D, EVENTOS!$B:$B, D666, EVENTOS!$E:$E, "*GirBajo*")</f>
        <v>0</v>
      </c>
      <c r="AB666" s="3">
        <f>IFERROR(INDEX(EVENTOS!$D:$D,MATCH(SCORE!AB$2&amp;" "&amp;SCORE!$D666,EVENTOS!$F:$F,0)),0)</f>
        <v>0</v>
      </c>
      <c r="AC666" s="3">
        <f>IFERROR(INDEX(EVENTOS!$D:$D,MATCH(SCORE!AC$2&amp;" "&amp;SCORE!$D666,EVENTOS!$F:$F,0)),0)</f>
        <v>0</v>
      </c>
      <c r="AD666" s="3">
        <f>IFERROR(INDEX(EVENTOS!$D:$D,MATCH(SCORE!AD$2&amp;" "&amp;SCORE!$D666,EVENTOS!$F:$F,0)),0)</f>
        <v>0</v>
      </c>
      <c r="AE666" s="3">
        <f t="shared" si="30"/>
        <v>0</v>
      </c>
      <c r="AF666" s="10" t="e">
        <f t="shared" si="31"/>
        <v>#N/A</v>
      </c>
      <c r="AG666" s="3" t="str">
        <f t="shared" si="32"/>
        <v/>
      </c>
    </row>
    <row r="667" spans="1:33" x14ac:dyDescent="0.25">
      <c r="A667" s="7"/>
      <c r="B667" s="8"/>
      <c r="C667" s="3"/>
      <c r="D667" s="3"/>
      <c r="E667" s="3" t="e">
        <f>VLOOKUP(D667,VIAJES!$D:$E,2,FALSE)</f>
        <v>#N/A</v>
      </c>
      <c r="F667" s="9" t="e">
        <f>VLOOKUP(D667,VIAJES!$D:$F,3,FALSE)</f>
        <v>#N/A</v>
      </c>
      <c r="G667" s="9" t="e">
        <f>VLOOKUP(D667,VIAJES!$D:$G,4,FALSE)</f>
        <v>#N/A</v>
      </c>
      <c r="H667" s="3" t="e">
        <f>VLOOKUP(D667,VIAJES!$D:$H,5,FALSE)</f>
        <v>#N/A</v>
      </c>
      <c r="S667" s="3">
        <f>IFERROR(INDEX(EVENTOS!$D:$D,MATCH(SCORE!S$2&amp;" "&amp;SCORE!$D667,EVENTOS!$F:$F,0)),0)</f>
        <v>0</v>
      </c>
      <c r="T667" s="3">
        <f>IFERROR(INDEX(EVENTOS!$D:$D,MATCH(SCORE!T$2&amp;" "&amp;SCORE!$D667,EVENTOS!$F:$F,0)),0)</f>
        <v>0</v>
      </c>
      <c r="U667" s="3">
        <f>IFERROR(INDEX(EVENTOS!$D:$D,MATCH(SCORE!U$2&amp;" "&amp;SCORE!$D667,EVENTOS!$F:$F,0)),0)</f>
        <v>0</v>
      </c>
      <c r="V667" s="3">
        <f>IFERROR(INDEX(EVENTOS!$D:$D,MATCH(SCORE!V$2&amp;" "&amp;SCORE!$D667,EVENTOS!$F:$F,0)),0)</f>
        <v>0</v>
      </c>
      <c r="W667" s="3">
        <f>IFERROR(INDEX(EVENTOS!$D:$D,MATCH(SCORE!W$2&amp;" "&amp;SCORE!$D667,EVENTOS!$F:$F,0)),0)</f>
        <v>0</v>
      </c>
      <c r="X667" s="3">
        <f>IFERROR(INDEX(EVENTOS!$D:$D,MATCH(SCORE!X$2&amp;" "&amp;SCORE!$D667,EVENTOS!$F:$F,0)),0)</f>
        <v>0</v>
      </c>
      <c r="Y667" s="3">
        <f>SUMIFS(EVENTOS!$D:$D, EVENTOS!$B:$B, D667, EVENTOS!$E:$E, "*GirAlto*")</f>
        <v>0</v>
      </c>
      <c r="Z667" s="3">
        <f>SUMIFS(EVENTOS!$D:$D, EVENTOS!$B:$B, D667, EVENTOS!$E:$E, "*GirMed*")</f>
        <v>0</v>
      </c>
      <c r="AA667" s="3">
        <f>SUMIFS(EVENTOS!$D:$D, EVENTOS!$B:$B, D667, EVENTOS!$E:$E, "*GirBajo*")</f>
        <v>0</v>
      </c>
      <c r="AB667" s="3">
        <f>IFERROR(INDEX(EVENTOS!$D:$D,MATCH(SCORE!AB$2&amp;" "&amp;SCORE!$D667,EVENTOS!$F:$F,0)),0)</f>
        <v>0</v>
      </c>
      <c r="AC667" s="3">
        <f>IFERROR(INDEX(EVENTOS!$D:$D,MATCH(SCORE!AC$2&amp;" "&amp;SCORE!$D667,EVENTOS!$F:$F,0)),0)</f>
        <v>0</v>
      </c>
      <c r="AD667" s="3">
        <f>IFERROR(INDEX(EVENTOS!$D:$D,MATCH(SCORE!AD$2&amp;" "&amp;SCORE!$D667,EVENTOS!$F:$F,0)),0)</f>
        <v>0</v>
      </c>
      <c r="AE667" s="3">
        <f t="shared" si="30"/>
        <v>0</v>
      </c>
      <c r="AF667" s="10" t="e">
        <f t="shared" si="31"/>
        <v>#N/A</v>
      </c>
      <c r="AG667" s="3" t="str">
        <f t="shared" si="32"/>
        <v/>
      </c>
    </row>
    <row r="668" spans="1:33" x14ac:dyDescent="0.25">
      <c r="A668" s="7"/>
      <c r="B668" s="8"/>
      <c r="C668" s="3"/>
      <c r="D668" s="3"/>
      <c r="E668" s="3" t="e">
        <f>VLOOKUP(D668,VIAJES!$D:$E,2,FALSE)</f>
        <v>#N/A</v>
      </c>
      <c r="F668" s="9" t="e">
        <f>VLOOKUP(D668,VIAJES!$D:$F,3,FALSE)</f>
        <v>#N/A</v>
      </c>
      <c r="G668" s="9" t="e">
        <f>VLOOKUP(D668,VIAJES!$D:$G,4,FALSE)</f>
        <v>#N/A</v>
      </c>
      <c r="H668" s="3" t="e">
        <f>VLOOKUP(D668,VIAJES!$D:$H,5,FALSE)</f>
        <v>#N/A</v>
      </c>
      <c r="S668" s="3">
        <f>IFERROR(INDEX(EVENTOS!$D:$D,MATCH(SCORE!S$2&amp;" "&amp;SCORE!$D668,EVENTOS!$F:$F,0)),0)</f>
        <v>0</v>
      </c>
      <c r="T668" s="3">
        <f>IFERROR(INDEX(EVENTOS!$D:$D,MATCH(SCORE!T$2&amp;" "&amp;SCORE!$D668,EVENTOS!$F:$F,0)),0)</f>
        <v>0</v>
      </c>
      <c r="U668" s="3">
        <f>IFERROR(INDEX(EVENTOS!$D:$D,MATCH(SCORE!U$2&amp;" "&amp;SCORE!$D668,EVENTOS!$F:$F,0)),0)</f>
        <v>0</v>
      </c>
      <c r="V668" s="3">
        <f>IFERROR(INDEX(EVENTOS!$D:$D,MATCH(SCORE!V$2&amp;" "&amp;SCORE!$D668,EVENTOS!$F:$F,0)),0)</f>
        <v>0</v>
      </c>
      <c r="W668" s="3">
        <f>IFERROR(INDEX(EVENTOS!$D:$D,MATCH(SCORE!W$2&amp;" "&amp;SCORE!$D668,EVENTOS!$F:$F,0)),0)</f>
        <v>0</v>
      </c>
      <c r="X668" s="3">
        <f>IFERROR(INDEX(EVENTOS!$D:$D,MATCH(SCORE!X$2&amp;" "&amp;SCORE!$D668,EVENTOS!$F:$F,0)),0)</f>
        <v>0</v>
      </c>
      <c r="Y668" s="3">
        <f>SUMIFS(EVENTOS!$D:$D, EVENTOS!$B:$B, D668, EVENTOS!$E:$E, "*GirAlto*")</f>
        <v>0</v>
      </c>
      <c r="Z668" s="3">
        <f>SUMIFS(EVENTOS!$D:$D, EVENTOS!$B:$B, D668, EVENTOS!$E:$E, "*GirMed*")</f>
        <v>0</v>
      </c>
      <c r="AA668" s="3">
        <f>SUMIFS(EVENTOS!$D:$D, EVENTOS!$B:$B, D668, EVENTOS!$E:$E, "*GirBajo*")</f>
        <v>0</v>
      </c>
      <c r="AB668" s="3">
        <f>IFERROR(INDEX(EVENTOS!$D:$D,MATCH(SCORE!AB$2&amp;" "&amp;SCORE!$D668,EVENTOS!$F:$F,0)),0)</f>
        <v>0</v>
      </c>
      <c r="AC668" s="3">
        <f>IFERROR(INDEX(EVENTOS!$D:$D,MATCH(SCORE!AC$2&amp;" "&amp;SCORE!$D668,EVENTOS!$F:$F,0)),0)</f>
        <v>0</v>
      </c>
      <c r="AD668" s="3">
        <f>IFERROR(INDEX(EVENTOS!$D:$D,MATCH(SCORE!AD$2&amp;" "&amp;SCORE!$D668,EVENTOS!$F:$F,0)),0)</f>
        <v>0</v>
      </c>
      <c r="AE668" s="3">
        <f t="shared" si="30"/>
        <v>0</v>
      </c>
      <c r="AF668" s="10" t="e">
        <f t="shared" si="31"/>
        <v>#N/A</v>
      </c>
      <c r="AG668" s="3" t="str">
        <f t="shared" si="32"/>
        <v/>
      </c>
    </row>
    <row r="669" spans="1:33" x14ac:dyDescent="0.25">
      <c r="A669" s="7"/>
      <c r="B669" s="8"/>
      <c r="C669" s="3"/>
      <c r="D669" s="3"/>
      <c r="E669" s="3" t="e">
        <f>VLOOKUP(D669,VIAJES!$D:$E,2,FALSE)</f>
        <v>#N/A</v>
      </c>
      <c r="F669" s="9" t="e">
        <f>VLOOKUP(D669,VIAJES!$D:$F,3,FALSE)</f>
        <v>#N/A</v>
      </c>
      <c r="G669" s="9" t="e">
        <f>VLOOKUP(D669,VIAJES!$D:$G,4,FALSE)</f>
        <v>#N/A</v>
      </c>
      <c r="H669" s="3" t="e">
        <f>VLOOKUP(D669,VIAJES!$D:$H,5,FALSE)</f>
        <v>#N/A</v>
      </c>
      <c r="S669" s="3">
        <f>IFERROR(INDEX(EVENTOS!$D:$D,MATCH(SCORE!S$2&amp;" "&amp;SCORE!$D669,EVENTOS!$F:$F,0)),0)</f>
        <v>0</v>
      </c>
      <c r="T669" s="3">
        <f>IFERROR(INDEX(EVENTOS!$D:$D,MATCH(SCORE!T$2&amp;" "&amp;SCORE!$D669,EVENTOS!$F:$F,0)),0)</f>
        <v>0</v>
      </c>
      <c r="U669" s="3">
        <f>IFERROR(INDEX(EVENTOS!$D:$D,MATCH(SCORE!U$2&amp;" "&amp;SCORE!$D669,EVENTOS!$F:$F,0)),0)</f>
        <v>0</v>
      </c>
      <c r="V669" s="3">
        <f>IFERROR(INDEX(EVENTOS!$D:$D,MATCH(SCORE!V$2&amp;" "&amp;SCORE!$D669,EVENTOS!$F:$F,0)),0)</f>
        <v>0</v>
      </c>
      <c r="W669" s="3">
        <f>IFERROR(INDEX(EVENTOS!$D:$D,MATCH(SCORE!W$2&amp;" "&amp;SCORE!$D669,EVENTOS!$F:$F,0)),0)</f>
        <v>0</v>
      </c>
      <c r="X669" s="3">
        <f>IFERROR(INDEX(EVENTOS!$D:$D,MATCH(SCORE!X$2&amp;" "&amp;SCORE!$D669,EVENTOS!$F:$F,0)),0)</f>
        <v>0</v>
      </c>
      <c r="Y669" s="3">
        <f>SUMIFS(EVENTOS!$D:$D, EVENTOS!$B:$B, D669, EVENTOS!$E:$E, "*GirAlto*")</f>
        <v>0</v>
      </c>
      <c r="Z669" s="3">
        <f>SUMIFS(EVENTOS!$D:$D, EVENTOS!$B:$B, D669, EVENTOS!$E:$E, "*GirMed*")</f>
        <v>0</v>
      </c>
      <c r="AA669" s="3">
        <f>SUMIFS(EVENTOS!$D:$D, EVENTOS!$B:$B, D669, EVENTOS!$E:$E, "*GirBajo*")</f>
        <v>0</v>
      </c>
      <c r="AB669" s="3">
        <f>IFERROR(INDEX(EVENTOS!$D:$D,MATCH(SCORE!AB$2&amp;" "&amp;SCORE!$D669,EVENTOS!$F:$F,0)),0)</f>
        <v>0</v>
      </c>
      <c r="AC669" s="3">
        <f>IFERROR(INDEX(EVENTOS!$D:$D,MATCH(SCORE!AC$2&amp;" "&amp;SCORE!$D669,EVENTOS!$F:$F,0)),0)</f>
        <v>0</v>
      </c>
      <c r="AD669" s="3">
        <f>IFERROR(INDEX(EVENTOS!$D:$D,MATCH(SCORE!AD$2&amp;" "&amp;SCORE!$D669,EVENTOS!$F:$F,0)),0)</f>
        <v>0</v>
      </c>
      <c r="AE669" s="3">
        <f t="shared" si="30"/>
        <v>0</v>
      </c>
      <c r="AF669" s="10" t="e">
        <f t="shared" si="31"/>
        <v>#N/A</v>
      </c>
      <c r="AG669" s="3" t="str">
        <f t="shared" si="32"/>
        <v/>
      </c>
    </row>
    <row r="670" spans="1:33" x14ac:dyDescent="0.25">
      <c r="A670" s="7"/>
      <c r="B670" s="8"/>
      <c r="C670" s="3"/>
      <c r="D670" s="3"/>
      <c r="E670" s="3" t="e">
        <f>VLOOKUP(D670,VIAJES!$D:$E,2,FALSE)</f>
        <v>#N/A</v>
      </c>
      <c r="F670" s="9" t="e">
        <f>VLOOKUP(D670,VIAJES!$D:$F,3,FALSE)</f>
        <v>#N/A</v>
      </c>
      <c r="G670" s="9" t="e">
        <f>VLOOKUP(D670,VIAJES!$D:$G,4,FALSE)</f>
        <v>#N/A</v>
      </c>
      <c r="H670" s="3" t="e">
        <f>VLOOKUP(D670,VIAJES!$D:$H,5,FALSE)</f>
        <v>#N/A</v>
      </c>
      <c r="S670" s="3">
        <f>IFERROR(INDEX(EVENTOS!$D:$D,MATCH(SCORE!S$2&amp;" "&amp;SCORE!$D670,EVENTOS!$F:$F,0)),0)</f>
        <v>0</v>
      </c>
      <c r="T670" s="3">
        <f>IFERROR(INDEX(EVENTOS!$D:$D,MATCH(SCORE!T$2&amp;" "&amp;SCORE!$D670,EVENTOS!$F:$F,0)),0)</f>
        <v>0</v>
      </c>
      <c r="U670" s="3">
        <f>IFERROR(INDEX(EVENTOS!$D:$D,MATCH(SCORE!U$2&amp;" "&amp;SCORE!$D670,EVENTOS!$F:$F,0)),0)</f>
        <v>0</v>
      </c>
      <c r="V670" s="3">
        <f>IFERROR(INDEX(EVENTOS!$D:$D,MATCH(SCORE!V$2&amp;" "&amp;SCORE!$D670,EVENTOS!$F:$F,0)),0)</f>
        <v>0</v>
      </c>
      <c r="W670" s="3">
        <f>IFERROR(INDEX(EVENTOS!$D:$D,MATCH(SCORE!W$2&amp;" "&amp;SCORE!$D670,EVENTOS!$F:$F,0)),0)</f>
        <v>0</v>
      </c>
      <c r="X670" s="3">
        <f>IFERROR(INDEX(EVENTOS!$D:$D,MATCH(SCORE!X$2&amp;" "&amp;SCORE!$D670,EVENTOS!$F:$F,0)),0)</f>
        <v>0</v>
      </c>
      <c r="Y670" s="3">
        <f>SUMIFS(EVENTOS!$D:$D, EVENTOS!$B:$B, D670, EVENTOS!$E:$E, "*GirAlto*")</f>
        <v>0</v>
      </c>
      <c r="Z670" s="3">
        <f>SUMIFS(EVENTOS!$D:$D, EVENTOS!$B:$B, D670, EVENTOS!$E:$E, "*GirMed*")</f>
        <v>0</v>
      </c>
      <c r="AA670" s="3">
        <f>SUMIFS(EVENTOS!$D:$D, EVENTOS!$B:$B, D670, EVENTOS!$E:$E, "*GirBajo*")</f>
        <v>0</v>
      </c>
      <c r="AB670" s="3">
        <f>IFERROR(INDEX(EVENTOS!$D:$D,MATCH(SCORE!AB$2&amp;" "&amp;SCORE!$D670,EVENTOS!$F:$F,0)),0)</f>
        <v>0</v>
      </c>
      <c r="AC670" s="3">
        <f>IFERROR(INDEX(EVENTOS!$D:$D,MATCH(SCORE!AC$2&amp;" "&amp;SCORE!$D670,EVENTOS!$F:$F,0)),0)</f>
        <v>0</v>
      </c>
      <c r="AD670" s="3">
        <f>IFERROR(INDEX(EVENTOS!$D:$D,MATCH(SCORE!AD$2&amp;" "&amp;SCORE!$D670,EVENTOS!$F:$F,0)),0)</f>
        <v>0</v>
      </c>
      <c r="AE670" s="3">
        <f t="shared" si="30"/>
        <v>0</v>
      </c>
      <c r="AF670" s="10" t="e">
        <f t="shared" si="31"/>
        <v>#N/A</v>
      </c>
      <c r="AG670" s="3" t="str">
        <f t="shared" si="32"/>
        <v/>
      </c>
    </row>
    <row r="671" spans="1:33" x14ac:dyDescent="0.25">
      <c r="A671" s="7"/>
      <c r="B671" s="8"/>
      <c r="C671" s="3"/>
      <c r="D671" s="3"/>
      <c r="E671" s="3" t="e">
        <f>VLOOKUP(D671,VIAJES!$D:$E,2,FALSE)</f>
        <v>#N/A</v>
      </c>
      <c r="F671" s="9" t="e">
        <f>VLOOKUP(D671,VIAJES!$D:$F,3,FALSE)</f>
        <v>#N/A</v>
      </c>
      <c r="G671" s="9" t="e">
        <f>VLOOKUP(D671,VIAJES!$D:$G,4,FALSE)</f>
        <v>#N/A</v>
      </c>
      <c r="H671" s="3" t="e">
        <f>VLOOKUP(D671,VIAJES!$D:$H,5,FALSE)</f>
        <v>#N/A</v>
      </c>
      <c r="S671" s="3">
        <f>IFERROR(INDEX(EVENTOS!$D:$D,MATCH(SCORE!S$2&amp;" "&amp;SCORE!$D671,EVENTOS!$F:$F,0)),0)</f>
        <v>0</v>
      </c>
      <c r="T671" s="3">
        <f>IFERROR(INDEX(EVENTOS!$D:$D,MATCH(SCORE!T$2&amp;" "&amp;SCORE!$D671,EVENTOS!$F:$F,0)),0)</f>
        <v>0</v>
      </c>
      <c r="U671" s="3">
        <f>IFERROR(INDEX(EVENTOS!$D:$D,MATCH(SCORE!U$2&amp;" "&amp;SCORE!$D671,EVENTOS!$F:$F,0)),0)</f>
        <v>0</v>
      </c>
      <c r="V671" s="3">
        <f>IFERROR(INDEX(EVENTOS!$D:$D,MATCH(SCORE!V$2&amp;" "&amp;SCORE!$D671,EVENTOS!$F:$F,0)),0)</f>
        <v>0</v>
      </c>
      <c r="W671" s="3">
        <f>IFERROR(INDEX(EVENTOS!$D:$D,MATCH(SCORE!W$2&amp;" "&amp;SCORE!$D671,EVENTOS!$F:$F,0)),0)</f>
        <v>0</v>
      </c>
      <c r="X671" s="3">
        <f>IFERROR(INDEX(EVENTOS!$D:$D,MATCH(SCORE!X$2&amp;" "&amp;SCORE!$D671,EVENTOS!$F:$F,0)),0)</f>
        <v>0</v>
      </c>
      <c r="Y671" s="3">
        <f>SUMIFS(EVENTOS!$D:$D, EVENTOS!$B:$B, D671, EVENTOS!$E:$E, "*GirAlto*")</f>
        <v>0</v>
      </c>
      <c r="Z671" s="3">
        <f>SUMIFS(EVENTOS!$D:$D, EVENTOS!$B:$B, D671, EVENTOS!$E:$E, "*GirMed*")</f>
        <v>0</v>
      </c>
      <c r="AA671" s="3">
        <f>SUMIFS(EVENTOS!$D:$D, EVENTOS!$B:$B, D671, EVENTOS!$E:$E, "*GirBajo*")</f>
        <v>0</v>
      </c>
      <c r="AB671" s="3">
        <f>IFERROR(INDEX(EVENTOS!$D:$D,MATCH(SCORE!AB$2&amp;" "&amp;SCORE!$D671,EVENTOS!$F:$F,0)),0)</f>
        <v>0</v>
      </c>
      <c r="AC671" s="3">
        <f>IFERROR(INDEX(EVENTOS!$D:$D,MATCH(SCORE!AC$2&amp;" "&amp;SCORE!$D671,EVENTOS!$F:$F,0)),0)</f>
        <v>0</v>
      </c>
      <c r="AD671" s="3">
        <f>IFERROR(INDEX(EVENTOS!$D:$D,MATCH(SCORE!AD$2&amp;" "&amp;SCORE!$D671,EVENTOS!$F:$F,0)),0)</f>
        <v>0</v>
      </c>
      <c r="AE671" s="3">
        <f t="shared" si="30"/>
        <v>0</v>
      </c>
      <c r="AF671" s="10" t="e">
        <f t="shared" si="31"/>
        <v>#N/A</v>
      </c>
      <c r="AG671" s="3" t="str">
        <f t="shared" si="32"/>
        <v/>
      </c>
    </row>
    <row r="672" spans="1:33" x14ac:dyDescent="0.25">
      <c r="A672" s="7"/>
      <c r="B672" s="8"/>
      <c r="C672" s="3"/>
      <c r="D672" s="3"/>
      <c r="E672" s="3" t="e">
        <f>VLOOKUP(D672,VIAJES!$D:$E,2,FALSE)</f>
        <v>#N/A</v>
      </c>
      <c r="F672" s="9" t="e">
        <f>VLOOKUP(D672,VIAJES!$D:$F,3,FALSE)</f>
        <v>#N/A</v>
      </c>
      <c r="G672" s="9" t="e">
        <f>VLOOKUP(D672,VIAJES!$D:$G,4,FALSE)</f>
        <v>#N/A</v>
      </c>
      <c r="H672" s="3" t="e">
        <f>VLOOKUP(D672,VIAJES!$D:$H,5,FALSE)</f>
        <v>#N/A</v>
      </c>
      <c r="S672" s="3">
        <f>IFERROR(INDEX(EVENTOS!$D:$D,MATCH(SCORE!S$2&amp;" "&amp;SCORE!$D672,EVENTOS!$F:$F,0)),0)</f>
        <v>0</v>
      </c>
      <c r="T672" s="3">
        <f>IFERROR(INDEX(EVENTOS!$D:$D,MATCH(SCORE!T$2&amp;" "&amp;SCORE!$D672,EVENTOS!$F:$F,0)),0)</f>
        <v>0</v>
      </c>
      <c r="U672" s="3">
        <f>IFERROR(INDEX(EVENTOS!$D:$D,MATCH(SCORE!U$2&amp;" "&amp;SCORE!$D672,EVENTOS!$F:$F,0)),0)</f>
        <v>0</v>
      </c>
      <c r="V672" s="3">
        <f>IFERROR(INDEX(EVENTOS!$D:$D,MATCH(SCORE!V$2&amp;" "&amp;SCORE!$D672,EVENTOS!$F:$F,0)),0)</f>
        <v>0</v>
      </c>
      <c r="W672" s="3">
        <f>IFERROR(INDEX(EVENTOS!$D:$D,MATCH(SCORE!W$2&amp;" "&amp;SCORE!$D672,EVENTOS!$F:$F,0)),0)</f>
        <v>0</v>
      </c>
      <c r="X672" s="3">
        <f>IFERROR(INDEX(EVENTOS!$D:$D,MATCH(SCORE!X$2&amp;" "&amp;SCORE!$D672,EVENTOS!$F:$F,0)),0)</f>
        <v>0</v>
      </c>
      <c r="Y672" s="3">
        <f>SUMIFS(EVENTOS!$D:$D, EVENTOS!$B:$B, D672, EVENTOS!$E:$E, "*GirAlto*")</f>
        <v>0</v>
      </c>
      <c r="Z672" s="3">
        <f>SUMIFS(EVENTOS!$D:$D, EVENTOS!$B:$B, D672, EVENTOS!$E:$E, "*GirMed*")</f>
        <v>0</v>
      </c>
      <c r="AA672" s="3">
        <f>SUMIFS(EVENTOS!$D:$D, EVENTOS!$B:$B, D672, EVENTOS!$E:$E, "*GirBajo*")</f>
        <v>0</v>
      </c>
      <c r="AB672" s="3">
        <f>IFERROR(INDEX(EVENTOS!$D:$D,MATCH(SCORE!AB$2&amp;" "&amp;SCORE!$D672,EVENTOS!$F:$F,0)),0)</f>
        <v>0</v>
      </c>
      <c r="AC672" s="3">
        <f>IFERROR(INDEX(EVENTOS!$D:$D,MATCH(SCORE!AC$2&amp;" "&amp;SCORE!$D672,EVENTOS!$F:$F,0)),0)</f>
        <v>0</v>
      </c>
      <c r="AD672" s="3">
        <f>IFERROR(INDEX(EVENTOS!$D:$D,MATCH(SCORE!AD$2&amp;" "&amp;SCORE!$D672,EVENTOS!$F:$F,0)),0)</f>
        <v>0</v>
      </c>
      <c r="AE672" s="3">
        <f t="shared" si="30"/>
        <v>0</v>
      </c>
      <c r="AF672" s="10" t="e">
        <f t="shared" si="31"/>
        <v>#N/A</v>
      </c>
      <c r="AG672" s="3" t="str">
        <f t="shared" si="32"/>
        <v/>
      </c>
    </row>
    <row r="673" spans="1:33" x14ac:dyDescent="0.25">
      <c r="A673" s="7"/>
      <c r="B673" s="8"/>
      <c r="C673" s="3"/>
      <c r="D673" s="3"/>
      <c r="E673" s="3" t="e">
        <f>VLOOKUP(D673,VIAJES!$D:$E,2,FALSE)</f>
        <v>#N/A</v>
      </c>
      <c r="F673" s="9" t="e">
        <f>VLOOKUP(D673,VIAJES!$D:$F,3,FALSE)</f>
        <v>#N/A</v>
      </c>
      <c r="G673" s="9" t="e">
        <f>VLOOKUP(D673,VIAJES!$D:$G,4,FALSE)</f>
        <v>#N/A</v>
      </c>
      <c r="H673" s="3" t="e">
        <f>VLOOKUP(D673,VIAJES!$D:$H,5,FALSE)</f>
        <v>#N/A</v>
      </c>
      <c r="S673" s="3">
        <f>IFERROR(INDEX(EVENTOS!$D:$D,MATCH(SCORE!S$2&amp;" "&amp;SCORE!$D673,EVENTOS!$F:$F,0)),0)</f>
        <v>0</v>
      </c>
      <c r="T673" s="3">
        <f>IFERROR(INDEX(EVENTOS!$D:$D,MATCH(SCORE!T$2&amp;" "&amp;SCORE!$D673,EVENTOS!$F:$F,0)),0)</f>
        <v>0</v>
      </c>
      <c r="U673" s="3">
        <f>IFERROR(INDEX(EVENTOS!$D:$D,MATCH(SCORE!U$2&amp;" "&amp;SCORE!$D673,EVENTOS!$F:$F,0)),0)</f>
        <v>0</v>
      </c>
      <c r="V673" s="3">
        <f>IFERROR(INDEX(EVENTOS!$D:$D,MATCH(SCORE!V$2&amp;" "&amp;SCORE!$D673,EVENTOS!$F:$F,0)),0)</f>
        <v>0</v>
      </c>
      <c r="W673" s="3">
        <f>IFERROR(INDEX(EVENTOS!$D:$D,MATCH(SCORE!W$2&amp;" "&amp;SCORE!$D673,EVENTOS!$F:$F,0)),0)</f>
        <v>0</v>
      </c>
      <c r="X673" s="3">
        <f>IFERROR(INDEX(EVENTOS!$D:$D,MATCH(SCORE!X$2&amp;" "&amp;SCORE!$D673,EVENTOS!$F:$F,0)),0)</f>
        <v>0</v>
      </c>
      <c r="Y673" s="3">
        <f>SUMIFS(EVENTOS!$D:$D, EVENTOS!$B:$B, D673, EVENTOS!$E:$E, "*GirAlto*")</f>
        <v>0</v>
      </c>
      <c r="Z673" s="3">
        <f>SUMIFS(EVENTOS!$D:$D, EVENTOS!$B:$B, D673, EVENTOS!$E:$E, "*GirMed*")</f>
        <v>0</v>
      </c>
      <c r="AA673" s="3">
        <f>SUMIFS(EVENTOS!$D:$D, EVENTOS!$B:$B, D673, EVENTOS!$E:$E, "*GirBajo*")</f>
        <v>0</v>
      </c>
      <c r="AB673" s="3">
        <f>IFERROR(INDEX(EVENTOS!$D:$D,MATCH(SCORE!AB$2&amp;" "&amp;SCORE!$D673,EVENTOS!$F:$F,0)),0)</f>
        <v>0</v>
      </c>
      <c r="AC673" s="3">
        <f>IFERROR(INDEX(EVENTOS!$D:$D,MATCH(SCORE!AC$2&amp;" "&amp;SCORE!$D673,EVENTOS!$F:$F,0)),0)</f>
        <v>0</v>
      </c>
      <c r="AD673" s="3">
        <f>IFERROR(INDEX(EVENTOS!$D:$D,MATCH(SCORE!AD$2&amp;" "&amp;SCORE!$D673,EVENTOS!$F:$F,0)),0)</f>
        <v>0</v>
      </c>
      <c r="AE673" s="3">
        <f t="shared" si="30"/>
        <v>0</v>
      </c>
      <c r="AF673" s="10" t="e">
        <f t="shared" si="31"/>
        <v>#N/A</v>
      </c>
      <c r="AG673" s="3" t="str">
        <f t="shared" si="32"/>
        <v/>
      </c>
    </row>
    <row r="674" spans="1:33" x14ac:dyDescent="0.25">
      <c r="A674" s="7"/>
      <c r="B674" s="8"/>
      <c r="C674" s="3"/>
      <c r="D674" s="3"/>
      <c r="E674" s="3" t="e">
        <f>VLOOKUP(D674,VIAJES!$D:$E,2,FALSE)</f>
        <v>#N/A</v>
      </c>
      <c r="F674" s="9" t="e">
        <f>VLOOKUP(D674,VIAJES!$D:$F,3,FALSE)</f>
        <v>#N/A</v>
      </c>
      <c r="G674" s="9" t="e">
        <f>VLOOKUP(D674,VIAJES!$D:$G,4,FALSE)</f>
        <v>#N/A</v>
      </c>
      <c r="H674" s="3" t="e">
        <f>VLOOKUP(D674,VIAJES!$D:$H,5,FALSE)</f>
        <v>#N/A</v>
      </c>
      <c r="S674" s="3">
        <f>IFERROR(INDEX(EVENTOS!$D:$D,MATCH(SCORE!S$2&amp;" "&amp;SCORE!$D674,EVENTOS!$F:$F,0)),0)</f>
        <v>0</v>
      </c>
      <c r="T674" s="3">
        <f>IFERROR(INDEX(EVENTOS!$D:$D,MATCH(SCORE!T$2&amp;" "&amp;SCORE!$D674,EVENTOS!$F:$F,0)),0)</f>
        <v>0</v>
      </c>
      <c r="U674" s="3">
        <f>IFERROR(INDEX(EVENTOS!$D:$D,MATCH(SCORE!U$2&amp;" "&amp;SCORE!$D674,EVENTOS!$F:$F,0)),0)</f>
        <v>0</v>
      </c>
      <c r="V674" s="3">
        <f>IFERROR(INDEX(EVENTOS!$D:$D,MATCH(SCORE!V$2&amp;" "&amp;SCORE!$D674,EVENTOS!$F:$F,0)),0)</f>
        <v>0</v>
      </c>
      <c r="W674" s="3">
        <f>IFERROR(INDEX(EVENTOS!$D:$D,MATCH(SCORE!W$2&amp;" "&amp;SCORE!$D674,EVENTOS!$F:$F,0)),0)</f>
        <v>0</v>
      </c>
      <c r="X674" s="3">
        <f>IFERROR(INDEX(EVENTOS!$D:$D,MATCH(SCORE!X$2&amp;" "&amp;SCORE!$D674,EVENTOS!$F:$F,0)),0)</f>
        <v>0</v>
      </c>
      <c r="Y674" s="3">
        <f>SUMIFS(EVENTOS!$D:$D, EVENTOS!$B:$B, D674, EVENTOS!$E:$E, "*GirAlto*")</f>
        <v>0</v>
      </c>
      <c r="Z674" s="3">
        <f>SUMIFS(EVENTOS!$D:$D, EVENTOS!$B:$B, D674, EVENTOS!$E:$E, "*GirMed*")</f>
        <v>0</v>
      </c>
      <c r="AA674" s="3">
        <f>SUMIFS(EVENTOS!$D:$D, EVENTOS!$B:$B, D674, EVENTOS!$E:$E, "*GirBajo*")</f>
        <v>0</v>
      </c>
      <c r="AB674" s="3">
        <f>IFERROR(INDEX(EVENTOS!$D:$D,MATCH(SCORE!AB$2&amp;" "&amp;SCORE!$D674,EVENTOS!$F:$F,0)),0)</f>
        <v>0</v>
      </c>
      <c r="AC674" s="3">
        <f>IFERROR(INDEX(EVENTOS!$D:$D,MATCH(SCORE!AC$2&amp;" "&amp;SCORE!$D674,EVENTOS!$F:$F,0)),0)</f>
        <v>0</v>
      </c>
      <c r="AD674" s="3">
        <f>IFERROR(INDEX(EVENTOS!$D:$D,MATCH(SCORE!AD$2&amp;" "&amp;SCORE!$D674,EVENTOS!$F:$F,0)),0)</f>
        <v>0</v>
      </c>
      <c r="AE674" s="3">
        <f t="shared" si="30"/>
        <v>0</v>
      </c>
      <c r="AF674" s="10" t="e">
        <f t="shared" si="31"/>
        <v>#N/A</v>
      </c>
      <c r="AG674" s="3" t="str">
        <f t="shared" si="32"/>
        <v/>
      </c>
    </row>
    <row r="675" spans="1:33" x14ac:dyDescent="0.25">
      <c r="A675" s="7"/>
      <c r="B675" s="8"/>
      <c r="C675" s="3"/>
      <c r="D675" s="3"/>
      <c r="E675" s="3" t="e">
        <f>VLOOKUP(D675,VIAJES!$D:$E,2,FALSE)</f>
        <v>#N/A</v>
      </c>
      <c r="F675" s="9" t="e">
        <f>VLOOKUP(D675,VIAJES!$D:$F,3,FALSE)</f>
        <v>#N/A</v>
      </c>
      <c r="G675" s="9" t="e">
        <f>VLOOKUP(D675,VIAJES!$D:$G,4,FALSE)</f>
        <v>#N/A</v>
      </c>
      <c r="H675" s="3" t="e">
        <f>VLOOKUP(D675,VIAJES!$D:$H,5,FALSE)</f>
        <v>#N/A</v>
      </c>
      <c r="S675" s="3">
        <f>IFERROR(INDEX(EVENTOS!$D:$D,MATCH(SCORE!S$2&amp;" "&amp;SCORE!$D675,EVENTOS!$F:$F,0)),0)</f>
        <v>0</v>
      </c>
      <c r="T675" s="3">
        <f>IFERROR(INDEX(EVENTOS!$D:$D,MATCH(SCORE!T$2&amp;" "&amp;SCORE!$D675,EVENTOS!$F:$F,0)),0)</f>
        <v>0</v>
      </c>
      <c r="U675" s="3">
        <f>IFERROR(INDEX(EVENTOS!$D:$D,MATCH(SCORE!U$2&amp;" "&amp;SCORE!$D675,EVENTOS!$F:$F,0)),0)</f>
        <v>0</v>
      </c>
      <c r="V675" s="3">
        <f>IFERROR(INDEX(EVENTOS!$D:$D,MATCH(SCORE!V$2&amp;" "&amp;SCORE!$D675,EVENTOS!$F:$F,0)),0)</f>
        <v>0</v>
      </c>
      <c r="W675" s="3">
        <f>IFERROR(INDEX(EVENTOS!$D:$D,MATCH(SCORE!W$2&amp;" "&amp;SCORE!$D675,EVENTOS!$F:$F,0)),0)</f>
        <v>0</v>
      </c>
      <c r="X675" s="3">
        <f>IFERROR(INDEX(EVENTOS!$D:$D,MATCH(SCORE!X$2&amp;" "&amp;SCORE!$D675,EVENTOS!$F:$F,0)),0)</f>
        <v>0</v>
      </c>
      <c r="Y675" s="3">
        <f>SUMIFS(EVENTOS!$D:$D, EVENTOS!$B:$B, D675, EVENTOS!$E:$E, "*GirAlto*")</f>
        <v>0</v>
      </c>
      <c r="Z675" s="3">
        <f>SUMIFS(EVENTOS!$D:$D, EVENTOS!$B:$B, D675, EVENTOS!$E:$E, "*GirMed*")</f>
        <v>0</v>
      </c>
      <c r="AA675" s="3">
        <f>SUMIFS(EVENTOS!$D:$D, EVENTOS!$B:$B, D675, EVENTOS!$E:$E, "*GirBajo*")</f>
        <v>0</v>
      </c>
      <c r="AB675" s="3">
        <f>IFERROR(INDEX(EVENTOS!$D:$D,MATCH(SCORE!AB$2&amp;" "&amp;SCORE!$D675,EVENTOS!$F:$F,0)),0)</f>
        <v>0</v>
      </c>
      <c r="AC675" s="3">
        <f>IFERROR(INDEX(EVENTOS!$D:$D,MATCH(SCORE!AC$2&amp;" "&amp;SCORE!$D675,EVENTOS!$F:$F,0)),0)</f>
        <v>0</v>
      </c>
      <c r="AD675" s="3">
        <f>IFERROR(INDEX(EVENTOS!$D:$D,MATCH(SCORE!AD$2&amp;" "&amp;SCORE!$D675,EVENTOS!$F:$F,0)),0)</f>
        <v>0</v>
      </c>
      <c r="AE675" s="3">
        <f t="shared" si="30"/>
        <v>0</v>
      </c>
      <c r="AF675" s="10" t="e">
        <f t="shared" si="31"/>
        <v>#N/A</v>
      </c>
      <c r="AG675" s="3" t="str">
        <f t="shared" si="32"/>
        <v/>
      </c>
    </row>
    <row r="676" spans="1:33" x14ac:dyDescent="0.25">
      <c r="A676" s="7"/>
      <c r="B676" s="8"/>
      <c r="C676" s="3"/>
      <c r="D676" s="3"/>
      <c r="E676" s="3" t="e">
        <f>VLOOKUP(D676,VIAJES!$D:$E,2,FALSE)</f>
        <v>#N/A</v>
      </c>
      <c r="F676" s="9" t="e">
        <f>VLOOKUP(D676,VIAJES!$D:$F,3,FALSE)</f>
        <v>#N/A</v>
      </c>
      <c r="G676" s="9" t="e">
        <f>VLOOKUP(D676,VIAJES!$D:$G,4,FALSE)</f>
        <v>#N/A</v>
      </c>
      <c r="H676" s="3" t="e">
        <f>VLOOKUP(D676,VIAJES!$D:$H,5,FALSE)</f>
        <v>#N/A</v>
      </c>
      <c r="S676" s="3">
        <f>IFERROR(INDEX(EVENTOS!$D:$D,MATCH(SCORE!S$2&amp;" "&amp;SCORE!$D676,EVENTOS!$F:$F,0)),0)</f>
        <v>0</v>
      </c>
      <c r="T676" s="3">
        <f>IFERROR(INDEX(EVENTOS!$D:$D,MATCH(SCORE!T$2&amp;" "&amp;SCORE!$D676,EVENTOS!$F:$F,0)),0)</f>
        <v>0</v>
      </c>
      <c r="U676" s="3">
        <f>IFERROR(INDEX(EVENTOS!$D:$D,MATCH(SCORE!U$2&amp;" "&amp;SCORE!$D676,EVENTOS!$F:$F,0)),0)</f>
        <v>0</v>
      </c>
      <c r="V676" s="3">
        <f>IFERROR(INDEX(EVENTOS!$D:$D,MATCH(SCORE!V$2&amp;" "&amp;SCORE!$D676,EVENTOS!$F:$F,0)),0)</f>
        <v>0</v>
      </c>
      <c r="W676" s="3">
        <f>IFERROR(INDEX(EVENTOS!$D:$D,MATCH(SCORE!W$2&amp;" "&amp;SCORE!$D676,EVENTOS!$F:$F,0)),0)</f>
        <v>0</v>
      </c>
      <c r="X676" s="3">
        <f>IFERROR(INDEX(EVENTOS!$D:$D,MATCH(SCORE!X$2&amp;" "&amp;SCORE!$D676,EVENTOS!$F:$F,0)),0)</f>
        <v>0</v>
      </c>
      <c r="Y676" s="3">
        <f>SUMIFS(EVENTOS!$D:$D, EVENTOS!$B:$B, D676, EVENTOS!$E:$E, "*GirAlto*")</f>
        <v>0</v>
      </c>
      <c r="Z676" s="3">
        <f>SUMIFS(EVENTOS!$D:$D, EVENTOS!$B:$B, D676, EVENTOS!$E:$E, "*GirMed*")</f>
        <v>0</v>
      </c>
      <c r="AA676" s="3">
        <f>SUMIFS(EVENTOS!$D:$D, EVENTOS!$B:$B, D676, EVENTOS!$E:$E, "*GirBajo*")</f>
        <v>0</v>
      </c>
      <c r="AB676" s="3">
        <f>IFERROR(INDEX(EVENTOS!$D:$D,MATCH(SCORE!AB$2&amp;" "&amp;SCORE!$D676,EVENTOS!$F:$F,0)),0)</f>
        <v>0</v>
      </c>
      <c r="AC676" s="3">
        <f>IFERROR(INDEX(EVENTOS!$D:$D,MATCH(SCORE!AC$2&amp;" "&amp;SCORE!$D676,EVENTOS!$F:$F,0)),0)</f>
        <v>0</v>
      </c>
      <c r="AD676" s="3">
        <f>IFERROR(INDEX(EVENTOS!$D:$D,MATCH(SCORE!AD$2&amp;" "&amp;SCORE!$D676,EVENTOS!$F:$F,0)),0)</f>
        <v>0</v>
      </c>
      <c r="AE676" s="3">
        <f t="shared" si="30"/>
        <v>0</v>
      </c>
      <c r="AF676" s="10" t="e">
        <f t="shared" si="31"/>
        <v>#N/A</v>
      </c>
      <c r="AG676" s="3" t="str">
        <f t="shared" si="32"/>
        <v/>
      </c>
    </row>
    <row r="677" spans="1:33" x14ac:dyDescent="0.25">
      <c r="A677" s="7"/>
      <c r="B677" s="8"/>
      <c r="C677" s="3"/>
      <c r="D677" s="3"/>
      <c r="E677" s="3" t="e">
        <f>VLOOKUP(D677,VIAJES!$D:$E,2,FALSE)</f>
        <v>#N/A</v>
      </c>
      <c r="F677" s="9" t="e">
        <f>VLOOKUP(D677,VIAJES!$D:$F,3,FALSE)</f>
        <v>#N/A</v>
      </c>
      <c r="G677" s="9" t="e">
        <f>VLOOKUP(D677,VIAJES!$D:$G,4,FALSE)</f>
        <v>#N/A</v>
      </c>
      <c r="H677" s="3" t="e">
        <f>VLOOKUP(D677,VIAJES!$D:$H,5,FALSE)</f>
        <v>#N/A</v>
      </c>
      <c r="S677" s="3">
        <f>IFERROR(INDEX(EVENTOS!$D:$D,MATCH(SCORE!S$2&amp;" "&amp;SCORE!$D677,EVENTOS!$F:$F,0)),0)</f>
        <v>0</v>
      </c>
      <c r="T677" s="3">
        <f>IFERROR(INDEX(EVENTOS!$D:$D,MATCH(SCORE!T$2&amp;" "&amp;SCORE!$D677,EVENTOS!$F:$F,0)),0)</f>
        <v>0</v>
      </c>
      <c r="U677" s="3">
        <f>IFERROR(INDEX(EVENTOS!$D:$D,MATCH(SCORE!U$2&amp;" "&amp;SCORE!$D677,EVENTOS!$F:$F,0)),0)</f>
        <v>0</v>
      </c>
      <c r="V677" s="3">
        <f>IFERROR(INDEX(EVENTOS!$D:$D,MATCH(SCORE!V$2&amp;" "&amp;SCORE!$D677,EVENTOS!$F:$F,0)),0)</f>
        <v>0</v>
      </c>
      <c r="W677" s="3">
        <f>IFERROR(INDEX(EVENTOS!$D:$D,MATCH(SCORE!W$2&amp;" "&amp;SCORE!$D677,EVENTOS!$F:$F,0)),0)</f>
        <v>0</v>
      </c>
      <c r="X677" s="3">
        <f>IFERROR(INDEX(EVENTOS!$D:$D,MATCH(SCORE!X$2&amp;" "&amp;SCORE!$D677,EVENTOS!$F:$F,0)),0)</f>
        <v>0</v>
      </c>
      <c r="Y677" s="3">
        <f>SUMIFS(EVENTOS!$D:$D, EVENTOS!$B:$B, D677, EVENTOS!$E:$E, "*GirAlto*")</f>
        <v>0</v>
      </c>
      <c r="Z677" s="3">
        <f>SUMIFS(EVENTOS!$D:$D, EVENTOS!$B:$B, D677, EVENTOS!$E:$E, "*GirMed*")</f>
        <v>0</v>
      </c>
      <c r="AA677" s="3">
        <f>SUMIFS(EVENTOS!$D:$D, EVENTOS!$B:$B, D677, EVENTOS!$E:$E, "*GirBajo*")</f>
        <v>0</v>
      </c>
      <c r="AB677" s="3">
        <f>IFERROR(INDEX(EVENTOS!$D:$D,MATCH(SCORE!AB$2&amp;" "&amp;SCORE!$D677,EVENTOS!$F:$F,0)),0)</f>
        <v>0</v>
      </c>
      <c r="AC677" s="3">
        <f>IFERROR(INDEX(EVENTOS!$D:$D,MATCH(SCORE!AC$2&amp;" "&amp;SCORE!$D677,EVENTOS!$F:$F,0)),0)</f>
        <v>0</v>
      </c>
      <c r="AD677" s="3">
        <f>IFERROR(INDEX(EVENTOS!$D:$D,MATCH(SCORE!AD$2&amp;" "&amp;SCORE!$D677,EVENTOS!$F:$F,0)),0)</f>
        <v>0</v>
      </c>
      <c r="AE677" s="3">
        <f t="shared" si="30"/>
        <v>0</v>
      </c>
      <c r="AF677" s="10" t="e">
        <f t="shared" si="31"/>
        <v>#N/A</v>
      </c>
      <c r="AG677" s="3" t="str">
        <f t="shared" si="32"/>
        <v/>
      </c>
    </row>
    <row r="678" spans="1:33" x14ac:dyDescent="0.25">
      <c r="A678" s="7"/>
      <c r="B678" s="8"/>
      <c r="C678" s="3"/>
      <c r="D678" s="3"/>
      <c r="E678" s="3" t="e">
        <f>VLOOKUP(D678,VIAJES!$D:$E,2,FALSE)</f>
        <v>#N/A</v>
      </c>
      <c r="F678" s="9" t="e">
        <f>VLOOKUP(D678,VIAJES!$D:$F,3,FALSE)</f>
        <v>#N/A</v>
      </c>
      <c r="G678" s="9" t="e">
        <f>VLOOKUP(D678,VIAJES!$D:$G,4,FALSE)</f>
        <v>#N/A</v>
      </c>
      <c r="H678" s="3" t="e">
        <f>VLOOKUP(D678,VIAJES!$D:$H,5,FALSE)</f>
        <v>#N/A</v>
      </c>
      <c r="S678" s="3">
        <f>IFERROR(INDEX(EVENTOS!$D:$D,MATCH(SCORE!S$2&amp;" "&amp;SCORE!$D678,EVENTOS!$F:$F,0)),0)</f>
        <v>0</v>
      </c>
      <c r="T678" s="3">
        <f>IFERROR(INDEX(EVENTOS!$D:$D,MATCH(SCORE!T$2&amp;" "&amp;SCORE!$D678,EVENTOS!$F:$F,0)),0)</f>
        <v>0</v>
      </c>
      <c r="U678" s="3">
        <f>IFERROR(INDEX(EVENTOS!$D:$D,MATCH(SCORE!U$2&amp;" "&amp;SCORE!$D678,EVENTOS!$F:$F,0)),0)</f>
        <v>0</v>
      </c>
      <c r="V678" s="3">
        <f>IFERROR(INDEX(EVENTOS!$D:$D,MATCH(SCORE!V$2&amp;" "&amp;SCORE!$D678,EVENTOS!$F:$F,0)),0)</f>
        <v>0</v>
      </c>
      <c r="W678" s="3">
        <f>IFERROR(INDEX(EVENTOS!$D:$D,MATCH(SCORE!W$2&amp;" "&amp;SCORE!$D678,EVENTOS!$F:$F,0)),0)</f>
        <v>0</v>
      </c>
      <c r="X678" s="3">
        <f>IFERROR(INDEX(EVENTOS!$D:$D,MATCH(SCORE!X$2&amp;" "&amp;SCORE!$D678,EVENTOS!$F:$F,0)),0)</f>
        <v>0</v>
      </c>
      <c r="Y678" s="3">
        <f>SUMIFS(EVENTOS!$D:$D, EVENTOS!$B:$B, D678, EVENTOS!$E:$E, "*GirAlto*")</f>
        <v>0</v>
      </c>
      <c r="Z678" s="3">
        <f>SUMIFS(EVENTOS!$D:$D, EVENTOS!$B:$B, D678, EVENTOS!$E:$E, "*GirMed*")</f>
        <v>0</v>
      </c>
      <c r="AA678" s="3">
        <f>SUMIFS(EVENTOS!$D:$D, EVENTOS!$B:$B, D678, EVENTOS!$E:$E, "*GirBajo*")</f>
        <v>0</v>
      </c>
      <c r="AB678" s="3">
        <f>IFERROR(INDEX(EVENTOS!$D:$D,MATCH(SCORE!AB$2&amp;" "&amp;SCORE!$D678,EVENTOS!$F:$F,0)),0)</f>
        <v>0</v>
      </c>
      <c r="AC678" s="3">
        <f>IFERROR(INDEX(EVENTOS!$D:$D,MATCH(SCORE!AC$2&amp;" "&amp;SCORE!$D678,EVENTOS!$F:$F,0)),0)</f>
        <v>0</v>
      </c>
      <c r="AD678" s="3">
        <f>IFERROR(INDEX(EVENTOS!$D:$D,MATCH(SCORE!AD$2&amp;" "&amp;SCORE!$D678,EVENTOS!$F:$F,0)),0)</f>
        <v>0</v>
      </c>
      <c r="AE678" s="3">
        <f t="shared" si="30"/>
        <v>0</v>
      </c>
      <c r="AF678" s="10" t="e">
        <f t="shared" si="31"/>
        <v>#N/A</v>
      </c>
      <c r="AG678" s="3" t="str">
        <f t="shared" si="32"/>
        <v/>
      </c>
    </row>
    <row r="679" spans="1:33" x14ac:dyDescent="0.25">
      <c r="A679" s="7"/>
      <c r="B679" s="8"/>
      <c r="C679" s="3"/>
      <c r="D679" s="3"/>
      <c r="E679" s="3" t="e">
        <f>VLOOKUP(D679,VIAJES!$D:$E,2,FALSE)</f>
        <v>#N/A</v>
      </c>
      <c r="F679" s="9" t="e">
        <f>VLOOKUP(D679,VIAJES!$D:$F,3,FALSE)</f>
        <v>#N/A</v>
      </c>
      <c r="G679" s="9" t="e">
        <f>VLOOKUP(D679,VIAJES!$D:$G,4,FALSE)</f>
        <v>#N/A</v>
      </c>
      <c r="H679" s="3" t="e">
        <f>VLOOKUP(D679,VIAJES!$D:$H,5,FALSE)</f>
        <v>#N/A</v>
      </c>
      <c r="S679" s="3">
        <f>IFERROR(INDEX(EVENTOS!$D:$D,MATCH(SCORE!S$2&amp;" "&amp;SCORE!$D679,EVENTOS!$F:$F,0)),0)</f>
        <v>0</v>
      </c>
      <c r="T679" s="3">
        <f>IFERROR(INDEX(EVENTOS!$D:$D,MATCH(SCORE!T$2&amp;" "&amp;SCORE!$D679,EVENTOS!$F:$F,0)),0)</f>
        <v>0</v>
      </c>
      <c r="U679" s="3">
        <f>IFERROR(INDEX(EVENTOS!$D:$D,MATCH(SCORE!U$2&amp;" "&amp;SCORE!$D679,EVENTOS!$F:$F,0)),0)</f>
        <v>0</v>
      </c>
      <c r="V679" s="3">
        <f>IFERROR(INDEX(EVENTOS!$D:$D,MATCH(SCORE!V$2&amp;" "&amp;SCORE!$D679,EVENTOS!$F:$F,0)),0)</f>
        <v>0</v>
      </c>
      <c r="W679" s="3">
        <f>IFERROR(INDEX(EVENTOS!$D:$D,MATCH(SCORE!W$2&amp;" "&amp;SCORE!$D679,EVENTOS!$F:$F,0)),0)</f>
        <v>0</v>
      </c>
      <c r="X679" s="3">
        <f>IFERROR(INDEX(EVENTOS!$D:$D,MATCH(SCORE!X$2&amp;" "&amp;SCORE!$D679,EVENTOS!$F:$F,0)),0)</f>
        <v>0</v>
      </c>
      <c r="Y679" s="3">
        <f>SUMIFS(EVENTOS!$D:$D, EVENTOS!$B:$B, D679, EVENTOS!$E:$E, "*GirAlto*")</f>
        <v>0</v>
      </c>
      <c r="Z679" s="3">
        <f>SUMIFS(EVENTOS!$D:$D, EVENTOS!$B:$B, D679, EVENTOS!$E:$E, "*GirMed*")</f>
        <v>0</v>
      </c>
      <c r="AA679" s="3">
        <f>SUMIFS(EVENTOS!$D:$D, EVENTOS!$B:$B, D679, EVENTOS!$E:$E, "*GirBajo*")</f>
        <v>0</v>
      </c>
      <c r="AB679" s="3">
        <f>IFERROR(INDEX(EVENTOS!$D:$D,MATCH(SCORE!AB$2&amp;" "&amp;SCORE!$D679,EVENTOS!$F:$F,0)),0)</f>
        <v>0</v>
      </c>
      <c r="AC679" s="3">
        <f>IFERROR(INDEX(EVENTOS!$D:$D,MATCH(SCORE!AC$2&amp;" "&amp;SCORE!$D679,EVENTOS!$F:$F,0)),0)</f>
        <v>0</v>
      </c>
      <c r="AD679" s="3">
        <f>IFERROR(INDEX(EVENTOS!$D:$D,MATCH(SCORE!AD$2&amp;" "&amp;SCORE!$D679,EVENTOS!$F:$F,0)),0)</f>
        <v>0</v>
      </c>
      <c r="AE679" s="3">
        <f t="shared" si="30"/>
        <v>0</v>
      </c>
      <c r="AF679" s="10" t="e">
        <f t="shared" si="31"/>
        <v>#N/A</v>
      </c>
      <c r="AG679" s="3" t="str">
        <f t="shared" si="32"/>
        <v/>
      </c>
    </row>
    <row r="680" spans="1:33" x14ac:dyDescent="0.25">
      <c r="A680" s="7"/>
      <c r="B680" s="8"/>
      <c r="C680" s="3"/>
      <c r="D680" s="3"/>
      <c r="E680" s="3" t="e">
        <f>VLOOKUP(D680,VIAJES!$D:$E,2,FALSE)</f>
        <v>#N/A</v>
      </c>
      <c r="F680" s="9" t="e">
        <f>VLOOKUP(D680,VIAJES!$D:$F,3,FALSE)</f>
        <v>#N/A</v>
      </c>
      <c r="G680" s="9" t="e">
        <f>VLOOKUP(D680,VIAJES!$D:$G,4,FALSE)</f>
        <v>#N/A</v>
      </c>
      <c r="H680" s="3" t="e">
        <f>VLOOKUP(D680,VIAJES!$D:$H,5,FALSE)</f>
        <v>#N/A</v>
      </c>
      <c r="S680" s="3">
        <f>IFERROR(INDEX(EVENTOS!$D:$D,MATCH(SCORE!S$2&amp;" "&amp;SCORE!$D680,EVENTOS!$F:$F,0)),0)</f>
        <v>0</v>
      </c>
      <c r="T680" s="3">
        <f>IFERROR(INDEX(EVENTOS!$D:$D,MATCH(SCORE!T$2&amp;" "&amp;SCORE!$D680,EVENTOS!$F:$F,0)),0)</f>
        <v>0</v>
      </c>
      <c r="U680" s="3">
        <f>IFERROR(INDEX(EVENTOS!$D:$D,MATCH(SCORE!U$2&amp;" "&amp;SCORE!$D680,EVENTOS!$F:$F,0)),0)</f>
        <v>0</v>
      </c>
      <c r="V680" s="3">
        <f>IFERROR(INDEX(EVENTOS!$D:$D,MATCH(SCORE!V$2&amp;" "&amp;SCORE!$D680,EVENTOS!$F:$F,0)),0)</f>
        <v>0</v>
      </c>
      <c r="W680" s="3">
        <f>IFERROR(INDEX(EVENTOS!$D:$D,MATCH(SCORE!W$2&amp;" "&amp;SCORE!$D680,EVENTOS!$F:$F,0)),0)</f>
        <v>0</v>
      </c>
      <c r="X680" s="3">
        <f>IFERROR(INDEX(EVENTOS!$D:$D,MATCH(SCORE!X$2&amp;" "&amp;SCORE!$D680,EVENTOS!$F:$F,0)),0)</f>
        <v>0</v>
      </c>
      <c r="Y680" s="3">
        <f>SUMIFS(EVENTOS!$D:$D, EVENTOS!$B:$B, D680, EVENTOS!$E:$E, "*GirAlto*")</f>
        <v>0</v>
      </c>
      <c r="Z680" s="3">
        <f>SUMIFS(EVENTOS!$D:$D, EVENTOS!$B:$B, D680, EVENTOS!$E:$E, "*GirMed*")</f>
        <v>0</v>
      </c>
      <c r="AA680" s="3">
        <f>SUMIFS(EVENTOS!$D:$D, EVENTOS!$B:$B, D680, EVENTOS!$E:$E, "*GirBajo*")</f>
        <v>0</v>
      </c>
      <c r="AB680" s="3">
        <f>IFERROR(INDEX(EVENTOS!$D:$D,MATCH(SCORE!AB$2&amp;" "&amp;SCORE!$D680,EVENTOS!$F:$F,0)),0)</f>
        <v>0</v>
      </c>
      <c r="AC680" s="3">
        <f>IFERROR(INDEX(EVENTOS!$D:$D,MATCH(SCORE!AC$2&amp;" "&amp;SCORE!$D680,EVENTOS!$F:$F,0)),0)</f>
        <v>0</v>
      </c>
      <c r="AD680" s="3">
        <f>IFERROR(INDEX(EVENTOS!$D:$D,MATCH(SCORE!AD$2&amp;" "&amp;SCORE!$D680,EVENTOS!$F:$F,0)),0)</f>
        <v>0</v>
      </c>
      <c r="AE680" s="3">
        <f t="shared" si="30"/>
        <v>0</v>
      </c>
      <c r="AF680" s="10" t="e">
        <f t="shared" si="31"/>
        <v>#N/A</v>
      </c>
      <c r="AG680" s="3" t="str">
        <f t="shared" si="32"/>
        <v/>
      </c>
    </row>
    <row r="681" spans="1:33" x14ac:dyDescent="0.25">
      <c r="A681" s="7"/>
      <c r="B681" s="8"/>
      <c r="C681" s="3"/>
      <c r="D681" s="3"/>
      <c r="E681" s="3" t="e">
        <f>VLOOKUP(D681,VIAJES!$D:$E,2,FALSE)</f>
        <v>#N/A</v>
      </c>
      <c r="F681" s="9" t="e">
        <f>VLOOKUP(D681,VIAJES!$D:$F,3,FALSE)</f>
        <v>#N/A</v>
      </c>
      <c r="G681" s="9" t="e">
        <f>VLOOKUP(D681,VIAJES!$D:$G,4,FALSE)</f>
        <v>#N/A</v>
      </c>
      <c r="H681" s="3" t="e">
        <f>VLOOKUP(D681,VIAJES!$D:$H,5,FALSE)</f>
        <v>#N/A</v>
      </c>
      <c r="S681" s="3">
        <f>IFERROR(INDEX(EVENTOS!$D:$D,MATCH(SCORE!S$2&amp;" "&amp;SCORE!$D681,EVENTOS!$F:$F,0)),0)</f>
        <v>0</v>
      </c>
      <c r="T681" s="3">
        <f>IFERROR(INDEX(EVENTOS!$D:$D,MATCH(SCORE!T$2&amp;" "&amp;SCORE!$D681,EVENTOS!$F:$F,0)),0)</f>
        <v>0</v>
      </c>
      <c r="U681" s="3">
        <f>IFERROR(INDEX(EVENTOS!$D:$D,MATCH(SCORE!U$2&amp;" "&amp;SCORE!$D681,EVENTOS!$F:$F,0)),0)</f>
        <v>0</v>
      </c>
      <c r="V681" s="3">
        <f>IFERROR(INDEX(EVENTOS!$D:$D,MATCH(SCORE!V$2&amp;" "&amp;SCORE!$D681,EVENTOS!$F:$F,0)),0)</f>
        <v>0</v>
      </c>
      <c r="W681" s="3">
        <f>IFERROR(INDEX(EVENTOS!$D:$D,MATCH(SCORE!W$2&amp;" "&amp;SCORE!$D681,EVENTOS!$F:$F,0)),0)</f>
        <v>0</v>
      </c>
      <c r="X681" s="3">
        <f>IFERROR(INDEX(EVENTOS!$D:$D,MATCH(SCORE!X$2&amp;" "&amp;SCORE!$D681,EVENTOS!$F:$F,0)),0)</f>
        <v>0</v>
      </c>
      <c r="Y681" s="3">
        <f>SUMIFS(EVENTOS!$D:$D, EVENTOS!$B:$B, D681, EVENTOS!$E:$E, "*GirAlto*")</f>
        <v>0</v>
      </c>
      <c r="Z681" s="3">
        <f>SUMIFS(EVENTOS!$D:$D, EVENTOS!$B:$B, D681, EVENTOS!$E:$E, "*GirMed*")</f>
        <v>0</v>
      </c>
      <c r="AA681" s="3">
        <f>SUMIFS(EVENTOS!$D:$D, EVENTOS!$B:$B, D681, EVENTOS!$E:$E, "*GirBajo*")</f>
        <v>0</v>
      </c>
      <c r="AB681" s="3">
        <f>IFERROR(INDEX(EVENTOS!$D:$D,MATCH(SCORE!AB$2&amp;" "&amp;SCORE!$D681,EVENTOS!$F:$F,0)),0)</f>
        <v>0</v>
      </c>
      <c r="AC681" s="3">
        <f>IFERROR(INDEX(EVENTOS!$D:$D,MATCH(SCORE!AC$2&amp;" "&amp;SCORE!$D681,EVENTOS!$F:$F,0)),0)</f>
        <v>0</v>
      </c>
      <c r="AD681" s="3">
        <f>IFERROR(INDEX(EVENTOS!$D:$D,MATCH(SCORE!AD$2&amp;" "&amp;SCORE!$D681,EVENTOS!$F:$F,0)),0)</f>
        <v>0</v>
      </c>
      <c r="AE681" s="3">
        <f t="shared" si="30"/>
        <v>0</v>
      </c>
      <c r="AF681" s="10" t="e">
        <f t="shared" si="31"/>
        <v>#N/A</v>
      </c>
      <c r="AG681" s="3" t="str">
        <f t="shared" si="32"/>
        <v/>
      </c>
    </row>
    <row r="682" spans="1:33" x14ac:dyDescent="0.25">
      <c r="A682" s="7"/>
      <c r="B682" s="8"/>
      <c r="C682" s="3"/>
      <c r="D682" s="3"/>
      <c r="E682" s="3" t="e">
        <f>VLOOKUP(D682,VIAJES!$D:$E,2,FALSE)</f>
        <v>#N/A</v>
      </c>
      <c r="F682" s="9" t="e">
        <f>VLOOKUP(D682,VIAJES!$D:$F,3,FALSE)</f>
        <v>#N/A</v>
      </c>
      <c r="G682" s="9" t="e">
        <f>VLOOKUP(D682,VIAJES!$D:$G,4,FALSE)</f>
        <v>#N/A</v>
      </c>
      <c r="H682" s="3" t="e">
        <f>VLOOKUP(D682,VIAJES!$D:$H,5,FALSE)</f>
        <v>#N/A</v>
      </c>
      <c r="S682" s="3">
        <f>IFERROR(INDEX(EVENTOS!$D:$D,MATCH(SCORE!S$2&amp;" "&amp;SCORE!$D682,EVENTOS!$F:$F,0)),0)</f>
        <v>0</v>
      </c>
      <c r="T682" s="3">
        <f>IFERROR(INDEX(EVENTOS!$D:$D,MATCH(SCORE!T$2&amp;" "&amp;SCORE!$D682,EVENTOS!$F:$F,0)),0)</f>
        <v>0</v>
      </c>
      <c r="U682" s="3">
        <f>IFERROR(INDEX(EVENTOS!$D:$D,MATCH(SCORE!U$2&amp;" "&amp;SCORE!$D682,EVENTOS!$F:$F,0)),0)</f>
        <v>0</v>
      </c>
      <c r="V682" s="3">
        <f>IFERROR(INDEX(EVENTOS!$D:$D,MATCH(SCORE!V$2&amp;" "&amp;SCORE!$D682,EVENTOS!$F:$F,0)),0)</f>
        <v>0</v>
      </c>
      <c r="W682" s="3">
        <f>IFERROR(INDEX(EVENTOS!$D:$D,MATCH(SCORE!W$2&amp;" "&amp;SCORE!$D682,EVENTOS!$F:$F,0)),0)</f>
        <v>0</v>
      </c>
      <c r="X682" s="3">
        <f>IFERROR(INDEX(EVENTOS!$D:$D,MATCH(SCORE!X$2&amp;" "&amp;SCORE!$D682,EVENTOS!$F:$F,0)),0)</f>
        <v>0</v>
      </c>
      <c r="Y682" s="3">
        <f>SUMIFS(EVENTOS!$D:$D, EVENTOS!$B:$B, D682, EVENTOS!$E:$E, "*GirAlto*")</f>
        <v>0</v>
      </c>
      <c r="Z682" s="3">
        <f>SUMIFS(EVENTOS!$D:$D, EVENTOS!$B:$B, D682, EVENTOS!$E:$E, "*GirMed*")</f>
        <v>0</v>
      </c>
      <c r="AA682" s="3">
        <f>SUMIFS(EVENTOS!$D:$D, EVENTOS!$B:$B, D682, EVENTOS!$E:$E, "*GirBajo*")</f>
        <v>0</v>
      </c>
      <c r="AB682" s="3">
        <f>IFERROR(INDEX(EVENTOS!$D:$D,MATCH(SCORE!AB$2&amp;" "&amp;SCORE!$D682,EVENTOS!$F:$F,0)),0)</f>
        <v>0</v>
      </c>
      <c r="AC682" s="3">
        <f>IFERROR(INDEX(EVENTOS!$D:$D,MATCH(SCORE!AC$2&amp;" "&amp;SCORE!$D682,EVENTOS!$F:$F,0)),0)</f>
        <v>0</v>
      </c>
      <c r="AD682" s="3">
        <f>IFERROR(INDEX(EVENTOS!$D:$D,MATCH(SCORE!AD$2&amp;" "&amp;SCORE!$D682,EVENTOS!$F:$F,0)),0)</f>
        <v>0</v>
      </c>
      <c r="AE682" s="3">
        <f t="shared" si="30"/>
        <v>0</v>
      </c>
      <c r="AF682" s="10" t="e">
        <f t="shared" si="31"/>
        <v>#N/A</v>
      </c>
      <c r="AG682" s="3" t="str">
        <f t="shared" si="32"/>
        <v/>
      </c>
    </row>
    <row r="683" spans="1:33" x14ac:dyDescent="0.25">
      <c r="A683" s="7"/>
      <c r="B683" s="8"/>
      <c r="C683" s="3"/>
      <c r="D683" s="3"/>
      <c r="E683" s="3" t="e">
        <f>VLOOKUP(D683,VIAJES!$D:$E,2,FALSE)</f>
        <v>#N/A</v>
      </c>
      <c r="F683" s="9" t="e">
        <f>VLOOKUP(D683,VIAJES!$D:$F,3,FALSE)</f>
        <v>#N/A</v>
      </c>
      <c r="G683" s="9" t="e">
        <f>VLOOKUP(D683,VIAJES!$D:$G,4,FALSE)</f>
        <v>#N/A</v>
      </c>
      <c r="H683" s="3" t="e">
        <f>VLOOKUP(D683,VIAJES!$D:$H,5,FALSE)</f>
        <v>#N/A</v>
      </c>
      <c r="S683" s="3">
        <f>IFERROR(INDEX(EVENTOS!$D:$D,MATCH(SCORE!S$2&amp;" "&amp;SCORE!$D683,EVENTOS!$F:$F,0)),0)</f>
        <v>0</v>
      </c>
      <c r="T683" s="3">
        <f>IFERROR(INDEX(EVENTOS!$D:$D,MATCH(SCORE!T$2&amp;" "&amp;SCORE!$D683,EVENTOS!$F:$F,0)),0)</f>
        <v>0</v>
      </c>
      <c r="U683" s="3">
        <f>IFERROR(INDEX(EVENTOS!$D:$D,MATCH(SCORE!U$2&amp;" "&amp;SCORE!$D683,EVENTOS!$F:$F,0)),0)</f>
        <v>0</v>
      </c>
      <c r="V683" s="3">
        <f>IFERROR(INDEX(EVENTOS!$D:$D,MATCH(SCORE!V$2&amp;" "&amp;SCORE!$D683,EVENTOS!$F:$F,0)),0)</f>
        <v>0</v>
      </c>
      <c r="W683" s="3">
        <f>IFERROR(INDEX(EVENTOS!$D:$D,MATCH(SCORE!W$2&amp;" "&amp;SCORE!$D683,EVENTOS!$F:$F,0)),0)</f>
        <v>0</v>
      </c>
      <c r="X683" s="3">
        <f>IFERROR(INDEX(EVENTOS!$D:$D,MATCH(SCORE!X$2&amp;" "&amp;SCORE!$D683,EVENTOS!$F:$F,0)),0)</f>
        <v>0</v>
      </c>
      <c r="Y683" s="3">
        <f>SUMIFS(EVENTOS!$D:$D, EVENTOS!$B:$B, D683, EVENTOS!$E:$E, "*GirAlto*")</f>
        <v>0</v>
      </c>
      <c r="Z683" s="3">
        <f>SUMIFS(EVENTOS!$D:$D, EVENTOS!$B:$B, D683, EVENTOS!$E:$E, "*GirMed*")</f>
        <v>0</v>
      </c>
      <c r="AA683" s="3">
        <f>SUMIFS(EVENTOS!$D:$D, EVENTOS!$B:$B, D683, EVENTOS!$E:$E, "*GirBajo*")</f>
        <v>0</v>
      </c>
      <c r="AB683" s="3">
        <f>IFERROR(INDEX(EVENTOS!$D:$D,MATCH(SCORE!AB$2&amp;" "&amp;SCORE!$D683,EVENTOS!$F:$F,0)),0)</f>
        <v>0</v>
      </c>
      <c r="AC683" s="3">
        <f>IFERROR(INDEX(EVENTOS!$D:$D,MATCH(SCORE!AC$2&amp;" "&amp;SCORE!$D683,EVENTOS!$F:$F,0)),0)</f>
        <v>0</v>
      </c>
      <c r="AD683" s="3">
        <f>IFERROR(INDEX(EVENTOS!$D:$D,MATCH(SCORE!AD$2&amp;" "&amp;SCORE!$D683,EVENTOS!$F:$F,0)),0)</f>
        <v>0</v>
      </c>
      <c r="AE683" s="3">
        <f t="shared" si="30"/>
        <v>0</v>
      </c>
      <c r="AF683" s="10" t="e">
        <f t="shared" si="31"/>
        <v>#N/A</v>
      </c>
      <c r="AG683" s="3" t="str">
        <f t="shared" si="32"/>
        <v/>
      </c>
    </row>
    <row r="684" spans="1:33" x14ac:dyDescent="0.25">
      <c r="A684" s="7"/>
      <c r="B684" s="8"/>
      <c r="C684" s="3"/>
      <c r="D684" s="3"/>
      <c r="E684" s="3" t="e">
        <f>VLOOKUP(D684,VIAJES!$D:$E,2,FALSE)</f>
        <v>#N/A</v>
      </c>
      <c r="F684" s="9" t="e">
        <f>VLOOKUP(D684,VIAJES!$D:$F,3,FALSE)</f>
        <v>#N/A</v>
      </c>
      <c r="G684" s="9" t="e">
        <f>VLOOKUP(D684,VIAJES!$D:$G,4,FALSE)</f>
        <v>#N/A</v>
      </c>
      <c r="H684" s="3" t="e">
        <f>VLOOKUP(D684,VIAJES!$D:$H,5,FALSE)</f>
        <v>#N/A</v>
      </c>
      <c r="S684" s="3">
        <f>IFERROR(INDEX(EVENTOS!$D:$D,MATCH(SCORE!S$2&amp;" "&amp;SCORE!$D684,EVENTOS!$F:$F,0)),0)</f>
        <v>0</v>
      </c>
      <c r="T684" s="3">
        <f>IFERROR(INDEX(EVENTOS!$D:$D,MATCH(SCORE!T$2&amp;" "&amp;SCORE!$D684,EVENTOS!$F:$F,0)),0)</f>
        <v>0</v>
      </c>
      <c r="U684" s="3">
        <f>IFERROR(INDEX(EVENTOS!$D:$D,MATCH(SCORE!U$2&amp;" "&amp;SCORE!$D684,EVENTOS!$F:$F,0)),0)</f>
        <v>0</v>
      </c>
      <c r="V684" s="3">
        <f>IFERROR(INDEX(EVENTOS!$D:$D,MATCH(SCORE!V$2&amp;" "&amp;SCORE!$D684,EVENTOS!$F:$F,0)),0)</f>
        <v>0</v>
      </c>
      <c r="W684" s="3">
        <f>IFERROR(INDEX(EVENTOS!$D:$D,MATCH(SCORE!W$2&amp;" "&amp;SCORE!$D684,EVENTOS!$F:$F,0)),0)</f>
        <v>0</v>
      </c>
      <c r="X684" s="3">
        <f>IFERROR(INDEX(EVENTOS!$D:$D,MATCH(SCORE!X$2&amp;" "&amp;SCORE!$D684,EVENTOS!$F:$F,0)),0)</f>
        <v>0</v>
      </c>
      <c r="Y684" s="3">
        <f>SUMIFS(EVENTOS!$D:$D, EVENTOS!$B:$B, D684, EVENTOS!$E:$E, "*GirAlto*")</f>
        <v>0</v>
      </c>
      <c r="Z684" s="3">
        <f>SUMIFS(EVENTOS!$D:$D, EVENTOS!$B:$B, D684, EVENTOS!$E:$E, "*GirMed*")</f>
        <v>0</v>
      </c>
      <c r="AA684" s="3">
        <f>SUMIFS(EVENTOS!$D:$D, EVENTOS!$B:$B, D684, EVENTOS!$E:$E, "*GirBajo*")</f>
        <v>0</v>
      </c>
      <c r="AB684" s="3">
        <f>IFERROR(INDEX(EVENTOS!$D:$D,MATCH(SCORE!AB$2&amp;" "&amp;SCORE!$D684,EVENTOS!$F:$F,0)),0)</f>
        <v>0</v>
      </c>
      <c r="AC684" s="3">
        <f>IFERROR(INDEX(EVENTOS!$D:$D,MATCH(SCORE!AC$2&amp;" "&amp;SCORE!$D684,EVENTOS!$F:$F,0)),0)</f>
        <v>0</v>
      </c>
      <c r="AD684" s="3">
        <f>IFERROR(INDEX(EVENTOS!$D:$D,MATCH(SCORE!AD$2&amp;" "&amp;SCORE!$D684,EVENTOS!$F:$F,0)),0)</f>
        <v>0</v>
      </c>
      <c r="AE684" s="3">
        <f t="shared" si="30"/>
        <v>0</v>
      </c>
      <c r="AF684" s="10" t="e">
        <f t="shared" si="31"/>
        <v>#N/A</v>
      </c>
      <c r="AG684" s="3" t="str">
        <f t="shared" si="32"/>
        <v/>
      </c>
    </row>
    <row r="685" spans="1:33" x14ac:dyDescent="0.25">
      <c r="A685" s="7"/>
      <c r="B685" s="8"/>
      <c r="C685" s="3"/>
      <c r="D685" s="3"/>
      <c r="E685" s="3" t="e">
        <f>VLOOKUP(D685,VIAJES!$D:$E,2,FALSE)</f>
        <v>#N/A</v>
      </c>
      <c r="F685" s="9" t="e">
        <f>VLOOKUP(D685,VIAJES!$D:$F,3,FALSE)</f>
        <v>#N/A</v>
      </c>
      <c r="G685" s="9" t="e">
        <f>VLOOKUP(D685,VIAJES!$D:$G,4,FALSE)</f>
        <v>#N/A</v>
      </c>
      <c r="H685" s="3" t="e">
        <f>VLOOKUP(D685,VIAJES!$D:$H,5,FALSE)</f>
        <v>#N/A</v>
      </c>
      <c r="S685" s="3">
        <f>IFERROR(INDEX(EVENTOS!$D:$D,MATCH(SCORE!S$2&amp;" "&amp;SCORE!$D685,EVENTOS!$F:$F,0)),0)</f>
        <v>0</v>
      </c>
      <c r="T685" s="3">
        <f>IFERROR(INDEX(EVENTOS!$D:$D,MATCH(SCORE!T$2&amp;" "&amp;SCORE!$D685,EVENTOS!$F:$F,0)),0)</f>
        <v>0</v>
      </c>
      <c r="U685" s="3">
        <f>IFERROR(INDEX(EVENTOS!$D:$D,MATCH(SCORE!U$2&amp;" "&amp;SCORE!$D685,EVENTOS!$F:$F,0)),0)</f>
        <v>0</v>
      </c>
      <c r="V685" s="3">
        <f>IFERROR(INDEX(EVENTOS!$D:$D,MATCH(SCORE!V$2&amp;" "&amp;SCORE!$D685,EVENTOS!$F:$F,0)),0)</f>
        <v>0</v>
      </c>
      <c r="W685" s="3">
        <f>IFERROR(INDEX(EVENTOS!$D:$D,MATCH(SCORE!W$2&amp;" "&amp;SCORE!$D685,EVENTOS!$F:$F,0)),0)</f>
        <v>0</v>
      </c>
      <c r="X685" s="3">
        <f>IFERROR(INDEX(EVENTOS!$D:$D,MATCH(SCORE!X$2&amp;" "&amp;SCORE!$D685,EVENTOS!$F:$F,0)),0)</f>
        <v>0</v>
      </c>
      <c r="Y685" s="3">
        <f>SUMIFS(EVENTOS!$D:$D, EVENTOS!$B:$B, D685, EVENTOS!$E:$E, "*GirAlto*")</f>
        <v>0</v>
      </c>
      <c r="Z685" s="3">
        <f>SUMIFS(EVENTOS!$D:$D, EVENTOS!$B:$B, D685, EVENTOS!$E:$E, "*GirMed*")</f>
        <v>0</v>
      </c>
      <c r="AA685" s="3">
        <f>SUMIFS(EVENTOS!$D:$D, EVENTOS!$B:$B, D685, EVENTOS!$E:$E, "*GirBajo*")</f>
        <v>0</v>
      </c>
      <c r="AB685" s="3">
        <f>IFERROR(INDEX(EVENTOS!$D:$D,MATCH(SCORE!AB$2&amp;" "&amp;SCORE!$D685,EVENTOS!$F:$F,0)),0)</f>
        <v>0</v>
      </c>
      <c r="AC685" s="3">
        <f>IFERROR(INDEX(EVENTOS!$D:$D,MATCH(SCORE!AC$2&amp;" "&amp;SCORE!$D685,EVENTOS!$F:$F,0)),0)</f>
        <v>0</v>
      </c>
      <c r="AD685" s="3">
        <f>IFERROR(INDEX(EVENTOS!$D:$D,MATCH(SCORE!AD$2&amp;" "&amp;SCORE!$D685,EVENTOS!$F:$F,0)),0)</f>
        <v>0</v>
      </c>
      <c r="AE685" s="3">
        <f t="shared" si="30"/>
        <v>0</v>
      </c>
      <c r="AF685" s="10" t="e">
        <f t="shared" si="31"/>
        <v>#N/A</v>
      </c>
      <c r="AG685" s="3" t="str">
        <f t="shared" si="32"/>
        <v/>
      </c>
    </row>
    <row r="686" spans="1:33" x14ac:dyDescent="0.25">
      <c r="A686" s="7"/>
      <c r="B686" s="8"/>
      <c r="C686" s="3"/>
      <c r="D686" s="3"/>
      <c r="E686" s="3" t="e">
        <f>VLOOKUP(D686,VIAJES!$D:$E,2,FALSE)</f>
        <v>#N/A</v>
      </c>
      <c r="F686" s="9" t="e">
        <f>VLOOKUP(D686,VIAJES!$D:$F,3,FALSE)</f>
        <v>#N/A</v>
      </c>
      <c r="G686" s="9" t="e">
        <f>VLOOKUP(D686,VIAJES!$D:$G,4,FALSE)</f>
        <v>#N/A</v>
      </c>
      <c r="H686" s="3" t="e">
        <f>VLOOKUP(D686,VIAJES!$D:$H,5,FALSE)</f>
        <v>#N/A</v>
      </c>
      <c r="S686" s="3">
        <f>IFERROR(INDEX(EVENTOS!$D:$D,MATCH(SCORE!S$2&amp;" "&amp;SCORE!$D686,EVENTOS!$F:$F,0)),0)</f>
        <v>0</v>
      </c>
      <c r="T686" s="3">
        <f>IFERROR(INDEX(EVENTOS!$D:$D,MATCH(SCORE!T$2&amp;" "&amp;SCORE!$D686,EVENTOS!$F:$F,0)),0)</f>
        <v>0</v>
      </c>
      <c r="U686" s="3">
        <f>IFERROR(INDEX(EVENTOS!$D:$D,MATCH(SCORE!U$2&amp;" "&amp;SCORE!$D686,EVENTOS!$F:$F,0)),0)</f>
        <v>0</v>
      </c>
      <c r="V686" s="3">
        <f>IFERROR(INDEX(EVENTOS!$D:$D,MATCH(SCORE!V$2&amp;" "&amp;SCORE!$D686,EVENTOS!$F:$F,0)),0)</f>
        <v>0</v>
      </c>
      <c r="W686" s="3">
        <f>IFERROR(INDEX(EVENTOS!$D:$D,MATCH(SCORE!W$2&amp;" "&amp;SCORE!$D686,EVENTOS!$F:$F,0)),0)</f>
        <v>0</v>
      </c>
      <c r="X686" s="3">
        <f>IFERROR(INDEX(EVENTOS!$D:$D,MATCH(SCORE!X$2&amp;" "&amp;SCORE!$D686,EVENTOS!$F:$F,0)),0)</f>
        <v>0</v>
      </c>
      <c r="Y686" s="3">
        <f>SUMIFS(EVENTOS!$D:$D, EVENTOS!$B:$B, D686, EVENTOS!$E:$E, "*GirAlto*")</f>
        <v>0</v>
      </c>
      <c r="Z686" s="3">
        <f>SUMIFS(EVENTOS!$D:$D, EVENTOS!$B:$B, D686, EVENTOS!$E:$E, "*GirMed*")</f>
        <v>0</v>
      </c>
      <c r="AA686" s="3">
        <f>SUMIFS(EVENTOS!$D:$D, EVENTOS!$B:$B, D686, EVENTOS!$E:$E, "*GirBajo*")</f>
        <v>0</v>
      </c>
      <c r="AB686" s="3">
        <f>IFERROR(INDEX(EVENTOS!$D:$D,MATCH(SCORE!AB$2&amp;" "&amp;SCORE!$D686,EVENTOS!$F:$F,0)),0)</f>
        <v>0</v>
      </c>
      <c r="AC686" s="3">
        <f>IFERROR(INDEX(EVENTOS!$D:$D,MATCH(SCORE!AC$2&amp;" "&amp;SCORE!$D686,EVENTOS!$F:$F,0)),0)</f>
        <v>0</v>
      </c>
      <c r="AD686" s="3">
        <f>IFERROR(INDEX(EVENTOS!$D:$D,MATCH(SCORE!AD$2&amp;" "&amp;SCORE!$D686,EVENTOS!$F:$F,0)),0)</f>
        <v>0</v>
      </c>
      <c r="AE686" s="3">
        <f t="shared" si="30"/>
        <v>0</v>
      </c>
      <c r="AF686" s="10" t="e">
        <f t="shared" si="31"/>
        <v>#N/A</v>
      </c>
      <c r="AG686" s="3" t="str">
        <f t="shared" si="32"/>
        <v/>
      </c>
    </row>
    <row r="687" spans="1:33" x14ac:dyDescent="0.25">
      <c r="A687" s="7"/>
      <c r="B687" s="8"/>
      <c r="C687" s="3"/>
      <c r="D687" s="3"/>
      <c r="E687" s="3" t="e">
        <f>VLOOKUP(D687,VIAJES!$D:$E,2,FALSE)</f>
        <v>#N/A</v>
      </c>
      <c r="F687" s="9" t="e">
        <f>VLOOKUP(D687,VIAJES!$D:$F,3,FALSE)</f>
        <v>#N/A</v>
      </c>
      <c r="G687" s="9" t="e">
        <f>VLOOKUP(D687,VIAJES!$D:$G,4,FALSE)</f>
        <v>#N/A</v>
      </c>
      <c r="H687" s="3" t="e">
        <f>VLOOKUP(D687,VIAJES!$D:$H,5,FALSE)</f>
        <v>#N/A</v>
      </c>
      <c r="S687" s="3">
        <f>IFERROR(INDEX(EVENTOS!$D:$D,MATCH(SCORE!S$2&amp;" "&amp;SCORE!$D687,EVENTOS!$F:$F,0)),0)</f>
        <v>0</v>
      </c>
      <c r="T687" s="3">
        <f>IFERROR(INDEX(EVENTOS!$D:$D,MATCH(SCORE!T$2&amp;" "&amp;SCORE!$D687,EVENTOS!$F:$F,0)),0)</f>
        <v>0</v>
      </c>
      <c r="U687" s="3">
        <f>IFERROR(INDEX(EVENTOS!$D:$D,MATCH(SCORE!U$2&amp;" "&amp;SCORE!$D687,EVENTOS!$F:$F,0)),0)</f>
        <v>0</v>
      </c>
      <c r="V687" s="3">
        <f>IFERROR(INDEX(EVENTOS!$D:$D,MATCH(SCORE!V$2&amp;" "&amp;SCORE!$D687,EVENTOS!$F:$F,0)),0)</f>
        <v>0</v>
      </c>
      <c r="W687" s="3">
        <f>IFERROR(INDEX(EVENTOS!$D:$D,MATCH(SCORE!W$2&amp;" "&amp;SCORE!$D687,EVENTOS!$F:$F,0)),0)</f>
        <v>0</v>
      </c>
      <c r="X687" s="3">
        <f>IFERROR(INDEX(EVENTOS!$D:$D,MATCH(SCORE!X$2&amp;" "&amp;SCORE!$D687,EVENTOS!$F:$F,0)),0)</f>
        <v>0</v>
      </c>
      <c r="Y687" s="3">
        <f>SUMIFS(EVENTOS!$D:$D, EVENTOS!$B:$B, D687, EVENTOS!$E:$E, "*GirAlto*")</f>
        <v>0</v>
      </c>
      <c r="Z687" s="3">
        <f>SUMIFS(EVENTOS!$D:$D, EVENTOS!$B:$B, D687, EVENTOS!$E:$E, "*GirMed*")</f>
        <v>0</v>
      </c>
      <c r="AA687" s="3">
        <f>SUMIFS(EVENTOS!$D:$D, EVENTOS!$B:$B, D687, EVENTOS!$E:$E, "*GirBajo*")</f>
        <v>0</v>
      </c>
      <c r="AB687" s="3">
        <f>IFERROR(INDEX(EVENTOS!$D:$D,MATCH(SCORE!AB$2&amp;" "&amp;SCORE!$D687,EVENTOS!$F:$F,0)),0)</f>
        <v>0</v>
      </c>
      <c r="AC687" s="3">
        <f>IFERROR(INDEX(EVENTOS!$D:$D,MATCH(SCORE!AC$2&amp;" "&amp;SCORE!$D687,EVENTOS!$F:$F,0)),0)</f>
        <v>0</v>
      </c>
      <c r="AD687" s="3">
        <f>IFERROR(INDEX(EVENTOS!$D:$D,MATCH(SCORE!AD$2&amp;" "&amp;SCORE!$D687,EVENTOS!$F:$F,0)),0)</f>
        <v>0</v>
      </c>
      <c r="AE687" s="3">
        <f t="shared" si="30"/>
        <v>0</v>
      </c>
      <c r="AF687" s="10" t="e">
        <f t="shared" si="31"/>
        <v>#N/A</v>
      </c>
      <c r="AG687" s="3" t="str">
        <f t="shared" si="32"/>
        <v/>
      </c>
    </row>
    <row r="688" spans="1:33" x14ac:dyDescent="0.25">
      <c r="A688" s="7"/>
      <c r="B688" s="8"/>
      <c r="C688" s="3"/>
      <c r="D688" s="3"/>
      <c r="E688" s="3" t="e">
        <f>VLOOKUP(D688,VIAJES!$D:$E,2,FALSE)</f>
        <v>#N/A</v>
      </c>
      <c r="F688" s="9" t="e">
        <f>VLOOKUP(D688,VIAJES!$D:$F,3,FALSE)</f>
        <v>#N/A</v>
      </c>
      <c r="G688" s="9" t="e">
        <f>VLOOKUP(D688,VIAJES!$D:$G,4,FALSE)</f>
        <v>#N/A</v>
      </c>
      <c r="H688" s="3" t="e">
        <f>VLOOKUP(D688,VIAJES!$D:$H,5,FALSE)</f>
        <v>#N/A</v>
      </c>
      <c r="S688" s="3">
        <f>IFERROR(INDEX(EVENTOS!$D:$D,MATCH(SCORE!S$2&amp;" "&amp;SCORE!$D688,EVENTOS!$F:$F,0)),0)</f>
        <v>0</v>
      </c>
      <c r="T688" s="3">
        <f>IFERROR(INDEX(EVENTOS!$D:$D,MATCH(SCORE!T$2&amp;" "&amp;SCORE!$D688,EVENTOS!$F:$F,0)),0)</f>
        <v>0</v>
      </c>
      <c r="U688" s="3">
        <f>IFERROR(INDEX(EVENTOS!$D:$D,MATCH(SCORE!U$2&amp;" "&amp;SCORE!$D688,EVENTOS!$F:$F,0)),0)</f>
        <v>0</v>
      </c>
      <c r="V688" s="3">
        <f>IFERROR(INDEX(EVENTOS!$D:$D,MATCH(SCORE!V$2&amp;" "&amp;SCORE!$D688,EVENTOS!$F:$F,0)),0)</f>
        <v>0</v>
      </c>
      <c r="W688" s="3">
        <f>IFERROR(INDEX(EVENTOS!$D:$D,MATCH(SCORE!W$2&amp;" "&amp;SCORE!$D688,EVENTOS!$F:$F,0)),0)</f>
        <v>0</v>
      </c>
      <c r="X688" s="3">
        <f>IFERROR(INDEX(EVENTOS!$D:$D,MATCH(SCORE!X$2&amp;" "&amp;SCORE!$D688,EVENTOS!$F:$F,0)),0)</f>
        <v>0</v>
      </c>
      <c r="Y688" s="3">
        <f>SUMIFS(EVENTOS!$D:$D, EVENTOS!$B:$B, D688, EVENTOS!$E:$E, "*GirAlto*")</f>
        <v>0</v>
      </c>
      <c r="Z688" s="3">
        <f>SUMIFS(EVENTOS!$D:$D, EVENTOS!$B:$B, D688, EVENTOS!$E:$E, "*GirMed*")</f>
        <v>0</v>
      </c>
      <c r="AA688" s="3">
        <f>SUMIFS(EVENTOS!$D:$D, EVENTOS!$B:$B, D688, EVENTOS!$E:$E, "*GirBajo*")</f>
        <v>0</v>
      </c>
      <c r="AB688" s="3">
        <f>IFERROR(INDEX(EVENTOS!$D:$D,MATCH(SCORE!AB$2&amp;" "&amp;SCORE!$D688,EVENTOS!$F:$F,0)),0)</f>
        <v>0</v>
      </c>
      <c r="AC688" s="3">
        <f>IFERROR(INDEX(EVENTOS!$D:$D,MATCH(SCORE!AC$2&amp;" "&amp;SCORE!$D688,EVENTOS!$F:$F,0)),0)</f>
        <v>0</v>
      </c>
      <c r="AD688" s="3">
        <f>IFERROR(INDEX(EVENTOS!$D:$D,MATCH(SCORE!AD$2&amp;" "&amp;SCORE!$D688,EVENTOS!$F:$F,0)),0)</f>
        <v>0</v>
      </c>
      <c r="AE688" s="3">
        <f t="shared" si="30"/>
        <v>0</v>
      </c>
      <c r="AF688" s="10" t="e">
        <f t="shared" si="31"/>
        <v>#N/A</v>
      </c>
      <c r="AG688" s="3" t="str">
        <f t="shared" si="32"/>
        <v/>
      </c>
    </row>
    <row r="689" spans="1:33" x14ac:dyDescent="0.25">
      <c r="A689" s="7"/>
      <c r="B689" s="8"/>
      <c r="C689" s="3"/>
      <c r="D689" s="3"/>
      <c r="E689" s="3" t="e">
        <f>VLOOKUP(D689,VIAJES!$D:$E,2,FALSE)</f>
        <v>#N/A</v>
      </c>
      <c r="F689" s="9" t="e">
        <f>VLOOKUP(D689,VIAJES!$D:$F,3,FALSE)</f>
        <v>#N/A</v>
      </c>
      <c r="G689" s="9" t="e">
        <f>VLOOKUP(D689,VIAJES!$D:$G,4,FALSE)</f>
        <v>#N/A</v>
      </c>
      <c r="H689" s="3" t="e">
        <f>VLOOKUP(D689,VIAJES!$D:$H,5,FALSE)</f>
        <v>#N/A</v>
      </c>
      <c r="S689" s="3">
        <f>IFERROR(INDEX(EVENTOS!$D:$D,MATCH(SCORE!S$2&amp;" "&amp;SCORE!$D689,EVENTOS!$F:$F,0)),0)</f>
        <v>0</v>
      </c>
      <c r="T689" s="3">
        <f>IFERROR(INDEX(EVENTOS!$D:$D,MATCH(SCORE!T$2&amp;" "&amp;SCORE!$D689,EVENTOS!$F:$F,0)),0)</f>
        <v>0</v>
      </c>
      <c r="U689" s="3">
        <f>IFERROR(INDEX(EVENTOS!$D:$D,MATCH(SCORE!U$2&amp;" "&amp;SCORE!$D689,EVENTOS!$F:$F,0)),0)</f>
        <v>0</v>
      </c>
      <c r="V689" s="3">
        <f>IFERROR(INDEX(EVENTOS!$D:$D,MATCH(SCORE!V$2&amp;" "&amp;SCORE!$D689,EVENTOS!$F:$F,0)),0)</f>
        <v>0</v>
      </c>
      <c r="W689" s="3">
        <f>IFERROR(INDEX(EVENTOS!$D:$D,MATCH(SCORE!W$2&amp;" "&amp;SCORE!$D689,EVENTOS!$F:$F,0)),0)</f>
        <v>0</v>
      </c>
      <c r="X689" s="3">
        <f>IFERROR(INDEX(EVENTOS!$D:$D,MATCH(SCORE!X$2&amp;" "&amp;SCORE!$D689,EVENTOS!$F:$F,0)),0)</f>
        <v>0</v>
      </c>
      <c r="Y689" s="3">
        <f>SUMIFS(EVENTOS!$D:$D, EVENTOS!$B:$B, D689, EVENTOS!$E:$E, "*GirAlto*")</f>
        <v>0</v>
      </c>
      <c r="Z689" s="3">
        <f>SUMIFS(EVENTOS!$D:$D, EVENTOS!$B:$B, D689, EVENTOS!$E:$E, "*GirMed*")</f>
        <v>0</v>
      </c>
      <c r="AA689" s="3">
        <f>SUMIFS(EVENTOS!$D:$D, EVENTOS!$B:$B, D689, EVENTOS!$E:$E, "*GirBajo*")</f>
        <v>0</v>
      </c>
      <c r="AB689" s="3">
        <f>IFERROR(INDEX(EVENTOS!$D:$D,MATCH(SCORE!AB$2&amp;" "&amp;SCORE!$D689,EVENTOS!$F:$F,0)),0)</f>
        <v>0</v>
      </c>
      <c r="AC689" s="3">
        <f>IFERROR(INDEX(EVENTOS!$D:$D,MATCH(SCORE!AC$2&amp;" "&amp;SCORE!$D689,EVENTOS!$F:$F,0)),0)</f>
        <v>0</v>
      </c>
      <c r="AD689" s="3">
        <f>IFERROR(INDEX(EVENTOS!$D:$D,MATCH(SCORE!AD$2&amp;" "&amp;SCORE!$D689,EVENTOS!$F:$F,0)),0)</f>
        <v>0</v>
      </c>
      <c r="AE689" s="3">
        <f t="shared" si="30"/>
        <v>0</v>
      </c>
      <c r="AF689" s="10" t="e">
        <f t="shared" si="31"/>
        <v>#N/A</v>
      </c>
      <c r="AG689" s="3" t="str">
        <f t="shared" si="32"/>
        <v/>
      </c>
    </row>
    <row r="690" spans="1:33" x14ac:dyDescent="0.25">
      <c r="A690" s="7"/>
      <c r="B690" s="8"/>
      <c r="C690" s="3"/>
      <c r="D690" s="3"/>
      <c r="E690" s="3" t="e">
        <f>VLOOKUP(D690,VIAJES!$D:$E,2,FALSE)</f>
        <v>#N/A</v>
      </c>
      <c r="F690" s="9" t="e">
        <f>VLOOKUP(D690,VIAJES!$D:$F,3,FALSE)</f>
        <v>#N/A</v>
      </c>
      <c r="G690" s="9" t="e">
        <f>VLOOKUP(D690,VIAJES!$D:$G,4,FALSE)</f>
        <v>#N/A</v>
      </c>
      <c r="H690" s="3" t="e">
        <f>VLOOKUP(D690,VIAJES!$D:$H,5,FALSE)</f>
        <v>#N/A</v>
      </c>
      <c r="S690" s="3">
        <f>IFERROR(INDEX(EVENTOS!$D:$D,MATCH(SCORE!S$2&amp;" "&amp;SCORE!$D690,EVENTOS!$F:$F,0)),0)</f>
        <v>0</v>
      </c>
      <c r="T690" s="3">
        <f>IFERROR(INDEX(EVENTOS!$D:$D,MATCH(SCORE!T$2&amp;" "&amp;SCORE!$D690,EVENTOS!$F:$F,0)),0)</f>
        <v>0</v>
      </c>
      <c r="U690" s="3">
        <f>IFERROR(INDEX(EVENTOS!$D:$D,MATCH(SCORE!U$2&amp;" "&amp;SCORE!$D690,EVENTOS!$F:$F,0)),0)</f>
        <v>0</v>
      </c>
      <c r="V690" s="3">
        <f>IFERROR(INDEX(EVENTOS!$D:$D,MATCH(SCORE!V$2&amp;" "&amp;SCORE!$D690,EVENTOS!$F:$F,0)),0)</f>
        <v>0</v>
      </c>
      <c r="W690" s="3">
        <f>IFERROR(INDEX(EVENTOS!$D:$D,MATCH(SCORE!W$2&amp;" "&amp;SCORE!$D690,EVENTOS!$F:$F,0)),0)</f>
        <v>0</v>
      </c>
      <c r="X690" s="3">
        <f>IFERROR(INDEX(EVENTOS!$D:$D,MATCH(SCORE!X$2&amp;" "&amp;SCORE!$D690,EVENTOS!$F:$F,0)),0)</f>
        <v>0</v>
      </c>
      <c r="Y690" s="3">
        <f>SUMIFS(EVENTOS!$D:$D, EVENTOS!$B:$B, D690, EVENTOS!$E:$E, "*GirAlto*")</f>
        <v>0</v>
      </c>
      <c r="Z690" s="3">
        <f>SUMIFS(EVENTOS!$D:$D, EVENTOS!$B:$B, D690, EVENTOS!$E:$E, "*GirMed*")</f>
        <v>0</v>
      </c>
      <c r="AA690" s="3">
        <f>SUMIFS(EVENTOS!$D:$D, EVENTOS!$B:$B, D690, EVENTOS!$E:$E, "*GirBajo*")</f>
        <v>0</v>
      </c>
      <c r="AB690" s="3">
        <f>IFERROR(INDEX(EVENTOS!$D:$D,MATCH(SCORE!AB$2&amp;" "&amp;SCORE!$D690,EVENTOS!$F:$F,0)),0)</f>
        <v>0</v>
      </c>
      <c r="AC690" s="3">
        <f>IFERROR(INDEX(EVENTOS!$D:$D,MATCH(SCORE!AC$2&amp;" "&amp;SCORE!$D690,EVENTOS!$F:$F,0)),0)</f>
        <v>0</v>
      </c>
      <c r="AD690" s="3">
        <f>IFERROR(INDEX(EVENTOS!$D:$D,MATCH(SCORE!AD$2&amp;" "&amp;SCORE!$D690,EVENTOS!$F:$F,0)),0)</f>
        <v>0</v>
      </c>
      <c r="AE690" s="3">
        <f t="shared" si="30"/>
        <v>0</v>
      </c>
      <c r="AF690" s="10" t="e">
        <f t="shared" si="31"/>
        <v>#N/A</v>
      </c>
      <c r="AG690" s="3" t="str">
        <f t="shared" si="32"/>
        <v/>
      </c>
    </row>
    <row r="691" spans="1:33" x14ac:dyDescent="0.25">
      <c r="A691" s="7"/>
      <c r="B691" s="8"/>
      <c r="C691" s="3"/>
      <c r="D691" s="3"/>
      <c r="E691" s="3" t="e">
        <f>VLOOKUP(D691,VIAJES!$D:$E,2,FALSE)</f>
        <v>#N/A</v>
      </c>
      <c r="F691" s="9" t="e">
        <f>VLOOKUP(D691,VIAJES!$D:$F,3,FALSE)</f>
        <v>#N/A</v>
      </c>
      <c r="G691" s="9" t="e">
        <f>VLOOKUP(D691,VIAJES!$D:$G,4,FALSE)</f>
        <v>#N/A</v>
      </c>
      <c r="H691" s="3" t="e">
        <f>VLOOKUP(D691,VIAJES!$D:$H,5,FALSE)</f>
        <v>#N/A</v>
      </c>
      <c r="S691" s="3">
        <f>IFERROR(INDEX(EVENTOS!$D:$D,MATCH(SCORE!S$2&amp;" "&amp;SCORE!$D691,EVENTOS!$F:$F,0)),0)</f>
        <v>0</v>
      </c>
      <c r="T691" s="3">
        <f>IFERROR(INDEX(EVENTOS!$D:$D,MATCH(SCORE!T$2&amp;" "&amp;SCORE!$D691,EVENTOS!$F:$F,0)),0)</f>
        <v>0</v>
      </c>
      <c r="U691" s="3">
        <f>IFERROR(INDEX(EVENTOS!$D:$D,MATCH(SCORE!U$2&amp;" "&amp;SCORE!$D691,EVENTOS!$F:$F,0)),0)</f>
        <v>0</v>
      </c>
      <c r="V691" s="3">
        <f>IFERROR(INDEX(EVENTOS!$D:$D,MATCH(SCORE!V$2&amp;" "&amp;SCORE!$D691,EVENTOS!$F:$F,0)),0)</f>
        <v>0</v>
      </c>
      <c r="W691" s="3">
        <f>IFERROR(INDEX(EVENTOS!$D:$D,MATCH(SCORE!W$2&amp;" "&amp;SCORE!$D691,EVENTOS!$F:$F,0)),0)</f>
        <v>0</v>
      </c>
      <c r="X691" s="3">
        <f>IFERROR(INDEX(EVENTOS!$D:$D,MATCH(SCORE!X$2&amp;" "&amp;SCORE!$D691,EVENTOS!$F:$F,0)),0)</f>
        <v>0</v>
      </c>
      <c r="Y691" s="3">
        <f>SUMIFS(EVENTOS!$D:$D, EVENTOS!$B:$B, D691, EVENTOS!$E:$E, "*GirAlto*")</f>
        <v>0</v>
      </c>
      <c r="Z691" s="3">
        <f>SUMIFS(EVENTOS!$D:$D, EVENTOS!$B:$B, D691, EVENTOS!$E:$E, "*GirMed*")</f>
        <v>0</v>
      </c>
      <c r="AA691" s="3">
        <f>SUMIFS(EVENTOS!$D:$D, EVENTOS!$B:$B, D691, EVENTOS!$E:$E, "*GirBajo*")</f>
        <v>0</v>
      </c>
      <c r="AB691" s="3">
        <f>IFERROR(INDEX(EVENTOS!$D:$D,MATCH(SCORE!AB$2&amp;" "&amp;SCORE!$D691,EVENTOS!$F:$F,0)),0)</f>
        <v>0</v>
      </c>
      <c r="AC691" s="3">
        <f>IFERROR(INDEX(EVENTOS!$D:$D,MATCH(SCORE!AC$2&amp;" "&amp;SCORE!$D691,EVENTOS!$F:$F,0)),0)</f>
        <v>0</v>
      </c>
      <c r="AD691" s="3">
        <f>IFERROR(INDEX(EVENTOS!$D:$D,MATCH(SCORE!AD$2&amp;" "&amp;SCORE!$D691,EVENTOS!$F:$F,0)),0)</f>
        <v>0</v>
      </c>
      <c r="AE691" s="3">
        <f t="shared" si="30"/>
        <v>0</v>
      </c>
      <c r="AF691" s="10" t="e">
        <f t="shared" si="31"/>
        <v>#N/A</v>
      </c>
      <c r="AG691" s="3" t="str">
        <f t="shared" si="32"/>
        <v/>
      </c>
    </row>
    <row r="692" spans="1:33" x14ac:dyDescent="0.25">
      <c r="A692" s="7"/>
      <c r="B692" s="8"/>
      <c r="C692" s="3"/>
      <c r="D692" s="3"/>
      <c r="E692" s="3" t="e">
        <f>VLOOKUP(D692,VIAJES!$D:$E,2,FALSE)</f>
        <v>#N/A</v>
      </c>
      <c r="F692" s="9" t="e">
        <f>VLOOKUP(D692,VIAJES!$D:$F,3,FALSE)</f>
        <v>#N/A</v>
      </c>
      <c r="G692" s="9" t="e">
        <f>VLOOKUP(D692,VIAJES!$D:$G,4,FALSE)</f>
        <v>#N/A</v>
      </c>
      <c r="H692" s="3" t="e">
        <f>VLOOKUP(D692,VIAJES!$D:$H,5,FALSE)</f>
        <v>#N/A</v>
      </c>
      <c r="S692" s="3">
        <f>IFERROR(INDEX(EVENTOS!$D:$D,MATCH(SCORE!S$2&amp;" "&amp;SCORE!$D692,EVENTOS!$F:$F,0)),0)</f>
        <v>0</v>
      </c>
      <c r="T692" s="3">
        <f>IFERROR(INDEX(EVENTOS!$D:$D,MATCH(SCORE!T$2&amp;" "&amp;SCORE!$D692,EVENTOS!$F:$F,0)),0)</f>
        <v>0</v>
      </c>
      <c r="U692" s="3">
        <f>IFERROR(INDEX(EVENTOS!$D:$D,MATCH(SCORE!U$2&amp;" "&amp;SCORE!$D692,EVENTOS!$F:$F,0)),0)</f>
        <v>0</v>
      </c>
      <c r="V692" s="3">
        <f>IFERROR(INDEX(EVENTOS!$D:$D,MATCH(SCORE!V$2&amp;" "&amp;SCORE!$D692,EVENTOS!$F:$F,0)),0)</f>
        <v>0</v>
      </c>
      <c r="W692" s="3">
        <f>IFERROR(INDEX(EVENTOS!$D:$D,MATCH(SCORE!W$2&amp;" "&amp;SCORE!$D692,EVENTOS!$F:$F,0)),0)</f>
        <v>0</v>
      </c>
      <c r="X692" s="3">
        <f>IFERROR(INDEX(EVENTOS!$D:$D,MATCH(SCORE!X$2&amp;" "&amp;SCORE!$D692,EVENTOS!$F:$F,0)),0)</f>
        <v>0</v>
      </c>
      <c r="Y692" s="3">
        <f>SUMIFS(EVENTOS!$D:$D, EVENTOS!$B:$B, D692, EVENTOS!$E:$E, "*GirAlto*")</f>
        <v>0</v>
      </c>
      <c r="Z692" s="3">
        <f>SUMIFS(EVENTOS!$D:$D, EVENTOS!$B:$B, D692, EVENTOS!$E:$E, "*GirMed*")</f>
        <v>0</v>
      </c>
      <c r="AA692" s="3">
        <f>SUMIFS(EVENTOS!$D:$D, EVENTOS!$B:$B, D692, EVENTOS!$E:$E, "*GirBajo*")</f>
        <v>0</v>
      </c>
      <c r="AB692" s="3">
        <f>IFERROR(INDEX(EVENTOS!$D:$D,MATCH(SCORE!AB$2&amp;" "&amp;SCORE!$D692,EVENTOS!$F:$F,0)),0)</f>
        <v>0</v>
      </c>
      <c r="AC692" s="3">
        <f>IFERROR(INDEX(EVENTOS!$D:$D,MATCH(SCORE!AC$2&amp;" "&amp;SCORE!$D692,EVENTOS!$F:$F,0)),0)</f>
        <v>0</v>
      </c>
      <c r="AD692" s="3">
        <f>IFERROR(INDEX(EVENTOS!$D:$D,MATCH(SCORE!AD$2&amp;" "&amp;SCORE!$D692,EVENTOS!$F:$F,0)),0)</f>
        <v>0</v>
      </c>
      <c r="AE692" s="3">
        <f t="shared" si="30"/>
        <v>0</v>
      </c>
      <c r="AF692" s="10" t="e">
        <f t="shared" si="31"/>
        <v>#N/A</v>
      </c>
      <c r="AG692" s="3" t="str">
        <f t="shared" si="32"/>
        <v/>
      </c>
    </row>
    <row r="693" spans="1:33" x14ac:dyDescent="0.25">
      <c r="A693" s="7"/>
      <c r="B693" s="8"/>
      <c r="C693" s="3"/>
      <c r="D693" s="3"/>
      <c r="E693" s="3" t="e">
        <f>VLOOKUP(D693,VIAJES!$D:$E,2,FALSE)</f>
        <v>#N/A</v>
      </c>
      <c r="F693" s="9" t="e">
        <f>VLOOKUP(D693,VIAJES!$D:$F,3,FALSE)</f>
        <v>#N/A</v>
      </c>
      <c r="G693" s="9" t="e">
        <f>VLOOKUP(D693,VIAJES!$D:$G,4,FALSE)</f>
        <v>#N/A</v>
      </c>
      <c r="H693" s="3" t="e">
        <f>VLOOKUP(D693,VIAJES!$D:$H,5,FALSE)</f>
        <v>#N/A</v>
      </c>
      <c r="S693" s="3">
        <f>IFERROR(INDEX(EVENTOS!$D:$D,MATCH(SCORE!S$2&amp;" "&amp;SCORE!$D693,EVENTOS!$F:$F,0)),0)</f>
        <v>0</v>
      </c>
      <c r="T693" s="3">
        <f>IFERROR(INDEX(EVENTOS!$D:$D,MATCH(SCORE!T$2&amp;" "&amp;SCORE!$D693,EVENTOS!$F:$F,0)),0)</f>
        <v>0</v>
      </c>
      <c r="U693" s="3">
        <f>IFERROR(INDEX(EVENTOS!$D:$D,MATCH(SCORE!U$2&amp;" "&amp;SCORE!$D693,EVENTOS!$F:$F,0)),0)</f>
        <v>0</v>
      </c>
      <c r="V693" s="3">
        <f>IFERROR(INDEX(EVENTOS!$D:$D,MATCH(SCORE!V$2&amp;" "&amp;SCORE!$D693,EVENTOS!$F:$F,0)),0)</f>
        <v>0</v>
      </c>
      <c r="W693" s="3">
        <f>IFERROR(INDEX(EVENTOS!$D:$D,MATCH(SCORE!W$2&amp;" "&amp;SCORE!$D693,EVENTOS!$F:$F,0)),0)</f>
        <v>0</v>
      </c>
      <c r="X693" s="3">
        <f>IFERROR(INDEX(EVENTOS!$D:$D,MATCH(SCORE!X$2&amp;" "&amp;SCORE!$D693,EVENTOS!$F:$F,0)),0)</f>
        <v>0</v>
      </c>
      <c r="Y693" s="3">
        <f>SUMIFS(EVENTOS!$D:$D, EVENTOS!$B:$B, D693, EVENTOS!$E:$E, "*GirAlto*")</f>
        <v>0</v>
      </c>
      <c r="Z693" s="3">
        <f>SUMIFS(EVENTOS!$D:$D, EVENTOS!$B:$B, D693, EVENTOS!$E:$E, "*GirMed*")</f>
        <v>0</v>
      </c>
      <c r="AA693" s="3">
        <f>SUMIFS(EVENTOS!$D:$D, EVENTOS!$B:$B, D693, EVENTOS!$E:$E, "*GirBajo*")</f>
        <v>0</v>
      </c>
      <c r="AB693" s="3">
        <f>IFERROR(INDEX(EVENTOS!$D:$D,MATCH(SCORE!AB$2&amp;" "&amp;SCORE!$D693,EVENTOS!$F:$F,0)),0)</f>
        <v>0</v>
      </c>
      <c r="AC693" s="3">
        <f>IFERROR(INDEX(EVENTOS!$D:$D,MATCH(SCORE!AC$2&amp;" "&amp;SCORE!$D693,EVENTOS!$F:$F,0)),0)</f>
        <v>0</v>
      </c>
      <c r="AD693" s="3">
        <f>IFERROR(INDEX(EVENTOS!$D:$D,MATCH(SCORE!AD$2&amp;" "&amp;SCORE!$D693,EVENTOS!$F:$F,0)),0)</f>
        <v>0</v>
      </c>
      <c r="AE693" s="3">
        <f t="shared" si="30"/>
        <v>0</v>
      </c>
      <c r="AF693" s="10" t="e">
        <f t="shared" si="31"/>
        <v>#N/A</v>
      </c>
      <c r="AG693" s="3" t="str">
        <f t="shared" si="32"/>
        <v/>
      </c>
    </row>
    <row r="694" spans="1:33" x14ac:dyDescent="0.25">
      <c r="A694" s="7"/>
      <c r="B694" s="8"/>
      <c r="C694" s="3"/>
      <c r="D694" s="3"/>
      <c r="E694" s="3" t="e">
        <f>VLOOKUP(D694,VIAJES!$D:$E,2,FALSE)</f>
        <v>#N/A</v>
      </c>
      <c r="F694" s="9" t="e">
        <f>VLOOKUP(D694,VIAJES!$D:$F,3,FALSE)</f>
        <v>#N/A</v>
      </c>
      <c r="G694" s="9" t="e">
        <f>VLOOKUP(D694,VIAJES!$D:$G,4,FALSE)</f>
        <v>#N/A</v>
      </c>
      <c r="H694" s="3" t="e">
        <f>VLOOKUP(D694,VIAJES!$D:$H,5,FALSE)</f>
        <v>#N/A</v>
      </c>
      <c r="S694" s="3">
        <f>IFERROR(INDEX(EVENTOS!$D:$D,MATCH(SCORE!S$2&amp;" "&amp;SCORE!$D694,EVENTOS!$F:$F,0)),0)</f>
        <v>0</v>
      </c>
      <c r="T694" s="3">
        <f>IFERROR(INDEX(EVENTOS!$D:$D,MATCH(SCORE!T$2&amp;" "&amp;SCORE!$D694,EVENTOS!$F:$F,0)),0)</f>
        <v>0</v>
      </c>
      <c r="U694" s="3">
        <f>IFERROR(INDEX(EVENTOS!$D:$D,MATCH(SCORE!U$2&amp;" "&amp;SCORE!$D694,EVENTOS!$F:$F,0)),0)</f>
        <v>0</v>
      </c>
      <c r="V694" s="3">
        <f>IFERROR(INDEX(EVENTOS!$D:$D,MATCH(SCORE!V$2&amp;" "&amp;SCORE!$D694,EVENTOS!$F:$F,0)),0)</f>
        <v>0</v>
      </c>
      <c r="W694" s="3">
        <f>IFERROR(INDEX(EVENTOS!$D:$D,MATCH(SCORE!W$2&amp;" "&amp;SCORE!$D694,EVENTOS!$F:$F,0)),0)</f>
        <v>0</v>
      </c>
      <c r="X694" s="3">
        <f>IFERROR(INDEX(EVENTOS!$D:$D,MATCH(SCORE!X$2&amp;" "&amp;SCORE!$D694,EVENTOS!$F:$F,0)),0)</f>
        <v>0</v>
      </c>
      <c r="Y694" s="3">
        <f>SUMIFS(EVENTOS!$D:$D, EVENTOS!$B:$B, D694, EVENTOS!$E:$E, "*GirAlto*")</f>
        <v>0</v>
      </c>
      <c r="Z694" s="3">
        <f>SUMIFS(EVENTOS!$D:$D, EVENTOS!$B:$B, D694, EVENTOS!$E:$E, "*GirMed*")</f>
        <v>0</v>
      </c>
      <c r="AA694" s="3">
        <f>SUMIFS(EVENTOS!$D:$D, EVENTOS!$B:$B, D694, EVENTOS!$E:$E, "*GirBajo*")</f>
        <v>0</v>
      </c>
      <c r="AB694" s="3">
        <f>IFERROR(INDEX(EVENTOS!$D:$D,MATCH(SCORE!AB$2&amp;" "&amp;SCORE!$D694,EVENTOS!$F:$F,0)),0)</f>
        <v>0</v>
      </c>
      <c r="AC694" s="3">
        <f>IFERROR(INDEX(EVENTOS!$D:$D,MATCH(SCORE!AC$2&amp;" "&amp;SCORE!$D694,EVENTOS!$F:$F,0)),0)</f>
        <v>0</v>
      </c>
      <c r="AD694" s="3">
        <f>IFERROR(INDEX(EVENTOS!$D:$D,MATCH(SCORE!AD$2&amp;" "&amp;SCORE!$D694,EVENTOS!$F:$F,0)),0)</f>
        <v>0</v>
      </c>
      <c r="AE694" s="3">
        <f t="shared" si="30"/>
        <v>0</v>
      </c>
      <c r="AF694" s="10" t="e">
        <f t="shared" si="31"/>
        <v>#N/A</v>
      </c>
      <c r="AG694" s="3" t="str">
        <f t="shared" si="32"/>
        <v/>
      </c>
    </row>
    <row r="695" spans="1:33" x14ac:dyDescent="0.25">
      <c r="A695" s="7"/>
      <c r="B695" s="8"/>
      <c r="C695" s="3"/>
      <c r="D695" s="3"/>
      <c r="E695" s="3" t="e">
        <f>VLOOKUP(D695,VIAJES!$D:$E,2,FALSE)</f>
        <v>#N/A</v>
      </c>
      <c r="F695" s="9" t="e">
        <f>VLOOKUP(D695,VIAJES!$D:$F,3,FALSE)</f>
        <v>#N/A</v>
      </c>
      <c r="G695" s="9" t="e">
        <f>VLOOKUP(D695,VIAJES!$D:$G,4,FALSE)</f>
        <v>#N/A</v>
      </c>
      <c r="H695" s="3" t="e">
        <f>VLOOKUP(D695,VIAJES!$D:$H,5,FALSE)</f>
        <v>#N/A</v>
      </c>
      <c r="S695" s="3">
        <f>IFERROR(INDEX(EVENTOS!$D:$D,MATCH(SCORE!S$2&amp;" "&amp;SCORE!$D695,EVENTOS!$F:$F,0)),0)</f>
        <v>0</v>
      </c>
      <c r="T695" s="3">
        <f>IFERROR(INDEX(EVENTOS!$D:$D,MATCH(SCORE!T$2&amp;" "&amp;SCORE!$D695,EVENTOS!$F:$F,0)),0)</f>
        <v>0</v>
      </c>
      <c r="U695" s="3">
        <f>IFERROR(INDEX(EVENTOS!$D:$D,MATCH(SCORE!U$2&amp;" "&amp;SCORE!$D695,EVENTOS!$F:$F,0)),0)</f>
        <v>0</v>
      </c>
      <c r="V695" s="3">
        <f>IFERROR(INDEX(EVENTOS!$D:$D,MATCH(SCORE!V$2&amp;" "&amp;SCORE!$D695,EVENTOS!$F:$F,0)),0)</f>
        <v>0</v>
      </c>
      <c r="W695" s="3">
        <f>IFERROR(INDEX(EVENTOS!$D:$D,MATCH(SCORE!W$2&amp;" "&amp;SCORE!$D695,EVENTOS!$F:$F,0)),0)</f>
        <v>0</v>
      </c>
      <c r="X695" s="3">
        <f>IFERROR(INDEX(EVENTOS!$D:$D,MATCH(SCORE!X$2&amp;" "&amp;SCORE!$D695,EVENTOS!$F:$F,0)),0)</f>
        <v>0</v>
      </c>
      <c r="Y695" s="3">
        <f>SUMIFS(EVENTOS!$D:$D, EVENTOS!$B:$B, D695, EVENTOS!$E:$E, "*GirAlto*")</f>
        <v>0</v>
      </c>
      <c r="Z695" s="3">
        <f>SUMIFS(EVENTOS!$D:$D, EVENTOS!$B:$B, D695, EVENTOS!$E:$E, "*GirMed*")</f>
        <v>0</v>
      </c>
      <c r="AA695" s="3">
        <f>SUMIFS(EVENTOS!$D:$D, EVENTOS!$B:$B, D695, EVENTOS!$E:$E, "*GirBajo*")</f>
        <v>0</v>
      </c>
      <c r="AB695" s="3">
        <f>IFERROR(INDEX(EVENTOS!$D:$D,MATCH(SCORE!AB$2&amp;" "&amp;SCORE!$D695,EVENTOS!$F:$F,0)),0)</f>
        <v>0</v>
      </c>
      <c r="AC695" s="3">
        <f>IFERROR(INDEX(EVENTOS!$D:$D,MATCH(SCORE!AC$2&amp;" "&amp;SCORE!$D695,EVENTOS!$F:$F,0)),0)</f>
        <v>0</v>
      </c>
      <c r="AD695" s="3">
        <f>IFERROR(INDEX(EVENTOS!$D:$D,MATCH(SCORE!AD$2&amp;" "&amp;SCORE!$D695,EVENTOS!$F:$F,0)),0)</f>
        <v>0</v>
      </c>
      <c r="AE695" s="3">
        <f t="shared" si="30"/>
        <v>0</v>
      </c>
      <c r="AF695" s="10" t="e">
        <f t="shared" si="31"/>
        <v>#N/A</v>
      </c>
      <c r="AG695" s="3" t="str">
        <f t="shared" si="32"/>
        <v/>
      </c>
    </row>
    <row r="696" spans="1:33" x14ac:dyDescent="0.25">
      <c r="A696" s="7"/>
      <c r="B696" s="8"/>
      <c r="C696" s="3"/>
      <c r="D696" s="3"/>
      <c r="E696" s="3" t="e">
        <f>VLOOKUP(D696,VIAJES!$D:$E,2,FALSE)</f>
        <v>#N/A</v>
      </c>
      <c r="F696" s="9" t="e">
        <f>VLOOKUP(D696,VIAJES!$D:$F,3,FALSE)</f>
        <v>#N/A</v>
      </c>
      <c r="G696" s="9" t="e">
        <f>VLOOKUP(D696,VIAJES!$D:$G,4,FALSE)</f>
        <v>#N/A</v>
      </c>
      <c r="H696" s="3" t="e">
        <f>VLOOKUP(D696,VIAJES!$D:$H,5,FALSE)</f>
        <v>#N/A</v>
      </c>
      <c r="S696" s="3">
        <f>IFERROR(INDEX(EVENTOS!$D:$D,MATCH(SCORE!S$2&amp;" "&amp;SCORE!$D696,EVENTOS!$F:$F,0)),0)</f>
        <v>0</v>
      </c>
      <c r="T696" s="3">
        <f>IFERROR(INDEX(EVENTOS!$D:$D,MATCH(SCORE!T$2&amp;" "&amp;SCORE!$D696,EVENTOS!$F:$F,0)),0)</f>
        <v>0</v>
      </c>
      <c r="U696" s="3">
        <f>IFERROR(INDEX(EVENTOS!$D:$D,MATCH(SCORE!U$2&amp;" "&amp;SCORE!$D696,EVENTOS!$F:$F,0)),0)</f>
        <v>0</v>
      </c>
      <c r="V696" s="3">
        <f>IFERROR(INDEX(EVENTOS!$D:$D,MATCH(SCORE!V$2&amp;" "&amp;SCORE!$D696,EVENTOS!$F:$F,0)),0)</f>
        <v>0</v>
      </c>
      <c r="W696" s="3">
        <f>IFERROR(INDEX(EVENTOS!$D:$D,MATCH(SCORE!W$2&amp;" "&amp;SCORE!$D696,EVENTOS!$F:$F,0)),0)</f>
        <v>0</v>
      </c>
      <c r="X696" s="3">
        <f>IFERROR(INDEX(EVENTOS!$D:$D,MATCH(SCORE!X$2&amp;" "&amp;SCORE!$D696,EVENTOS!$F:$F,0)),0)</f>
        <v>0</v>
      </c>
      <c r="Y696" s="3">
        <f>SUMIFS(EVENTOS!$D:$D, EVENTOS!$B:$B, D696, EVENTOS!$E:$E, "*GirAlto*")</f>
        <v>0</v>
      </c>
      <c r="Z696" s="3">
        <f>SUMIFS(EVENTOS!$D:$D, EVENTOS!$B:$B, D696, EVENTOS!$E:$E, "*GirMed*")</f>
        <v>0</v>
      </c>
      <c r="AA696" s="3">
        <f>SUMIFS(EVENTOS!$D:$D, EVENTOS!$B:$B, D696, EVENTOS!$E:$E, "*GirBajo*")</f>
        <v>0</v>
      </c>
      <c r="AB696" s="3">
        <f>IFERROR(INDEX(EVENTOS!$D:$D,MATCH(SCORE!AB$2&amp;" "&amp;SCORE!$D696,EVENTOS!$F:$F,0)),0)</f>
        <v>0</v>
      </c>
      <c r="AC696" s="3">
        <f>IFERROR(INDEX(EVENTOS!$D:$D,MATCH(SCORE!AC$2&amp;" "&amp;SCORE!$D696,EVENTOS!$F:$F,0)),0)</f>
        <v>0</v>
      </c>
      <c r="AD696" s="3">
        <f>IFERROR(INDEX(EVENTOS!$D:$D,MATCH(SCORE!AD$2&amp;" "&amp;SCORE!$D696,EVENTOS!$F:$F,0)),0)</f>
        <v>0</v>
      </c>
      <c r="AE696" s="3">
        <f t="shared" si="30"/>
        <v>0</v>
      </c>
      <c r="AF696" s="10" t="e">
        <f t="shared" si="31"/>
        <v>#N/A</v>
      </c>
      <c r="AG696" s="3" t="str">
        <f t="shared" si="32"/>
        <v/>
      </c>
    </row>
    <row r="697" spans="1:33" x14ac:dyDescent="0.25">
      <c r="A697" s="7"/>
      <c r="B697" s="8"/>
      <c r="C697" s="3"/>
      <c r="D697" s="3"/>
      <c r="E697" s="3" t="e">
        <f>VLOOKUP(D697,VIAJES!$D:$E,2,FALSE)</f>
        <v>#N/A</v>
      </c>
      <c r="F697" s="9" t="e">
        <f>VLOOKUP(D697,VIAJES!$D:$F,3,FALSE)</f>
        <v>#N/A</v>
      </c>
      <c r="G697" s="9" t="e">
        <f>VLOOKUP(D697,VIAJES!$D:$G,4,FALSE)</f>
        <v>#N/A</v>
      </c>
      <c r="H697" s="3" t="e">
        <f>VLOOKUP(D697,VIAJES!$D:$H,5,FALSE)</f>
        <v>#N/A</v>
      </c>
      <c r="S697" s="3">
        <f>IFERROR(INDEX(EVENTOS!$D:$D,MATCH(SCORE!S$2&amp;" "&amp;SCORE!$D697,EVENTOS!$F:$F,0)),0)</f>
        <v>0</v>
      </c>
      <c r="T697" s="3">
        <f>IFERROR(INDEX(EVENTOS!$D:$D,MATCH(SCORE!T$2&amp;" "&amp;SCORE!$D697,EVENTOS!$F:$F,0)),0)</f>
        <v>0</v>
      </c>
      <c r="U697" s="3">
        <f>IFERROR(INDEX(EVENTOS!$D:$D,MATCH(SCORE!U$2&amp;" "&amp;SCORE!$D697,EVENTOS!$F:$F,0)),0)</f>
        <v>0</v>
      </c>
      <c r="V697" s="3">
        <f>IFERROR(INDEX(EVENTOS!$D:$D,MATCH(SCORE!V$2&amp;" "&amp;SCORE!$D697,EVENTOS!$F:$F,0)),0)</f>
        <v>0</v>
      </c>
      <c r="W697" s="3">
        <f>IFERROR(INDEX(EVENTOS!$D:$D,MATCH(SCORE!W$2&amp;" "&amp;SCORE!$D697,EVENTOS!$F:$F,0)),0)</f>
        <v>0</v>
      </c>
      <c r="X697" s="3">
        <f>IFERROR(INDEX(EVENTOS!$D:$D,MATCH(SCORE!X$2&amp;" "&amp;SCORE!$D697,EVENTOS!$F:$F,0)),0)</f>
        <v>0</v>
      </c>
      <c r="Y697" s="3">
        <f>SUMIFS(EVENTOS!$D:$D, EVENTOS!$B:$B, D697, EVENTOS!$E:$E, "*GirAlto*")</f>
        <v>0</v>
      </c>
      <c r="Z697" s="3">
        <f>SUMIFS(EVENTOS!$D:$D, EVENTOS!$B:$B, D697, EVENTOS!$E:$E, "*GirMed*")</f>
        <v>0</v>
      </c>
      <c r="AA697" s="3">
        <f>SUMIFS(EVENTOS!$D:$D, EVENTOS!$B:$B, D697, EVENTOS!$E:$E, "*GirBajo*")</f>
        <v>0</v>
      </c>
      <c r="AB697" s="3">
        <f>IFERROR(INDEX(EVENTOS!$D:$D,MATCH(SCORE!AB$2&amp;" "&amp;SCORE!$D697,EVENTOS!$F:$F,0)),0)</f>
        <v>0</v>
      </c>
      <c r="AC697" s="3">
        <f>IFERROR(INDEX(EVENTOS!$D:$D,MATCH(SCORE!AC$2&amp;" "&amp;SCORE!$D697,EVENTOS!$F:$F,0)),0)</f>
        <v>0</v>
      </c>
      <c r="AD697" s="3">
        <f>IFERROR(INDEX(EVENTOS!$D:$D,MATCH(SCORE!AD$2&amp;" "&amp;SCORE!$D697,EVENTOS!$F:$F,0)),0)</f>
        <v>0</v>
      </c>
      <c r="AE697" s="3">
        <f t="shared" si="30"/>
        <v>0</v>
      </c>
      <c r="AF697" s="10" t="e">
        <f t="shared" si="31"/>
        <v>#N/A</v>
      </c>
      <c r="AG697" s="3" t="str">
        <f t="shared" si="32"/>
        <v/>
      </c>
    </row>
    <row r="698" spans="1:33" x14ac:dyDescent="0.25">
      <c r="A698" s="7"/>
      <c r="B698" s="8"/>
      <c r="C698" s="3"/>
      <c r="D698" s="3"/>
      <c r="E698" s="3" t="e">
        <f>VLOOKUP(D698,VIAJES!$D:$E,2,FALSE)</f>
        <v>#N/A</v>
      </c>
      <c r="F698" s="9" t="e">
        <f>VLOOKUP(D698,VIAJES!$D:$F,3,FALSE)</f>
        <v>#N/A</v>
      </c>
      <c r="G698" s="9" t="e">
        <f>VLOOKUP(D698,VIAJES!$D:$G,4,FALSE)</f>
        <v>#N/A</v>
      </c>
      <c r="H698" s="3" t="e">
        <f>VLOOKUP(D698,VIAJES!$D:$H,5,FALSE)</f>
        <v>#N/A</v>
      </c>
      <c r="S698" s="3">
        <f>IFERROR(INDEX(EVENTOS!$D:$D,MATCH(SCORE!S$2&amp;" "&amp;SCORE!$D698,EVENTOS!$F:$F,0)),0)</f>
        <v>0</v>
      </c>
      <c r="T698" s="3">
        <f>IFERROR(INDEX(EVENTOS!$D:$D,MATCH(SCORE!T$2&amp;" "&amp;SCORE!$D698,EVENTOS!$F:$F,0)),0)</f>
        <v>0</v>
      </c>
      <c r="U698" s="3">
        <f>IFERROR(INDEX(EVENTOS!$D:$D,MATCH(SCORE!U$2&amp;" "&amp;SCORE!$D698,EVENTOS!$F:$F,0)),0)</f>
        <v>0</v>
      </c>
      <c r="V698" s="3">
        <f>IFERROR(INDEX(EVENTOS!$D:$D,MATCH(SCORE!V$2&amp;" "&amp;SCORE!$D698,EVENTOS!$F:$F,0)),0)</f>
        <v>0</v>
      </c>
      <c r="W698" s="3">
        <f>IFERROR(INDEX(EVENTOS!$D:$D,MATCH(SCORE!W$2&amp;" "&amp;SCORE!$D698,EVENTOS!$F:$F,0)),0)</f>
        <v>0</v>
      </c>
      <c r="X698" s="3">
        <f>IFERROR(INDEX(EVENTOS!$D:$D,MATCH(SCORE!X$2&amp;" "&amp;SCORE!$D698,EVENTOS!$F:$F,0)),0)</f>
        <v>0</v>
      </c>
      <c r="Y698" s="3">
        <f>SUMIFS(EVENTOS!$D:$D, EVENTOS!$B:$B, D698, EVENTOS!$E:$E, "*GirAlto*")</f>
        <v>0</v>
      </c>
      <c r="Z698" s="3">
        <f>SUMIFS(EVENTOS!$D:$D, EVENTOS!$B:$B, D698, EVENTOS!$E:$E, "*GirMed*")</f>
        <v>0</v>
      </c>
      <c r="AA698" s="3">
        <f>SUMIFS(EVENTOS!$D:$D, EVENTOS!$B:$B, D698, EVENTOS!$E:$E, "*GirBajo*")</f>
        <v>0</v>
      </c>
      <c r="AB698" s="3">
        <f>IFERROR(INDEX(EVENTOS!$D:$D,MATCH(SCORE!AB$2&amp;" "&amp;SCORE!$D698,EVENTOS!$F:$F,0)),0)</f>
        <v>0</v>
      </c>
      <c r="AC698" s="3">
        <f>IFERROR(INDEX(EVENTOS!$D:$D,MATCH(SCORE!AC$2&amp;" "&amp;SCORE!$D698,EVENTOS!$F:$F,0)),0)</f>
        <v>0</v>
      </c>
      <c r="AD698" s="3">
        <f>IFERROR(INDEX(EVENTOS!$D:$D,MATCH(SCORE!AD$2&amp;" "&amp;SCORE!$D698,EVENTOS!$F:$F,0)),0)</f>
        <v>0</v>
      </c>
      <c r="AE698" s="3">
        <f t="shared" si="30"/>
        <v>0</v>
      </c>
      <c r="AF698" s="10" t="e">
        <f t="shared" si="31"/>
        <v>#N/A</v>
      </c>
      <c r="AG698" s="3" t="str">
        <f t="shared" si="32"/>
        <v/>
      </c>
    </row>
    <row r="699" spans="1:33" x14ac:dyDescent="0.25">
      <c r="A699" s="7"/>
      <c r="B699" s="8"/>
      <c r="C699" s="3"/>
      <c r="D699" s="3"/>
      <c r="E699" s="3" t="e">
        <f>VLOOKUP(D699,VIAJES!$D:$E,2,FALSE)</f>
        <v>#N/A</v>
      </c>
      <c r="F699" s="9" t="e">
        <f>VLOOKUP(D699,VIAJES!$D:$F,3,FALSE)</f>
        <v>#N/A</v>
      </c>
      <c r="G699" s="9" t="e">
        <f>VLOOKUP(D699,VIAJES!$D:$G,4,FALSE)</f>
        <v>#N/A</v>
      </c>
      <c r="H699" s="3" t="e">
        <f>VLOOKUP(D699,VIAJES!$D:$H,5,FALSE)</f>
        <v>#N/A</v>
      </c>
      <c r="S699" s="3">
        <f>IFERROR(INDEX(EVENTOS!$D:$D,MATCH(SCORE!S$2&amp;" "&amp;SCORE!$D699,EVENTOS!$F:$F,0)),0)</f>
        <v>0</v>
      </c>
      <c r="T699" s="3">
        <f>IFERROR(INDEX(EVENTOS!$D:$D,MATCH(SCORE!T$2&amp;" "&amp;SCORE!$D699,EVENTOS!$F:$F,0)),0)</f>
        <v>0</v>
      </c>
      <c r="U699" s="3">
        <f>IFERROR(INDEX(EVENTOS!$D:$D,MATCH(SCORE!U$2&amp;" "&amp;SCORE!$D699,EVENTOS!$F:$F,0)),0)</f>
        <v>0</v>
      </c>
      <c r="V699" s="3">
        <f>IFERROR(INDEX(EVENTOS!$D:$D,MATCH(SCORE!V$2&amp;" "&amp;SCORE!$D699,EVENTOS!$F:$F,0)),0)</f>
        <v>0</v>
      </c>
      <c r="W699" s="3">
        <f>IFERROR(INDEX(EVENTOS!$D:$D,MATCH(SCORE!W$2&amp;" "&amp;SCORE!$D699,EVENTOS!$F:$F,0)),0)</f>
        <v>0</v>
      </c>
      <c r="X699" s="3">
        <f>IFERROR(INDEX(EVENTOS!$D:$D,MATCH(SCORE!X$2&amp;" "&amp;SCORE!$D699,EVENTOS!$F:$F,0)),0)</f>
        <v>0</v>
      </c>
      <c r="Y699" s="3">
        <f>SUMIFS(EVENTOS!$D:$D, EVENTOS!$B:$B, D699, EVENTOS!$E:$E, "*GirAlto*")</f>
        <v>0</v>
      </c>
      <c r="Z699" s="3">
        <f>SUMIFS(EVENTOS!$D:$D, EVENTOS!$B:$B, D699, EVENTOS!$E:$E, "*GirMed*")</f>
        <v>0</v>
      </c>
      <c r="AA699" s="3">
        <f>SUMIFS(EVENTOS!$D:$D, EVENTOS!$B:$B, D699, EVENTOS!$E:$E, "*GirBajo*")</f>
        <v>0</v>
      </c>
      <c r="AB699" s="3">
        <f>IFERROR(INDEX(EVENTOS!$D:$D,MATCH(SCORE!AB$2&amp;" "&amp;SCORE!$D699,EVENTOS!$F:$F,0)),0)</f>
        <v>0</v>
      </c>
      <c r="AC699" s="3">
        <f>IFERROR(INDEX(EVENTOS!$D:$D,MATCH(SCORE!AC$2&amp;" "&amp;SCORE!$D699,EVENTOS!$F:$F,0)),0)</f>
        <v>0</v>
      </c>
      <c r="AD699" s="3">
        <f>IFERROR(INDEX(EVENTOS!$D:$D,MATCH(SCORE!AD$2&amp;" "&amp;SCORE!$D699,EVENTOS!$F:$F,0)),0)</f>
        <v>0</v>
      </c>
      <c r="AE699" s="3">
        <f t="shared" si="30"/>
        <v>0</v>
      </c>
      <c r="AF699" s="10" t="e">
        <f t="shared" si="31"/>
        <v>#N/A</v>
      </c>
      <c r="AG699" s="3" t="str">
        <f t="shared" si="32"/>
        <v/>
      </c>
    </row>
    <row r="700" spans="1:33" x14ac:dyDescent="0.25">
      <c r="A700" s="7"/>
      <c r="B700" s="8"/>
      <c r="C700" s="3"/>
      <c r="D700" s="3"/>
      <c r="E700" s="3" t="e">
        <f>VLOOKUP(D700,VIAJES!$D:$E,2,FALSE)</f>
        <v>#N/A</v>
      </c>
      <c r="F700" s="9" t="e">
        <f>VLOOKUP(D700,VIAJES!$D:$F,3,FALSE)</f>
        <v>#N/A</v>
      </c>
      <c r="G700" s="9" t="e">
        <f>VLOOKUP(D700,VIAJES!$D:$G,4,FALSE)</f>
        <v>#N/A</v>
      </c>
      <c r="H700" s="3" t="e">
        <f>VLOOKUP(D700,VIAJES!$D:$H,5,FALSE)</f>
        <v>#N/A</v>
      </c>
      <c r="S700" s="3">
        <f>IFERROR(INDEX(EVENTOS!$D:$D,MATCH(SCORE!S$2&amp;" "&amp;SCORE!$D700,EVENTOS!$F:$F,0)),0)</f>
        <v>0</v>
      </c>
      <c r="T700" s="3">
        <f>IFERROR(INDEX(EVENTOS!$D:$D,MATCH(SCORE!T$2&amp;" "&amp;SCORE!$D700,EVENTOS!$F:$F,0)),0)</f>
        <v>0</v>
      </c>
      <c r="U700" s="3">
        <f>IFERROR(INDEX(EVENTOS!$D:$D,MATCH(SCORE!U$2&amp;" "&amp;SCORE!$D700,EVENTOS!$F:$F,0)),0)</f>
        <v>0</v>
      </c>
      <c r="V700" s="3">
        <f>IFERROR(INDEX(EVENTOS!$D:$D,MATCH(SCORE!V$2&amp;" "&amp;SCORE!$D700,EVENTOS!$F:$F,0)),0)</f>
        <v>0</v>
      </c>
      <c r="W700" s="3">
        <f>IFERROR(INDEX(EVENTOS!$D:$D,MATCH(SCORE!W$2&amp;" "&amp;SCORE!$D700,EVENTOS!$F:$F,0)),0)</f>
        <v>0</v>
      </c>
      <c r="X700" s="3">
        <f>IFERROR(INDEX(EVENTOS!$D:$D,MATCH(SCORE!X$2&amp;" "&amp;SCORE!$D700,EVENTOS!$F:$F,0)),0)</f>
        <v>0</v>
      </c>
      <c r="Y700" s="3">
        <f>SUMIFS(EVENTOS!$D:$D, EVENTOS!$B:$B, D700, EVENTOS!$E:$E, "*GirAlto*")</f>
        <v>0</v>
      </c>
      <c r="Z700" s="3">
        <f>SUMIFS(EVENTOS!$D:$D, EVENTOS!$B:$B, D700, EVENTOS!$E:$E, "*GirMed*")</f>
        <v>0</v>
      </c>
      <c r="AA700" s="3">
        <f>SUMIFS(EVENTOS!$D:$D, EVENTOS!$B:$B, D700, EVENTOS!$E:$E, "*GirBajo*")</f>
        <v>0</v>
      </c>
      <c r="AB700" s="3">
        <f>IFERROR(INDEX(EVENTOS!$D:$D,MATCH(SCORE!AB$2&amp;" "&amp;SCORE!$D700,EVENTOS!$F:$F,0)),0)</f>
        <v>0</v>
      </c>
      <c r="AC700" s="3">
        <f>IFERROR(INDEX(EVENTOS!$D:$D,MATCH(SCORE!AC$2&amp;" "&amp;SCORE!$D700,EVENTOS!$F:$F,0)),0)</f>
        <v>0</v>
      </c>
      <c r="AD700" s="3">
        <f>IFERROR(INDEX(EVENTOS!$D:$D,MATCH(SCORE!AD$2&amp;" "&amp;SCORE!$D700,EVENTOS!$F:$F,0)),0)</f>
        <v>0</v>
      </c>
      <c r="AE700" s="3">
        <f t="shared" si="30"/>
        <v>0</v>
      </c>
      <c r="AF700" s="10" t="e">
        <f t="shared" si="31"/>
        <v>#N/A</v>
      </c>
      <c r="AG700" s="3" t="str">
        <f t="shared" si="32"/>
        <v/>
      </c>
    </row>
    <row r="701" spans="1:33" x14ac:dyDescent="0.25">
      <c r="A701" s="7"/>
      <c r="B701" s="8"/>
      <c r="C701" s="3"/>
      <c r="D701" s="3"/>
      <c r="E701" s="3" t="e">
        <f>VLOOKUP(D701,VIAJES!$D:$E,2,FALSE)</f>
        <v>#N/A</v>
      </c>
      <c r="F701" s="9" t="e">
        <f>VLOOKUP(D701,VIAJES!$D:$F,3,FALSE)</f>
        <v>#N/A</v>
      </c>
      <c r="G701" s="9" t="e">
        <f>VLOOKUP(D701,VIAJES!$D:$G,4,FALSE)</f>
        <v>#N/A</v>
      </c>
      <c r="H701" s="3" t="e">
        <f>VLOOKUP(D701,VIAJES!$D:$H,5,FALSE)</f>
        <v>#N/A</v>
      </c>
      <c r="S701" s="3">
        <f>IFERROR(INDEX(EVENTOS!$D:$D,MATCH(SCORE!S$2&amp;" "&amp;SCORE!$D701,EVENTOS!$F:$F,0)),0)</f>
        <v>0</v>
      </c>
      <c r="T701" s="3">
        <f>IFERROR(INDEX(EVENTOS!$D:$D,MATCH(SCORE!T$2&amp;" "&amp;SCORE!$D701,EVENTOS!$F:$F,0)),0)</f>
        <v>0</v>
      </c>
      <c r="U701" s="3">
        <f>IFERROR(INDEX(EVENTOS!$D:$D,MATCH(SCORE!U$2&amp;" "&amp;SCORE!$D701,EVENTOS!$F:$F,0)),0)</f>
        <v>0</v>
      </c>
      <c r="V701" s="3">
        <f>IFERROR(INDEX(EVENTOS!$D:$D,MATCH(SCORE!V$2&amp;" "&amp;SCORE!$D701,EVENTOS!$F:$F,0)),0)</f>
        <v>0</v>
      </c>
      <c r="W701" s="3">
        <f>IFERROR(INDEX(EVENTOS!$D:$D,MATCH(SCORE!W$2&amp;" "&amp;SCORE!$D701,EVENTOS!$F:$F,0)),0)</f>
        <v>0</v>
      </c>
      <c r="X701" s="3">
        <f>IFERROR(INDEX(EVENTOS!$D:$D,MATCH(SCORE!X$2&amp;" "&amp;SCORE!$D701,EVENTOS!$F:$F,0)),0)</f>
        <v>0</v>
      </c>
      <c r="Y701" s="3">
        <f>SUMIFS(EVENTOS!$D:$D, EVENTOS!$B:$B, D701, EVENTOS!$E:$E, "*GirAlto*")</f>
        <v>0</v>
      </c>
      <c r="Z701" s="3">
        <f>SUMIFS(EVENTOS!$D:$D, EVENTOS!$B:$B, D701, EVENTOS!$E:$E, "*GirMed*")</f>
        <v>0</v>
      </c>
      <c r="AA701" s="3">
        <f>SUMIFS(EVENTOS!$D:$D, EVENTOS!$B:$B, D701, EVENTOS!$E:$E, "*GirBajo*")</f>
        <v>0</v>
      </c>
      <c r="AB701" s="3">
        <f>IFERROR(INDEX(EVENTOS!$D:$D,MATCH(SCORE!AB$2&amp;" "&amp;SCORE!$D701,EVENTOS!$F:$F,0)),0)</f>
        <v>0</v>
      </c>
      <c r="AC701" s="3">
        <f>IFERROR(INDEX(EVENTOS!$D:$D,MATCH(SCORE!AC$2&amp;" "&amp;SCORE!$D701,EVENTOS!$F:$F,0)),0)</f>
        <v>0</v>
      </c>
      <c r="AD701" s="3">
        <f>IFERROR(INDEX(EVENTOS!$D:$D,MATCH(SCORE!AD$2&amp;" "&amp;SCORE!$D701,EVENTOS!$F:$F,0)),0)</f>
        <v>0</v>
      </c>
      <c r="AE701" s="3">
        <f t="shared" si="30"/>
        <v>0</v>
      </c>
      <c r="AF701" s="10" t="e">
        <f t="shared" si="31"/>
        <v>#N/A</v>
      </c>
      <c r="AG701" s="3" t="str">
        <f t="shared" si="32"/>
        <v/>
      </c>
    </row>
    <row r="702" spans="1:33" x14ac:dyDescent="0.25">
      <c r="A702" s="7"/>
      <c r="B702" s="8"/>
      <c r="C702" s="3"/>
      <c r="D702" s="3"/>
      <c r="E702" s="3" t="e">
        <f>VLOOKUP(D702,VIAJES!$D:$E,2,FALSE)</f>
        <v>#N/A</v>
      </c>
      <c r="F702" s="9" t="e">
        <f>VLOOKUP(D702,VIAJES!$D:$F,3,FALSE)</f>
        <v>#N/A</v>
      </c>
      <c r="G702" s="9" t="e">
        <f>VLOOKUP(D702,VIAJES!$D:$G,4,FALSE)</f>
        <v>#N/A</v>
      </c>
      <c r="H702" s="3" t="e">
        <f>VLOOKUP(D702,VIAJES!$D:$H,5,FALSE)</f>
        <v>#N/A</v>
      </c>
      <c r="S702" s="3">
        <f>IFERROR(INDEX(EVENTOS!$D:$D,MATCH(SCORE!S$2&amp;" "&amp;SCORE!$D702,EVENTOS!$F:$F,0)),0)</f>
        <v>0</v>
      </c>
      <c r="T702" s="3">
        <f>IFERROR(INDEX(EVENTOS!$D:$D,MATCH(SCORE!T$2&amp;" "&amp;SCORE!$D702,EVENTOS!$F:$F,0)),0)</f>
        <v>0</v>
      </c>
      <c r="U702" s="3">
        <f>IFERROR(INDEX(EVENTOS!$D:$D,MATCH(SCORE!U$2&amp;" "&amp;SCORE!$D702,EVENTOS!$F:$F,0)),0)</f>
        <v>0</v>
      </c>
      <c r="V702" s="3">
        <f>IFERROR(INDEX(EVENTOS!$D:$D,MATCH(SCORE!V$2&amp;" "&amp;SCORE!$D702,EVENTOS!$F:$F,0)),0)</f>
        <v>0</v>
      </c>
      <c r="W702" s="3">
        <f>IFERROR(INDEX(EVENTOS!$D:$D,MATCH(SCORE!W$2&amp;" "&amp;SCORE!$D702,EVENTOS!$F:$F,0)),0)</f>
        <v>0</v>
      </c>
      <c r="X702" s="3">
        <f>IFERROR(INDEX(EVENTOS!$D:$D,MATCH(SCORE!X$2&amp;" "&amp;SCORE!$D702,EVENTOS!$F:$F,0)),0)</f>
        <v>0</v>
      </c>
      <c r="Y702" s="3">
        <f>SUMIFS(EVENTOS!$D:$D, EVENTOS!$B:$B, D702, EVENTOS!$E:$E, "*GirAlto*")</f>
        <v>0</v>
      </c>
      <c r="Z702" s="3">
        <f>SUMIFS(EVENTOS!$D:$D, EVENTOS!$B:$B, D702, EVENTOS!$E:$E, "*GirMed*")</f>
        <v>0</v>
      </c>
      <c r="AA702" s="3">
        <f>SUMIFS(EVENTOS!$D:$D, EVENTOS!$B:$B, D702, EVENTOS!$E:$E, "*GirBajo*")</f>
        <v>0</v>
      </c>
      <c r="AB702" s="3">
        <f>IFERROR(INDEX(EVENTOS!$D:$D,MATCH(SCORE!AB$2&amp;" "&amp;SCORE!$D702,EVENTOS!$F:$F,0)),0)</f>
        <v>0</v>
      </c>
      <c r="AC702" s="3">
        <f>IFERROR(INDEX(EVENTOS!$D:$D,MATCH(SCORE!AC$2&amp;" "&amp;SCORE!$D702,EVENTOS!$F:$F,0)),0)</f>
        <v>0</v>
      </c>
      <c r="AD702" s="3">
        <f>IFERROR(INDEX(EVENTOS!$D:$D,MATCH(SCORE!AD$2&amp;" "&amp;SCORE!$D702,EVENTOS!$F:$F,0)),0)</f>
        <v>0</v>
      </c>
      <c r="AE702" s="3">
        <f t="shared" si="30"/>
        <v>0</v>
      </c>
      <c r="AF702" s="10" t="e">
        <f t="shared" si="31"/>
        <v>#N/A</v>
      </c>
      <c r="AG702" s="3" t="str">
        <f t="shared" si="32"/>
        <v/>
      </c>
    </row>
    <row r="703" spans="1:33" x14ac:dyDescent="0.25">
      <c r="A703" s="7"/>
      <c r="B703" s="8"/>
      <c r="C703" s="3"/>
      <c r="D703" s="3"/>
      <c r="E703" s="3" t="e">
        <f>VLOOKUP(D703,VIAJES!$D:$E,2,FALSE)</f>
        <v>#N/A</v>
      </c>
      <c r="F703" s="9" t="e">
        <f>VLOOKUP(D703,VIAJES!$D:$F,3,FALSE)</f>
        <v>#N/A</v>
      </c>
      <c r="G703" s="9" t="e">
        <f>VLOOKUP(D703,VIAJES!$D:$G,4,FALSE)</f>
        <v>#N/A</v>
      </c>
      <c r="H703" s="3" t="e">
        <f>VLOOKUP(D703,VIAJES!$D:$H,5,FALSE)</f>
        <v>#N/A</v>
      </c>
      <c r="S703" s="3">
        <f>IFERROR(INDEX(EVENTOS!$D:$D,MATCH(SCORE!S$2&amp;" "&amp;SCORE!$D703,EVENTOS!$F:$F,0)),0)</f>
        <v>0</v>
      </c>
      <c r="T703" s="3">
        <f>IFERROR(INDEX(EVENTOS!$D:$D,MATCH(SCORE!T$2&amp;" "&amp;SCORE!$D703,EVENTOS!$F:$F,0)),0)</f>
        <v>0</v>
      </c>
      <c r="U703" s="3">
        <f>IFERROR(INDEX(EVENTOS!$D:$D,MATCH(SCORE!U$2&amp;" "&amp;SCORE!$D703,EVENTOS!$F:$F,0)),0)</f>
        <v>0</v>
      </c>
      <c r="V703" s="3">
        <f>IFERROR(INDEX(EVENTOS!$D:$D,MATCH(SCORE!V$2&amp;" "&amp;SCORE!$D703,EVENTOS!$F:$F,0)),0)</f>
        <v>0</v>
      </c>
      <c r="W703" s="3">
        <f>IFERROR(INDEX(EVENTOS!$D:$D,MATCH(SCORE!W$2&amp;" "&amp;SCORE!$D703,EVENTOS!$F:$F,0)),0)</f>
        <v>0</v>
      </c>
      <c r="X703" s="3">
        <f>IFERROR(INDEX(EVENTOS!$D:$D,MATCH(SCORE!X$2&amp;" "&amp;SCORE!$D703,EVENTOS!$F:$F,0)),0)</f>
        <v>0</v>
      </c>
      <c r="Y703" s="3">
        <f>SUMIFS(EVENTOS!$D:$D, EVENTOS!$B:$B, D703, EVENTOS!$E:$E, "*GirAlto*")</f>
        <v>0</v>
      </c>
      <c r="Z703" s="3">
        <f>SUMIFS(EVENTOS!$D:$D, EVENTOS!$B:$B, D703, EVENTOS!$E:$E, "*GirMed*")</f>
        <v>0</v>
      </c>
      <c r="AA703" s="3">
        <f>SUMIFS(EVENTOS!$D:$D, EVENTOS!$B:$B, D703, EVENTOS!$E:$E, "*GirBajo*")</f>
        <v>0</v>
      </c>
      <c r="AB703" s="3">
        <f>IFERROR(INDEX(EVENTOS!$D:$D,MATCH(SCORE!AB$2&amp;" "&amp;SCORE!$D703,EVENTOS!$F:$F,0)),0)</f>
        <v>0</v>
      </c>
      <c r="AC703" s="3">
        <f>IFERROR(INDEX(EVENTOS!$D:$D,MATCH(SCORE!AC$2&amp;" "&amp;SCORE!$D703,EVENTOS!$F:$F,0)),0)</f>
        <v>0</v>
      </c>
      <c r="AD703" s="3">
        <f>IFERROR(INDEX(EVENTOS!$D:$D,MATCH(SCORE!AD$2&amp;" "&amp;SCORE!$D703,EVENTOS!$F:$F,0)),0)</f>
        <v>0</v>
      </c>
      <c r="AE703" s="3">
        <f t="shared" si="30"/>
        <v>0</v>
      </c>
      <c r="AF703" s="10" t="e">
        <f t="shared" si="31"/>
        <v>#N/A</v>
      </c>
      <c r="AG703" s="3" t="str">
        <f t="shared" si="32"/>
        <v/>
      </c>
    </row>
    <row r="704" spans="1:33" x14ac:dyDescent="0.25">
      <c r="A704" s="7"/>
      <c r="B704" s="8"/>
      <c r="C704" s="3"/>
      <c r="D704" s="3"/>
      <c r="E704" s="3" t="e">
        <f>VLOOKUP(D704,VIAJES!$D:$E,2,FALSE)</f>
        <v>#N/A</v>
      </c>
      <c r="F704" s="9" t="e">
        <f>VLOOKUP(D704,VIAJES!$D:$F,3,FALSE)</f>
        <v>#N/A</v>
      </c>
      <c r="G704" s="9" t="e">
        <f>VLOOKUP(D704,VIAJES!$D:$G,4,FALSE)</f>
        <v>#N/A</v>
      </c>
      <c r="H704" s="3" t="e">
        <f>VLOOKUP(D704,VIAJES!$D:$H,5,FALSE)</f>
        <v>#N/A</v>
      </c>
      <c r="S704" s="3">
        <f>IFERROR(INDEX(EVENTOS!$D:$D,MATCH(SCORE!S$2&amp;" "&amp;SCORE!$D704,EVENTOS!$F:$F,0)),0)</f>
        <v>0</v>
      </c>
      <c r="T704" s="3">
        <f>IFERROR(INDEX(EVENTOS!$D:$D,MATCH(SCORE!T$2&amp;" "&amp;SCORE!$D704,EVENTOS!$F:$F,0)),0)</f>
        <v>0</v>
      </c>
      <c r="U704" s="3">
        <f>IFERROR(INDEX(EVENTOS!$D:$D,MATCH(SCORE!U$2&amp;" "&amp;SCORE!$D704,EVENTOS!$F:$F,0)),0)</f>
        <v>0</v>
      </c>
      <c r="V704" s="3">
        <f>IFERROR(INDEX(EVENTOS!$D:$D,MATCH(SCORE!V$2&amp;" "&amp;SCORE!$D704,EVENTOS!$F:$F,0)),0)</f>
        <v>0</v>
      </c>
      <c r="W704" s="3">
        <f>IFERROR(INDEX(EVENTOS!$D:$D,MATCH(SCORE!W$2&amp;" "&amp;SCORE!$D704,EVENTOS!$F:$F,0)),0)</f>
        <v>0</v>
      </c>
      <c r="X704" s="3">
        <f>IFERROR(INDEX(EVENTOS!$D:$D,MATCH(SCORE!X$2&amp;" "&amp;SCORE!$D704,EVENTOS!$F:$F,0)),0)</f>
        <v>0</v>
      </c>
      <c r="Y704" s="3">
        <f>SUMIFS(EVENTOS!$D:$D, EVENTOS!$B:$B, D704, EVENTOS!$E:$E, "*GirAlto*")</f>
        <v>0</v>
      </c>
      <c r="Z704" s="3">
        <f>SUMIFS(EVENTOS!$D:$D, EVENTOS!$B:$B, D704, EVENTOS!$E:$E, "*GirMed*")</f>
        <v>0</v>
      </c>
      <c r="AA704" s="3">
        <f>SUMIFS(EVENTOS!$D:$D, EVENTOS!$B:$B, D704, EVENTOS!$E:$E, "*GirBajo*")</f>
        <v>0</v>
      </c>
      <c r="AB704" s="3">
        <f>IFERROR(INDEX(EVENTOS!$D:$D,MATCH(SCORE!AB$2&amp;" "&amp;SCORE!$D704,EVENTOS!$F:$F,0)),0)</f>
        <v>0</v>
      </c>
      <c r="AC704" s="3">
        <f>IFERROR(INDEX(EVENTOS!$D:$D,MATCH(SCORE!AC$2&amp;" "&amp;SCORE!$D704,EVENTOS!$F:$F,0)),0)</f>
        <v>0</v>
      </c>
      <c r="AD704" s="3">
        <f>IFERROR(INDEX(EVENTOS!$D:$D,MATCH(SCORE!AD$2&amp;" "&amp;SCORE!$D704,EVENTOS!$F:$F,0)),0)</f>
        <v>0</v>
      </c>
      <c r="AE704" s="3">
        <f t="shared" si="30"/>
        <v>0</v>
      </c>
      <c r="AF704" s="10" t="e">
        <f t="shared" si="31"/>
        <v>#N/A</v>
      </c>
      <c r="AG704" s="3" t="str">
        <f t="shared" si="32"/>
        <v/>
      </c>
    </row>
    <row r="705" spans="1:33" x14ac:dyDescent="0.25">
      <c r="A705" s="7"/>
      <c r="B705" s="8"/>
      <c r="C705" s="3"/>
      <c r="D705" s="3"/>
      <c r="E705" s="3" t="e">
        <f>VLOOKUP(D705,VIAJES!$D:$E,2,FALSE)</f>
        <v>#N/A</v>
      </c>
      <c r="F705" s="9" t="e">
        <f>VLOOKUP(D705,VIAJES!$D:$F,3,FALSE)</f>
        <v>#N/A</v>
      </c>
      <c r="G705" s="9" t="e">
        <f>VLOOKUP(D705,VIAJES!$D:$G,4,FALSE)</f>
        <v>#N/A</v>
      </c>
      <c r="H705" s="3" t="e">
        <f>VLOOKUP(D705,VIAJES!$D:$H,5,FALSE)</f>
        <v>#N/A</v>
      </c>
      <c r="S705" s="3">
        <f>IFERROR(INDEX(EVENTOS!$D:$D,MATCH(SCORE!S$2&amp;" "&amp;SCORE!$D705,EVENTOS!$F:$F,0)),0)</f>
        <v>0</v>
      </c>
      <c r="T705" s="3">
        <f>IFERROR(INDEX(EVENTOS!$D:$D,MATCH(SCORE!T$2&amp;" "&amp;SCORE!$D705,EVENTOS!$F:$F,0)),0)</f>
        <v>0</v>
      </c>
      <c r="U705" s="3">
        <f>IFERROR(INDEX(EVENTOS!$D:$D,MATCH(SCORE!U$2&amp;" "&amp;SCORE!$D705,EVENTOS!$F:$F,0)),0)</f>
        <v>0</v>
      </c>
      <c r="V705" s="3">
        <f>IFERROR(INDEX(EVENTOS!$D:$D,MATCH(SCORE!V$2&amp;" "&amp;SCORE!$D705,EVENTOS!$F:$F,0)),0)</f>
        <v>0</v>
      </c>
      <c r="W705" s="3">
        <f>IFERROR(INDEX(EVENTOS!$D:$D,MATCH(SCORE!W$2&amp;" "&amp;SCORE!$D705,EVENTOS!$F:$F,0)),0)</f>
        <v>0</v>
      </c>
      <c r="X705" s="3">
        <f>IFERROR(INDEX(EVENTOS!$D:$D,MATCH(SCORE!X$2&amp;" "&amp;SCORE!$D705,EVENTOS!$F:$F,0)),0)</f>
        <v>0</v>
      </c>
      <c r="Y705" s="3">
        <f>SUMIFS(EVENTOS!$D:$D, EVENTOS!$B:$B, D705, EVENTOS!$E:$E, "*GirAlto*")</f>
        <v>0</v>
      </c>
      <c r="Z705" s="3">
        <f>SUMIFS(EVENTOS!$D:$D, EVENTOS!$B:$B, D705, EVENTOS!$E:$E, "*GirMed*")</f>
        <v>0</v>
      </c>
      <c r="AA705" s="3">
        <f>SUMIFS(EVENTOS!$D:$D, EVENTOS!$B:$B, D705, EVENTOS!$E:$E, "*GirBajo*")</f>
        <v>0</v>
      </c>
      <c r="AB705" s="3">
        <f>IFERROR(INDEX(EVENTOS!$D:$D,MATCH(SCORE!AB$2&amp;" "&amp;SCORE!$D705,EVENTOS!$F:$F,0)),0)</f>
        <v>0</v>
      </c>
      <c r="AC705" s="3">
        <f>IFERROR(INDEX(EVENTOS!$D:$D,MATCH(SCORE!AC$2&amp;" "&amp;SCORE!$D705,EVENTOS!$F:$F,0)),0)</f>
        <v>0</v>
      </c>
      <c r="AD705" s="3">
        <f>IFERROR(INDEX(EVENTOS!$D:$D,MATCH(SCORE!AD$2&amp;" "&amp;SCORE!$D705,EVENTOS!$F:$F,0)),0)</f>
        <v>0</v>
      </c>
      <c r="AE705" s="3">
        <f t="shared" si="30"/>
        <v>0</v>
      </c>
      <c r="AF705" s="10" t="e">
        <f t="shared" si="31"/>
        <v>#N/A</v>
      </c>
      <c r="AG705" s="3" t="str">
        <f t="shared" si="32"/>
        <v/>
      </c>
    </row>
    <row r="706" spans="1:33" x14ac:dyDescent="0.25">
      <c r="A706" s="7"/>
      <c r="B706" s="8"/>
      <c r="C706" s="3"/>
      <c r="D706" s="3"/>
      <c r="E706" s="3" t="e">
        <f>VLOOKUP(D706,VIAJES!$D:$E,2,FALSE)</f>
        <v>#N/A</v>
      </c>
      <c r="F706" s="9" t="e">
        <f>VLOOKUP(D706,VIAJES!$D:$F,3,FALSE)</f>
        <v>#N/A</v>
      </c>
      <c r="G706" s="9" t="e">
        <f>VLOOKUP(D706,VIAJES!$D:$G,4,FALSE)</f>
        <v>#N/A</v>
      </c>
      <c r="H706" s="3" t="e">
        <f>VLOOKUP(D706,VIAJES!$D:$H,5,FALSE)</f>
        <v>#N/A</v>
      </c>
      <c r="S706" s="3">
        <f>IFERROR(INDEX(EVENTOS!$D:$D,MATCH(SCORE!S$2&amp;" "&amp;SCORE!$D706,EVENTOS!$F:$F,0)),0)</f>
        <v>0</v>
      </c>
      <c r="T706" s="3">
        <f>IFERROR(INDEX(EVENTOS!$D:$D,MATCH(SCORE!T$2&amp;" "&amp;SCORE!$D706,EVENTOS!$F:$F,0)),0)</f>
        <v>0</v>
      </c>
      <c r="U706" s="3">
        <f>IFERROR(INDEX(EVENTOS!$D:$D,MATCH(SCORE!U$2&amp;" "&amp;SCORE!$D706,EVENTOS!$F:$F,0)),0)</f>
        <v>0</v>
      </c>
      <c r="V706" s="3">
        <f>IFERROR(INDEX(EVENTOS!$D:$D,MATCH(SCORE!V$2&amp;" "&amp;SCORE!$D706,EVENTOS!$F:$F,0)),0)</f>
        <v>0</v>
      </c>
      <c r="W706" s="3">
        <f>IFERROR(INDEX(EVENTOS!$D:$D,MATCH(SCORE!W$2&amp;" "&amp;SCORE!$D706,EVENTOS!$F:$F,0)),0)</f>
        <v>0</v>
      </c>
      <c r="X706" s="3">
        <f>IFERROR(INDEX(EVENTOS!$D:$D,MATCH(SCORE!X$2&amp;" "&amp;SCORE!$D706,EVENTOS!$F:$F,0)),0)</f>
        <v>0</v>
      </c>
      <c r="Y706" s="3">
        <f>SUMIFS(EVENTOS!$D:$D, EVENTOS!$B:$B, D706, EVENTOS!$E:$E, "*GirAlto*")</f>
        <v>0</v>
      </c>
      <c r="Z706" s="3">
        <f>SUMIFS(EVENTOS!$D:$D, EVENTOS!$B:$B, D706, EVENTOS!$E:$E, "*GirMed*")</f>
        <v>0</v>
      </c>
      <c r="AA706" s="3">
        <f>SUMIFS(EVENTOS!$D:$D, EVENTOS!$B:$B, D706, EVENTOS!$E:$E, "*GirBajo*")</f>
        <v>0</v>
      </c>
      <c r="AB706" s="3">
        <f>IFERROR(INDEX(EVENTOS!$D:$D,MATCH(SCORE!AB$2&amp;" "&amp;SCORE!$D706,EVENTOS!$F:$F,0)),0)</f>
        <v>0</v>
      </c>
      <c r="AC706" s="3">
        <f>IFERROR(INDEX(EVENTOS!$D:$D,MATCH(SCORE!AC$2&amp;" "&amp;SCORE!$D706,EVENTOS!$F:$F,0)),0)</f>
        <v>0</v>
      </c>
      <c r="AD706" s="3">
        <f>IFERROR(INDEX(EVENTOS!$D:$D,MATCH(SCORE!AD$2&amp;" "&amp;SCORE!$D706,EVENTOS!$F:$F,0)),0)</f>
        <v>0</v>
      </c>
      <c r="AE706" s="3">
        <f t="shared" si="30"/>
        <v>0</v>
      </c>
      <c r="AF706" s="10" t="e">
        <f t="shared" si="31"/>
        <v>#N/A</v>
      </c>
      <c r="AG706" s="3" t="str">
        <f t="shared" si="32"/>
        <v/>
      </c>
    </row>
    <row r="707" spans="1:33" x14ac:dyDescent="0.25">
      <c r="A707" s="7"/>
      <c r="B707" s="8"/>
      <c r="C707" s="3"/>
      <c r="D707" s="3"/>
      <c r="E707" s="3" t="e">
        <f>VLOOKUP(D707,VIAJES!$D:$E,2,FALSE)</f>
        <v>#N/A</v>
      </c>
      <c r="F707" s="9" t="e">
        <f>VLOOKUP(D707,VIAJES!$D:$F,3,FALSE)</f>
        <v>#N/A</v>
      </c>
      <c r="G707" s="9" t="e">
        <f>VLOOKUP(D707,VIAJES!$D:$G,4,FALSE)</f>
        <v>#N/A</v>
      </c>
      <c r="H707" s="3" t="e">
        <f>VLOOKUP(D707,VIAJES!$D:$H,5,FALSE)</f>
        <v>#N/A</v>
      </c>
      <c r="S707" s="3">
        <f>IFERROR(INDEX(EVENTOS!$D:$D,MATCH(SCORE!S$2&amp;" "&amp;SCORE!$D707,EVENTOS!$F:$F,0)),0)</f>
        <v>0</v>
      </c>
      <c r="T707" s="3">
        <f>IFERROR(INDEX(EVENTOS!$D:$D,MATCH(SCORE!T$2&amp;" "&amp;SCORE!$D707,EVENTOS!$F:$F,0)),0)</f>
        <v>0</v>
      </c>
      <c r="U707" s="3">
        <f>IFERROR(INDEX(EVENTOS!$D:$D,MATCH(SCORE!U$2&amp;" "&amp;SCORE!$D707,EVENTOS!$F:$F,0)),0)</f>
        <v>0</v>
      </c>
      <c r="V707" s="3">
        <f>IFERROR(INDEX(EVENTOS!$D:$D,MATCH(SCORE!V$2&amp;" "&amp;SCORE!$D707,EVENTOS!$F:$F,0)),0)</f>
        <v>0</v>
      </c>
      <c r="W707" s="3">
        <f>IFERROR(INDEX(EVENTOS!$D:$D,MATCH(SCORE!W$2&amp;" "&amp;SCORE!$D707,EVENTOS!$F:$F,0)),0)</f>
        <v>0</v>
      </c>
      <c r="X707" s="3">
        <f>IFERROR(INDEX(EVENTOS!$D:$D,MATCH(SCORE!X$2&amp;" "&amp;SCORE!$D707,EVENTOS!$F:$F,0)),0)</f>
        <v>0</v>
      </c>
      <c r="Y707" s="3">
        <f>SUMIFS(EVENTOS!$D:$D, EVENTOS!$B:$B, D707, EVENTOS!$E:$E, "*GirAlto*")</f>
        <v>0</v>
      </c>
      <c r="Z707" s="3">
        <f>SUMIFS(EVENTOS!$D:$D, EVENTOS!$B:$B, D707, EVENTOS!$E:$E, "*GirMed*")</f>
        <v>0</v>
      </c>
      <c r="AA707" s="3">
        <f>SUMIFS(EVENTOS!$D:$D, EVENTOS!$B:$B, D707, EVENTOS!$E:$E, "*GirBajo*")</f>
        <v>0</v>
      </c>
      <c r="AB707" s="3">
        <f>IFERROR(INDEX(EVENTOS!$D:$D,MATCH(SCORE!AB$2&amp;" "&amp;SCORE!$D707,EVENTOS!$F:$F,0)),0)</f>
        <v>0</v>
      </c>
      <c r="AC707" s="3">
        <f>IFERROR(INDEX(EVENTOS!$D:$D,MATCH(SCORE!AC$2&amp;" "&amp;SCORE!$D707,EVENTOS!$F:$F,0)),0)</f>
        <v>0</v>
      </c>
      <c r="AD707" s="3">
        <f>IFERROR(INDEX(EVENTOS!$D:$D,MATCH(SCORE!AD$2&amp;" "&amp;SCORE!$D707,EVENTOS!$F:$F,0)),0)</f>
        <v>0</v>
      </c>
      <c r="AE707" s="3">
        <f t="shared" ref="AE707:AE770" si="33">((S707+V707+Y707+AB707)*50)+((T707+W707+Z707+AC707)*25)+((U707+X707+AA707+AD707)*5)</f>
        <v>0</v>
      </c>
      <c r="AF707" s="10" t="e">
        <f t="shared" ref="AF707:AF770" si="34">AE707/(G707*24)*100</f>
        <v>#N/A</v>
      </c>
      <c r="AG707" s="3" t="str">
        <f t="shared" ref="AG707:AG770" si="35">IF(D707&lt;&gt;"",IF(AF707&gt;=30000,5,ROUNDDOWN((((5-95)*(AF707-0))/(30000-0))+95,0)),"")</f>
        <v/>
      </c>
    </row>
    <row r="708" spans="1:33" x14ac:dyDescent="0.25">
      <c r="A708" s="7"/>
      <c r="B708" s="8"/>
      <c r="C708" s="3"/>
      <c r="D708" s="3"/>
      <c r="E708" s="3" t="e">
        <f>VLOOKUP(D708,VIAJES!$D:$E,2,FALSE)</f>
        <v>#N/A</v>
      </c>
      <c r="F708" s="9" t="e">
        <f>VLOOKUP(D708,VIAJES!$D:$F,3,FALSE)</f>
        <v>#N/A</v>
      </c>
      <c r="G708" s="9" t="e">
        <f>VLOOKUP(D708,VIAJES!$D:$G,4,FALSE)</f>
        <v>#N/A</v>
      </c>
      <c r="H708" s="3" t="e">
        <f>VLOOKUP(D708,VIAJES!$D:$H,5,FALSE)</f>
        <v>#N/A</v>
      </c>
      <c r="S708" s="3">
        <f>IFERROR(INDEX(EVENTOS!$D:$D,MATCH(SCORE!S$2&amp;" "&amp;SCORE!$D708,EVENTOS!$F:$F,0)),0)</f>
        <v>0</v>
      </c>
      <c r="T708" s="3">
        <f>IFERROR(INDEX(EVENTOS!$D:$D,MATCH(SCORE!T$2&amp;" "&amp;SCORE!$D708,EVENTOS!$F:$F,0)),0)</f>
        <v>0</v>
      </c>
      <c r="U708" s="3">
        <f>IFERROR(INDEX(EVENTOS!$D:$D,MATCH(SCORE!U$2&amp;" "&amp;SCORE!$D708,EVENTOS!$F:$F,0)),0)</f>
        <v>0</v>
      </c>
      <c r="V708" s="3">
        <f>IFERROR(INDEX(EVENTOS!$D:$D,MATCH(SCORE!V$2&amp;" "&amp;SCORE!$D708,EVENTOS!$F:$F,0)),0)</f>
        <v>0</v>
      </c>
      <c r="W708" s="3">
        <f>IFERROR(INDEX(EVENTOS!$D:$D,MATCH(SCORE!W$2&amp;" "&amp;SCORE!$D708,EVENTOS!$F:$F,0)),0)</f>
        <v>0</v>
      </c>
      <c r="X708" s="3">
        <f>IFERROR(INDEX(EVENTOS!$D:$D,MATCH(SCORE!X$2&amp;" "&amp;SCORE!$D708,EVENTOS!$F:$F,0)),0)</f>
        <v>0</v>
      </c>
      <c r="Y708" s="3">
        <f>SUMIFS(EVENTOS!$D:$D, EVENTOS!$B:$B, D708, EVENTOS!$E:$E, "*GirAlto*")</f>
        <v>0</v>
      </c>
      <c r="Z708" s="3">
        <f>SUMIFS(EVENTOS!$D:$D, EVENTOS!$B:$B, D708, EVENTOS!$E:$E, "*GirMed*")</f>
        <v>0</v>
      </c>
      <c r="AA708" s="3">
        <f>SUMIFS(EVENTOS!$D:$D, EVENTOS!$B:$B, D708, EVENTOS!$E:$E, "*GirBajo*")</f>
        <v>0</v>
      </c>
      <c r="AB708" s="3">
        <f>IFERROR(INDEX(EVENTOS!$D:$D,MATCH(SCORE!AB$2&amp;" "&amp;SCORE!$D708,EVENTOS!$F:$F,0)),0)</f>
        <v>0</v>
      </c>
      <c r="AC708" s="3">
        <f>IFERROR(INDEX(EVENTOS!$D:$D,MATCH(SCORE!AC$2&amp;" "&amp;SCORE!$D708,EVENTOS!$F:$F,0)),0)</f>
        <v>0</v>
      </c>
      <c r="AD708" s="3">
        <f>IFERROR(INDEX(EVENTOS!$D:$D,MATCH(SCORE!AD$2&amp;" "&amp;SCORE!$D708,EVENTOS!$F:$F,0)),0)</f>
        <v>0</v>
      </c>
      <c r="AE708" s="3">
        <f t="shared" si="33"/>
        <v>0</v>
      </c>
      <c r="AF708" s="10" t="e">
        <f t="shared" si="34"/>
        <v>#N/A</v>
      </c>
      <c r="AG708" s="3" t="str">
        <f t="shared" si="35"/>
        <v/>
      </c>
    </row>
    <row r="709" spans="1:33" x14ac:dyDescent="0.25">
      <c r="A709" s="7"/>
      <c r="B709" s="8"/>
      <c r="C709" s="3"/>
      <c r="D709" s="3"/>
      <c r="E709" s="3" t="e">
        <f>VLOOKUP(D709,VIAJES!$D:$E,2,FALSE)</f>
        <v>#N/A</v>
      </c>
      <c r="F709" s="9" t="e">
        <f>VLOOKUP(D709,VIAJES!$D:$F,3,FALSE)</f>
        <v>#N/A</v>
      </c>
      <c r="G709" s="9" t="e">
        <f>VLOOKUP(D709,VIAJES!$D:$G,4,FALSE)</f>
        <v>#N/A</v>
      </c>
      <c r="H709" s="3" t="e">
        <f>VLOOKUP(D709,VIAJES!$D:$H,5,FALSE)</f>
        <v>#N/A</v>
      </c>
      <c r="S709" s="3">
        <f>IFERROR(INDEX(EVENTOS!$D:$D,MATCH(SCORE!S$2&amp;" "&amp;SCORE!$D709,EVENTOS!$F:$F,0)),0)</f>
        <v>0</v>
      </c>
      <c r="T709" s="3">
        <f>IFERROR(INDEX(EVENTOS!$D:$D,MATCH(SCORE!T$2&amp;" "&amp;SCORE!$D709,EVENTOS!$F:$F,0)),0)</f>
        <v>0</v>
      </c>
      <c r="U709" s="3">
        <f>IFERROR(INDEX(EVENTOS!$D:$D,MATCH(SCORE!U$2&amp;" "&amp;SCORE!$D709,EVENTOS!$F:$F,0)),0)</f>
        <v>0</v>
      </c>
      <c r="V709" s="3">
        <f>IFERROR(INDEX(EVENTOS!$D:$D,MATCH(SCORE!V$2&amp;" "&amp;SCORE!$D709,EVENTOS!$F:$F,0)),0)</f>
        <v>0</v>
      </c>
      <c r="W709" s="3">
        <f>IFERROR(INDEX(EVENTOS!$D:$D,MATCH(SCORE!W$2&amp;" "&amp;SCORE!$D709,EVENTOS!$F:$F,0)),0)</f>
        <v>0</v>
      </c>
      <c r="X709" s="3">
        <f>IFERROR(INDEX(EVENTOS!$D:$D,MATCH(SCORE!X$2&amp;" "&amp;SCORE!$D709,EVENTOS!$F:$F,0)),0)</f>
        <v>0</v>
      </c>
      <c r="Y709" s="3">
        <f>SUMIFS(EVENTOS!$D:$D, EVENTOS!$B:$B, D709, EVENTOS!$E:$E, "*GirAlto*")</f>
        <v>0</v>
      </c>
      <c r="Z709" s="3">
        <f>SUMIFS(EVENTOS!$D:$D, EVENTOS!$B:$B, D709, EVENTOS!$E:$E, "*GirMed*")</f>
        <v>0</v>
      </c>
      <c r="AA709" s="3">
        <f>SUMIFS(EVENTOS!$D:$D, EVENTOS!$B:$B, D709, EVENTOS!$E:$E, "*GirBajo*")</f>
        <v>0</v>
      </c>
      <c r="AB709" s="3">
        <f>IFERROR(INDEX(EVENTOS!$D:$D,MATCH(SCORE!AB$2&amp;" "&amp;SCORE!$D709,EVENTOS!$F:$F,0)),0)</f>
        <v>0</v>
      </c>
      <c r="AC709" s="3">
        <f>IFERROR(INDEX(EVENTOS!$D:$D,MATCH(SCORE!AC$2&amp;" "&amp;SCORE!$D709,EVENTOS!$F:$F,0)),0)</f>
        <v>0</v>
      </c>
      <c r="AD709" s="3">
        <f>IFERROR(INDEX(EVENTOS!$D:$D,MATCH(SCORE!AD$2&amp;" "&amp;SCORE!$D709,EVENTOS!$F:$F,0)),0)</f>
        <v>0</v>
      </c>
      <c r="AE709" s="3">
        <f t="shared" si="33"/>
        <v>0</v>
      </c>
      <c r="AF709" s="10" t="e">
        <f t="shared" si="34"/>
        <v>#N/A</v>
      </c>
      <c r="AG709" s="3" t="str">
        <f t="shared" si="35"/>
        <v/>
      </c>
    </row>
    <row r="710" spans="1:33" x14ac:dyDescent="0.25">
      <c r="A710" s="7"/>
      <c r="B710" s="8"/>
      <c r="C710" s="3"/>
      <c r="D710" s="3"/>
      <c r="E710" s="3" t="e">
        <f>VLOOKUP(D710,VIAJES!$D:$E,2,FALSE)</f>
        <v>#N/A</v>
      </c>
      <c r="F710" s="9" t="e">
        <f>VLOOKUP(D710,VIAJES!$D:$F,3,FALSE)</f>
        <v>#N/A</v>
      </c>
      <c r="G710" s="9" t="e">
        <f>VLOOKUP(D710,VIAJES!$D:$G,4,FALSE)</f>
        <v>#N/A</v>
      </c>
      <c r="H710" s="3" t="e">
        <f>VLOOKUP(D710,VIAJES!$D:$H,5,FALSE)</f>
        <v>#N/A</v>
      </c>
      <c r="S710" s="3">
        <f>IFERROR(INDEX(EVENTOS!$D:$D,MATCH(SCORE!S$2&amp;" "&amp;SCORE!$D710,EVENTOS!$F:$F,0)),0)</f>
        <v>0</v>
      </c>
      <c r="T710" s="3">
        <f>IFERROR(INDEX(EVENTOS!$D:$D,MATCH(SCORE!T$2&amp;" "&amp;SCORE!$D710,EVENTOS!$F:$F,0)),0)</f>
        <v>0</v>
      </c>
      <c r="U710" s="3">
        <f>IFERROR(INDEX(EVENTOS!$D:$D,MATCH(SCORE!U$2&amp;" "&amp;SCORE!$D710,EVENTOS!$F:$F,0)),0)</f>
        <v>0</v>
      </c>
      <c r="V710" s="3">
        <f>IFERROR(INDEX(EVENTOS!$D:$D,MATCH(SCORE!V$2&amp;" "&amp;SCORE!$D710,EVENTOS!$F:$F,0)),0)</f>
        <v>0</v>
      </c>
      <c r="W710" s="3">
        <f>IFERROR(INDEX(EVENTOS!$D:$D,MATCH(SCORE!W$2&amp;" "&amp;SCORE!$D710,EVENTOS!$F:$F,0)),0)</f>
        <v>0</v>
      </c>
      <c r="X710" s="3">
        <f>IFERROR(INDEX(EVENTOS!$D:$D,MATCH(SCORE!X$2&amp;" "&amp;SCORE!$D710,EVENTOS!$F:$F,0)),0)</f>
        <v>0</v>
      </c>
      <c r="Y710" s="3">
        <f>SUMIFS(EVENTOS!$D:$D, EVENTOS!$B:$B, D710, EVENTOS!$E:$E, "*GirAlto*")</f>
        <v>0</v>
      </c>
      <c r="Z710" s="3">
        <f>SUMIFS(EVENTOS!$D:$D, EVENTOS!$B:$B, D710, EVENTOS!$E:$E, "*GirMed*")</f>
        <v>0</v>
      </c>
      <c r="AA710" s="3">
        <f>SUMIFS(EVENTOS!$D:$D, EVENTOS!$B:$B, D710, EVENTOS!$E:$E, "*GirBajo*")</f>
        <v>0</v>
      </c>
      <c r="AB710" s="3">
        <f>IFERROR(INDEX(EVENTOS!$D:$D,MATCH(SCORE!AB$2&amp;" "&amp;SCORE!$D710,EVENTOS!$F:$F,0)),0)</f>
        <v>0</v>
      </c>
      <c r="AC710" s="3">
        <f>IFERROR(INDEX(EVENTOS!$D:$D,MATCH(SCORE!AC$2&amp;" "&amp;SCORE!$D710,EVENTOS!$F:$F,0)),0)</f>
        <v>0</v>
      </c>
      <c r="AD710" s="3">
        <f>IFERROR(INDEX(EVENTOS!$D:$D,MATCH(SCORE!AD$2&amp;" "&amp;SCORE!$D710,EVENTOS!$F:$F,0)),0)</f>
        <v>0</v>
      </c>
      <c r="AE710" s="3">
        <f t="shared" si="33"/>
        <v>0</v>
      </c>
      <c r="AF710" s="10" t="e">
        <f t="shared" si="34"/>
        <v>#N/A</v>
      </c>
      <c r="AG710" s="3" t="str">
        <f t="shared" si="35"/>
        <v/>
      </c>
    </row>
    <row r="711" spans="1:33" x14ac:dyDescent="0.25">
      <c r="A711" s="7"/>
      <c r="B711" s="8"/>
      <c r="C711" s="3"/>
      <c r="D711" s="3"/>
      <c r="E711" s="3" t="e">
        <f>VLOOKUP(D711,VIAJES!$D:$E,2,FALSE)</f>
        <v>#N/A</v>
      </c>
      <c r="F711" s="9" t="e">
        <f>VLOOKUP(D711,VIAJES!$D:$F,3,FALSE)</f>
        <v>#N/A</v>
      </c>
      <c r="G711" s="9" t="e">
        <f>VLOOKUP(D711,VIAJES!$D:$G,4,FALSE)</f>
        <v>#N/A</v>
      </c>
      <c r="H711" s="3" t="e">
        <f>VLOOKUP(D711,VIAJES!$D:$H,5,FALSE)</f>
        <v>#N/A</v>
      </c>
      <c r="S711" s="3">
        <f>IFERROR(INDEX(EVENTOS!$D:$D,MATCH(SCORE!S$2&amp;" "&amp;SCORE!$D711,EVENTOS!$F:$F,0)),0)</f>
        <v>0</v>
      </c>
      <c r="T711" s="3">
        <f>IFERROR(INDEX(EVENTOS!$D:$D,MATCH(SCORE!T$2&amp;" "&amp;SCORE!$D711,EVENTOS!$F:$F,0)),0)</f>
        <v>0</v>
      </c>
      <c r="U711" s="3">
        <f>IFERROR(INDEX(EVENTOS!$D:$D,MATCH(SCORE!U$2&amp;" "&amp;SCORE!$D711,EVENTOS!$F:$F,0)),0)</f>
        <v>0</v>
      </c>
      <c r="V711" s="3">
        <f>IFERROR(INDEX(EVENTOS!$D:$D,MATCH(SCORE!V$2&amp;" "&amp;SCORE!$D711,EVENTOS!$F:$F,0)),0)</f>
        <v>0</v>
      </c>
      <c r="W711" s="3">
        <f>IFERROR(INDEX(EVENTOS!$D:$D,MATCH(SCORE!W$2&amp;" "&amp;SCORE!$D711,EVENTOS!$F:$F,0)),0)</f>
        <v>0</v>
      </c>
      <c r="X711" s="3">
        <f>IFERROR(INDEX(EVENTOS!$D:$D,MATCH(SCORE!X$2&amp;" "&amp;SCORE!$D711,EVENTOS!$F:$F,0)),0)</f>
        <v>0</v>
      </c>
      <c r="Y711" s="3">
        <f>SUMIFS(EVENTOS!$D:$D, EVENTOS!$B:$B, D711, EVENTOS!$E:$E, "*GirAlto*")</f>
        <v>0</v>
      </c>
      <c r="Z711" s="3">
        <f>SUMIFS(EVENTOS!$D:$D, EVENTOS!$B:$B, D711, EVENTOS!$E:$E, "*GirMed*")</f>
        <v>0</v>
      </c>
      <c r="AA711" s="3">
        <f>SUMIFS(EVENTOS!$D:$D, EVENTOS!$B:$B, D711, EVENTOS!$E:$E, "*GirBajo*")</f>
        <v>0</v>
      </c>
      <c r="AB711" s="3">
        <f>IFERROR(INDEX(EVENTOS!$D:$D,MATCH(SCORE!AB$2&amp;" "&amp;SCORE!$D711,EVENTOS!$F:$F,0)),0)</f>
        <v>0</v>
      </c>
      <c r="AC711" s="3">
        <f>IFERROR(INDEX(EVENTOS!$D:$D,MATCH(SCORE!AC$2&amp;" "&amp;SCORE!$D711,EVENTOS!$F:$F,0)),0)</f>
        <v>0</v>
      </c>
      <c r="AD711" s="3">
        <f>IFERROR(INDEX(EVENTOS!$D:$D,MATCH(SCORE!AD$2&amp;" "&amp;SCORE!$D711,EVENTOS!$F:$F,0)),0)</f>
        <v>0</v>
      </c>
      <c r="AE711" s="3">
        <f t="shared" si="33"/>
        <v>0</v>
      </c>
      <c r="AF711" s="10" t="e">
        <f t="shared" si="34"/>
        <v>#N/A</v>
      </c>
      <c r="AG711" s="3" t="str">
        <f t="shared" si="35"/>
        <v/>
      </c>
    </row>
    <row r="712" spans="1:33" x14ac:dyDescent="0.25">
      <c r="A712" s="7"/>
      <c r="B712" s="8"/>
      <c r="C712" s="3"/>
      <c r="D712" s="3"/>
      <c r="E712" s="3" t="e">
        <f>VLOOKUP(D712,VIAJES!$D:$E,2,FALSE)</f>
        <v>#N/A</v>
      </c>
      <c r="F712" s="9" t="e">
        <f>VLOOKUP(D712,VIAJES!$D:$F,3,FALSE)</f>
        <v>#N/A</v>
      </c>
      <c r="G712" s="9" t="e">
        <f>VLOOKUP(D712,VIAJES!$D:$G,4,FALSE)</f>
        <v>#N/A</v>
      </c>
      <c r="H712" s="3" t="e">
        <f>VLOOKUP(D712,VIAJES!$D:$H,5,FALSE)</f>
        <v>#N/A</v>
      </c>
      <c r="S712" s="3">
        <f>IFERROR(INDEX(EVENTOS!$D:$D,MATCH(SCORE!S$2&amp;" "&amp;SCORE!$D712,EVENTOS!$F:$F,0)),0)</f>
        <v>0</v>
      </c>
      <c r="T712" s="3">
        <f>IFERROR(INDEX(EVENTOS!$D:$D,MATCH(SCORE!T$2&amp;" "&amp;SCORE!$D712,EVENTOS!$F:$F,0)),0)</f>
        <v>0</v>
      </c>
      <c r="U712" s="3">
        <f>IFERROR(INDEX(EVENTOS!$D:$D,MATCH(SCORE!U$2&amp;" "&amp;SCORE!$D712,EVENTOS!$F:$F,0)),0)</f>
        <v>0</v>
      </c>
      <c r="V712" s="3">
        <f>IFERROR(INDEX(EVENTOS!$D:$D,MATCH(SCORE!V$2&amp;" "&amp;SCORE!$D712,EVENTOS!$F:$F,0)),0)</f>
        <v>0</v>
      </c>
      <c r="W712" s="3">
        <f>IFERROR(INDEX(EVENTOS!$D:$D,MATCH(SCORE!W$2&amp;" "&amp;SCORE!$D712,EVENTOS!$F:$F,0)),0)</f>
        <v>0</v>
      </c>
      <c r="X712" s="3">
        <f>IFERROR(INDEX(EVENTOS!$D:$D,MATCH(SCORE!X$2&amp;" "&amp;SCORE!$D712,EVENTOS!$F:$F,0)),0)</f>
        <v>0</v>
      </c>
      <c r="Y712" s="3">
        <f>SUMIFS(EVENTOS!$D:$D, EVENTOS!$B:$B, D712, EVENTOS!$E:$E, "*GirAlto*")</f>
        <v>0</v>
      </c>
      <c r="Z712" s="3">
        <f>SUMIFS(EVENTOS!$D:$D, EVENTOS!$B:$B, D712, EVENTOS!$E:$E, "*GirMed*")</f>
        <v>0</v>
      </c>
      <c r="AA712" s="3">
        <f>SUMIFS(EVENTOS!$D:$D, EVENTOS!$B:$B, D712, EVENTOS!$E:$E, "*GirBajo*")</f>
        <v>0</v>
      </c>
      <c r="AB712" s="3">
        <f>IFERROR(INDEX(EVENTOS!$D:$D,MATCH(SCORE!AB$2&amp;" "&amp;SCORE!$D712,EVENTOS!$F:$F,0)),0)</f>
        <v>0</v>
      </c>
      <c r="AC712" s="3">
        <f>IFERROR(INDEX(EVENTOS!$D:$D,MATCH(SCORE!AC$2&amp;" "&amp;SCORE!$D712,EVENTOS!$F:$F,0)),0)</f>
        <v>0</v>
      </c>
      <c r="AD712" s="3">
        <f>IFERROR(INDEX(EVENTOS!$D:$D,MATCH(SCORE!AD$2&amp;" "&amp;SCORE!$D712,EVENTOS!$F:$F,0)),0)</f>
        <v>0</v>
      </c>
      <c r="AE712" s="3">
        <f t="shared" si="33"/>
        <v>0</v>
      </c>
      <c r="AF712" s="10" t="e">
        <f t="shared" si="34"/>
        <v>#N/A</v>
      </c>
      <c r="AG712" s="3" t="str">
        <f t="shared" si="35"/>
        <v/>
      </c>
    </row>
    <row r="713" spans="1:33" x14ac:dyDescent="0.25">
      <c r="A713" s="7"/>
      <c r="B713" s="8"/>
      <c r="C713" s="3"/>
      <c r="D713" s="3"/>
      <c r="E713" s="3" t="e">
        <f>VLOOKUP(D713,VIAJES!$D:$E,2,FALSE)</f>
        <v>#N/A</v>
      </c>
      <c r="F713" s="9" t="e">
        <f>VLOOKUP(D713,VIAJES!$D:$F,3,FALSE)</f>
        <v>#N/A</v>
      </c>
      <c r="G713" s="9" t="e">
        <f>VLOOKUP(D713,VIAJES!$D:$G,4,FALSE)</f>
        <v>#N/A</v>
      </c>
      <c r="H713" s="3" t="e">
        <f>VLOOKUP(D713,VIAJES!$D:$H,5,FALSE)</f>
        <v>#N/A</v>
      </c>
      <c r="S713" s="3">
        <f>IFERROR(INDEX(EVENTOS!$D:$D,MATCH(SCORE!S$2&amp;" "&amp;SCORE!$D713,EVENTOS!$F:$F,0)),0)</f>
        <v>0</v>
      </c>
      <c r="T713" s="3">
        <f>IFERROR(INDEX(EVENTOS!$D:$D,MATCH(SCORE!T$2&amp;" "&amp;SCORE!$D713,EVENTOS!$F:$F,0)),0)</f>
        <v>0</v>
      </c>
      <c r="U713" s="3">
        <f>IFERROR(INDEX(EVENTOS!$D:$D,MATCH(SCORE!U$2&amp;" "&amp;SCORE!$D713,EVENTOS!$F:$F,0)),0)</f>
        <v>0</v>
      </c>
      <c r="V713" s="3">
        <f>IFERROR(INDEX(EVENTOS!$D:$D,MATCH(SCORE!V$2&amp;" "&amp;SCORE!$D713,EVENTOS!$F:$F,0)),0)</f>
        <v>0</v>
      </c>
      <c r="W713" s="3">
        <f>IFERROR(INDEX(EVENTOS!$D:$D,MATCH(SCORE!W$2&amp;" "&amp;SCORE!$D713,EVENTOS!$F:$F,0)),0)</f>
        <v>0</v>
      </c>
      <c r="X713" s="3">
        <f>IFERROR(INDEX(EVENTOS!$D:$D,MATCH(SCORE!X$2&amp;" "&amp;SCORE!$D713,EVENTOS!$F:$F,0)),0)</f>
        <v>0</v>
      </c>
      <c r="Y713" s="3">
        <f>SUMIFS(EVENTOS!$D:$D, EVENTOS!$B:$B, D713, EVENTOS!$E:$E, "*GirAlto*")</f>
        <v>0</v>
      </c>
      <c r="Z713" s="3">
        <f>SUMIFS(EVENTOS!$D:$D, EVENTOS!$B:$B, D713, EVENTOS!$E:$E, "*GirMed*")</f>
        <v>0</v>
      </c>
      <c r="AA713" s="3">
        <f>SUMIFS(EVENTOS!$D:$D, EVENTOS!$B:$B, D713, EVENTOS!$E:$E, "*GirBajo*")</f>
        <v>0</v>
      </c>
      <c r="AB713" s="3">
        <f>IFERROR(INDEX(EVENTOS!$D:$D,MATCH(SCORE!AB$2&amp;" "&amp;SCORE!$D713,EVENTOS!$F:$F,0)),0)</f>
        <v>0</v>
      </c>
      <c r="AC713" s="3">
        <f>IFERROR(INDEX(EVENTOS!$D:$D,MATCH(SCORE!AC$2&amp;" "&amp;SCORE!$D713,EVENTOS!$F:$F,0)),0)</f>
        <v>0</v>
      </c>
      <c r="AD713" s="3">
        <f>IFERROR(INDEX(EVENTOS!$D:$D,MATCH(SCORE!AD$2&amp;" "&amp;SCORE!$D713,EVENTOS!$F:$F,0)),0)</f>
        <v>0</v>
      </c>
      <c r="AE713" s="3">
        <f t="shared" si="33"/>
        <v>0</v>
      </c>
      <c r="AF713" s="10" t="e">
        <f t="shared" si="34"/>
        <v>#N/A</v>
      </c>
      <c r="AG713" s="3" t="str">
        <f t="shared" si="35"/>
        <v/>
      </c>
    </row>
    <row r="714" spans="1:33" x14ac:dyDescent="0.25">
      <c r="A714" s="7"/>
      <c r="B714" s="8"/>
      <c r="C714" s="3"/>
      <c r="D714" s="3"/>
      <c r="E714" s="3" t="e">
        <f>VLOOKUP(D714,VIAJES!$D:$E,2,FALSE)</f>
        <v>#N/A</v>
      </c>
      <c r="F714" s="9" t="e">
        <f>VLOOKUP(D714,VIAJES!$D:$F,3,FALSE)</f>
        <v>#N/A</v>
      </c>
      <c r="G714" s="9" t="e">
        <f>VLOOKUP(D714,VIAJES!$D:$G,4,FALSE)</f>
        <v>#N/A</v>
      </c>
      <c r="H714" s="3" t="e">
        <f>VLOOKUP(D714,VIAJES!$D:$H,5,FALSE)</f>
        <v>#N/A</v>
      </c>
      <c r="S714" s="3">
        <f>IFERROR(INDEX(EVENTOS!$D:$D,MATCH(SCORE!S$2&amp;" "&amp;SCORE!$D714,EVENTOS!$F:$F,0)),0)</f>
        <v>0</v>
      </c>
      <c r="T714" s="3">
        <f>IFERROR(INDEX(EVENTOS!$D:$D,MATCH(SCORE!T$2&amp;" "&amp;SCORE!$D714,EVENTOS!$F:$F,0)),0)</f>
        <v>0</v>
      </c>
      <c r="U714" s="3">
        <f>IFERROR(INDEX(EVENTOS!$D:$D,MATCH(SCORE!U$2&amp;" "&amp;SCORE!$D714,EVENTOS!$F:$F,0)),0)</f>
        <v>0</v>
      </c>
      <c r="V714" s="3">
        <f>IFERROR(INDEX(EVENTOS!$D:$D,MATCH(SCORE!V$2&amp;" "&amp;SCORE!$D714,EVENTOS!$F:$F,0)),0)</f>
        <v>0</v>
      </c>
      <c r="W714" s="3">
        <f>IFERROR(INDEX(EVENTOS!$D:$D,MATCH(SCORE!W$2&amp;" "&amp;SCORE!$D714,EVENTOS!$F:$F,0)),0)</f>
        <v>0</v>
      </c>
      <c r="X714" s="3">
        <f>IFERROR(INDEX(EVENTOS!$D:$D,MATCH(SCORE!X$2&amp;" "&amp;SCORE!$D714,EVENTOS!$F:$F,0)),0)</f>
        <v>0</v>
      </c>
      <c r="Y714" s="3">
        <f>SUMIFS(EVENTOS!$D:$D, EVENTOS!$B:$B, D714, EVENTOS!$E:$E, "*GirAlto*")</f>
        <v>0</v>
      </c>
      <c r="Z714" s="3">
        <f>SUMIFS(EVENTOS!$D:$D, EVENTOS!$B:$B, D714, EVENTOS!$E:$E, "*GirMed*")</f>
        <v>0</v>
      </c>
      <c r="AA714" s="3">
        <f>SUMIFS(EVENTOS!$D:$D, EVENTOS!$B:$B, D714, EVENTOS!$E:$E, "*GirBajo*")</f>
        <v>0</v>
      </c>
      <c r="AB714" s="3">
        <f>IFERROR(INDEX(EVENTOS!$D:$D,MATCH(SCORE!AB$2&amp;" "&amp;SCORE!$D714,EVENTOS!$F:$F,0)),0)</f>
        <v>0</v>
      </c>
      <c r="AC714" s="3">
        <f>IFERROR(INDEX(EVENTOS!$D:$D,MATCH(SCORE!AC$2&amp;" "&amp;SCORE!$D714,EVENTOS!$F:$F,0)),0)</f>
        <v>0</v>
      </c>
      <c r="AD714" s="3">
        <f>IFERROR(INDEX(EVENTOS!$D:$D,MATCH(SCORE!AD$2&amp;" "&amp;SCORE!$D714,EVENTOS!$F:$F,0)),0)</f>
        <v>0</v>
      </c>
      <c r="AE714" s="3">
        <f t="shared" si="33"/>
        <v>0</v>
      </c>
      <c r="AF714" s="10" t="e">
        <f t="shared" si="34"/>
        <v>#N/A</v>
      </c>
      <c r="AG714" s="3" t="str">
        <f t="shared" si="35"/>
        <v/>
      </c>
    </row>
    <row r="715" spans="1:33" x14ac:dyDescent="0.25">
      <c r="A715" s="7"/>
      <c r="B715" s="8"/>
      <c r="C715" s="3"/>
      <c r="D715" s="3"/>
      <c r="E715" s="3" t="e">
        <f>VLOOKUP(D715,VIAJES!$D:$E,2,FALSE)</f>
        <v>#N/A</v>
      </c>
      <c r="F715" s="9" t="e">
        <f>VLOOKUP(D715,VIAJES!$D:$F,3,FALSE)</f>
        <v>#N/A</v>
      </c>
      <c r="G715" s="9" t="e">
        <f>VLOOKUP(D715,VIAJES!$D:$G,4,FALSE)</f>
        <v>#N/A</v>
      </c>
      <c r="H715" s="3" t="e">
        <f>VLOOKUP(D715,VIAJES!$D:$H,5,FALSE)</f>
        <v>#N/A</v>
      </c>
      <c r="S715" s="3">
        <f>IFERROR(INDEX(EVENTOS!$D:$D,MATCH(SCORE!S$2&amp;" "&amp;SCORE!$D715,EVENTOS!$F:$F,0)),0)</f>
        <v>0</v>
      </c>
      <c r="T715" s="3">
        <f>IFERROR(INDEX(EVENTOS!$D:$D,MATCH(SCORE!T$2&amp;" "&amp;SCORE!$D715,EVENTOS!$F:$F,0)),0)</f>
        <v>0</v>
      </c>
      <c r="U715" s="3">
        <f>IFERROR(INDEX(EVENTOS!$D:$D,MATCH(SCORE!U$2&amp;" "&amp;SCORE!$D715,EVENTOS!$F:$F,0)),0)</f>
        <v>0</v>
      </c>
      <c r="V715" s="3">
        <f>IFERROR(INDEX(EVENTOS!$D:$D,MATCH(SCORE!V$2&amp;" "&amp;SCORE!$D715,EVENTOS!$F:$F,0)),0)</f>
        <v>0</v>
      </c>
      <c r="W715" s="3">
        <f>IFERROR(INDEX(EVENTOS!$D:$D,MATCH(SCORE!W$2&amp;" "&amp;SCORE!$D715,EVENTOS!$F:$F,0)),0)</f>
        <v>0</v>
      </c>
      <c r="X715" s="3">
        <f>IFERROR(INDEX(EVENTOS!$D:$D,MATCH(SCORE!X$2&amp;" "&amp;SCORE!$D715,EVENTOS!$F:$F,0)),0)</f>
        <v>0</v>
      </c>
      <c r="Y715" s="3">
        <f>SUMIFS(EVENTOS!$D:$D, EVENTOS!$B:$B, D715, EVENTOS!$E:$E, "*GirAlto*")</f>
        <v>0</v>
      </c>
      <c r="Z715" s="3">
        <f>SUMIFS(EVENTOS!$D:$D, EVENTOS!$B:$B, D715, EVENTOS!$E:$E, "*GirMed*")</f>
        <v>0</v>
      </c>
      <c r="AA715" s="3">
        <f>SUMIFS(EVENTOS!$D:$D, EVENTOS!$B:$B, D715, EVENTOS!$E:$E, "*GirBajo*")</f>
        <v>0</v>
      </c>
      <c r="AB715" s="3">
        <f>IFERROR(INDEX(EVENTOS!$D:$D,MATCH(SCORE!AB$2&amp;" "&amp;SCORE!$D715,EVENTOS!$F:$F,0)),0)</f>
        <v>0</v>
      </c>
      <c r="AC715" s="3">
        <f>IFERROR(INDEX(EVENTOS!$D:$D,MATCH(SCORE!AC$2&amp;" "&amp;SCORE!$D715,EVENTOS!$F:$F,0)),0)</f>
        <v>0</v>
      </c>
      <c r="AD715" s="3">
        <f>IFERROR(INDEX(EVENTOS!$D:$D,MATCH(SCORE!AD$2&amp;" "&amp;SCORE!$D715,EVENTOS!$F:$F,0)),0)</f>
        <v>0</v>
      </c>
      <c r="AE715" s="3">
        <f t="shared" si="33"/>
        <v>0</v>
      </c>
      <c r="AF715" s="10" t="e">
        <f t="shared" si="34"/>
        <v>#N/A</v>
      </c>
      <c r="AG715" s="3" t="str">
        <f t="shared" si="35"/>
        <v/>
      </c>
    </row>
    <row r="716" spans="1:33" x14ac:dyDescent="0.25">
      <c r="A716" s="7"/>
      <c r="B716" s="8"/>
      <c r="C716" s="3"/>
      <c r="D716" s="3"/>
      <c r="E716" s="3" t="e">
        <f>VLOOKUP(D716,VIAJES!$D:$E,2,FALSE)</f>
        <v>#N/A</v>
      </c>
      <c r="F716" s="9" t="e">
        <f>VLOOKUP(D716,VIAJES!$D:$F,3,FALSE)</f>
        <v>#N/A</v>
      </c>
      <c r="G716" s="9" t="e">
        <f>VLOOKUP(D716,VIAJES!$D:$G,4,FALSE)</f>
        <v>#N/A</v>
      </c>
      <c r="H716" s="3" t="e">
        <f>VLOOKUP(D716,VIAJES!$D:$H,5,FALSE)</f>
        <v>#N/A</v>
      </c>
      <c r="S716" s="3">
        <f>IFERROR(INDEX(EVENTOS!$D:$D,MATCH(SCORE!S$2&amp;" "&amp;SCORE!$D716,EVENTOS!$F:$F,0)),0)</f>
        <v>0</v>
      </c>
      <c r="T716" s="3">
        <f>IFERROR(INDEX(EVENTOS!$D:$D,MATCH(SCORE!T$2&amp;" "&amp;SCORE!$D716,EVENTOS!$F:$F,0)),0)</f>
        <v>0</v>
      </c>
      <c r="U716" s="3">
        <f>IFERROR(INDEX(EVENTOS!$D:$D,MATCH(SCORE!U$2&amp;" "&amp;SCORE!$D716,EVENTOS!$F:$F,0)),0)</f>
        <v>0</v>
      </c>
      <c r="V716" s="3">
        <f>IFERROR(INDEX(EVENTOS!$D:$D,MATCH(SCORE!V$2&amp;" "&amp;SCORE!$D716,EVENTOS!$F:$F,0)),0)</f>
        <v>0</v>
      </c>
      <c r="W716" s="3">
        <f>IFERROR(INDEX(EVENTOS!$D:$D,MATCH(SCORE!W$2&amp;" "&amp;SCORE!$D716,EVENTOS!$F:$F,0)),0)</f>
        <v>0</v>
      </c>
      <c r="X716" s="3">
        <f>IFERROR(INDEX(EVENTOS!$D:$D,MATCH(SCORE!X$2&amp;" "&amp;SCORE!$D716,EVENTOS!$F:$F,0)),0)</f>
        <v>0</v>
      </c>
      <c r="Y716" s="3">
        <f>SUMIFS(EVENTOS!$D:$D, EVENTOS!$B:$B, D716, EVENTOS!$E:$E, "*GirAlto*")</f>
        <v>0</v>
      </c>
      <c r="Z716" s="3">
        <f>SUMIFS(EVENTOS!$D:$D, EVENTOS!$B:$B, D716, EVENTOS!$E:$E, "*GirMed*")</f>
        <v>0</v>
      </c>
      <c r="AA716" s="3">
        <f>SUMIFS(EVENTOS!$D:$D, EVENTOS!$B:$B, D716, EVENTOS!$E:$E, "*GirBajo*")</f>
        <v>0</v>
      </c>
      <c r="AB716" s="3">
        <f>IFERROR(INDEX(EVENTOS!$D:$D,MATCH(SCORE!AB$2&amp;" "&amp;SCORE!$D716,EVENTOS!$F:$F,0)),0)</f>
        <v>0</v>
      </c>
      <c r="AC716" s="3">
        <f>IFERROR(INDEX(EVENTOS!$D:$D,MATCH(SCORE!AC$2&amp;" "&amp;SCORE!$D716,EVENTOS!$F:$F,0)),0)</f>
        <v>0</v>
      </c>
      <c r="AD716" s="3">
        <f>IFERROR(INDEX(EVENTOS!$D:$D,MATCH(SCORE!AD$2&amp;" "&amp;SCORE!$D716,EVENTOS!$F:$F,0)),0)</f>
        <v>0</v>
      </c>
      <c r="AE716" s="3">
        <f t="shared" si="33"/>
        <v>0</v>
      </c>
      <c r="AF716" s="10" t="e">
        <f t="shared" si="34"/>
        <v>#N/A</v>
      </c>
      <c r="AG716" s="3" t="str">
        <f t="shared" si="35"/>
        <v/>
      </c>
    </row>
    <row r="717" spans="1:33" x14ac:dyDescent="0.25">
      <c r="A717" s="7"/>
      <c r="B717" s="8"/>
      <c r="C717" s="3"/>
      <c r="D717" s="3"/>
      <c r="E717" s="3" t="e">
        <f>VLOOKUP(D717,VIAJES!$D:$E,2,FALSE)</f>
        <v>#N/A</v>
      </c>
      <c r="F717" s="9" t="e">
        <f>VLOOKUP(D717,VIAJES!$D:$F,3,FALSE)</f>
        <v>#N/A</v>
      </c>
      <c r="G717" s="9" t="e">
        <f>VLOOKUP(D717,VIAJES!$D:$G,4,FALSE)</f>
        <v>#N/A</v>
      </c>
      <c r="H717" s="3" t="e">
        <f>VLOOKUP(D717,VIAJES!$D:$H,5,FALSE)</f>
        <v>#N/A</v>
      </c>
      <c r="S717" s="3">
        <f>IFERROR(INDEX(EVENTOS!$D:$D,MATCH(SCORE!S$2&amp;" "&amp;SCORE!$D717,EVENTOS!$F:$F,0)),0)</f>
        <v>0</v>
      </c>
      <c r="T717" s="3">
        <f>IFERROR(INDEX(EVENTOS!$D:$D,MATCH(SCORE!T$2&amp;" "&amp;SCORE!$D717,EVENTOS!$F:$F,0)),0)</f>
        <v>0</v>
      </c>
      <c r="U717" s="3">
        <f>IFERROR(INDEX(EVENTOS!$D:$D,MATCH(SCORE!U$2&amp;" "&amp;SCORE!$D717,EVENTOS!$F:$F,0)),0)</f>
        <v>0</v>
      </c>
      <c r="V717" s="3">
        <f>IFERROR(INDEX(EVENTOS!$D:$D,MATCH(SCORE!V$2&amp;" "&amp;SCORE!$D717,EVENTOS!$F:$F,0)),0)</f>
        <v>0</v>
      </c>
      <c r="W717" s="3">
        <f>IFERROR(INDEX(EVENTOS!$D:$D,MATCH(SCORE!W$2&amp;" "&amp;SCORE!$D717,EVENTOS!$F:$F,0)),0)</f>
        <v>0</v>
      </c>
      <c r="X717" s="3">
        <f>IFERROR(INDEX(EVENTOS!$D:$D,MATCH(SCORE!X$2&amp;" "&amp;SCORE!$D717,EVENTOS!$F:$F,0)),0)</f>
        <v>0</v>
      </c>
      <c r="Y717" s="3">
        <f>SUMIFS(EVENTOS!$D:$D, EVENTOS!$B:$B, D717, EVENTOS!$E:$E, "*GirAlto*")</f>
        <v>0</v>
      </c>
      <c r="Z717" s="3">
        <f>SUMIFS(EVENTOS!$D:$D, EVENTOS!$B:$B, D717, EVENTOS!$E:$E, "*GirMed*")</f>
        <v>0</v>
      </c>
      <c r="AA717" s="3">
        <f>SUMIFS(EVENTOS!$D:$D, EVENTOS!$B:$B, D717, EVENTOS!$E:$E, "*GirBajo*")</f>
        <v>0</v>
      </c>
      <c r="AB717" s="3">
        <f>IFERROR(INDEX(EVENTOS!$D:$D,MATCH(SCORE!AB$2&amp;" "&amp;SCORE!$D717,EVENTOS!$F:$F,0)),0)</f>
        <v>0</v>
      </c>
      <c r="AC717" s="3">
        <f>IFERROR(INDEX(EVENTOS!$D:$D,MATCH(SCORE!AC$2&amp;" "&amp;SCORE!$D717,EVENTOS!$F:$F,0)),0)</f>
        <v>0</v>
      </c>
      <c r="AD717" s="3">
        <f>IFERROR(INDEX(EVENTOS!$D:$D,MATCH(SCORE!AD$2&amp;" "&amp;SCORE!$D717,EVENTOS!$F:$F,0)),0)</f>
        <v>0</v>
      </c>
      <c r="AE717" s="3">
        <f t="shared" si="33"/>
        <v>0</v>
      </c>
      <c r="AF717" s="10" t="e">
        <f t="shared" si="34"/>
        <v>#N/A</v>
      </c>
      <c r="AG717" s="3" t="str">
        <f t="shared" si="35"/>
        <v/>
      </c>
    </row>
    <row r="718" spans="1:33" x14ac:dyDescent="0.25">
      <c r="A718" s="7"/>
      <c r="B718" s="8"/>
      <c r="C718" s="3"/>
      <c r="D718" s="3"/>
      <c r="E718" s="3" t="e">
        <f>VLOOKUP(D718,VIAJES!$D:$E,2,FALSE)</f>
        <v>#N/A</v>
      </c>
      <c r="F718" s="9" t="e">
        <f>VLOOKUP(D718,VIAJES!$D:$F,3,FALSE)</f>
        <v>#N/A</v>
      </c>
      <c r="G718" s="9" t="e">
        <f>VLOOKUP(D718,VIAJES!$D:$G,4,FALSE)</f>
        <v>#N/A</v>
      </c>
      <c r="H718" s="3" t="e">
        <f>VLOOKUP(D718,VIAJES!$D:$H,5,FALSE)</f>
        <v>#N/A</v>
      </c>
      <c r="S718" s="3">
        <f>IFERROR(INDEX(EVENTOS!$D:$D,MATCH(SCORE!S$2&amp;" "&amp;SCORE!$D718,EVENTOS!$F:$F,0)),0)</f>
        <v>0</v>
      </c>
      <c r="T718" s="3">
        <f>IFERROR(INDEX(EVENTOS!$D:$D,MATCH(SCORE!T$2&amp;" "&amp;SCORE!$D718,EVENTOS!$F:$F,0)),0)</f>
        <v>0</v>
      </c>
      <c r="U718" s="3">
        <f>IFERROR(INDEX(EVENTOS!$D:$D,MATCH(SCORE!U$2&amp;" "&amp;SCORE!$D718,EVENTOS!$F:$F,0)),0)</f>
        <v>0</v>
      </c>
      <c r="V718" s="3">
        <f>IFERROR(INDEX(EVENTOS!$D:$D,MATCH(SCORE!V$2&amp;" "&amp;SCORE!$D718,EVENTOS!$F:$F,0)),0)</f>
        <v>0</v>
      </c>
      <c r="W718" s="3">
        <f>IFERROR(INDEX(EVENTOS!$D:$D,MATCH(SCORE!W$2&amp;" "&amp;SCORE!$D718,EVENTOS!$F:$F,0)),0)</f>
        <v>0</v>
      </c>
      <c r="X718" s="3">
        <f>IFERROR(INDEX(EVENTOS!$D:$D,MATCH(SCORE!X$2&amp;" "&amp;SCORE!$D718,EVENTOS!$F:$F,0)),0)</f>
        <v>0</v>
      </c>
      <c r="Y718" s="3">
        <f>SUMIFS(EVENTOS!$D:$D, EVENTOS!$B:$B, D718, EVENTOS!$E:$E, "*GirAlto*")</f>
        <v>0</v>
      </c>
      <c r="Z718" s="3">
        <f>SUMIFS(EVENTOS!$D:$D, EVENTOS!$B:$B, D718, EVENTOS!$E:$E, "*GirMed*")</f>
        <v>0</v>
      </c>
      <c r="AA718" s="3">
        <f>SUMIFS(EVENTOS!$D:$D, EVENTOS!$B:$B, D718, EVENTOS!$E:$E, "*GirBajo*")</f>
        <v>0</v>
      </c>
      <c r="AB718" s="3">
        <f>IFERROR(INDEX(EVENTOS!$D:$D,MATCH(SCORE!AB$2&amp;" "&amp;SCORE!$D718,EVENTOS!$F:$F,0)),0)</f>
        <v>0</v>
      </c>
      <c r="AC718" s="3">
        <f>IFERROR(INDEX(EVENTOS!$D:$D,MATCH(SCORE!AC$2&amp;" "&amp;SCORE!$D718,EVENTOS!$F:$F,0)),0)</f>
        <v>0</v>
      </c>
      <c r="AD718" s="3">
        <f>IFERROR(INDEX(EVENTOS!$D:$D,MATCH(SCORE!AD$2&amp;" "&amp;SCORE!$D718,EVENTOS!$F:$F,0)),0)</f>
        <v>0</v>
      </c>
      <c r="AE718" s="3">
        <f t="shared" si="33"/>
        <v>0</v>
      </c>
      <c r="AF718" s="10" t="e">
        <f t="shared" si="34"/>
        <v>#N/A</v>
      </c>
      <c r="AG718" s="3" t="str">
        <f t="shared" si="35"/>
        <v/>
      </c>
    </row>
    <row r="719" spans="1:33" x14ac:dyDescent="0.25">
      <c r="A719" s="7"/>
      <c r="B719" s="8"/>
      <c r="C719" s="3"/>
      <c r="D719" s="3"/>
      <c r="E719" s="3" t="e">
        <f>VLOOKUP(D719,VIAJES!$D:$E,2,FALSE)</f>
        <v>#N/A</v>
      </c>
      <c r="F719" s="9" t="e">
        <f>VLOOKUP(D719,VIAJES!$D:$F,3,FALSE)</f>
        <v>#N/A</v>
      </c>
      <c r="G719" s="9" t="e">
        <f>VLOOKUP(D719,VIAJES!$D:$G,4,FALSE)</f>
        <v>#N/A</v>
      </c>
      <c r="H719" s="3" t="e">
        <f>VLOOKUP(D719,VIAJES!$D:$H,5,FALSE)</f>
        <v>#N/A</v>
      </c>
      <c r="S719" s="3">
        <f>IFERROR(INDEX(EVENTOS!$D:$D,MATCH(SCORE!S$2&amp;" "&amp;SCORE!$D719,EVENTOS!$F:$F,0)),0)</f>
        <v>0</v>
      </c>
      <c r="T719" s="3">
        <f>IFERROR(INDEX(EVENTOS!$D:$D,MATCH(SCORE!T$2&amp;" "&amp;SCORE!$D719,EVENTOS!$F:$F,0)),0)</f>
        <v>0</v>
      </c>
      <c r="U719" s="3">
        <f>IFERROR(INDEX(EVENTOS!$D:$D,MATCH(SCORE!U$2&amp;" "&amp;SCORE!$D719,EVENTOS!$F:$F,0)),0)</f>
        <v>0</v>
      </c>
      <c r="V719" s="3">
        <f>IFERROR(INDEX(EVENTOS!$D:$D,MATCH(SCORE!V$2&amp;" "&amp;SCORE!$D719,EVENTOS!$F:$F,0)),0)</f>
        <v>0</v>
      </c>
      <c r="W719" s="3">
        <f>IFERROR(INDEX(EVENTOS!$D:$D,MATCH(SCORE!W$2&amp;" "&amp;SCORE!$D719,EVENTOS!$F:$F,0)),0)</f>
        <v>0</v>
      </c>
      <c r="X719" s="3">
        <f>IFERROR(INDEX(EVENTOS!$D:$D,MATCH(SCORE!X$2&amp;" "&amp;SCORE!$D719,EVENTOS!$F:$F,0)),0)</f>
        <v>0</v>
      </c>
      <c r="Y719" s="3">
        <f>SUMIFS(EVENTOS!$D:$D, EVENTOS!$B:$B, D719, EVENTOS!$E:$E, "*GirAlto*")</f>
        <v>0</v>
      </c>
      <c r="Z719" s="3">
        <f>SUMIFS(EVENTOS!$D:$D, EVENTOS!$B:$B, D719, EVENTOS!$E:$E, "*GirMed*")</f>
        <v>0</v>
      </c>
      <c r="AA719" s="3">
        <f>SUMIFS(EVENTOS!$D:$D, EVENTOS!$B:$B, D719, EVENTOS!$E:$E, "*GirBajo*")</f>
        <v>0</v>
      </c>
      <c r="AB719" s="3">
        <f>IFERROR(INDEX(EVENTOS!$D:$D,MATCH(SCORE!AB$2&amp;" "&amp;SCORE!$D719,EVENTOS!$F:$F,0)),0)</f>
        <v>0</v>
      </c>
      <c r="AC719" s="3">
        <f>IFERROR(INDEX(EVENTOS!$D:$D,MATCH(SCORE!AC$2&amp;" "&amp;SCORE!$D719,EVENTOS!$F:$F,0)),0)</f>
        <v>0</v>
      </c>
      <c r="AD719" s="3">
        <f>IFERROR(INDEX(EVENTOS!$D:$D,MATCH(SCORE!AD$2&amp;" "&amp;SCORE!$D719,EVENTOS!$F:$F,0)),0)</f>
        <v>0</v>
      </c>
      <c r="AE719" s="3">
        <f t="shared" si="33"/>
        <v>0</v>
      </c>
      <c r="AF719" s="10" t="e">
        <f t="shared" si="34"/>
        <v>#N/A</v>
      </c>
      <c r="AG719" s="3" t="str">
        <f t="shared" si="35"/>
        <v/>
      </c>
    </row>
    <row r="720" spans="1:33" x14ac:dyDescent="0.25">
      <c r="A720" s="7"/>
      <c r="B720" s="8"/>
      <c r="C720" s="3"/>
      <c r="D720" s="3"/>
      <c r="E720" s="3" t="e">
        <f>VLOOKUP(D720,VIAJES!$D:$E,2,FALSE)</f>
        <v>#N/A</v>
      </c>
      <c r="F720" s="9" t="e">
        <f>VLOOKUP(D720,VIAJES!$D:$F,3,FALSE)</f>
        <v>#N/A</v>
      </c>
      <c r="G720" s="9" t="e">
        <f>VLOOKUP(D720,VIAJES!$D:$G,4,FALSE)</f>
        <v>#N/A</v>
      </c>
      <c r="H720" s="3" t="e">
        <f>VLOOKUP(D720,VIAJES!$D:$H,5,FALSE)</f>
        <v>#N/A</v>
      </c>
      <c r="S720" s="3">
        <f>IFERROR(INDEX(EVENTOS!$D:$D,MATCH(SCORE!S$2&amp;" "&amp;SCORE!$D720,EVENTOS!$F:$F,0)),0)</f>
        <v>0</v>
      </c>
      <c r="T720" s="3">
        <f>IFERROR(INDEX(EVENTOS!$D:$D,MATCH(SCORE!T$2&amp;" "&amp;SCORE!$D720,EVENTOS!$F:$F,0)),0)</f>
        <v>0</v>
      </c>
      <c r="U720" s="3">
        <f>IFERROR(INDEX(EVENTOS!$D:$D,MATCH(SCORE!U$2&amp;" "&amp;SCORE!$D720,EVENTOS!$F:$F,0)),0)</f>
        <v>0</v>
      </c>
      <c r="V720" s="3">
        <f>IFERROR(INDEX(EVENTOS!$D:$D,MATCH(SCORE!V$2&amp;" "&amp;SCORE!$D720,EVENTOS!$F:$F,0)),0)</f>
        <v>0</v>
      </c>
      <c r="W720" s="3">
        <f>IFERROR(INDEX(EVENTOS!$D:$D,MATCH(SCORE!W$2&amp;" "&amp;SCORE!$D720,EVENTOS!$F:$F,0)),0)</f>
        <v>0</v>
      </c>
      <c r="X720" s="3">
        <f>IFERROR(INDEX(EVENTOS!$D:$D,MATCH(SCORE!X$2&amp;" "&amp;SCORE!$D720,EVENTOS!$F:$F,0)),0)</f>
        <v>0</v>
      </c>
      <c r="Y720" s="3">
        <f>SUMIFS(EVENTOS!$D:$D, EVENTOS!$B:$B, D720, EVENTOS!$E:$E, "*GirAlto*")</f>
        <v>0</v>
      </c>
      <c r="Z720" s="3">
        <f>SUMIFS(EVENTOS!$D:$D, EVENTOS!$B:$B, D720, EVENTOS!$E:$E, "*GirMed*")</f>
        <v>0</v>
      </c>
      <c r="AA720" s="3">
        <f>SUMIFS(EVENTOS!$D:$D, EVENTOS!$B:$B, D720, EVENTOS!$E:$E, "*GirBajo*")</f>
        <v>0</v>
      </c>
      <c r="AB720" s="3">
        <f>IFERROR(INDEX(EVENTOS!$D:$D,MATCH(SCORE!AB$2&amp;" "&amp;SCORE!$D720,EVENTOS!$F:$F,0)),0)</f>
        <v>0</v>
      </c>
      <c r="AC720" s="3">
        <f>IFERROR(INDEX(EVENTOS!$D:$D,MATCH(SCORE!AC$2&amp;" "&amp;SCORE!$D720,EVENTOS!$F:$F,0)),0)</f>
        <v>0</v>
      </c>
      <c r="AD720" s="3">
        <f>IFERROR(INDEX(EVENTOS!$D:$D,MATCH(SCORE!AD$2&amp;" "&amp;SCORE!$D720,EVENTOS!$F:$F,0)),0)</f>
        <v>0</v>
      </c>
      <c r="AE720" s="3">
        <f t="shared" si="33"/>
        <v>0</v>
      </c>
      <c r="AF720" s="10" t="e">
        <f t="shared" si="34"/>
        <v>#N/A</v>
      </c>
      <c r="AG720" s="3" t="str">
        <f t="shared" si="35"/>
        <v/>
      </c>
    </row>
    <row r="721" spans="1:33" x14ac:dyDescent="0.25">
      <c r="A721" s="7"/>
      <c r="B721" s="8"/>
      <c r="C721" s="3"/>
      <c r="D721" s="3"/>
      <c r="E721" s="3" t="e">
        <f>VLOOKUP(D721,VIAJES!$D:$E,2,FALSE)</f>
        <v>#N/A</v>
      </c>
      <c r="F721" s="9" t="e">
        <f>VLOOKUP(D721,VIAJES!$D:$F,3,FALSE)</f>
        <v>#N/A</v>
      </c>
      <c r="G721" s="9" t="e">
        <f>VLOOKUP(D721,VIAJES!$D:$G,4,FALSE)</f>
        <v>#N/A</v>
      </c>
      <c r="H721" s="3" t="e">
        <f>VLOOKUP(D721,VIAJES!$D:$H,5,FALSE)</f>
        <v>#N/A</v>
      </c>
      <c r="S721" s="3">
        <f>IFERROR(INDEX(EVENTOS!$D:$D,MATCH(SCORE!S$2&amp;" "&amp;SCORE!$D721,EVENTOS!$F:$F,0)),0)</f>
        <v>0</v>
      </c>
      <c r="T721" s="3">
        <f>IFERROR(INDEX(EVENTOS!$D:$D,MATCH(SCORE!T$2&amp;" "&amp;SCORE!$D721,EVENTOS!$F:$F,0)),0)</f>
        <v>0</v>
      </c>
      <c r="U721" s="3">
        <f>IFERROR(INDEX(EVENTOS!$D:$D,MATCH(SCORE!U$2&amp;" "&amp;SCORE!$D721,EVENTOS!$F:$F,0)),0)</f>
        <v>0</v>
      </c>
      <c r="V721" s="3">
        <f>IFERROR(INDEX(EVENTOS!$D:$D,MATCH(SCORE!V$2&amp;" "&amp;SCORE!$D721,EVENTOS!$F:$F,0)),0)</f>
        <v>0</v>
      </c>
      <c r="W721" s="3">
        <f>IFERROR(INDEX(EVENTOS!$D:$D,MATCH(SCORE!W$2&amp;" "&amp;SCORE!$D721,EVENTOS!$F:$F,0)),0)</f>
        <v>0</v>
      </c>
      <c r="X721" s="3">
        <f>IFERROR(INDEX(EVENTOS!$D:$D,MATCH(SCORE!X$2&amp;" "&amp;SCORE!$D721,EVENTOS!$F:$F,0)),0)</f>
        <v>0</v>
      </c>
      <c r="Y721" s="3">
        <f>SUMIFS(EVENTOS!$D:$D, EVENTOS!$B:$B, D721, EVENTOS!$E:$E, "*GirAlto*")</f>
        <v>0</v>
      </c>
      <c r="Z721" s="3">
        <f>SUMIFS(EVENTOS!$D:$D, EVENTOS!$B:$B, D721, EVENTOS!$E:$E, "*GirMed*")</f>
        <v>0</v>
      </c>
      <c r="AA721" s="3">
        <f>SUMIFS(EVENTOS!$D:$D, EVENTOS!$B:$B, D721, EVENTOS!$E:$E, "*GirBajo*")</f>
        <v>0</v>
      </c>
      <c r="AB721" s="3">
        <f>IFERROR(INDEX(EVENTOS!$D:$D,MATCH(SCORE!AB$2&amp;" "&amp;SCORE!$D721,EVENTOS!$F:$F,0)),0)</f>
        <v>0</v>
      </c>
      <c r="AC721" s="3">
        <f>IFERROR(INDEX(EVENTOS!$D:$D,MATCH(SCORE!AC$2&amp;" "&amp;SCORE!$D721,EVENTOS!$F:$F,0)),0)</f>
        <v>0</v>
      </c>
      <c r="AD721" s="3">
        <f>IFERROR(INDEX(EVENTOS!$D:$D,MATCH(SCORE!AD$2&amp;" "&amp;SCORE!$D721,EVENTOS!$F:$F,0)),0)</f>
        <v>0</v>
      </c>
      <c r="AE721" s="3">
        <f t="shared" si="33"/>
        <v>0</v>
      </c>
      <c r="AF721" s="10" t="e">
        <f t="shared" si="34"/>
        <v>#N/A</v>
      </c>
      <c r="AG721" s="3" t="str">
        <f t="shared" si="35"/>
        <v/>
      </c>
    </row>
    <row r="722" spans="1:33" x14ac:dyDescent="0.25">
      <c r="A722" s="7"/>
      <c r="B722" s="8"/>
      <c r="C722" s="3"/>
      <c r="D722" s="3"/>
      <c r="E722" s="3" t="e">
        <f>VLOOKUP(D722,VIAJES!$D:$E,2,FALSE)</f>
        <v>#N/A</v>
      </c>
      <c r="F722" s="9" t="e">
        <f>VLOOKUP(D722,VIAJES!$D:$F,3,FALSE)</f>
        <v>#N/A</v>
      </c>
      <c r="G722" s="9" t="e">
        <f>VLOOKUP(D722,VIAJES!$D:$G,4,FALSE)</f>
        <v>#N/A</v>
      </c>
      <c r="H722" s="3" t="e">
        <f>VLOOKUP(D722,VIAJES!$D:$H,5,FALSE)</f>
        <v>#N/A</v>
      </c>
      <c r="S722" s="3">
        <f>IFERROR(INDEX(EVENTOS!$D:$D,MATCH(SCORE!S$2&amp;" "&amp;SCORE!$D722,EVENTOS!$F:$F,0)),0)</f>
        <v>0</v>
      </c>
      <c r="T722" s="3">
        <f>IFERROR(INDEX(EVENTOS!$D:$D,MATCH(SCORE!T$2&amp;" "&amp;SCORE!$D722,EVENTOS!$F:$F,0)),0)</f>
        <v>0</v>
      </c>
      <c r="U722" s="3">
        <f>IFERROR(INDEX(EVENTOS!$D:$D,MATCH(SCORE!U$2&amp;" "&amp;SCORE!$D722,EVENTOS!$F:$F,0)),0)</f>
        <v>0</v>
      </c>
      <c r="V722" s="3">
        <f>IFERROR(INDEX(EVENTOS!$D:$D,MATCH(SCORE!V$2&amp;" "&amp;SCORE!$D722,EVENTOS!$F:$F,0)),0)</f>
        <v>0</v>
      </c>
      <c r="W722" s="3">
        <f>IFERROR(INDEX(EVENTOS!$D:$D,MATCH(SCORE!W$2&amp;" "&amp;SCORE!$D722,EVENTOS!$F:$F,0)),0)</f>
        <v>0</v>
      </c>
      <c r="X722" s="3">
        <f>IFERROR(INDEX(EVENTOS!$D:$D,MATCH(SCORE!X$2&amp;" "&amp;SCORE!$D722,EVENTOS!$F:$F,0)),0)</f>
        <v>0</v>
      </c>
      <c r="Y722" s="3">
        <f>SUMIFS(EVENTOS!$D:$D, EVENTOS!$B:$B, D722, EVENTOS!$E:$E, "*GirAlto*")</f>
        <v>0</v>
      </c>
      <c r="Z722" s="3">
        <f>SUMIFS(EVENTOS!$D:$D, EVENTOS!$B:$B, D722, EVENTOS!$E:$E, "*GirMed*")</f>
        <v>0</v>
      </c>
      <c r="AA722" s="3">
        <f>SUMIFS(EVENTOS!$D:$D, EVENTOS!$B:$B, D722, EVENTOS!$E:$E, "*GirBajo*")</f>
        <v>0</v>
      </c>
      <c r="AB722" s="3">
        <f>IFERROR(INDEX(EVENTOS!$D:$D,MATCH(SCORE!AB$2&amp;" "&amp;SCORE!$D722,EVENTOS!$F:$F,0)),0)</f>
        <v>0</v>
      </c>
      <c r="AC722" s="3">
        <f>IFERROR(INDEX(EVENTOS!$D:$D,MATCH(SCORE!AC$2&amp;" "&amp;SCORE!$D722,EVENTOS!$F:$F,0)),0)</f>
        <v>0</v>
      </c>
      <c r="AD722" s="3">
        <f>IFERROR(INDEX(EVENTOS!$D:$D,MATCH(SCORE!AD$2&amp;" "&amp;SCORE!$D722,EVENTOS!$F:$F,0)),0)</f>
        <v>0</v>
      </c>
      <c r="AE722" s="3">
        <f t="shared" si="33"/>
        <v>0</v>
      </c>
      <c r="AF722" s="10" t="e">
        <f t="shared" si="34"/>
        <v>#N/A</v>
      </c>
      <c r="AG722" s="3" t="str">
        <f t="shared" si="35"/>
        <v/>
      </c>
    </row>
    <row r="723" spans="1:33" x14ac:dyDescent="0.25">
      <c r="A723" s="7"/>
      <c r="B723" s="8"/>
      <c r="C723" s="3"/>
      <c r="D723" s="3"/>
      <c r="E723" s="3" t="e">
        <f>VLOOKUP(D723,VIAJES!$D:$E,2,FALSE)</f>
        <v>#N/A</v>
      </c>
      <c r="F723" s="9" t="e">
        <f>VLOOKUP(D723,VIAJES!$D:$F,3,FALSE)</f>
        <v>#N/A</v>
      </c>
      <c r="G723" s="9" t="e">
        <f>VLOOKUP(D723,VIAJES!$D:$G,4,FALSE)</f>
        <v>#N/A</v>
      </c>
      <c r="H723" s="3" t="e">
        <f>VLOOKUP(D723,VIAJES!$D:$H,5,FALSE)</f>
        <v>#N/A</v>
      </c>
      <c r="S723" s="3">
        <f>IFERROR(INDEX(EVENTOS!$D:$D,MATCH(SCORE!S$2&amp;" "&amp;SCORE!$D723,EVENTOS!$F:$F,0)),0)</f>
        <v>0</v>
      </c>
      <c r="T723" s="3">
        <f>IFERROR(INDEX(EVENTOS!$D:$D,MATCH(SCORE!T$2&amp;" "&amp;SCORE!$D723,EVENTOS!$F:$F,0)),0)</f>
        <v>0</v>
      </c>
      <c r="U723" s="3">
        <f>IFERROR(INDEX(EVENTOS!$D:$D,MATCH(SCORE!U$2&amp;" "&amp;SCORE!$D723,EVENTOS!$F:$F,0)),0)</f>
        <v>0</v>
      </c>
      <c r="V723" s="3">
        <f>IFERROR(INDEX(EVENTOS!$D:$D,MATCH(SCORE!V$2&amp;" "&amp;SCORE!$D723,EVENTOS!$F:$F,0)),0)</f>
        <v>0</v>
      </c>
      <c r="W723" s="3">
        <f>IFERROR(INDEX(EVENTOS!$D:$D,MATCH(SCORE!W$2&amp;" "&amp;SCORE!$D723,EVENTOS!$F:$F,0)),0)</f>
        <v>0</v>
      </c>
      <c r="X723" s="3">
        <f>IFERROR(INDEX(EVENTOS!$D:$D,MATCH(SCORE!X$2&amp;" "&amp;SCORE!$D723,EVENTOS!$F:$F,0)),0)</f>
        <v>0</v>
      </c>
      <c r="Y723" s="3">
        <f>SUMIFS(EVENTOS!$D:$D, EVENTOS!$B:$B, D723, EVENTOS!$E:$E, "*GirAlto*")</f>
        <v>0</v>
      </c>
      <c r="Z723" s="3">
        <f>SUMIFS(EVENTOS!$D:$D, EVENTOS!$B:$B, D723, EVENTOS!$E:$E, "*GirMed*")</f>
        <v>0</v>
      </c>
      <c r="AA723" s="3">
        <f>SUMIFS(EVENTOS!$D:$D, EVENTOS!$B:$B, D723, EVENTOS!$E:$E, "*GirBajo*")</f>
        <v>0</v>
      </c>
      <c r="AB723" s="3">
        <f>IFERROR(INDEX(EVENTOS!$D:$D,MATCH(SCORE!AB$2&amp;" "&amp;SCORE!$D723,EVENTOS!$F:$F,0)),0)</f>
        <v>0</v>
      </c>
      <c r="AC723" s="3">
        <f>IFERROR(INDEX(EVENTOS!$D:$D,MATCH(SCORE!AC$2&amp;" "&amp;SCORE!$D723,EVENTOS!$F:$F,0)),0)</f>
        <v>0</v>
      </c>
      <c r="AD723" s="3">
        <f>IFERROR(INDEX(EVENTOS!$D:$D,MATCH(SCORE!AD$2&amp;" "&amp;SCORE!$D723,EVENTOS!$F:$F,0)),0)</f>
        <v>0</v>
      </c>
      <c r="AE723" s="3">
        <f t="shared" si="33"/>
        <v>0</v>
      </c>
      <c r="AF723" s="10" t="e">
        <f t="shared" si="34"/>
        <v>#N/A</v>
      </c>
      <c r="AG723" s="3" t="str">
        <f t="shared" si="35"/>
        <v/>
      </c>
    </row>
    <row r="724" spans="1:33" x14ac:dyDescent="0.25">
      <c r="A724" s="7"/>
      <c r="B724" s="8"/>
      <c r="C724" s="3"/>
      <c r="D724" s="3"/>
      <c r="E724" s="3" t="e">
        <f>VLOOKUP(D724,VIAJES!$D:$E,2,FALSE)</f>
        <v>#N/A</v>
      </c>
      <c r="F724" s="9" t="e">
        <f>VLOOKUP(D724,VIAJES!$D:$F,3,FALSE)</f>
        <v>#N/A</v>
      </c>
      <c r="G724" s="9" t="e">
        <f>VLOOKUP(D724,VIAJES!$D:$G,4,FALSE)</f>
        <v>#N/A</v>
      </c>
      <c r="H724" s="3" t="e">
        <f>VLOOKUP(D724,VIAJES!$D:$H,5,FALSE)</f>
        <v>#N/A</v>
      </c>
      <c r="S724" s="3">
        <f>IFERROR(INDEX(EVENTOS!$D:$D,MATCH(SCORE!S$2&amp;" "&amp;SCORE!$D724,EVENTOS!$F:$F,0)),0)</f>
        <v>0</v>
      </c>
      <c r="T724" s="3">
        <f>IFERROR(INDEX(EVENTOS!$D:$D,MATCH(SCORE!T$2&amp;" "&amp;SCORE!$D724,EVENTOS!$F:$F,0)),0)</f>
        <v>0</v>
      </c>
      <c r="U724" s="3">
        <f>IFERROR(INDEX(EVENTOS!$D:$D,MATCH(SCORE!U$2&amp;" "&amp;SCORE!$D724,EVENTOS!$F:$F,0)),0)</f>
        <v>0</v>
      </c>
      <c r="V724" s="3">
        <f>IFERROR(INDEX(EVENTOS!$D:$D,MATCH(SCORE!V$2&amp;" "&amp;SCORE!$D724,EVENTOS!$F:$F,0)),0)</f>
        <v>0</v>
      </c>
      <c r="W724" s="3">
        <f>IFERROR(INDEX(EVENTOS!$D:$D,MATCH(SCORE!W$2&amp;" "&amp;SCORE!$D724,EVENTOS!$F:$F,0)),0)</f>
        <v>0</v>
      </c>
      <c r="X724" s="3">
        <f>IFERROR(INDEX(EVENTOS!$D:$D,MATCH(SCORE!X$2&amp;" "&amp;SCORE!$D724,EVENTOS!$F:$F,0)),0)</f>
        <v>0</v>
      </c>
      <c r="Y724" s="3">
        <f>SUMIFS(EVENTOS!$D:$D, EVENTOS!$B:$B, D724, EVENTOS!$E:$E, "*GirAlto*")</f>
        <v>0</v>
      </c>
      <c r="Z724" s="3">
        <f>SUMIFS(EVENTOS!$D:$D, EVENTOS!$B:$B, D724, EVENTOS!$E:$E, "*GirMed*")</f>
        <v>0</v>
      </c>
      <c r="AA724" s="3">
        <f>SUMIFS(EVENTOS!$D:$D, EVENTOS!$B:$B, D724, EVENTOS!$E:$E, "*GirBajo*")</f>
        <v>0</v>
      </c>
      <c r="AB724" s="3">
        <f>IFERROR(INDEX(EVENTOS!$D:$D,MATCH(SCORE!AB$2&amp;" "&amp;SCORE!$D724,EVENTOS!$F:$F,0)),0)</f>
        <v>0</v>
      </c>
      <c r="AC724" s="3">
        <f>IFERROR(INDEX(EVENTOS!$D:$D,MATCH(SCORE!AC$2&amp;" "&amp;SCORE!$D724,EVENTOS!$F:$F,0)),0)</f>
        <v>0</v>
      </c>
      <c r="AD724" s="3">
        <f>IFERROR(INDEX(EVENTOS!$D:$D,MATCH(SCORE!AD$2&amp;" "&amp;SCORE!$D724,EVENTOS!$F:$F,0)),0)</f>
        <v>0</v>
      </c>
      <c r="AE724" s="3">
        <f t="shared" si="33"/>
        <v>0</v>
      </c>
      <c r="AF724" s="10" t="e">
        <f t="shared" si="34"/>
        <v>#N/A</v>
      </c>
      <c r="AG724" s="3" t="str">
        <f t="shared" si="35"/>
        <v/>
      </c>
    </row>
    <row r="725" spans="1:33" x14ac:dyDescent="0.25">
      <c r="A725" s="7"/>
      <c r="B725" s="8"/>
      <c r="C725" s="3"/>
      <c r="D725" s="3"/>
      <c r="E725" s="3" t="e">
        <f>VLOOKUP(D725,VIAJES!$D:$E,2,FALSE)</f>
        <v>#N/A</v>
      </c>
      <c r="F725" s="9" t="e">
        <f>VLOOKUP(D725,VIAJES!$D:$F,3,FALSE)</f>
        <v>#N/A</v>
      </c>
      <c r="G725" s="9" t="e">
        <f>VLOOKUP(D725,VIAJES!$D:$G,4,FALSE)</f>
        <v>#N/A</v>
      </c>
      <c r="H725" s="3" t="e">
        <f>VLOOKUP(D725,VIAJES!$D:$H,5,FALSE)</f>
        <v>#N/A</v>
      </c>
      <c r="S725" s="3">
        <f>IFERROR(INDEX(EVENTOS!$D:$D,MATCH(SCORE!S$2&amp;" "&amp;SCORE!$D725,EVENTOS!$F:$F,0)),0)</f>
        <v>0</v>
      </c>
      <c r="T725" s="3">
        <f>IFERROR(INDEX(EVENTOS!$D:$D,MATCH(SCORE!T$2&amp;" "&amp;SCORE!$D725,EVENTOS!$F:$F,0)),0)</f>
        <v>0</v>
      </c>
      <c r="U725" s="3">
        <f>IFERROR(INDEX(EVENTOS!$D:$D,MATCH(SCORE!U$2&amp;" "&amp;SCORE!$D725,EVENTOS!$F:$F,0)),0)</f>
        <v>0</v>
      </c>
      <c r="V725" s="3">
        <f>IFERROR(INDEX(EVENTOS!$D:$D,MATCH(SCORE!V$2&amp;" "&amp;SCORE!$D725,EVENTOS!$F:$F,0)),0)</f>
        <v>0</v>
      </c>
      <c r="W725" s="3">
        <f>IFERROR(INDEX(EVENTOS!$D:$D,MATCH(SCORE!W$2&amp;" "&amp;SCORE!$D725,EVENTOS!$F:$F,0)),0)</f>
        <v>0</v>
      </c>
      <c r="X725" s="3">
        <f>IFERROR(INDEX(EVENTOS!$D:$D,MATCH(SCORE!X$2&amp;" "&amp;SCORE!$D725,EVENTOS!$F:$F,0)),0)</f>
        <v>0</v>
      </c>
      <c r="Y725" s="3">
        <f>SUMIFS(EVENTOS!$D:$D, EVENTOS!$B:$B, D725, EVENTOS!$E:$E, "*GirAlto*")</f>
        <v>0</v>
      </c>
      <c r="Z725" s="3">
        <f>SUMIFS(EVENTOS!$D:$D, EVENTOS!$B:$B, D725, EVENTOS!$E:$E, "*GirMed*")</f>
        <v>0</v>
      </c>
      <c r="AA725" s="3">
        <f>SUMIFS(EVENTOS!$D:$D, EVENTOS!$B:$B, D725, EVENTOS!$E:$E, "*GirBajo*")</f>
        <v>0</v>
      </c>
      <c r="AB725" s="3">
        <f>IFERROR(INDEX(EVENTOS!$D:$D,MATCH(SCORE!AB$2&amp;" "&amp;SCORE!$D725,EVENTOS!$F:$F,0)),0)</f>
        <v>0</v>
      </c>
      <c r="AC725" s="3">
        <f>IFERROR(INDEX(EVENTOS!$D:$D,MATCH(SCORE!AC$2&amp;" "&amp;SCORE!$D725,EVENTOS!$F:$F,0)),0)</f>
        <v>0</v>
      </c>
      <c r="AD725" s="3">
        <f>IFERROR(INDEX(EVENTOS!$D:$D,MATCH(SCORE!AD$2&amp;" "&amp;SCORE!$D725,EVENTOS!$F:$F,0)),0)</f>
        <v>0</v>
      </c>
      <c r="AE725" s="3">
        <f t="shared" si="33"/>
        <v>0</v>
      </c>
      <c r="AF725" s="10" t="e">
        <f t="shared" si="34"/>
        <v>#N/A</v>
      </c>
      <c r="AG725" s="3" t="str">
        <f t="shared" si="35"/>
        <v/>
      </c>
    </row>
    <row r="726" spans="1:33" x14ac:dyDescent="0.25">
      <c r="A726" s="7"/>
      <c r="B726" s="8"/>
      <c r="C726" s="3"/>
      <c r="D726" s="3"/>
      <c r="E726" s="3" t="e">
        <f>VLOOKUP(D726,VIAJES!$D:$E,2,FALSE)</f>
        <v>#N/A</v>
      </c>
      <c r="F726" s="9" t="e">
        <f>VLOOKUP(D726,VIAJES!$D:$F,3,FALSE)</f>
        <v>#N/A</v>
      </c>
      <c r="G726" s="9" t="e">
        <f>VLOOKUP(D726,VIAJES!$D:$G,4,FALSE)</f>
        <v>#N/A</v>
      </c>
      <c r="H726" s="3" t="e">
        <f>VLOOKUP(D726,VIAJES!$D:$H,5,FALSE)</f>
        <v>#N/A</v>
      </c>
      <c r="S726" s="3">
        <f>IFERROR(INDEX(EVENTOS!$D:$D,MATCH(SCORE!S$2&amp;" "&amp;SCORE!$D726,EVENTOS!$F:$F,0)),0)</f>
        <v>0</v>
      </c>
      <c r="T726" s="3">
        <f>IFERROR(INDEX(EVENTOS!$D:$D,MATCH(SCORE!T$2&amp;" "&amp;SCORE!$D726,EVENTOS!$F:$F,0)),0)</f>
        <v>0</v>
      </c>
      <c r="U726" s="3">
        <f>IFERROR(INDEX(EVENTOS!$D:$D,MATCH(SCORE!U$2&amp;" "&amp;SCORE!$D726,EVENTOS!$F:$F,0)),0)</f>
        <v>0</v>
      </c>
      <c r="V726" s="3">
        <f>IFERROR(INDEX(EVENTOS!$D:$D,MATCH(SCORE!V$2&amp;" "&amp;SCORE!$D726,EVENTOS!$F:$F,0)),0)</f>
        <v>0</v>
      </c>
      <c r="W726" s="3">
        <f>IFERROR(INDEX(EVENTOS!$D:$D,MATCH(SCORE!W$2&amp;" "&amp;SCORE!$D726,EVENTOS!$F:$F,0)),0)</f>
        <v>0</v>
      </c>
      <c r="X726" s="3">
        <f>IFERROR(INDEX(EVENTOS!$D:$D,MATCH(SCORE!X$2&amp;" "&amp;SCORE!$D726,EVENTOS!$F:$F,0)),0)</f>
        <v>0</v>
      </c>
      <c r="Y726" s="3">
        <f>SUMIFS(EVENTOS!$D:$D, EVENTOS!$B:$B, D726, EVENTOS!$E:$E, "*GirAlto*")</f>
        <v>0</v>
      </c>
      <c r="Z726" s="3">
        <f>SUMIFS(EVENTOS!$D:$D, EVENTOS!$B:$B, D726, EVENTOS!$E:$E, "*GirMed*")</f>
        <v>0</v>
      </c>
      <c r="AA726" s="3">
        <f>SUMIFS(EVENTOS!$D:$D, EVENTOS!$B:$B, D726, EVENTOS!$E:$E, "*GirBajo*")</f>
        <v>0</v>
      </c>
      <c r="AB726" s="3">
        <f>IFERROR(INDEX(EVENTOS!$D:$D,MATCH(SCORE!AB$2&amp;" "&amp;SCORE!$D726,EVENTOS!$F:$F,0)),0)</f>
        <v>0</v>
      </c>
      <c r="AC726" s="3">
        <f>IFERROR(INDEX(EVENTOS!$D:$D,MATCH(SCORE!AC$2&amp;" "&amp;SCORE!$D726,EVENTOS!$F:$F,0)),0)</f>
        <v>0</v>
      </c>
      <c r="AD726" s="3">
        <f>IFERROR(INDEX(EVENTOS!$D:$D,MATCH(SCORE!AD$2&amp;" "&amp;SCORE!$D726,EVENTOS!$F:$F,0)),0)</f>
        <v>0</v>
      </c>
      <c r="AE726" s="3">
        <f t="shared" si="33"/>
        <v>0</v>
      </c>
      <c r="AF726" s="10" t="e">
        <f t="shared" si="34"/>
        <v>#N/A</v>
      </c>
      <c r="AG726" s="3" t="str">
        <f t="shared" si="35"/>
        <v/>
      </c>
    </row>
    <row r="727" spans="1:33" x14ac:dyDescent="0.25">
      <c r="A727" s="7"/>
      <c r="B727" s="8"/>
      <c r="C727" s="3"/>
      <c r="D727" s="3"/>
      <c r="E727" s="3" t="e">
        <f>VLOOKUP(D727,VIAJES!$D:$E,2,FALSE)</f>
        <v>#N/A</v>
      </c>
      <c r="F727" s="9" t="e">
        <f>VLOOKUP(D727,VIAJES!$D:$F,3,FALSE)</f>
        <v>#N/A</v>
      </c>
      <c r="G727" s="9" t="e">
        <f>VLOOKUP(D727,VIAJES!$D:$G,4,FALSE)</f>
        <v>#N/A</v>
      </c>
      <c r="H727" s="3" t="e">
        <f>VLOOKUP(D727,VIAJES!$D:$H,5,FALSE)</f>
        <v>#N/A</v>
      </c>
      <c r="S727" s="3">
        <f>IFERROR(INDEX(EVENTOS!$D:$D,MATCH(SCORE!S$2&amp;" "&amp;SCORE!$D727,EVENTOS!$F:$F,0)),0)</f>
        <v>0</v>
      </c>
      <c r="T727" s="3">
        <f>IFERROR(INDEX(EVENTOS!$D:$D,MATCH(SCORE!T$2&amp;" "&amp;SCORE!$D727,EVENTOS!$F:$F,0)),0)</f>
        <v>0</v>
      </c>
      <c r="U727" s="3">
        <f>IFERROR(INDEX(EVENTOS!$D:$D,MATCH(SCORE!U$2&amp;" "&amp;SCORE!$D727,EVENTOS!$F:$F,0)),0)</f>
        <v>0</v>
      </c>
      <c r="V727" s="3">
        <f>IFERROR(INDEX(EVENTOS!$D:$D,MATCH(SCORE!V$2&amp;" "&amp;SCORE!$D727,EVENTOS!$F:$F,0)),0)</f>
        <v>0</v>
      </c>
      <c r="W727" s="3">
        <f>IFERROR(INDEX(EVENTOS!$D:$D,MATCH(SCORE!W$2&amp;" "&amp;SCORE!$D727,EVENTOS!$F:$F,0)),0)</f>
        <v>0</v>
      </c>
      <c r="X727" s="3">
        <f>IFERROR(INDEX(EVENTOS!$D:$D,MATCH(SCORE!X$2&amp;" "&amp;SCORE!$D727,EVENTOS!$F:$F,0)),0)</f>
        <v>0</v>
      </c>
      <c r="Y727" s="3">
        <f>SUMIFS(EVENTOS!$D:$D, EVENTOS!$B:$B, D727, EVENTOS!$E:$E, "*GirAlto*")</f>
        <v>0</v>
      </c>
      <c r="Z727" s="3">
        <f>SUMIFS(EVENTOS!$D:$D, EVENTOS!$B:$B, D727, EVENTOS!$E:$E, "*GirMed*")</f>
        <v>0</v>
      </c>
      <c r="AA727" s="3">
        <f>SUMIFS(EVENTOS!$D:$D, EVENTOS!$B:$B, D727, EVENTOS!$E:$E, "*GirBajo*")</f>
        <v>0</v>
      </c>
      <c r="AB727" s="3">
        <f>IFERROR(INDEX(EVENTOS!$D:$D,MATCH(SCORE!AB$2&amp;" "&amp;SCORE!$D727,EVENTOS!$F:$F,0)),0)</f>
        <v>0</v>
      </c>
      <c r="AC727" s="3">
        <f>IFERROR(INDEX(EVENTOS!$D:$D,MATCH(SCORE!AC$2&amp;" "&amp;SCORE!$D727,EVENTOS!$F:$F,0)),0)</f>
        <v>0</v>
      </c>
      <c r="AD727" s="3">
        <f>IFERROR(INDEX(EVENTOS!$D:$D,MATCH(SCORE!AD$2&amp;" "&amp;SCORE!$D727,EVENTOS!$F:$F,0)),0)</f>
        <v>0</v>
      </c>
      <c r="AE727" s="3">
        <f t="shared" si="33"/>
        <v>0</v>
      </c>
      <c r="AF727" s="10" t="e">
        <f t="shared" si="34"/>
        <v>#N/A</v>
      </c>
      <c r="AG727" s="3" t="str">
        <f t="shared" si="35"/>
        <v/>
      </c>
    </row>
    <row r="728" spans="1:33" x14ac:dyDescent="0.25">
      <c r="A728" s="7"/>
      <c r="B728" s="8"/>
      <c r="C728" s="3"/>
      <c r="D728" s="3"/>
      <c r="E728" s="3" t="e">
        <f>VLOOKUP(D728,VIAJES!$D:$E,2,FALSE)</f>
        <v>#N/A</v>
      </c>
      <c r="F728" s="9" t="e">
        <f>VLOOKUP(D728,VIAJES!$D:$F,3,FALSE)</f>
        <v>#N/A</v>
      </c>
      <c r="G728" s="9" t="e">
        <f>VLOOKUP(D728,VIAJES!$D:$G,4,FALSE)</f>
        <v>#N/A</v>
      </c>
      <c r="H728" s="3" t="e">
        <f>VLOOKUP(D728,VIAJES!$D:$H,5,FALSE)</f>
        <v>#N/A</v>
      </c>
      <c r="S728" s="3">
        <f>IFERROR(INDEX(EVENTOS!$D:$D,MATCH(SCORE!S$2&amp;" "&amp;SCORE!$D728,EVENTOS!$F:$F,0)),0)</f>
        <v>0</v>
      </c>
      <c r="T728" s="3">
        <f>IFERROR(INDEX(EVENTOS!$D:$D,MATCH(SCORE!T$2&amp;" "&amp;SCORE!$D728,EVENTOS!$F:$F,0)),0)</f>
        <v>0</v>
      </c>
      <c r="U728" s="3">
        <f>IFERROR(INDEX(EVENTOS!$D:$D,MATCH(SCORE!U$2&amp;" "&amp;SCORE!$D728,EVENTOS!$F:$F,0)),0)</f>
        <v>0</v>
      </c>
      <c r="V728" s="3">
        <f>IFERROR(INDEX(EVENTOS!$D:$D,MATCH(SCORE!V$2&amp;" "&amp;SCORE!$D728,EVENTOS!$F:$F,0)),0)</f>
        <v>0</v>
      </c>
      <c r="W728" s="3">
        <f>IFERROR(INDEX(EVENTOS!$D:$D,MATCH(SCORE!W$2&amp;" "&amp;SCORE!$D728,EVENTOS!$F:$F,0)),0)</f>
        <v>0</v>
      </c>
      <c r="X728" s="3">
        <f>IFERROR(INDEX(EVENTOS!$D:$D,MATCH(SCORE!X$2&amp;" "&amp;SCORE!$D728,EVENTOS!$F:$F,0)),0)</f>
        <v>0</v>
      </c>
      <c r="Y728" s="3">
        <f>SUMIFS(EVENTOS!$D:$D, EVENTOS!$B:$B, D728, EVENTOS!$E:$E, "*GirAlto*")</f>
        <v>0</v>
      </c>
      <c r="Z728" s="3">
        <f>SUMIFS(EVENTOS!$D:$D, EVENTOS!$B:$B, D728, EVENTOS!$E:$E, "*GirMed*")</f>
        <v>0</v>
      </c>
      <c r="AA728" s="3">
        <f>SUMIFS(EVENTOS!$D:$D, EVENTOS!$B:$B, D728, EVENTOS!$E:$E, "*GirBajo*")</f>
        <v>0</v>
      </c>
      <c r="AB728" s="3">
        <f>IFERROR(INDEX(EVENTOS!$D:$D,MATCH(SCORE!AB$2&amp;" "&amp;SCORE!$D728,EVENTOS!$F:$F,0)),0)</f>
        <v>0</v>
      </c>
      <c r="AC728" s="3">
        <f>IFERROR(INDEX(EVENTOS!$D:$D,MATCH(SCORE!AC$2&amp;" "&amp;SCORE!$D728,EVENTOS!$F:$F,0)),0)</f>
        <v>0</v>
      </c>
      <c r="AD728" s="3">
        <f>IFERROR(INDEX(EVENTOS!$D:$D,MATCH(SCORE!AD$2&amp;" "&amp;SCORE!$D728,EVENTOS!$F:$F,0)),0)</f>
        <v>0</v>
      </c>
      <c r="AE728" s="3">
        <f t="shared" si="33"/>
        <v>0</v>
      </c>
      <c r="AF728" s="10" t="e">
        <f t="shared" si="34"/>
        <v>#N/A</v>
      </c>
      <c r="AG728" s="3" t="str">
        <f t="shared" si="35"/>
        <v/>
      </c>
    </row>
    <row r="729" spans="1:33" x14ac:dyDescent="0.25">
      <c r="A729" s="7"/>
      <c r="B729" s="8"/>
      <c r="C729" s="3"/>
      <c r="D729" s="3"/>
      <c r="E729" s="3" t="e">
        <f>VLOOKUP(D729,VIAJES!$D:$E,2,FALSE)</f>
        <v>#N/A</v>
      </c>
      <c r="F729" s="9" t="e">
        <f>VLOOKUP(D729,VIAJES!$D:$F,3,FALSE)</f>
        <v>#N/A</v>
      </c>
      <c r="G729" s="9" t="e">
        <f>VLOOKUP(D729,VIAJES!$D:$G,4,FALSE)</f>
        <v>#N/A</v>
      </c>
      <c r="H729" s="3" t="e">
        <f>VLOOKUP(D729,VIAJES!$D:$H,5,FALSE)</f>
        <v>#N/A</v>
      </c>
      <c r="S729" s="3">
        <f>IFERROR(INDEX(EVENTOS!$D:$D,MATCH(SCORE!S$2&amp;" "&amp;SCORE!$D729,EVENTOS!$F:$F,0)),0)</f>
        <v>0</v>
      </c>
      <c r="T729" s="3">
        <f>IFERROR(INDEX(EVENTOS!$D:$D,MATCH(SCORE!T$2&amp;" "&amp;SCORE!$D729,EVENTOS!$F:$F,0)),0)</f>
        <v>0</v>
      </c>
      <c r="U729" s="3">
        <f>IFERROR(INDEX(EVENTOS!$D:$D,MATCH(SCORE!U$2&amp;" "&amp;SCORE!$D729,EVENTOS!$F:$F,0)),0)</f>
        <v>0</v>
      </c>
      <c r="V729" s="3">
        <f>IFERROR(INDEX(EVENTOS!$D:$D,MATCH(SCORE!V$2&amp;" "&amp;SCORE!$D729,EVENTOS!$F:$F,0)),0)</f>
        <v>0</v>
      </c>
      <c r="W729" s="3">
        <f>IFERROR(INDEX(EVENTOS!$D:$D,MATCH(SCORE!W$2&amp;" "&amp;SCORE!$D729,EVENTOS!$F:$F,0)),0)</f>
        <v>0</v>
      </c>
      <c r="X729" s="3">
        <f>IFERROR(INDEX(EVENTOS!$D:$D,MATCH(SCORE!X$2&amp;" "&amp;SCORE!$D729,EVENTOS!$F:$F,0)),0)</f>
        <v>0</v>
      </c>
      <c r="Y729" s="3">
        <f>SUMIFS(EVENTOS!$D:$D, EVENTOS!$B:$B, D729, EVENTOS!$E:$E, "*GirAlto*")</f>
        <v>0</v>
      </c>
      <c r="Z729" s="3">
        <f>SUMIFS(EVENTOS!$D:$D, EVENTOS!$B:$B, D729, EVENTOS!$E:$E, "*GirMed*")</f>
        <v>0</v>
      </c>
      <c r="AA729" s="3">
        <f>SUMIFS(EVENTOS!$D:$D, EVENTOS!$B:$B, D729, EVENTOS!$E:$E, "*GirBajo*")</f>
        <v>0</v>
      </c>
      <c r="AB729" s="3">
        <f>IFERROR(INDEX(EVENTOS!$D:$D,MATCH(SCORE!AB$2&amp;" "&amp;SCORE!$D729,EVENTOS!$F:$F,0)),0)</f>
        <v>0</v>
      </c>
      <c r="AC729" s="3">
        <f>IFERROR(INDEX(EVENTOS!$D:$D,MATCH(SCORE!AC$2&amp;" "&amp;SCORE!$D729,EVENTOS!$F:$F,0)),0)</f>
        <v>0</v>
      </c>
      <c r="AD729" s="3">
        <f>IFERROR(INDEX(EVENTOS!$D:$D,MATCH(SCORE!AD$2&amp;" "&amp;SCORE!$D729,EVENTOS!$F:$F,0)),0)</f>
        <v>0</v>
      </c>
      <c r="AE729" s="3">
        <f t="shared" si="33"/>
        <v>0</v>
      </c>
      <c r="AF729" s="10" t="e">
        <f t="shared" si="34"/>
        <v>#N/A</v>
      </c>
      <c r="AG729" s="3" t="str">
        <f t="shared" si="35"/>
        <v/>
      </c>
    </row>
    <row r="730" spans="1:33" x14ac:dyDescent="0.25">
      <c r="A730" s="7"/>
      <c r="B730" s="8"/>
      <c r="C730" s="3"/>
      <c r="D730" s="3"/>
      <c r="E730" s="3" t="e">
        <f>VLOOKUP(D730,VIAJES!$D:$E,2,FALSE)</f>
        <v>#N/A</v>
      </c>
      <c r="F730" s="9" t="e">
        <f>VLOOKUP(D730,VIAJES!$D:$F,3,FALSE)</f>
        <v>#N/A</v>
      </c>
      <c r="G730" s="9" t="e">
        <f>VLOOKUP(D730,VIAJES!$D:$G,4,FALSE)</f>
        <v>#N/A</v>
      </c>
      <c r="H730" s="3" t="e">
        <f>VLOOKUP(D730,VIAJES!$D:$H,5,FALSE)</f>
        <v>#N/A</v>
      </c>
      <c r="S730" s="3">
        <f>IFERROR(INDEX(EVENTOS!$D:$D,MATCH(SCORE!S$2&amp;" "&amp;SCORE!$D730,EVENTOS!$F:$F,0)),0)</f>
        <v>0</v>
      </c>
      <c r="T730" s="3">
        <f>IFERROR(INDEX(EVENTOS!$D:$D,MATCH(SCORE!T$2&amp;" "&amp;SCORE!$D730,EVENTOS!$F:$F,0)),0)</f>
        <v>0</v>
      </c>
      <c r="U730" s="3">
        <f>IFERROR(INDEX(EVENTOS!$D:$D,MATCH(SCORE!U$2&amp;" "&amp;SCORE!$D730,EVENTOS!$F:$F,0)),0)</f>
        <v>0</v>
      </c>
      <c r="V730" s="3">
        <f>IFERROR(INDEX(EVENTOS!$D:$D,MATCH(SCORE!V$2&amp;" "&amp;SCORE!$D730,EVENTOS!$F:$F,0)),0)</f>
        <v>0</v>
      </c>
      <c r="W730" s="3">
        <f>IFERROR(INDEX(EVENTOS!$D:$D,MATCH(SCORE!W$2&amp;" "&amp;SCORE!$D730,EVENTOS!$F:$F,0)),0)</f>
        <v>0</v>
      </c>
      <c r="X730" s="3">
        <f>IFERROR(INDEX(EVENTOS!$D:$D,MATCH(SCORE!X$2&amp;" "&amp;SCORE!$D730,EVENTOS!$F:$F,0)),0)</f>
        <v>0</v>
      </c>
      <c r="Y730" s="3">
        <f>SUMIFS(EVENTOS!$D:$D, EVENTOS!$B:$B, D730, EVENTOS!$E:$E, "*GirAlto*")</f>
        <v>0</v>
      </c>
      <c r="Z730" s="3">
        <f>SUMIFS(EVENTOS!$D:$D, EVENTOS!$B:$B, D730, EVENTOS!$E:$E, "*GirMed*")</f>
        <v>0</v>
      </c>
      <c r="AA730" s="3">
        <f>SUMIFS(EVENTOS!$D:$D, EVENTOS!$B:$B, D730, EVENTOS!$E:$E, "*GirBajo*")</f>
        <v>0</v>
      </c>
      <c r="AB730" s="3">
        <f>IFERROR(INDEX(EVENTOS!$D:$D,MATCH(SCORE!AB$2&amp;" "&amp;SCORE!$D730,EVENTOS!$F:$F,0)),0)</f>
        <v>0</v>
      </c>
      <c r="AC730" s="3">
        <f>IFERROR(INDEX(EVENTOS!$D:$D,MATCH(SCORE!AC$2&amp;" "&amp;SCORE!$D730,EVENTOS!$F:$F,0)),0)</f>
        <v>0</v>
      </c>
      <c r="AD730" s="3">
        <f>IFERROR(INDEX(EVENTOS!$D:$D,MATCH(SCORE!AD$2&amp;" "&amp;SCORE!$D730,EVENTOS!$F:$F,0)),0)</f>
        <v>0</v>
      </c>
      <c r="AE730" s="3">
        <f t="shared" si="33"/>
        <v>0</v>
      </c>
      <c r="AF730" s="10" t="e">
        <f t="shared" si="34"/>
        <v>#N/A</v>
      </c>
      <c r="AG730" s="3" t="str">
        <f t="shared" si="35"/>
        <v/>
      </c>
    </row>
    <row r="731" spans="1:33" x14ac:dyDescent="0.25">
      <c r="A731" s="7"/>
      <c r="B731" s="8"/>
      <c r="C731" s="3"/>
      <c r="D731" s="3"/>
      <c r="E731" s="3" t="e">
        <f>VLOOKUP(D731,VIAJES!$D:$E,2,FALSE)</f>
        <v>#N/A</v>
      </c>
      <c r="F731" s="9" t="e">
        <f>VLOOKUP(D731,VIAJES!$D:$F,3,FALSE)</f>
        <v>#N/A</v>
      </c>
      <c r="G731" s="9" t="e">
        <f>VLOOKUP(D731,VIAJES!$D:$G,4,FALSE)</f>
        <v>#N/A</v>
      </c>
      <c r="H731" s="3" t="e">
        <f>VLOOKUP(D731,VIAJES!$D:$H,5,FALSE)</f>
        <v>#N/A</v>
      </c>
      <c r="S731" s="3">
        <f>IFERROR(INDEX(EVENTOS!$D:$D,MATCH(SCORE!S$2&amp;" "&amp;SCORE!$D731,EVENTOS!$F:$F,0)),0)</f>
        <v>0</v>
      </c>
      <c r="T731" s="3">
        <f>IFERROR(INDEX(EVENTOS!$D:$D,MATCH(SCORE!T$2&amp;" "&amp;SCORE!$D731,EVENTOS!$F:$F,0)),0)</f>
        <v>0</v>
      </c>
      <c r="U731" s="3">
        <f>IFERROR(INDEX(EVENTOS!$D:$D,MATCH(SCORE!U$2&amp;" "&amp;SCORE!$D731,EVENTOS!$F:$F,0)),0)</f>
        <v>0</v>
      </c>
      <c r="V731" s="3">
        <f>IFERROR(INDEX(EVENTOS!$D:$D,MATCH(SCORE!V$2&amp;" "&amp;SCORE!$D731,EVENTOS!$F:$F,0)),0)</f>
        <v>0</v>
      </c>
      <c r="W731" s="3">
        <f>IFERROR(INDEX(EVENTOS!$D:$D,MATCH(SCORE!W$2&amp;" "&amp;SCORE!$D731,EVENTOS!$F:$F,0)),0)</f>
        <v>0</v>
      </c>
      <c r="X731" s="3">
        <f>IFERROR(INDEX(EVENTOS!$D:$D,MATCH(SCORE!X$2&amp;" "&amp;SCORE!$D731,EVENTOS!$F:$F,0)),0)</f>
        <v>0</v>
      </c>
      <c r="Y731" s="3">
        <f>SUMIFS(EVENTOS!$D:$D, EVENTOS!$B:$B, D731, EVENTOS!$E:$E, "*GirAlto*")</f>
        <v>0</v>
      </c>
      <c r="Z731" s="3">
        <f>SUMIFS(EVENTOS!$D:$D, EVENTOS!$B:$B, D731, EVENTOS!$E:$E, "*GirMed*")</f>
        <v>0</v>
      </c>
      <c r="AA731" s="3">
        <f>SUMIFS(EVENTOS!$D:$D, EVENTOS!$B:$B, D731, EVENTOS!$E:$E, "*GirBajo*")</f>
        <v>0</v>
      </c>
      <c r="AB731" s="3">
        <f>IFERROR(INDEX(EVENTOS!$D:$D,MATCH(SCORE!AB$2&amp;" "&amp;SCORE!$D731,EVENTOS!$F:$F,0)),0)</f>
        <v>0</v>
      </c>
      <c r="AC731" s="3">
        <f>IFERROR(INDEX(EVENTOS!$D:$D,MATCH(SCORE!AC$2&amp;" "&amp;SCORE!$D731,EVENTOS!$F:$F,0)),0)</f>
        <v>0</v>
      </c>
      <c r="AD731" s="3">
        <f>IFERROR(INDEX(EVENTOS!$D:$D,MATCH(SCORE!AD$2&amp;" "&amp;SCORE!$D731,EVENTOS!$F:$F,0)),0)</f>
        <v>0</v>
      </c>
      <c r="AE731" s="3">
        <f t="shared" si="33"/>
        <v>0</v>
      </c>
      <c r="AF731" s="10" t="e">
        <f t="shared" si="34"/>
        <v>#N/A</v>
      </c>
      <c r="AG731" s="3" t="str">
        <f t="shared" si="35"/>
        <v/>
      </c>
    </row>
    <row r="732" spans="1:33" x14ac:dyDescent="0.25">
      <c r="A732" s="7"/>
      <c r="B732" s="8"/>
      <c r="C732" s="3"/>
      <c r="D732" s="3"/>
      <c r="E732" s="3" t="e">
        <f>VLOOKUP(D732,VIAJES!$D:$E,2,FALSE)</f>
        <v>#N/A</v>
      </c>
      <c r="F732" s="9" t="e">
        <f>VLOOKUP(D732,VIAJES!$D:$F,3,FALSE)</f>
        <v>#N/A</v>
      </c>
      <c r="G732" s="9" t="e">
        <f>VLOOKUP(D732,VIAJES!$D:$G,4,FALSE)</f>
        <v>#N/A</v>
      </c>
      <c r="H732" s="3" t="e">
        <f>VLOOKUP(D732,VIAJES!$D:$H,5,FALSE)</f>
        <v>#N/A</v>
      </c>
      <c r="S732" s="3">
        <f>IFERROR(INDEX(EVENTOS!$D:$D,MATCH(SCORE!S$2&amp;" "&amp;SCORE!$D732,EVENTOS!$F:$F,0)),0)</f>
        <v>0</v>
      </c>
      <c r="T732" s="3">
        <f>IFERROR(INDEX(EVENTOS!$D:$D,MATCH(SCORE!T$2&amp;" "&amp;SCORE!$D732,EVENTOS!$F:$F,0)),0)</f>
        <v>0</v>
      </c>
      <c r="U732" s="3">
        <f>IFERROR(INDEX(EVENTOS!$D:$D,MATCH(SCORE!U$2&amp;" "&amp;SCORE!$D732,EVENTOS!$F:$F,0)),0)</f>
        <v>0</v>
      </c>
      <c r="V732" s="3">
        <f>IFERROR(INDEX(EVENTOS!$D:$D,MATCH(SCORE!V$2&amp;" "&amp;SCORE!$D732,EVENTOS!$F:$F,0)),0)</f>
        <v>0</v>
      </c>
      <c r="W732" s="3">
        <f>IFERROR(INDEX(EVENTOS!$D:$D,MATCH(SCORE!W$2&amp;" "&amp;SCORE!$D732,EVENTOS!$F:$F,0)),0)</f>
        <v>0</v>
      </c>
      <c r="X732" s="3">
        <f>IFERROR(INDEX(EVENTOS!$D:$D,MATCH(SCORE!X$2&amp;" "&amp;SCORE!$D732,EVENTOS!$F:$F,0)),0)</f>
        <v>0</v>
      </c>
      <c r="Y732" s="3">
        <f>SUMIFS(EVENTOS!$D:$D, EVENTOS!$B:$B, D732, EVENTOS!$E:$E, "*GirAlto*")</f>
        <v>0</v>
      </c>
      <c r="Z732" s="3">
        <f>SUMIFS(EVENTOS!$D:$D, EVENTOS!$B:$B, D732, EVENTOS!$E:$E, "*GirMed*")</f>
        <v>0</v>
      </c>
      <c r="AA732" s="3">
        <f>SUMIFS(EVENTOS!$D:$D, EVENTOS!$B:$B, D732, EVENTOS!$E:$E, "*GirBajo*")</f>
        <v>0</v>
      </c>
      <c r="AB732" s="3">
        <f>IFERROR(INDEX(EVENTOS!$D:$D,MATCH(SCORE!AB$2&amp;" "&amp;SCORE!$D732,EVENTOS!$F:$F,0)),0)</f>
        <v>0</v>
      </c>
      <c r="AC732" s="3">
        <f>IFERROR(INDEX(EVENTOS!$D:$D,MATCH(SCORE!AC$2&amp;" "&amp;SCORE!$D732,EVENTOS!$F:$F,0)),0)</f>
        <v>0</v>
      </c>
      <c r="AD732" s="3">
        <f>IFERROR(INDEX(EVENTOS!$D:$D,MATCH(SCORE!AD$2&amp;" "&amp;SCORE!$D732,EVENTOS!$F:$F,0)),0)</f>
        <v>0</v>
      </c>
      <c r="AE732" s="3">
        <f t="shared" si="33"/>
        <v>0</v>
      </c>
      <c r="AF732" s="10" t="e">
        <f t="shared" si="34"/>
        <v>#N/A</v>
      </c>
      <c r="AG732" s="3" t="str">
        <f t="shared" si="35"/>
        <v/>
      </c>
    </row>
    <row r="733" spans="1:33" x14ac:dyDescent="0.25">
      <c r="A733" s="7"/>
      <c r="B733" s="8"/>
      <c r="C733" s="3"/>
      <c r="D733" s="3"/>
      <c r="E733" s="3" t="e">
        <f>VLOOKUP(D733,VIAJES!$D:$E,2,FALSE)</f>
        <v>#N/A</v>
      </c>
      <c r="F733" s="9" t="e">
        <f>VLOOKUP(D733,VIAJES!$D:$F,3,FALSE)</f>
        <v>#N/A</v>
      </c>
      <c r="G733" s="9" t="e">
        <f>VLOOKUP(D733,VIAJES!$D:$G,4,FALSE)</f>
        <v>#N/A</v>
      </c>
      <c r="H733" s="3" t="e">
        <f>VLOOKUP(D733,VIAJES!$D:$H,5,FALSE)</f>
        <v>#N/A</v>
      </c>
      <c r="S733" s="3">
        <f>IFERROR(INDEX(EVENTOS!$D:$D,MATCH(SCORE!S$2&amp;" "&amp;SCORE!$D733,EVENTOS!$F:$F,0)),0)</f>
        <v>0</v>
      </c>
      <c r="T733" s="3">
        <f>IFERROR(INDEX(EVENTOS!$D:$D,MATCH(SCORE!T$2&amp;" "&amp;SCORE!$D733,EVENTOS!$F:$F,0)),0)</f>
        <v>0</v>
      </c>
      <c r="U733" s="3">
        <f>IFERROR(INDEX(EVENTOS!$D:$D,MATCH(SCORE!U$2&amp;" "&amp;SCORE!$D733,EVENTOS!$F:$F,0)),0)</f>
        <v>0</v>
      </c>
      <c r="V733" s="3">
        <f>IFERROR(INDEX(EVENTOS!$D:$D,MATCH(SCORE!V$2&amp;" "&amp;SCORE!$D733,EVENTOS!$F:$F,0)),0)</f>
        <v>0</v>
      </c>
      <c r="W733" s="3">
        <f>IFERROR(INDEX(EVENTOS!$D:$D,MATCH(SCORE!W$2&amp;" "&amp;SCORE!$D733,EVENTOS!$F:$F,0)),0)</f>
        <v>0</v>
      </c>
      <c r="X733" s="3">
        <f>IFERROR(INDEX(EVENTOS!$D:$D,MATCH(SCORE!X$2&amp;" "&amp;SCORE!$D733,EVENTOS!$F:$F,0)),0)</f>
        <v>0</v>
      </c>
      <c r="Y733" s="3">
        <f>SUMIFS(EVENTOS!$D:$D, EVENTOS!$B:$B, D733, EVENTOS!$E:$E, "*GirAlto*")</f>
        <v>0</v>
      </c>
      <c r="Z733" s="3">
        <f>SUMIFS(EVENTOS!$D:$D, EVENTOS!$B:$B, D733, EVENTOS!$E:$E, "*GirMed*")</f>
        <v>0</v>
      </c>
      <c r="AA733" s="3">
        <f>SUMIFS(EVENTOS!$D:$D, EVENTOS!$B:$B, D733, EVENTOS!$E:$E, "*GirBajo*")</f>
        <v>0</v>
      </c>
      <c r="AB733" s="3">
        <f>IFERROR(INDEX(EVENTOS!$D:$D,MATCH(SCORE!AB$2&amp;" "&amp;SCORE!$D733,EVENTOS!$F:$F,0)),0)</f>
        <v>0</v>
      </c>
      <c r="AC733" s="3">
        <f>IFERROR(INDEX(EVENTOS!$D:$D,MATCH(SCORE!AC$2&amp;" "&amp;SCORE!$D733,EVENTOS!$F:$F,0)),0)</f>
        <v>0</v>
      </c>
      <c r="AD733" s="3">
        <f>IFERROR(INDEX(EVENTOS!$D:$D,MATCH(SCORE!AD$2&amp;" "&amp;SCORE!$D733,EVENTOS!$F:$F,0)),0)</f>
        <v>0</v>
      </c>
      <c r="AE733" s="3">
        <f t="shared" si="33"/>
        <v>0</v>
      </c>
      <c r="AF733" s="10" t="e">
        <f t="shared" si="34"/>
        <v>#N/A</v>
      </c>
      <c r="AG733" s="3" t="str">
        <f t="shared" si="35"/>
        <v/>
      </c>
    </row>
    <row r="734" spans="1:33" x14ac:dyDescent="0.25">
      <c r="A734" s="7"/>
      <c r="B734" s="8"/>
      <c r="C734" s="3"/>
      <c r="D734" s="3"/>
      <c r="E734" s="3" t="e">
        <f>VLOOKUP(D734,VIAJES!$D:$E,2,FALSE)</f>
        <v>#N/A</v>
      </c>
      <c r="F734" s="9" t="e">
        <f>VLOOKUP(D734,VIAJES!$D:$F,3,FALSE)</f>
        <v>#N/A</v>
      </c>
      <c r="G734" s="9" t="e">
        <f>VLOOKUP(D734,VIAJES!$D:$G,4,FALSE)</f>
        <v>#N/A</v>
      </c>
      <c r="H734" s="3" t="e">
        <f>VLOOKUP(D734,VIAJES!$D:$H,5,FALSE)</f>
        <v>#N/A</v>
      </c>
      <c r="S734" s="3">
        <f>IFERROR(INDEX(EVENTOS!$D:$D,MATCH(SCORE!S$2&amp;" "&amp;SCORE!$D734,EVENTOS!$F:$F,0)),0)</f>
        <v>0</v>
      </c>
      <c r="T734" s="3">
        <f>IFERROR(INDEX(EVENTOS!$D:$D,MATCH(SCORE!T$2&amp;" "&amp;SCORE!$D734,EVENTOS!$F:$F,0)),0)</f>
        <v>0</v>
      </c>
      <c r="U734" s="3">
        <f>IFERROR(INDEX(EVENTOS!$D:$D,MATCH(SCORE!U$2&amp;" "&amp;SCORE!$D734,EVENTOS!$F:$F,0)),0)</f>
        <v>0</v>
      </c>
      <c r="V734" s="3">
        <f>IFERROR(INDEX(EVENTOS!$D:$D,MATCH(SCORE!V$2&amp;" "&amp;SCORE!$D734,EVENTOS!$F:$F,0)),0)</f>
        <v>0</v>
      </c>
      <c r="W734" s="3">
        <f>IFERROR(INDEX(EVENTOS!$D:$D,MATCH(SCORE!W$2&amp;" "&amp;SCORE!$D734,EVENTOS!$F:$F,0)),0)</f>
        <v>0</v>
      </c>
      <c r="X734" s="3">
        <f>IFERROR(INDEX(EVENTOS!$D:$D,MATCH(SCORE!X$2&amp;" "&amp;SCORE!$D734,EVENTOS!$F:$F,0)),0)</f>
        <v>0</v>
      </c>
      <c r="Y734" s="3">
        <f>SUMIFS(EVENTOS!$D:$D, EVENTOS!$B:$B, D734, EVENTOS!$E:$E, "*GirAlto*")</f>
        <v>0</v>
      </c>
      <c r="Z734" s="3">
        <f>SUMIFS(EVENTOS!$D:$D, EVENTOS!$B:$B, D734, EVENTOS!$E:$E, "*GirMed*")</f>
        <v>0</v>
      </c>
      <c r="AA734" s="3">
        <f>SUMIFS(EVENTOS!$D:$D, EVENTOS!$B:$B, D734, EVENTOS!$E:$E, "*GirBajo*")</f>
        <v>0</v>
      </c>
      <c r="AB734" s="3">
        <f>IFERROR(INDEX(EVENTOS!$D:$D,MATCH(SCORE!AB$2&amp;" "&amp;SCORE!$D734,EVENTOS!$F:$F,0)),0)</f>
        <v>0</v>
      </c>
      <c r="AC734" s="3">
        <f>IFERROR(INDEX(EVENTOS!$D:$D,MATCH(SCORE!AC$2&amp;" "&amp;SCORE!$D734,EVENTOS!$F:$F,0)),0)</f>
        <v>0</v>
      </c>
      <c r="AD734" s="3">
        <f>IFERROR(INDEX(EVENTOS!$D:$D,MATCH(SCORE!AD$2&amp;" "&amp;SCORE!$D734,EVENTOS!$F:$F,0)),0)</f>
        <v>0</v>
      </c>
      <c r="AE734" s="3">
        <f t="shared" si="33"/>
        <v>0</v>
      </c>
      <c r="AF734" s="10" t="e">
        <f t="shared" si="34"/>
        <v>#N/A</v>
      </c>
      <c r="AG734" s="3" t="str">
        <f t="shared" si="35"/>
        <v/>
      </c>
    </row>
    <row r="735" spans="1:33" x14ac:dyDescent="0.25">
      <c r="A735" s="7"/>
      <c r="B735" s="8"/>
      <c r="C735" s="3"/>
      <c r="D735" s="3"/>
      <c r="E735" s="3" t="e">
        <f>VLOOKUP(D735,VIAJES!$D:$E,2,FALSE)</f>
        <v>#N/A</v>
      </c>
      <c r="F735" s="9" t="e">
        <f>VLOOKUP(D735,VIAJES!$D:$F,3,FALSE)</f>
        <v>#N/A</v>
      </c>
      <c r="G735" s="9" t="e">
        <f>VLOOKUP(D735,VIAJES!$D:$G,4,FALSE)</f>
        <v>#N/A</v>
      </c>
      <c r="H735" s="3" t="e">
        <f>VLOOKUP(D735,VIAJES!$D:$H,5,FALSE)</f>
        <v>#N/A</v>
      </c>
      <c r="S735" s="3">
        <f>IFERROR(INDEX(EVENTOS!$D:$D,MATCH(SCORE!S$2&amp;" "&amp;SCORE!$D735,EVENTOS!$F:$F,0)),0)</f>
        <v>0</v>
      </c>
      <c r="T735" s="3">
        <f>IFERROR(INDEX(EVENTOS!$D:$D,MATCH(SCORE!T$2&amp;" "&amp;SCORE!$D735,EVENTOS!$F:$F,0)),0)</f>
        <v>0</v>
      </c>
      <c r="U735" s="3">
        <f>IFERROR(INDEX(EVENTOS!$D:$D,MATCH(SCORE!U$2&amp;" "&amp;SCORE!$D735,EVENTOS!$F:$F,0)),0)</f>
        <v>0</v>
      </c>
      <c r="V735" s="3">
        <f>IFERROR(INDEX(EVENTOS!$D:$D,MATCH(SCORE!V$2&amp;" "&amp;SCORE!$D735,EVENTOS!$F:$F,0)),0)</f>
        <v>0</v>
      </c>
      <c r="W735" s="3">
        <f>IFERROR(INDEX(EVENTOS!$D:$D,MATCH(SCORE!W$2&amp;" "&amp;SCORE!$D735,EVENTOS!$F:$F,0)),0)</f>
        <v>0</v>
      </c>
      <c r="X735" s="3">
        <f>IFERROR(INDEX(EVENTOS!$D:$D,MATCH(SCORE!X$2&amp;" "&amp;SCORE!$D735,EVENTOS!$F:$F,0)),0)</f>
        <v>0</v>
      </c>
      <c r="Y735" s="3">
        <f>SUMIFS(EVENTOS!$D:$D, EVENTOS!$B:$B, D735, EVENTOS!$E:$E, "*GirAlto*")</f>
        <v>0</v>
      </c>
      <c r="Z735" s="3">
        <f>SUMIFS(EVENTOS!$D:$D, EVENTOS!$B:$B, D735, EVENTOS!$E:$E, "*GirMed*")</f>
        <v>0</v>
      </c>
      <c r="AA735" s="3">
        <f>SUMIFS(EVENTOS!$D:$D, EVENTOS!$B:$B, D735, EVENTOS!$E:$E, "*GirBajo*")</f>
        <v>0</v>
      </c>
      <c r="AB735" s="3">
        <f>IFERROR(INDEX(EVENTOS!$D:$D,MATCH(SCORE!AB$2&amp;" "&amp;SCORE!$D735,EVENTOS!$F:$F,0)),0)</f>
        <v>0</v>
      </c>
      <c r="AC735" s="3">
        <f>IFERROR(INDEX(EVENTOS!$D:$D,MATCH(SCORE!AC$2&amp;" "&amp;SCORE!$D735,EVENTOS!$F:$F,0)),0)</f>
        <v>0</v>
      </c>
      <c r="AD735" s="3">
        <f>IFERROR(INDEX(EVENTOS!$D:$D,MATCH(SCORE!AD$2&amp;" "&amp;SCORE!$D735,EVENTOS!$F:$F,0)),0)</f>
        <v>0</v>
      </c>
      <c r="AE735" s="3">
        <f t="shared" si="33"/>
        <v>0</v>
      </c>
      <c r="AF735" s="10" t="e">
        <f t="shared" si="34"/>
        <v>#N/A</v>
      </c>
      <c r="AG735" s="3" t="str">
        <f t="shared" si="35"/>
        <v/>
      </c>
    </row>
    <row r="736" spans="1:33" x14ac:dyDescent="0.25">
      <c r="A736" s="7"/>
      <c r="B736" s="8"/>
      <c r="C736" s="3"/>
      <c r="D736" s="3"/>
      <c r="E736" s="3" t="e">
        <f>VLOOKUP(D736,VIAJES!$D:$E,2,FALSE)</f>
        <v>#N/A</v>
      </c>
      <c r="F736" s="9" t="e">
        <f>VLOOKUP(D736,VIAJES!$D:$F,3,FALSE)</f>
        <v>#N/A</v>
      </c>
      <c r="G736" s="9" t="e">
        <f>VLOOKUP(D736,VIAJES!$D:$G,4,FALSE)</f>
        <v>#N/A</v>
      </c>
      <c r="H736" s="3" t="e">
        <f>VLOOKUP(D736,VIAJES!$D:$H,5,FALSE)</f>
        <v>#N/A</v>
      </c>
      <c r="S736" s="3">
        <f>IFERROR(INDEX(EVENTOS!$D:$D,MATCH(SCORE!S$2&amp;" "&amp;SCORE!$D736,EVENTOS!$F:$F,0)),0)</f>
        <v>0</v>
      </c>
      <c r="T736" s="3">
        <f>IFERROR(INDEX(EVENTOS!$D:$D,MATCH(SCORE!T$2&amp;" "&amp;SCORE!$D736,EVENTOS!$F:$F,0)),0)</f>
        <v>0</v>
      </c>
      <c r="U736" s="3">
        <f>IFERROR(INDEX(EVENTOS!$D:$D,MATCH(SCORE!U$2&amp;" "&amp;SCORE!$D736,EVENTOS!$F:$F,0)),0)</f>
        <v>0</v>
      </c>
      <c r="V736" s="3">
        <f>IFERROR(INDEX(EVENTOS!$D:$D,MATCH(SCORE!V$2&amp;" "&amp;SCORE!$D736,EVENTOS!$F:$F,0)),0)</f>
        <v>0</v>
      </c>
      <c r="W736" s="3">
        <f>IFERROR(INDEX(EVENTOS!$D:$D,MATCH(SCORE!W$2&amp;" "&amp;SCORE!$D736,EVENTOS!$F:$F,0)),0)</f>
        <v>0</v>
      </c>
      <c r="X736" s="3">
        <f>IFERROR(INDEX(EVENTOS!$D:$D,MATCH(SCORE!X$2&amp;" "&amp;SCORE!$D736,EVENTOS!$F:$F,0)),0)</f>
        <v>0</v>
      </c>
      <c r="Y736" s="3">
        <f>SUMIFS(EVENTOS!$D:$D, EVENTOS!$B:$B, D736, EVENTOS!$E:$E, "*GirAlto*")</f>
        <v>0</v>
      </c>
      <c r="Z736" s="3">
        <f>SUMIFS(EVENTOS!$D:$D, EVENTOS!$B:$B, D736, EVENTOS!$E:$E, "*GirMed*")</f>
        <v>0</v>
      </c>
      <c r="AA736" s="3">
        <f>SUMIFS(EVENTOS!$D:$D, EVENTOS!$B:$B, D736, EVENTOS!$E:$E, "*GirBajo*")</f>
        <v>0</v>
      </c>
      <c r="AB736" s="3">
        <f>IFERROR(INDEX(EVENTOS!$D:$D,MATCH(SCORE!AB$2&amp;" "&amp;SCORE!$D736,EVENTOS!$F:$F,0)),0)</f>
        <v>0</v>
      </c>
      <c r="AC736" s="3">
        <f>IFERROR(INDEX(EVENTOS!$D:$D,MATCH(SCORE!AC$2&amp;" "&amp;SCORE!$D736,EVENTOS!$F:$F,0)),0)</f>
        <v>0</v>
      </c>
      <c r="AD736" s="3">
        <f>IFERROR(INDEX(EVENTOS!$D:$D,MATCH(SCORE!AD$2&amp;" "&amp;SCORE!$D736,EVENTOS!$F:$F,0)),0)</f>
        <v>0</v>
      </c>
      <c r="AE736" s="3">
        <f t="shared" si="33"/>
        <v>0</v>
      </c>
      <c r="AF736" s="10" t="e">
        <f t="shared" si="34"/>
        <v>#N/A</v>
      </c>
      <c r="AG736" s="3" t="str">
        <f t="shared" si="35"/>
        <v/>
      </c>
    </row>
    <row r="737" spans="1:33" x14ac:dyDescent="0.25">
      <c r="A737" s="7"/>
      <c r="B737" s="8"/>
      <c r="C737" s="3"/>
      <c r="D737" s="3"/>
      <c r="E737" s="3" t="e">
        <f>VLOOKUP(D737,VIAJES!$D:$E,2,FALSE)</f>
        <v>#N/A</v>
      </c>
      <c r="F737" s="9" t="e">
        <f>VLOOKUP(D737,VIAJES!$D:$F,3,FALSE)</f>
        <v>#N/A</v>
      </c>
      <c r="G737" s="9" t="e">
        <f>VLOOKUP(D737,VIAJES!$D:$G,4,FALSE)</f>
        <v>#N/A</v>
      </c>
      <c r="H737" s="3" t="e">
        <f>VLOOKUP(D737,VIAJES!$D:$H,5,FALSE)</f>
        <v>#N/A</v>
      </c>
      <c r="S737" s="3">
        <f>IFERROR(INDEX(EVENTOS!$D:$D,MATCH(SCORE!S$2&amp;" "&amp;SCORE!$D737,EVENTOS!$F:$F,0)),0)</f>
        <v>0</v>
      </c>
      <c r="T737" s="3">
        <f>IFERROR(INDEX(EVENTOS!$D:$D,MATCH(SCORE!T$2&amp;" "&amp;SCORE!$D737,EVENTOS!$F:$F,0)),0)</f>
        <v>0</v>
      </c>
      <c r="U737" s="3">
        <f>IFERROR(INDEX(EVENTOS!$D:$D,MATCH(SCORE!U$2&amp;" "&amp;SCORE!$D737,EVENTOS!$F:$F,0)),0)</f>
        <v>0</v>
      </c>
      <c r="V737" s="3">
        <f>IFERROR(INDEX(EVENTOS!$D:$D,MATCH(SCORE!V$2&amp;" "&amp;SCORE!$D737,EVENTOS!$F:$F,0)),0)</f>
        <v>0</v>
      </c>
      <c r="W737" s="3">
        <f>IFERROR(INDEX(EVENTOS!$D:$D,MATCH(SCORE!W$2&amp;" "&amp;SCORE!$D737,EVENTOS!$F:$F,0)),0)</f>
        <v>0</v>
      </c>
      <c r="X737" s="3">
        <f>IFERROR(INDEX(EVENTOS!$D:$D,MATCH(SCORE!X$2&amp;" "&amp;SCORE!$D737,EVENTOS!$F:$F,0)),0)</f>
        <v>0</v>
      </c>
      <c r="Y737" s="3">
        <f>SUMIFS(EVENTOS!$D:$D, EVENTOS!$B:$B, D737, EVENTOS!$E:$E, "*GirAlto*")</f>
        <v>0</v>
      </c>
      <c r="Z737" s="3">
        <f>SUMIFS(EVENTOS!$D:$D, EVENTOS!$B:$B, D737, EVENTOS!$E:$E, "*GirMed*")</f>
        <v>0</v>
      </c>
      <c r="AA737" s="3">
        <f>SUMIFS(EVENTOS!$D:$D, EVENTOS!$B:$B, D737, EVENTOS!$E:$E, "*GirBajo*")</f>
        <v>0</v>
      </c>
      <c r="AB737" s="3">
        <f>IFERROR(INDEX(EVENTOS!$D:$D,MATCH(SCORE!AB$2&amp;" "&amp;SCORE!$D737,EVENTOS!$F:$F,0)),0)</f>
        <v>0</v>
      </c>
      <c r="AC737" s="3">
        <f>IFERROR(INDEX(EVENTOS!$D:$D,MATCH(SCORE!AC$2&amp;" "&amp;SCORE!$D737,EVENTOS!$F:$F,0)),0)</f>
        <v>0</v>
      </c>
      <c r="AD737" s="3">
        <f>IFERROR(INDEX(EVENTOS!$D:$D,MATCH(SCORE!AD$2&amp;" "&amp;SCORE!$D737,EVENTOS!$F:$F,0)),0)</f>
        <v>0</v>
      </c>
      <c r="AE737" s="3">
        <f t="shared" si="33"/>
        <v>0</v>
      </c>
      <c r="AF737" s="10" t="e">
        <f t="shared" si="34"/>
        <v>#N/A</v>
      </c>
      <c r="AG737" s="3" t="str">
        <f t="shared" si="35"/>
        <v/>
      </c>
    </row>
    <row r="738" spans="1:33" x14ac:dyDescent="0.25">
      <c r="A738" s="7"/>
      <c r="B738" s="8"/>
      <c r="C738" s="3"/>
      <c r="D738" s="3"/>
      <c r="E738" s="3" t="e">
        <f>VLOOKUP(D738,VIAJES!$D:$E,2,FALSE)</f>
        <v>#N/A</v>
      </c>
      <c r="F738" s="9" t="e">
        <f>VLOOKUP(D738,VIAJES!$D:$F,3,FALSE)</f>
        <v>#N/A</v>
      </c>
      <c r="G738" s="9" t="e">
        <f>VLOOKUP(D738,VIAJES!$D:$G,4,FALSE)</f>
        <v>#N/A</v>
      </c>
      <c r="H738" s="3" t="e">
        <f>VLOOKUP(D738,VIAJES!$D:$H,5,FALSE)</f>
        <v>#N/A</v>
      </c>
      <c r="S738" s="3">
        <f>IFERROR(INDEX(EVENTOS!$D:$D,MATCH(SCORE!S$2&amp;" "&amp;SCORE!$D738,EVENTOS!$F:$F,0)),0)</f>
        <v>0</v>
      </c>
      <c r="T738" s="3">
        <f>IFERROR(INDEX(EVENTOS!$D:$D,MATCH(SCORE!T$2&amp;" "&amp;SCORE!$D738,EVENTOS!$F:$F,0)),0)</f>
        <v>0</v>
      </c>
      <c r="U738" s="3">
        <f>IFERROR(INDEX(EVENTOS!$D:$D,MATCH(SCORE!U$2&amp;" "&amp;SCORE!$D738,EVENTOS!$F:$F,0)),0)</f>
        <v>0</v>
      </c>
      <c r="V738" s="3">
        <f>IFERROR(INDEX(EVENTOS!$D:$D,MATCH(SCORE!V$2&amp;" "&amp;SCORE!$D738,EVENTOS!$F:$F,0)),0)</f>
        <v>0</v>
      </c>
      <c r="W738" s="3">
        <f>IFERROR(INDEX(EVENTOS!$D:$D,MATCH(SCORE!W$2&amp;" "&amp;SCORE!$D738,EVENTOS!$F:$F,0)),0)</f>
        <v>0</v>
      </c>
      <c r="X738" s="3">
        <f>IFERROR(INDEX(EVENTOS!$D:$D,MATCH(SCORE!X$2&amp;" "&amp;SCORE!$D738,EVENTOS!$F:$F,0)),0)</f>
        <v>0</v>
      </c>
      <c r="Y738" s="3">
        <f>SUMIFS(EVENTOS!$D:$D, EVENTOS!$B:$B, D738, EVENTOS!$E:$E, "*GirAlto*")</f>
        <v>0</v>
      </c>
      <c r="Z738" s="3">
        <f>SUMIFS(EVENTOS!$D:$D, EVENTOS!$B:$B, D738, EVENTOS!$E:$E, "*GirMed*")</f>
        <v>0</v>
      </c>
      <c r="AA738" s="3">
        <f>SUMIFS(EVENTOS!$D:$D, EVENTOS!$B:$B, D738, EVENTOS!$E:$E, "*GirBajo*")</f>
        <v>0</v>
      </c>
      <c r="AB738" s="3">
        <f>IFERROR(INDEX(EVENTOS!$D:$D,MATCH(SCORE!AB$2&amp;" "&amp;SCORE!$D738,EVENTOS!$F:$F,0)),0)</f>
        <v>0</v>
      </c>
      <c r="AC738" s="3">
        <f>IFERROR(INDEX(EVENTOS!$D:$D,MATCH(SCORE!AC$2&amp;" "&amp;SCORE!$D738,EVENTOS!$F:$F,0)),0)</f>
        <v>0</v>
      </c>
      <c r="AD738" s="3">
        <f>IFERROR(INDEX(EVENTOS!$D:$D,MATCH(SCORE!AD$2&amp;" "&amp;SCORE!$D738,EVENTOS!$F:$F,0)),0)</f>
        <v>0</v>
      </c>
      <c r="AE738" s="3">
        <f t="shared" si="33"/>
        <v>0</v>
      </c>
      <c r="AF738" s="10" t="e">
        <f t="shared" si="34"/>
        <v>#N/A</v>
      </c>
      <c r="AG738" s="3" t="str">
        <f t="shared" si="35"/>
        <v/>
      </c>
    </row>
    <row r="739" spans="1:33" x14ac:dyDescent="0.25">
      <c r="A739" s="7"/>
      <c r="B739" s="8"/>
      <c r="C739" s="3"/>
      <c r="D739" s="3"/>
      <c r="E739" s="3" t="e">
        <f>VLOOKUP(D739,VIAJES!$D:$E,2,FALSE)</f>
        <v>#N/A</v>
      </c>
      <c r="F739" s="9" t="e">
        <f>VLOOKUP(D739,VIAJES!$D:$F,3,FALSE)</f>
        <v>#N/A</v>
      </c>
      <c r="G739" s="9" t="e">
        <f>VLOOKUP(D739,VIAJES!$D:$G,4,FALSE)</f>
        <v>#N/A</v>
      </c>
      <c r="H739" s="3" t="e">
        <f>VLOOKUP(D739,VIAJES!$D:$H,5,FALSE)</f>
        <v>#N/A</v>
      </c>
      <c r="S739" s="3">
        <f>IFERROR(INDEX(EVENTOS!$D:$D,MATCH(SCORE!S$2&amp;" "&amp;SCORE!$D739,EVENTOS!$F:$F,0)),0)</f>
        <v>0</v>
      </c>
      <c r="T739" s="3">
        <f>IFERROR(INDEX(EVENTOS!$D:$D,MATCH(SCORE!T$2&amp;" "&amp;SCORE!$D739,EVENTOS!$F:$F,0)),0)</f>
        <v>0</v>
      </c>
      <c r="U739" s="3">
        <f>IFERROR(INDEX(EVENTOS!$D:$D,MATCH(SCORE!U$2&amp;" "&amp;SCORE!$D739,EVENTOS!$F:$F,0)),0)</f>
        <v>0</v>
      </c>
      <c r="V739" s="3">
        <f>IFERROR(INDEX(EVENTOS!$D:$D,MATCH(SCORE!V$2&amp;" "&amp;SCORE!$D739,EVENTOS!$F:$F,0)),0)</f>
        <v>0</v>
      </c>
      <c r="W739" s="3">
        <f>IFERROR(INDEX(EVENTOS!$D:$D,MATCH(SCORE!W$2&amp;" "&amp;SCORE!$D739,EVENTOS!$F:$F,0)),0)</f>
        <v>0</v>
      </c>
      <c r="X739" s="3">
        <f>IFERROR(INDEX(EVENTOS!$D:$D,MATCH(SCORE!X$2&amp;" "&amp;SCORE!$D739,EVENTOS!$F:$F,0)),0)</f>
        <v>0</v>
      </c>
      <c r="Y739" s="3">
        <f>SUMIFS(EVENTOS!$D:$D, EVENTOS!$B:$B, D739, EVENTOS!$E:$E, "*GirAlto*")</f>
        <v>0</v>
      </c>
      <c r="Z739" s="3">
        <f>SUMIFS(EVENTOS!$D:$D, EVENTOS!$B:$B, D739, EVENTOS!$E:$E, "*GirMed*")</f>
        <v>0</v>
      </c>
      <c r="AA739" s="3">
        <f>SUMIFS(EVENTOS!$D:$D, EVENTOS!$B:$B, D739, EVENTOS!$E:$E, "*GirBajo*")</f>
        <v>0</v>
      </c>
      <c r="AB739" s="3">
        <f>IFERROR(INDEX(EVENTOS!$D:$D,MATCH(SCORE!AB$2&amp;" "&amp;SCORE!$D739,EVENTOS!$F:$F,0)),0)</f>
        <v>0</v>
      </c>
      <c r="AC739" s="3">
        <f>IFERROR(INDEX(EVENTOS!$D:$D,MATCH(SCORE!AC$2&amp;" "&amp;SCORE!$D739,EVENTOS!$F:$F,0)),0)</f>
        <v>0</v>
      </c>
      <c r="AD739" s="3">
        <f>IFERROR(INDEX(EVENTOS!$D:$D,MATCH(SCORE!AD$2&amp;" "&amp;SCORE!$D739,EVENTOS!$F:$F,0)),0)</f>
        <v>0</v>
      </c>
      <c r="AE739" s="3">
        <f t="shared" si="33"/>
        <v>0</v>
      </c>
      <c r="AF739" s="10" t="e">
        <f t="shared" si="34"/>
        <v>#N/A</v>
      </c>
      <c r="AG739" s="3" t="str">
        <f t="shared" si="35"/>
        <v/>
      </c>
    </row>
    <row r="740" spans="1:33" x14ac:dyDescent="0.25">
      <c r="A740" s="7"/>
      <c r="B740" s="8"/>
      <c r="C740" s="3"/>
      <c r="D740" s="3"/>
      <c r="E740" s="3" t="e">
        <f>VLOOKUP(D740,VIAJES!$D:$E,2,FALSE)</f>
        <v>#N/A</v>
      </c>
      <c r="F740" s="9" t="e">
        <f>VLOOKUP(D740,VIAJES!$D:$F,3,FALSE)</f>
        <v>#N/A</v>
      </c>
      <c r="G740" s="9" t="e">
        <f>VLOOKUP(D740,VIAJES!$D:$G,4,FALSE)</f>
        <v>#N/A</v>
      </c>
      <c r="H740" s="3" t="e">
        <f>VLOOKUP(D740,VIAJES!$D:$H,5,FALSE)</f>
        <v>#N/A</v>
      </c>
      <c r="S740" s="3">
        <f>IFERROR(INDEX(EVENTOS!$D:$D,MATCH(SCORE!S$2&amp;" "&amp;SCORE!$D740,EVENTOS!$F:$F,0)),0)</f>
        <v>0</v>
      </c>
      <c r="T740" s="3">
        <f>IFERROR(INDEX(EVENTOS!$D:$D,MATCH(SCORE!T$2&amp;" "&amp;SCORE!$D740,EVENTOS!$F:$F,0)),0)</f>
        <v>0</v>
      </c>
      <c r="U740" s="3">
        <f>IFERROR(INDEX(EVENTOS!$D:$D,MATCH(SCORE!U$2&amp;" "&amp;SCORE!$D740,EVENTOS!$F:$F,0)),0)</f>
        <v>0</v>
      </c>
      <c r="V740" s="3">
        <f>IFERROR(INDEX(EVENTOS!$D:$D,MATCH(SCORE!V$2&amp;" "&amp;SCORE!$D740,EVENTOS!$F:$F,0)),0)</f>
        <v>0</v>
      </c>
      <c r="W740" s="3">
        <f>IFERROR(INDEX(EVENTOS!$D:$D,MATCH(SCORE!W$2&amp;" "&amp;SCORE!$D740,EVENTOS!$F:$F,0)),0)</f>
        <v>0</v>
      </c>
      <c r="X740" s="3">
        <f>IFERROR(INDEX(EVENTOS!$D:$D,MATCH(SCORE!X$2&amp;" "&amp;SCORE!$D740,EVENTOS!$F:$F,0)),0)</f>
        <v>0</v>
      </c>
      <c r="Y740" s="3">
        <f>SUMIFS(EVENTOS!$D:$D, EVENTOS!$B:$B, D740, EVENTOS!$E:$E, "*GirAlto*")</f>
        <v>0</v>
      </c>
      <c r="Z740" s="3">
        <f>SUMIFS(EVENTOS!$D:$D, EVENTOS!$B:$B, D740, EVENTOS!$E:$E, "*GirMed*")</f>
        <v>0</v>
      </c>
      <c r="AA740" s="3">
        <f>SUMIFS(EVENTOS!$D:$D, EVENTOS!$B:$B, D740, EVENTOS!$E:$E, "*GirBajo*")</f>
        <v>0</v>
      </c>
      <c r="AB740" s="3">
        <f>IFERROR(INDEX(EVENTOS!$D:$D,MATCH(SCORE!AB$2&amp;" "&amp;SCORE!$D740,EVENTOS!$F:$F,0)),0)</f>
        <v>0</v>
      </c>
      <c r="AC740" s="3">
        <f>IFERROR(INDEX(EVENTOS!$D:$D,MATCH(SCORE!AC$2&amp;" "&amp;SCORE!$D740,EVENTOS!$F:$F,0)),0)</f>
        <v>0</v>
      </c>
      <c r="AD740" s="3">
        <f>IFERROR(INDEX(EVENTOS!$D:$D,MATCH(SCORE!AD$2&amp;" "&amp;SCORE!$D740,EVENTOS!$F:$F,0)),0)</f>
        <v>0</v>
      </c>
      <c r="AE740" s="3">
        <f t="shared" si="33"/>
        <v>0</v>
      </c>
      <c r="AF740" s="10" t="e">
        <f t="shared" si="34"/>
        <v>#N/A</v>
      </c>
      <c r="AG740" s="3" t="str">
        <f t="shared" si="35"/>
        <v/>
      </c>
    </row>
    <row r="741" spans="1:33" x14ac:dyDescent="0.25">
      <c r="A741" s="7"/>
      <c r="B741" s="8"/>
      <c r="C741" s="3"/>
      <c r="D741" s="3"/>
      <c r="E741" s="3" t="e">
        <f>VLOOKUP(D741,VIAJES!$D:$E,2,FALSE)</f>
        <v>#N/A</v>
      </c>
      <c r="F741" s="9" t="e">
        <f>VLOOKUP(D741,VIAJES!$D:$F,3,FALSE)</f>
        <v>#N/A</v>
      </c>
      <c r="G741" s="9" t="e">
        <f>VLOOKUP(D741,VIAJES!$D:$G,4,FALSE)</f>
        <v>#N/A</v>
      </c>
      <c r="H741" s="3" t="e">
        <f>VLOOKUP(D741,VIAJES!$D:$H,5,FALSE)</f>
        <v>#N/A</v>
      </c>
      <c r="S741" s="3">
        <f>IFERROR(INDEX(EVENTOS!$D:$D,MATCH(SCORE!S$2&amp;" "&amp;SCORE!$D741,EVENTOS!$F:$F,0)),0)</f>
        <v>0</v>
      </c>
      <c r="T741" s="3">
        <f>IFERROR(INDEX(EVENTOS!$D:$D,MATCH(SCORE!T$2&amp;" "&amp;SCORE!$D741,EVENTOS!$F:$F,0)),0)</f>
        <v>0</v>
      </c>
      <c r="U741" s="3">
        <f>IFERROR(INDEX(EVENTOS!$D:$D,MATCH(SCORE!U$2&amp;" "&amp;SCORE!$D741,EVENTOS!$F:$F,0)),0)</f>
        <v>0</v>
      </c>
      <c r="V741" s="3">
        <f>IFERROR(INDEX(EVENTOS!$D:$D,MATCH(SCORE!V$2&amp;" "&amp;SCORE!$D741,EVENTOS!$F:$F,0)),0)</f>
        <v>0</v>
      </c>
      <c r="W741" s="3">
        <f>IFERROR(INDEX(EVENTOS!$D:$D,MATCH(SCORE!W$2&amp;" "&amp;SCORE!$D741,EVENTOS!$F:$F,0)),0)</f>
        <v>0</v>
      </c>
      <c r="X741" s="3">
        <f>IFERROR(INDEX(EVENTOS!$D:$D,MATCH(SCORE!X$2&amp;" "&amp;SCORE!$D741,EVENTOS!$F:$F,0)),0)</f>
        <v>0</v>
      </c>
      <c r="Y741" s="3">
        <f>SUMIFS(EVENTOS!$D:$D, EVENTOS!$B:$B, D741, EVENTOS!$E:$E, "*GirAlto*")</f>
        <v>0</v>
      </c>
      <c r="Z741" s="3">
        <f>SUMIFS(EVENTOS!$D:$D, EVENTOS!$B:$B, D741, EVENTOS!$E:$E, "*GirMed*")</f>
        <v>0</v>
      </c>
      <c r="AA741" s="3">
        <f>SUMIFS(EVENTOS!$D:$D, EVENTOS!$B:$B, D741, EVENTOS!$E:$E, "*GirBajo*")</f>
        <v>0</v>
      </c>
      <c r="AB741" s="3">
        <f>IFERROR(INDEX(EVENTOS!$D:$D,MATCH(SCORE!AB$2&amp;" "&amp;SCORE!$D741,EVENTOS!$F:$F,0)),0)</f>
        <v>0</v>
      </c>
      <c r="AC741" s="3">
        <f>IFERROR(INDEX(EVENTOS!$D:$D,MATCH(SCORE!AC$2&amp;" "&amp;SCORE!$D741,EVENTOS!$F:$F,0)),0)</f>
        <v>0</v>
      </c>
      <c r="AD741" s="3">
        <f>IFERROR(INDEX(EVENTOS!$D:$D,MATCH(SCORE!AD$2&amp;" "&amp;SCORE!$D741,EVENTOS!$F:$F,0)),0)</f>
        <v>0</v>
      </c>
      <c r="AE741" s="3">
        <f t="shared" si="33"/>
        <v>0</v>
      </c>
      <c r="AF741" s="10" t="e">
        <f t="shared" si="34"/>
        <v>#N/A</v>
      </c>
      <c r="AG741" s="3" t="str">
        <f t="shared" si="35"/>
        <v/>
      </c>
    </row>
    <row r="742" spans="1:33" x14ac:dyDescent="0.25">
      <c r="A742" s="7"/>
      <c r="B742" s="8"/>
      <c r="C742" s="3"/>
      <c r="D742" s="3"/>
      <c r="E742" s="3" t="e">
        <f>VLOOKUP(D742,VIAJES!$D:$E,2,FALSE)</f>
        <v>#N/A</v>
      </c>
      <c r="F742" s="9" t="e">
        <f>VLOOKUP(D742,VIAJES!$D:$F,3,FALSE)</f>
        <v>#N/A</v>
      </c>
      <c r="G742" s="9" t="e">
        <f>VLOOKUP(D742,VIAJES!$D:$G,4,FALSE)</f>
        <v>#N/A</v>
      </c>
      <c r="H742" s="3" t="e">
        <f>VLOOKUP(D742,VIAJES!$D:$H,5,FALSE)</f>
        <v>#N/A</v>
      </c>
      <c r="S742" s="3">
        <f>IFERROR(INDEX(EVENTOS!$D:$D,MATCH(SCORE!S$2&amp;" "&amp;SCORE!$D742,EVENTOS!$F:$F,0)),0)</f>
        <v>0</v>
      </c>
      <c r="T742" s="3">
        <f>IFERROR(INDEX(EVENTOS!$D:$D,MATCH(SCORE!T$2&amp;" "&amp;SCORE!$D742,EVENTOS!$F:$F,0)),0)</f>
        <v>0</v>
      </c>
      <c r="U742" s="3">
        <f>IFERROR(INDEX(EVENTOS!$D:$D,MATCH(SCORE!U$2&amp;" "&amp;SCORE!$D742,EVENTOS!$F:$F,0)),0)</f>
        <v>0</v>
      </c>
      <c r="V742" s="3">
        <f>IFERROR(INDEX(EVENTOS!$D:$D,MATCH(SCORE!V$2&amp;" "&amp;SCORE!$D742,EVENTOS!$F:$F,0)),0)</f>
        <v>0</v>
      </c>
      <c r="W742" s="3">
        <f>IFERROR(INDEX(EVENTOS!$D:$D,MATCH(SCORE!W$2&amp;" "&amp;SCORE!$D742,EVENTOS!$F:$F,0)),0)</f>
        <v>0</v>
      </c>
      <c r="X742" s="3">
        <f>IFERROR(INDEX(EVENTOS!$D:$D,MATCH(SCORE!X$2&amp;" "&amp;SCORE!$D742,EVENTOS!$F:$F,0)),0)</f>
        <v>0</v>
      </c>
      <c r="Y742" s="3">
        <f>SUMIFS(EVENTOS!$D:$D, EVENTOS!$B:$B, D742, EVENTOS!$E:$E, "*GirAlto*")</f>
        <v>0</v>
      </c>
      <c r="Z742" s="3">
        <f>SUMIFS(EVENTOS!$D:$D, EVENTOS!$B:$B, D742, EVENTOS!$E:$E, "*GirMed*")</f>
        <v>0</v>
      </c>
      <c r="AA742" s="3">
        <f>SUMIFS(EVENTOS!$D:$D, EVENTOS!$B:$B, D742, EVENTOS!$E:$E, "*GirBajo*")</f>
        <v>0</v>
      </c>
      <c r="AB742" s="3">
        <f>IFERROR(INDEX(EVENTOS!$D:$D,MATCH(SCORE!AB$2&amp;" "&amp;SCORE!$D742,EVENTOS!$F:$F,0)),0)</f>
        <v>0</v>
      </c>
      <c r="AC742" s="3">
        <f>IFERROR(INDEX(EVENTOS!$D:$D,MATCH(SCORE!AC$2&amp;" "&amp;SCORE!$D742,EVENTOS!$F:$F,0)),0)</f>
        <v>0</v>
      </c>
      <c r="AD742" s="3">
        <f>IFERROR(INDEX(EVENTOS!$D:$D,MATCH(SCORE!AD$2&amp;" "&amp;SCORE!$D742,EVENTOS!$F:$F,0)),0)</f>
        <v>0</v>
      </c>
      <c r="AE742" s="3">
        <f t="shared" si="33"/>
        <v>0</v>
      </c>
      <c r="AF742" s="10" t="e">
        <f t="shared" si="34"/>
        <v>#N/A</v>
      </c>
      <c r="AG742" s="3" t="str">
        <f t="shared" si="35"/>
        <v/>
      </c>
    </row>
    <row r="743" spans="1:33" x14ac:dyDescent="0.25">
      <c r="A743" s="7"/>
      <c r="B743" s="8"/>
      <c r="C743" s="3"/>
      <c r="D743" s="3"/>
      <c r="E743" s="3" t="e">
        <f>VLOOKUP(D743,VIAJES!$D:$E,2,FALSE)</f>
        <v>#N/A</v>
      </c>
      <c r="F743" s="9" t="e">
        <f>VLOOKUP(D743,VIAJES!$D:$F,3,FALSE)</f>
        <v>#N/A</v>
      </c>
      <c r="G743" s="9" t="e">
        <f>VLOOKUP(D743,VIAJES!$D:$G,4,FALSE)</f>
        <v>#N/A</v>
      </c>
      <c r="H743" s="3" t="e">
        <f>VLOOKUP(D743,VIAJES!$D:$H,5,FALSE)</f>
        <v>#N/A</v>
      </c>
      <c r="S743" s="3">
        <f>IFERROR(INDEX(EVENTOS!$D:$D,MATCH(SCORE!S$2&amp;" "&amp;SCORE!$D743,EVENTOS!$F:$F,0)),0)</f>
        <v>0</v>
      </c>
      <c r="T743" s="3">
        <f>IFERROR(INDEX(EVENTOS!$D:$D,MATCH(SCORE!T$2&amp;" "&amp;SCORE!$D743,EVENTOS!$F:$F,0)),0)</f>
        <v>0</v>
      </c>
      <c r="U743" s="3">
        <f>IFERROR(INDEX(EVENTOS!$D:$D,MATCH(SCORE!U$2&amp;" "&amp;SCORE!$D743,EVENTOS!$F:$F,0)),0)</f>
        <v>0</v>
      </c>
      <c r="V743" s="3">
        <f>IFERROR(INDEX(EVENTOS!$D:$D,MATCH(SCORE!V$2&amp;" "&amp;SCORE!$D743,EVENTOS!$F:$F,0)),0)</f>
        <v>0</v>
      </c>
      <c r="W743" s="3">
        <f>IFERROR(INDEX(EVENTOS!$D:$D,MATCH(SCORE!W$2&amp;" "&amp;SCORE!$D743,EVENTOS!$F:$F,0)),0)</f>
        <v>0</v>
      </c>
      <c r="X743" s="3">
        <f>IFERROR(INDEX(EVENTOS!$D:$D,MATCH(SCORE!X$2&amp;" "&amp;SCORE!$D743,EVENTOS!$F:$F,0)),0)</f>
        <v>0</v>
      </c>
      <c r="Y743" s="3">
        <f>SUMIFS(EVENTOS!$D:$D, EVENTOS!$B:$B, D743, EVENTOS!$E:$E, "*GirAlto*")</f>
        <v>0</v>
      </c>
      <c r="Z743" s="3">
        <f>SUMIFS(EVENTOS!$D:$D, EVENTOS!$B:$B, D743, EVENTOS!$E:$E, "*GirMed*")</f>
        <v>0</v>
      </c>
      <c r="AA743" s="3">
        <f>SUMIFS(EVENTOS!$D:$D, EVENTOS!$B:$B, D743, EVENTOS!$E:$E, "*GirBajo*")</f>
        <v>0</v>
      </c>
      <c r="AB743" s="3">
        <f>IFERROR(INDEX(EVENTOS!$D:$D,MATCH(SCORE!AB$2&amp;" "&amp;SCORE!$D743,EVENTOS!$F:$F,0)),0)</f>
        <v>0</v>
      </c>
      <c r="AC743" s="3">
        <f>IFERROR(INDEX(EVENTOS!$D:$D,MATCH(SCORE!AC$2&amp;" "&amp;SCORE!$D743,EVENTOS!$F:$F,0)),0)</f>
        <v>0</v>
      </c>
      <c r="AD743" s="3">
        <f>IFERROR(INDEX(EVENTOS!$D:$D,MATCH(SCORE!AD$2&amp;" "&amp;SCORE!$D743,EVENTOS!$F:$F,0)),0)</f>
        <v>0</v>
      </c>
      <c r="AE743" s="3">
        <f t="shared" si="33"/>
        <v>0</v>
      </c>
      <c r="AF743" s="10" t="e">
        <f t="shared" si="34"/>
        <v>#N/A</v>
      </c>
      <c r="AG743" s="3" t="str">
        <f t="shared" si="35"/>
        <v/>
      </c>
    </row>
    <row r="744" spans="1:33" x14ac:dyDescent="0.25">
      <c r="A744" s="7"/>
      <c r="B744" s="8"/>
      <c r="C744" s="3"/>
      <c r="D744" s="3"/>
      <c r="E744" s="3" t="e">
        <f>VLOOKUP(D744,VIAJES!$D:$E,2,FALSE)</f>
        <v>#N/A</v>
      </c>
      <c r="F744" s="9" t="e">
        <f>VLOOKUP(D744,VIAJES!$D:$F,3,FALSE)</f>
        <v>#N/A</v>
      </c>
      <c r="G744" s="9" t="e">
        <f>VLOOKUP(D744,VIAJES!$D:$G,4,FALSE)</f>
        <v>#N/A</v>
      </c>
      <c r="H744" s="3" t="e">
        <f>VLOOKUP(D744,VIAJES!$D:$H,5,FALSE)</f>
        <v>#N/A</v>
      </c>
      <c r="S744" s="3">
        <f>IFERROR(INDEX(EVENTOS!$D:$D,MATCH(SCORE!S$2&amp;" "&amp;SCORE!$D744,EVENTOS!$F:$F,0)),0)</f>
        <v>0</v>
      </c>
      <c r="T744" s="3">
        <f>IFERROR(INDEX(EVENTOS!$D:$D,MATCH(SCORE!T$2&amp;" "&amp;SCORE!$D744,EVENTOS!$F:$F,0)),0)</f>
        <v>0</v>
      </c>
      <c r="U744" s="3">
        <f>IFERROR(INDEX(EVENTOS!$D:$D,MATCH(SCORE!U$2&amp;" "&amp;SCORE!$D744,EVENTOS!$F:$F,0)),0)</f>
        <v>0</v>
      </c>
      <c r="V744" s="3">
        <f>IFERROR(INDEX(EVENTOS!$D:$D,MATCH(SCORE!V$2&amp;" "&amp;SCORE!$D744,EVENTOS!$F:$F,0)),0)</f>
        <v>0</v>
      </c>
      <c r="W744" s="3">
        <f>IFERROR(INDEX(EVENTOS!$D:$D,MATCH(SCORE!W$2&amp;" "&amp;SCORE!$D744,EVENTOS!$F:$F,0)),0)</f>
        <v>0</v>
      </c>
      <c r="X744" s="3">
        <f>IFERROR(INDEX(EVENTOS!$D:$D,MATCH(SCORE!X$2&amp;" "&amp;SCORE!$D744,EVENTOS!$F:$F,0)),0)</f>
        <v>0</v>
      </c>
      <c r="Y744" s="3">
        <f>SUMIFS(EVENTOS!$D:$D, EVENTOS!$B:$B, D744, EVENTOS!$E:$E, "*GirAlto*")</f>
        <v>0</v>
      </c>
      <c r="Z744" s="3">
        <f>SUMIFS(EVENTOS!$D:$D, EVENTOS!$B:$B, D744, EVENTOS!$E:$E, "*GirMed*")</f>
        <v>0</v>
      </c>
      <c r="AA744" s="3">
        <f>SUMIFS(EVENTOS!$D:$D, EVENTOS!$B:$B, D744, EVENTOS!$E:$E, "*GirBajo*")</f>
        <v>0</v>
      </c>
      <c r="AB744" s="3">
        <f>IFERROR(INDEX(EVENTOS!$D:$D,MATCH(SCORE!AB$2&amp;" "&amp;SCORE!$D744,EVENTOS!$F:$F,0)),0)</f>
        <v>0</v>
      </c>
      <c r="AC744" s="3">
        <f>IFERROR(INDEX(EVENTOS!$D:$D,MATCH(SCORE!AC$2&amp;" "&amp;SCORE!$D744,EVENTOS!$F:$F,0)),0)</f>
        <v>0</v>
      </c>
      <c r="AD744" s="3">
        <f>IFERROR(INDEX(EVENTOS!$D:$D,MATCH(SCORE!AD$2&amp;" "&amp;SCORE!$D744,EVENTOS!$F:$F,0)),0)</f>
        <v>0</v>
      </c>
      <c r="AE744" s="3">
        <f t="shared" si="33"/>
        <v>0</v>
      </c>
      <c r="AF744" s="10" t="e">
        <f t="shared" si="34"/>
        <v>#N/A</v>
      </c>
      <c r="AG744" s="3" t="str">
        <f t="shared" si="35"/>
        <v/>
      </c>
    </row>
    <row r="745" spans="1:33" x14ac:dyDescent="0.25">
      <c r="A745" s="7"/>
      <c r="B745" s="8"/>
      <c r="C745" s="3"/>
      <c r="D745" s="3"/>
      <c r="E745" s="3" t="e">
        <f>VLOOKUP(D745,VIAJES!$D:$E,2,FALSE)</f>
        <v>#N/A</v>
      </c>
      <c r="F745" s="9" t="e">
        <f>VLOOKUP(D745,VIAJES!$D:$F,3,FALSE)</f>
        <v>#N/A</v>
      </c>
      <c r="G745" s="9" t="e">
        <f>VLOOKUP(D745,VIAJES!$D:$G,4,FALSE)</f>
        <v>#N/A</v>
      </c>
      <c r="H745" s="3" t="e">
        <f>VLOOKUP(D745,VIAJES!$D:$H,5,FALSE)</f>
        <v>#N/A</v>
      </c>
      <c r="S745" s="3">
        <f>IFERROR(INDEX(EVENTOS!$D:$D,MATCH(SCORE!S$2&amp;" "&amp;SCORE!$D745,EVENTOS!$F:$F,0)),0)</f>
        <v>0</v>
      </c>
      <c r="T745" s="3">
        <f>IFERROR(INDEX(EVENTOS!$D:$D,MATCH(SCORE!T$2&amp;" "&amp;SCORE!$D745,EVENTOS!$F:$F,0)),0)</f>
        <v>0</v>
      </c>
      <c r="U745" s="3">
        <f>IFERROR(INDEX(EVENTOS!$D:$D,MATCH(SCORE!U$2&amp;" "&amp;SCORE!$D745,EVENTOS!$F:$F,0)),0)</f>
        <v>0</v>
      </c>
      <c r="V745" s="3">
        <f>IFERROR(INDEX(EVENTOS!$D:$D,MATCH(SCORE!V$2&amp;" "&amp;SCORE!$D745,EVENTOS!$F:$F,0)),0)</f>
        <v>0</v>
      </c>
      <c r="W745" s="3">
        <f>IFERROR(INDEX(EVENTOS!$D:$D,MATCH(SCORE!W$2&amp;" "&amp;SCORE!$D745,EVENTOS!$F:$F,0)),0)</f>
        <v>0</v>
      </c>
      <c r="X745" s="3">
        <f>IFERROR(INDEX(EVENTOS!$D:$D,MATCH(SCORE!X$2&amp;" "&amp;SCORE!$D745,EVENTOS!$F:$F,0)),0)</f>
        <v>0</v>
      </c>
      <c r="Y745" s="3">
        <f>SUMIFS(EVENTOS!$D:$D, EVENTOS!$B:$B, D745, EVENTOS!$E:$E, "*GirAlto*")</f>
        <v>0</v>
      </c>
      <c r="Z745" s="3">
        <f>SUMIFS(EVENTOS!$D:$D, EVENTOS!$B:$B, D745, EVENTOS!$E:$E, "*GirMed*")</f>
        <v>0</v>
      </c>
      <c r="AA745" s="3">
        <f>SUMIFS(EVENTOS!$D:$D, EVENTOS!$B:$B, D745, EVENTOS!$E:$E, "*GirBajo*")</f>
        <v>0</v>
      </c>
      <c r="AB745" s="3">
        <f>IFERROR(INDEX(EVENTOS!$D:$D,MATCH(SCORE!AB$2&amp;" "&amp;SCORE!$D745,EVENTOS!$F:$F,0)),0)</f>
        <v>0</v>
      </c>
      <c r="AC745" s="3">
        <f>IFERROR(INDEX(EVENTOS!$D:$D,MATCH(SCORE!AC$2&amp;" "&amp;SCORE!$D745,EVENTOS!$F:$F,0)),0)</f>
        <v>0</v>
      </c>
      <c r="AD745" s="3">
        <f>IFERROR(INDEX(EVENTOS!$D:$D,MATCH(SCORE!AD$2&amp;" "&amp;SCORE!$D745,EVENTOS!$F:$F,0)),0)</f>
        <v>0</v>
      </c>
      <c r="AE745" s="3">
        <f t="shared" si="33"/>
        <v>0</v>
      </c>
      <c r="AF745" s="10" t="e">
        <f t="shared" si="34"/>
        <v>#N/A</v>
      </c>
      <c r="AG745" s="3" t="str">
        <f t="shared" si="35"/>
        <v/>
      </c>
    </row>
    <row r="746" spans="1:33" x14ac:dyDescent="0.25">
      <c r="A746" s="7"/>
      <c r="B746" s="8"/>
      <c r="C746" s="3"/>
      <c r="D746" s="3"/>
      <c r="E746" s="3" t="e">
        <f>VLOOKUP(D746,VIAJES!$D:$E,2,FALSE)</f>
        <v>#N/A</v>
      </c>
      <c r="F746" s="9" t="e">
        <f>VLOOKUP(D746,VIAJES!$D:$F,3,FALSE)</f>
        <v>#N/A</v>
      </c>
      <c r="G746" s="9" t="e">
        <f>VLOOKUP(D746,VIAJES!$D:$G,4,FALSE)</f>
        <v>#N/A</v>
      </c>
      <c r="H746" s="3" t="e">
        <f>VLOOKUP(D746,VIAJES!$D:$H,5,FALSE)</f>
        <v>#N/A</v>
      </c>
      <c r="S746" s="3">
        <f>IFERROR(INDEX(EVENTOS!$D:$D,MATCH(SCORE!S$2&amp;" "&amp;SCORE!$D746,EVENTOS!$F:$F,0)),0)</f>
        <v>0</v>
      </c>
      <c r="T746" s="3">
        <f>IFERROR(INDEX(EVENTOS!$D:$D,MATCH(SCORE!T$2&amp;" "&amp;SCORE!$D746,EVENTOS!$F:$F,0)),0)</f>
        <v>0</v>
      </c>
      <c r="U746" s="3">
        <f>IFERROR(INDEX(EVENTOS!$D:$D,MATCH(SCORE!U$2&amp;" "&amp;SCORE!$D746,EVENTOS!$F:$F,0)),0)</f>
        <v>0</v>
      </c>
      <c r="V746" s="3">
        <f>IFERROR(INDEX(EVENTOS!$D:$D,MATCH(SCORE!V$2&amp;" "&amp;SCORE!$D746,EVENTOS!$F:$F,0)),0)</f>
        <v>0</v>
      </c>
      <c r="W746" s="3">
        <f>IFERROR(INDEX(EVENTOS!$D:$D,MATCH(SCORE!W$2&amp;" "&amp;SCORE!$D746,EVENTOS!$F:$F,0)),0)</f>
        <v>0</v>
      </c>
      <c r="X746" s="3">
        <f>IFERROR(INDEX(EVENTOS!$D:$D,MATCH(SCORE!X$2&amp;" "&amp;SCORE!$D746,EVENTOS!$F:$F,0)),0)</f>
        <v>0</v>
      </c>
      <c r="Y746" s="3">
        <f>SUMIFS(EVENTOS!$D:$D, EVENTOS!$B:$B, D746, EVENTOS!$E:$E, "*GirAlto*")</f>
        <v>0</v>
      </c>
      <c r="Z746" s="3">
        <f>SUMIFS(EVENTOS!$D:$D, EVENTOS!$B:$B, D746, EVENTOS!$E:$E, "*GirMed*")</f>
        <v>0</v>
      </c>
      <c r="AA746" s="3">
        <f>SUMIFS(EVENTOS!$D:$D, EVENTOS!$B:$B, D746, EVENTOS!$E:$E, "*GirBajo*")</f>
        <v>0</v>
      </c>
      <c r="AB746" s="3">
        <f>IFERROR(INDEX(EVENTOS!$D:$D,MATCH(SCORE!AB$2&amp;" "&amp;SCORE!$D746,EVENTOS!$F:$F,0)),0)</f>
        <v>0</v>
      </c>
      <c r="AC746" s="3">
        <f>IFERROR(INDEX(EVENTOS!$D:$D,MATCH(SCORE!AC$2&amp;" "&amp;SCORE!$D746,EVENTOS!$F:$F,0)),0)</f>
        <v>0</v>
      </c>
      <c r="AD746" s="3">
        <f>IFERROR(INDEX(EVENTOS!$D:$D,MATCH(SCORE!AD$2&amp;" "&amp;SCORE!$D746,EVENTOS!$F:$F,0)),0)</f>
        <v>0</v>
      </c>
      <c r="AE746" s="3">
        <f t="shared" si="33"/>
        <v>0</v>
      </c>
      <c r="AF746" s="10" t="e">
        <f t="shared" si="34"/>
        <v>#N/A</v>
      </c>
      <c r="AG746" s="3" t="str">
        <f t="shared" si="35"/>
        <v/>
      </c>
    </row>
    <row r="747" spans="1:33" x14ac:dyDescent="0.25">
      <c r="A747" s="7"/>
      <c r="B747" s="8"/>
      <c r="C747" s="3"/>
      <c r="D747" s="3"/>
      <c r="E747" s="3" t="e">
        <f>VLOOKUP(D747,VIAJES!$D:$E,2,FALSE)</f>
        <v>#N/A</v>
      </c>
      <c r="F747" s="9" t="e">
        <f>VLOOKUP(D747,VIAJES!$D:$F,3,FALSE)</f>
        <v>#N/A</v>
      </c>
      <c r="G747" s="9" t="e">
        <f>VLOOKUP(D747,VIAJES!$D:$G,4,FALSE)</f>
        <v>#N/A</v>
      </c>
      <c r="H747" s="3" t="e">
        <f>VLOOKUP(D747,VIAJES!$D:$H,5,FALSE)</f>
        <v>#N/A</v>
      </c>
      <c r="S747" s="3">
        <f>IFERROR(INDEX(EVENTOS!$D:$D,MATCH(SCORE!S$2&amp;" "&amp;SCORE!$D747,EVENTOS!$F:$F,0)),0)</f>
        <v>0</v>
      </c>
      <c r="T747" s="3">
        <f>IFERROR(INDEX(EVENTOS!$D:$D,MATCH(SCORE!T$2&amp;" "&amp;SCORE!$D747,EVENTOS!$F:$F,0)),0)</f>
        <v>0</v>
      </c>
      <c r="U747" s="3">
        <f>IFERROR(INDEX(EVENTOS!$D:$D,MATCH(SCORE!U$2&amp;" "&amp;SCORE!$D747,EVENTOS!$F:$F,0)),0)</f>
        <v>0</v>
      </c>
      <c r="V747" s="3">
        <f>IFERROR(INDEX(EVENTOS!$D:$D,MATCH(SCORE!V$2&amp;" "&amp;SCORE!$D747,EVENTOS!$F:$F,0)),0)</f>
        <v>0</v>
      </c>
      <c r="W747" s="3">
        <f>IFERROR(INDEX(EVENTOS!$D:$D,MATCH(SCORE!W$2&amp;" "&amp;SCORE!$D747,EVENTOS!$F:$F,0)),0)</f>
        <v>0</v>
      </c>
      <c r="X747" s="3">
        <f>IFERROR(INDEX(EVENTOS!$D:$D,MATCH(SCORE!X$2&amp;" "&amp;SCORE!$D747,EVENTOS!$F:$F,0)),0)</f>
        <v>0</v>
      </c>
      <c r="Y747" s="3">
        <f>SUMIFS(EVENTOS!$D:$D, EVENTOS!$B:$B, D747, EVENTOS!$E:$E, "*GirAlto*")</f>
        <v>0</v>
      </c>
      <c r="Z747" s="3">
        <f>SUMIFS(EVENTOS!$D:$D, EVENTOS!$B:$B, D747, EVENTOS!$E:$E, "*GirMed*")</f>
        <v>0</v>
      </c>
      <c r="AA747" s="3">
        <f>SUMIFS(EVENTOS!$D:$D, EVENTOS!$B:$B, D747, EVENTOS!$E:$E, "*GirBajo*")</f>
        <v>0</v>
      </c>
      <c r="AB747" s="3">
        <f>IFERROR(INDEX(EVENTOS!$D:$D,MATCH(SCORE!AB$2&amp;" "&amp;SCORE!$D747,EVENTOS!$F:$F,0)),0)</f>
        <v>0</v>
      </c>
      <c r="AC747" s="3">
        <f>IFERROR(INDEX(EVENTOS!$D:$D,MATCH(SCORE!AC$2&amp;" "&amp;SCORE!$D747,EVENTOS!$F:$F,0)),0)</f>
        <v>0</v>
      </c>
      <c r="AD747" s="3">
        <f>IFERROR(INDEX(EVENTOS!$D:$D,MATCH(SCORE!AD$2&amp;" "&amp;SCORE!$D747,EVENTOS!$F:$F,0)),0)</f>
        <v>0</v>
      </c>
      <c r="AE747" s="3">
        <f t="shared" si="33"/>
        <v>0</v>
      </c>
      <c r="AF747" s="10" t="e">
        <f t="shared" si="34"/>
        <v>#N/A</v>
      </c>
      <c r="AG747" s="3" t="str">
        <f t="shared" si="35"/>
        <v/>
      </c>
    </row>
    <row r="748" spans="1:33" x14ac:dyDescent="0.25">
      <c r="A748" s="7"/>
      <c r="B748" s="8"/>
      <c r="C748" s="3"/>
      <c r="D748" s="3"/>
      <c r="E748" s="3" t="e">
        <f>VLOOKUP(D748,VIAJES!$D:$E,2,FALSE)</f>
        <v>#N/A</v>
      </c>
      <c r="F748" s="9" t="e">
        <f>VLOOKUP(D748,VIAJES!$D:$F,3,FALSE)</f>
        <v>#N/A</v>
      </c>
      <c r="G748" s="9" t="e">
        <f>VLOOKUP(D748,VIAJES!$D:$G,4,FALSE)</f>
        <v>#N/A</v>
      </c>
      <c r="H748" s="3" t="e">
        <f>VLOOKUP(D748,VIAJES!$D:$H,5,FALSE)</f>
        <v>#N/A</v>
      </c>
      <c r="S748" s="3">
        <f>IFERROR(INDEX(EVENTOS!$D:$D,MATCH(SCORE!S$2&amp;" "&amp;SCORE!$D748,EVENTOS!$F:$F,0)),0)</f>
        <v>0</v>
      </c>
      <c r="T748" s="3">
        <f>IFERROR(INDEX(EVENTOS!$D:$D,MATCH(SCORE!T$2&amp;" "&amp;SCORE!$D748,EVENTOS!$F:$F,0)),0)</f>
        <v>0</v>
      </c>
      <c r="U748" s="3">
        <f>IFERROR(INDEX(EVENTOS!$D:$D,MATCH(SCORE!U$2&amp;" "&amp;SCORE!$D748,EVENTOS!$F:$F,0)),0)</f>
        <v>0</v>
      </c>
      <c r="V748" s="3">
        <f>IFERROR(INDEX(EVENTOS!$D:$D,MATCH(SCORE!V$2&amp;" "&amp;SCORE!$D748,EVENTOS!$F:$F,0)),0)</f>
        <v>0</v>
      </c>
      <c r="W748" s="3">
        <f>IFERROR(INDEX(EVENTOS!$D:$D,MATCH(SCORE!W$2&amp;" "&amp;SCORE!$D748,EVENTOS!$F:$F,0)),0)</f>
        <v>0</v>
      </c>
      <c r="X748" s="3">
        <f>IFERROR(INDEX(EVENTOS!$D:$D,MATCH(SCORE!X$2&amp;" "&amp;SCORE!$D748,EVENTOS!$F:$F,0)),0)</f>
        <v>0</v>
      </c>
      <c r="Y748" s="3">
        <f>SUMIFS(EVENTOS!$D:$D, EVENTOS!$B:$B, D748, EVENTOS!$E:$E, "*GirAlto*")</f>
        <v>0</v>
      </c>
      <c r="Z748" s="3">
        <f>SUMIFS(EVENTOS!$D:$D, EVENTOS!$B:$B, D748, EVENTOS!$E:$E, "*GirMed*")</f>
        <v>0</v>
      </c>
      <c r="AA748" s="3">
        <f>SUMIFS(EVENTOS!$D:$D, EVENTOS!$B:$B, D748, EVENTOS!$E:$E, "*GirBajo*")</f>
        <v>0</v>
      </c>
      <c r="AB748" s="3">
        <f>IFERROR(INDEX(EVENTOS!$D:$D,MATCH(SCORE!AB$2&amp;" "&amp;SCORE!$D748,EVENTOS!$F:$F,0)),0)</f>
        <v>0</v>
      </c>
      <c r="AC748" s="3">
        <f>IFERROR(INDEX(EVENTOS!$D:$D,MATCH(SCORE!AC$2&amp;" "&amp;SCORE!$D748,EVENTOS!$F:$F,0)),0)</f>
        <v>0</v>
      </c>
      <c r="AD748" s="3">
        <f>IFERROR(INDEX(EVENTOS!$D:$D,MATCH(SCORE!AD$2&amp;" "&amp;SCORE!$D748,EVENTOS!$F:$F,0)),0)</f>
        <v>0</v>
      </c>
      <c r="AE748" s="3">
        <f t="shared" si="33"/>
        <v>0</v>
      </c>
      <c r="AF748" s="10" t="e">
        <f t="shared" si="34"/>
        <v>#N/A</v>
      </c>
      <c r="AG748" s="3" t="str">
        <f t="shared" si="35"/>
        <v/>
      </c>
    </row>
    <row r="749" spans="1:33" x14ac:dyDescent="0.25">
      <c r="A749" s="7"/>
      <c r="B749" s="8"/>
      <c r="C749" s="3"/>
      <c r="D749" s="3"/>
      <c r="E749" s="3" t="e">
        <f>VLOOKUP(D749,VIAJES!$D:$E,2,FALSE)</f>
        <v>#N/A</v>
      </c>
      <c r="F749" s="9" t="e">
        <f>VLOOKUP(D749,VIAJES!$D:$F,3,FALSE)</f>
        <v>#N/A</v>
      </c>
      <c r="G749" s="9" t="e">
        <f>VLOOKUP(D749,VIAJES!$D:$G,4,FALSE)</f>
        <v>#N/A</v>
      </c>
      <c r="H749" s="3" t="e">
        <f>VLOOKUP(D749,VIAJES!$D:$H,5,FALSE)</f>
        <v>#N/A</v>
      </c>
      <c r="S749" s="3">
        <f>IFERROR(INDEX(EVENTOS!$D:$D,MATCH(SCORE!S$2&amp;" "&amp;SCORE!$D749,EVENTOS!$F:$F,0)),0)</f>
        <v>0</v>
      </c>
      <c r="T749" s="3">
        <f>IFERROR(INDEX(EVENTOS!$D:$D,MATCH(SCORE!T$2&amp;" "&amp;SCORE!$D749,EVENTOS!$F:$F,0)),0)</f>
        <v>0</v>
      </c>
      <c r="U749" s="3">
        <f>IFERROR(INDEX(EVENTOS!$D:$D,MATCH(SCORE!U$2&amp;" "&amp;SCORE!$D749,EVENTOS!$F:$F,0)),0)</f>
        <v>0</v>
      </c>
      <c r="V749" s="3">
        <f>IFERROR(INDEX(EVENTOS!$D:$D,MATCH(SCORE!V$2&amp;" "&amp;SCORE!$D749,EVENTOS!$F:$F,0)),0)</f>
        <v>0</v>
      </c>
      <c r="W749" s="3">
        <f>IFERROR(INDEX(EVENTOS!$D:$D,MATCH(SCORE!W$2&amp;" "&amp;SCORE!$D749,EVENTOS!$F:$F,0)),0)</f>
        <v>0</v>
      </c>
      <c r="X749" s="3">
        <f>IFERROR(INDEX(EVENTOS!$D:$D,MATCH(SCORE!X$2&amp;" "&amp;SCORE!$D749,EVENTOS!$F:$F,0)),0)</f>
        <v>0</v>
      </c>
      <c r="Y749" s="3">
        <f>SUMIFS(EVENTOS!$D:$D, EVENTOS!$B:$B, D749, EVENTOS!$E:$E, "*GirAlto*")</f>
        <v>0</v>
      </c>
      <c r="Z749" s="3">
        <f>SUMIFS(EVENTOS!$D:$D, EVENTOS!$B:$B, D749, EVENTOS!$E:$E, "*GirMed*")</f>
        <v>0</v>
      </c>
      <c r="AA749" s="3">
        <f>SUMIFS(EVENTOS!$D:$D, EVENTOS!$B:$B, D749, EVENTOS!$E:$E, "*GirBajo*")</f>
        <v>0</v>
      </c>
      <c r="AB749" s="3">
        <f>IFERROR(INDEX(EVENTOS!$D:$D,MATCH(SCORE!AB$2&amp;" "&amp;SCORE!$D749,EVENTOS!$F:$F,0)),0)</f>
        <v>0</v>
      </c>
      <c r="AC749" s="3">
        <f>IFERROR(INDEX(EVENTOS!$D:$D,MATCH(SCORE!AC$2&amp;" "&amp;SCORE!$D749,EVENTOS!$F:$F,0)),0)</f>
        <v>0</v>
      </c>
      <c r="AD749" s="3">
        <f>IFERROR(INDEX(EVENTOS!$D:$D,MATCH(SCORE!AD$2&amp;" "&amp;SCORE!$D749,EVENTOS!$F:$F,0)),0)</f>
        <v>0</v>
      </c>
      <c r="AE749" s="3">
        <f t="shared" si="33"/>
        <v>0</v>
      </c>
      <c r="AF749" s="10" t="e">
        <f t="shared" si="34"/>
        <v>#N/A</v>
      </c>
      <c r="AG749" s="3" t="str">
        <f t="shared" si="35"/>
        <v/>
      </c>
    </row>
    <row r="750" spans="1:33" x14ac:dyDescent="0.25">
      <c r="A750" s="7"/>
      <c r="B750" s="8"/>
      <c r="C750" s="3"/>
      <c r="D750" s="3"/>
      <c r="E750" s="3" t="e">
        <f>VLOOKUP(D750,VIAJES!$D:$E,2,FALSE)</f>
        <v>#N/A</v>
      </c>
      <c r="F750" s="9" t="e">
        <f>VLOOKUP(D750,VIAJES!$D:$F,3,FALSE)</f>
        <v>#N/A</v>
      </c>
      <c r="G750" s="9" t="e">
        <f>VLOOKUP(D750,VIAJES!$D:$G,4,FALSE)</f>
        <v>#N/A</v>
      </c>
      <c r="H750" s="3" t="e">
        <f>VLOOKUP(D750,VIAJES!$D:$H,5,FALSE)</f>
        <v>#N/A</v>
      </c>
      <c r="S750" s="3">
        <f>IFERROR(INDEX(EVENTOS!$D:$D,MATCH(SCORE!S$2&amp;" "&amp;SCORE!$D750,EVENTOS!$F:$F,0)),0)</f>
        <v>0</v>
      </c>
      <c r="T750" s="3">
        <f>IFERROR(INDEX(EVENTOS!$D:$D,MATCH(SCORE!T$2&amp;" "&amp;SCORE!$D750,EVENTOS!$F:$F,0)),0)</f>
        <v>0</v>
      </c>
      <c r="U750" s="3">
        <f>IFERROR(INDEX(EVENTOS!$D:$D,MATCH(SCORE!U$2&amp;" "&amp;SCORE!$D750,EVENTOS!$F:$F,0)),0)</f>
        <v>0</v>
      </c>
      <c r="V750" s="3">
        <f>IFERROR(INDEX(EVENTOS!$D:$D,MATCH(SCORE!V$2&amp;" "&amp;SCORE!$D750,EVENTOS!$F:$F,0)),0)</f>
        <v>0</v>
      </c>
      <c r="W750" s="3">
        <f>IFERROR(INDEX(EVENTOS!$D:$D,MATCH(SCORE!W$2&amp;" "&amp;SCORE!$D750,EVENTOS!$F:$F,0)),0)</f>
        <v>0</v>
      </c>
      <c r="X750" s="3">
        <f>IFERROR(INDEX(EVENTOS!$D:$D,MATCH(SCORE!X$2&amp;" "&amp;SCORE!$D750,EVENTOS!$F:$F,0)),0)</f>
        <v>0</v>
      </c>
      <c r="Y750" s="3">
        <f>SUMIFS(EVENTOS!$D:$D, EVENTOS!$B:$B, D750, EVENTOS!$E:$E, "*GirAlto*")</f>
        <v>0</v>
      </c>
      <c r="Z750" s="3">
        <f>SUMIFS(EVENTOS!$D:$D, EVENTOS!$B:$B, D750, EVENTOS!$E:$E, "*GirMed*")</f>
        <v>0</v>
      </c>
      <c r="AA750" s="3">
        <f>SUMIFS(EVENTOS!$D:$D, EVENTOS!$B:$B, D750, EVENTOS!$E:$E, "*GirBajo*")</f>
        <v>0</v>
      </c>
      <c r="AB750" s="3">
        <f>IFERROR(INDEX(EVENTOS!$D:$D,MATCH(SCORE!AB$2&amp;" "&amp;SCORE!$D750,EVENTOS!$F:$F,0)),0)</f>
        <v>0</v>
      </c>
      <c r="AC750" s="3">
        <f>IFERROR(INDEX(EVENTOS!$D:$D,MATCH(SCORE!AC$2&amp;" "&amp;SCORE!$D750,EVENTOS!$F:$F,0)),0)</f>
        <v>0</v>
      </c>
      <c r="AD750" s="3">
        <f>IFERROR(INDEX(EVENTOS!$D:$D,MATCH(SCORE!AD$2&amp;" "&amp;SCORE!$D750,EVENTOS!$F:$F,0)),0)</f>
        <v>0</v>
      </c>
      <c r="AE750" s="3">
        <f t="shared" si="33"/>
        <v>0</v>
      </c>
      <c r="AF750" s="10" t="e">
        <f t="shared" si="34"/>
        <v>#N/A</v>
      </c>
      <c r="AG750" s="3" t="str">
        <f t="shared" si="35"/>
        <v/>
      </c>
    </row>
    <row r="751" spans="1:33" x14ac:dyDescent="0.25">
      <c r="A751" s="7"/>
      <c r="B751" s="8"/>
      <c r="C751" s="3"/>
      <c r="D751" s="3"/>
      <c r="E751" s="3" t="e">
        <f>VLOOKUP(D751,VIAJES!$D:$E,2,FALSE)</f>
        <v>#N/A</v>
      </c>
      <c r="F751" s="9" t="e">
        <f>VLOOKUP(D751,VIAJES!$D:$F,3,FALSE)</f>
        <v>#N/A</v>
      </c>
      <c r="G751" s="9" t="e">
        <f>VLOOKUP(D751,VIAJES!$D:$G,4,FALSE)</f>
        <v>#N/A</v>
      </c>
      <c r="H751" s="3" t="e">
        <f>VLOOKUP(D751,VIAJES!$D:$H,5,FALSE)</f>
        <v>#N/A</v>
      </c>
      <c r="S751" s="3">
        <f>IFERROR(INDEX(EVENTOS!$D:$D,MATCH(SCORE!S$2&amp;" "&amp;SCORE!$D751,EVENTOS!$F:$F,0)),0)</f>
        <v>0</v>
      </c>
      <c r="T751" s="3">
        <f>IFERROR(INDEX(EVENTOS!$D:$D,MATCH(SCORE!T$2&amp;" "&amp;SCORE!$D751,EVENTOS!$F:$F,0)),0)</f>
        <v>0</v>
      </c>
      <c r="U751" s="3">
        <f>IFERROR(INDEX(EVENTOS!$D:$D,MATCH(SCORE!U$2&amp;" "&amp;SCORE!$D751,EVENTOS!$F:$F,0)),0)</f>
        <v>0</v>
      </c>
      <c r="V751" s="3">
        <f>IFERROR(INDEX(EVENTOS!$D:$D,MATCH(SCORE!V$2&amp;" "&amp;SCORE!$D751,EVENTOS!$F:$F,0)),0)</f>
        <v>0</v>
      </c>
      <c r="W751" s="3">
        <f>IFERROR(INDEX(EVENTOS!$D:$D,MATCH(SCORE!W$2&amp;" "&amp;SCORE!$D751,EVENTOS!$F:$F,0)),0)</f>
        <v>0</v>
      </c>
      <c r="X751" s="3">
        <f>IFERROR(INDEX(EVENTOS!$D:$D,MATCH(SCORE!X$2&amp;" "&amp;SCORE!$D751,EVENTOS!$F:$F,0)),0)</f>
        <v>0</v>
      </c>
      <c r="Y751" s="3">
        <f>SUMIFS(EVENTOS!$D:$D, EVENTOS!$B:$B, D751, EVENTOS!$E:$E, "*GirAlto*")</f>
        <v>0</v>
      </c>
      <c r="Z751" s="3">
        <f>SUMIFS(EVENTOS!$D:$D, EVENTOS!$B:$B, D751, EVENTOS!$E:$E, "*GirMed*")</f>
        <v>0</v>
      </c>
      <c r="AA751" s="3">
        <f>SUMIFS(EVENTOS!$D:$D, EVENTOS!$B:$B, D751, EVENTOS!$E:$E, "*GirBajo*")</f>
        <v>0</v>
      </c>
      <c r="AB751" s="3">
        <f>IFERROR(INDEX(EVENTOS!$D:$D,MATCH(SCORE!AB$2&amp;" "&amp;SCORE!$D751,EVENTOS!$F:$F,0)),0)</f>
        <v>0</v>
      </c>
      <c r="AC751" s="3">
        <f>IFERROR(INDEX(EVENTOS!$D:$D,MATCH(SCORE!AC$2&amp;" "&amp;SCORE!$D751,EVENTOS!$F:$F,0)),0)</f>
        <v>0</v>
      </c>
      <c r="AD751" s="3">
        <f>IFERROR(INDEX(EVENTOS!$D:$D,MATCH(SCORE!AD$2&amp;" "&amp;SCORE!$D751,EVENTOS!$F:$F,0)),0)</f>
        <v>0</v>
      </c>
      <c r="AE751" s="3">
        <f t="shared" si="33"/>
        <v>0</v>
      </c>
      <c r="AF751" s="10" t="e">
        <f t="shared" si="34"/>
        <v>#N/A</v>
      </c>
      <c r="AG751" s="3" t="str">
        <f t="shared" si="35"/>
        <v/>
      </c>
    </row>
    <row r="752" spans="1:33" x14ac:dyDescent="0.25">
      <c r="A752" s="7"/>
      <c r="B752" s="8"/>
      <c r="C752" s="3"/>
      <c r="D752" s="3"/>
      <c r="E752" s="3" t="e">
        <f>VLOOKUP(D752,VIAJES!$D:$E,2,FALSE)</f>
        <v>#N/A</v>
      </c>
      <c r="F752" s="9" t="e">
        <f>VLOOKUP(D752,VIAJES!$D:$F,3,FALSE)</f>
        <v>#N/A</v>
      </c>
      <c r="G752" s="9" t="e">
        <f>VLOOKUP(D752,VIAJES!$D:$G,4,FALSE)</f>
        <v>#N/A</v>
      </c>
      <c r="H752" s="3" t="e">
        <f>VLOOKUP(D752,VIAJES!$D:$H,5,FALSE)</f>
        <v>#N/A</v>
      </c>
      <c r="S752" s="3">
        <f>IFERROR(INDEX(EVENTOS!$D:$D,MATCH(SCORE!S$2&amp;" "&amp;SCORE!$D752,EVENTOS!$F:$F,0)),0)</f>
        <v>0</v>
      </c>
      <c r="T752" s="3">
        <f>IFERROR(INDEX(EVENTOS!$D:$D,MATCH(SCORE!T$2&amp;" "&amp;SCORE!$D752,EVENTOS!$F:$F,0)),0)</f>
        <v>0</v>
      </c>
      <c r="U752" s="3">
        <f>IFERROR(INDEX(EVENTOS!$D:$D,MATCH(SCORE!U$2&amp;" "&amp;SCORE!$D752,EVENTOS!$F:$F,0)),0)</f>
        <v>0</v>
      </c>
      <c r="V752" s="3">
        <f>IFERROR(INDEX(EVENTOS!$D:$D,MATCH(SCORE!V$2&amp;" "&amp;SCORE!$D752,EVENTOS!$F:$F,0)),0)</f>
        <v>0</v>
      </c>
      <c r="W752" s="3">
        <f>IFERROR(INDEX(EVENTOS!$D:$D,MATCH(SCORE!W$2&amp;" "&amp;SCORE!$D752,EVENTOS!$F:$F,0)),0)</f>
        <v>0</v>
      </c>
      <c r="X752" s="3">
        <f>IFERROR(INDEX(EVENTOS!$D:$D,MATCH(SCORE!X$2&amp;" "&amp;SCORE!$D752,EVENTOS!$F:$F,0)),0)</f>
        <v>0</v>
      </c>
      <c r="Y752" s="3">
        <f>SUMIFS(EVENTOS!$D:$D, EVENTOS!$B:$B, D752, EVENTOS!$E:$E, "*GirAlto*")</f>
        <v>0</v>
      </c>
      <c r="Z752" s="3">
        <f>SUMIFS(EVENTOS!$D:$D, EVENTOS!$B:$B, D752, EVENTOS!$E:$E, "*GirMed*")</f>
        <v>0</v>
      </c>
      <c r="AA752" s="3">
        <f>SUMIFS(EVENTOS!$D:$D, EVENTOS!$B:$B, D752, EVENTOS!$E:$E, "*GirBajo*")</f>
        <v>0</v>
      </c>
      <c r="AB752" s="3">
        <f>IFERROR(INDEX(EVENTOS!$D:$D,MATCH(SCORE!AB$2&amp;" "&amp;SCORE!$D752,EVENTOS!$F:$F,0)),0)</f>
        <v>0</v>
      </c>
      <c r="AC752" s="3">
        <f>IFERROR(INDEX(EVENTOS!$D:$D,MATCH(SCORE!AC$2&amp;" "&amp;SCORE!$D752,EVENTOS!$F:$F,0)),0)</f>
        <v>0</v>
      </c>
      <c r="AD752" s="3">
        <f>IFERROR(INDEX(EVENTOS!$D:$D,MATCH(SCORE!AD$2&amp;" "&amp;SCORE!$D752,EVENTOS!$F:$F,0)),0)</f>
        <v>0</v>
      </c>
      <c r="AE752" s="3">
        <f t="shared" si="33"/>
        <v>0</v>
      </c>
      <c r="AF752" s="10" t="e">
        <f t="shared" si="34"/>
        <v>#N/A</v>
      </c>
      <c r="AG752" s="3" t="str">
        <f t="shared" si="35"/>
        <v/>
      </c>
    </row>
    <row r="753" spans="1:33" x14ac:dyDescent="0.25">
      <c r="A753" s="7"/>
      <c r="B753" s="8"/>
      <c r="C753" s="3"/>
      <c r="D753" s="3"/>
      <c r="E753" s="3" t="e">
        <f>VLOOKUP(D753,VIAJES!$D:$E,2,FALSE)</f>
        <v>#N/A</v>
      </c>
      <c r="F753" s="9" t="e">
        <f>VLOOKUP(D753,VIAJES!$D:$F,3,FALSE)</f>
        <v>#N/A</v>
      </c>
      <c r="G753" s="9" t="e">
        <f>VLOOKUP(D753,VIAJES!$D:$G,4,FALSE)</f>
        <v>#N/A</v>
      </c>
      <c r="H753" s="3" t="e">
        <f>VLOOKUP(D753,VIAJES!$D:$H,5,FALSE)</f>
        <v>#N/A</v>
      </c>
      <c r="S753" s="3">
        <f>IFERROR(INDEX(EVENTOS!$D:$D,MATCH(SCORE!S$2&amp;" "&amp;SCORE!$D753,EVENTOS!$F:$F,0)),0)</f>
        <v>0</v>
      </c>
      <c r="T753" s="3">
        <f>IFERROR(INDEX(EVENTOS!$D:$D,MATCH(SCORE!T$2&amp;" "&amp;SCORE!$D753,EVENTOS!$F:$F,0)),0)</f>
        <v>0</v>
      </c>
      <c r="U753" s="3">
        <f>IFERROR(INDEX(EVENTOS!$D:$D,MATCH(SCORE!U$2&amp;" "&amp;SCORE!$D753,EVENTOS!$F:$F,0)),0)</f>
        <v>0</v>
      </c>
      <c r="V753" s="3">
        <f>IFERROR(INDEX(EVENTOS!$D:$D,MATCH(SCORE!V$2&amp;" "&amp;SCORE!$D753,EVENTOS!$F:$F,0)),0)</f>
        <v>0</v>
      </c>
      <c r="W753" s="3">
        <f>IFERROR(INDEX(EVENTOS!$D:$D,MATCH(SCORE!W$2&amp;" "&amp;SCORE!$D753,EVENTOS!$F:$F,0)),0)</f>
        <v>0</v>
      </c>
      <c r="X753" s="3">
        <f>IFERROR(INDEX(EVENTOS!$D:$D,MATCH(SCORE!X$2&amp;" "&amp;SCORE!$D753,EVENTOS!$F:$F,0)),0)</f>
        <v>0</v>
      </c>
      <c r="Y753" s="3">
        <f>SUMIFS(EVENTOS!$D:$D, EVENTOS!$B:$B, D753, EVENTOS!$E:$E, "*GirAlto*")</f>
        <v>0</v>
      </c>
      <c r="Z753" s="3">
        <f>SUMIFS(EVENTOS!$D:$D, EVENTOS!$B:$B, D753, EVENTOS!$E:$E, "*GirMed*")</f>
        <v>0</v>
      </c>
      <c r="AA753" s="3">
        <f>SUMIFS(EVENTOS!$D:$D, EVENTOS!$B:$B, D753, EVENTOS!$E:$E, "*GirBajo*")</f>
        <v>0</v>
      </c>
      <c r="AB753" s="3">
        <f>IFERROR(INDEX(EVENTOS!$D:$D,MATCH(SCORE!AB$2&amp;" "&amp;SCORE!$D753,EVENTOS!$F:$F,0)),0)</f>
        <v>0</v>
      </c>
      <c r="AC753" s="3">
        <f>IFERROR(INDEX(EVENTOS!$D:$D,MATCH(SCORE!AC$2&amp;" "&amp;SCORE!$D753,EVENTOS!$F:$F,0)),0)</f>
        <v>0</v>
      </c>
      <c r="AD753" s="3">
        <f>IFERROR(INDEX(EVENTOS!$D:$D,MATCH(SCORE!AD$2&amp;" "&amp;SCORE!$D753,EVENTOS!$F:$F,0)),0)</f>
        <v>0</v>
      </c>
      <c r="AE753" s="3">
        <f t="shared" si="33"/>
        <v>0</v>
      </c>
      <c r="AF753" s="10" t="e">
        <f t="shared" si="34"/>
        <v>#N/A</v>
      </c>
      <c r="AG753" s="3" t="str">
        <f t="shared" si="35"/>
        <v/>
      </c>
    </row>
    <row r="754" spans="1:33" x14ac:dyDescent="0.25">
      <c r="A754" s="7"/>
      <c r="B754" s="8"/>
      <c r="C754" s="3"/>
      <c r="D754" s="3"/>
      <c r="E754" s="3" t="e">
        <f>VLOOKUP(D754,VIAJES!$D:$E,2,FALSE)</f>
        <v>#N/A</v>
      </c>
      <c r="F754" s="9" t="e">
        <f>VLOOKUP(D754,VIAJES!$D:$F,3,FALSE)</f>
        <v>#N/A</v>
      </c>
      <c r="G754" s="9" t="e">
        <f>VLOOKUP(D754,VIAJES!$D:$G,4,FALSE)</f>
        <v>#N/A</v>
      </c>
      <c r="H754" s="3" t="e">
        <f>VLOOKUP(D754,VIAJES!$D:$H,5,FALSE)</f>
        <v>#N/A</v>
      </c>
      <c r="S754" s="3">
        <f>IFERROR(INDEX(EVENTOS!$D:$D,MATCH(SCORE!S$2&amp;" "&amp;SCORE!$D754,EVENTOS!$F:$F,0)),0)</f>
        <v>0</v>
      </c>
      <c r="T754" s="3">
        <f>IFERROR(INDEX(EVENTOS!$D:$D,MATCH(SCORE!T$2&amp;" "&amp;SCORE!$D754,EVENTOS!$F:$F,0)),0)</f>
        <v>0</v>
      </c>
      <c r="U754" s="3">
        <f>IFERROR(INDEX(EVENTOS!$D:$D,MATCH(SCORE!U$2&amp;" "&amp;SCORE!$D754,EVENTOS!$F:$F,0)),0)</f>
        <v>0</v>
      </c>
      <c r="V754" s="3">
        <f>IFERROR(INDEX(EVENTOS!$D:$D,MATCH(SCORE!V$2&amp;" "&amp;SCORE!$D754,EVENTOS!$F:$F,0)),0)</f>
        <v>0</v>
      </c>
      <c r="W754" s="3">
        <f>IFERROR(INDEX(EVENTOS!$D:$D,MATCH(SCORE!W$2&amp;" "&amp;SCORE!$D754,EVENTOS!$F:$F,0)),0)</f>
        <v>0</v>
      </c>
      <c r="X754" s="3">
        <f>IFERROR(INDEX(EVENTOS!$D:$D,MATCH(SCORE!X$2&amp;" "&amp;SCORE!$D754,EVENTOS!$F:$F,0)),0)</f>
        <v>0</v>
      </c>
      <c r="Y754" s="3">
        <f>SUMIFS(EVENTOS!$D:$D, EVENTOS!$B:$B, D754, EVENTOS!$E:$E, "*GirAlto*")</f>
        <v>0</v>
      </c>
      <c r="Z754" s="3">
        <f>SUMIFS(EVENTOS!$D:$D, EVENTOS!$B:$B, D754, EVENTOS!$E:$E, "*GirMed*")</f>
        <v>0</v>
      </c>
      <c r="AA754" s="3">
        <f>SUMIFS(EVENTOS!$D:$D, EVENTOS!$B:$B, D754, EVENTOS!$E:$E, "*GirBajo*")</f>
        <v>0</v>
      </c>
      <c r="AB754" s="3">
        <f>IFERROR(INDEX(EVENTOS!$D:$D,MATCH(SCORE!AB$2&amp;" "&amp;SCORE!$D754,EVENTOS!$F:$F,0)),0)</f>
        <v>0</v>
      </c>
      <c r="AC754" s="3">
        <f>IFERROR(INDEX(EVENTOS!$D:$D,MATCH(SCORE!AC$2&amp;" "&amp;SCORE!$D754,EVENTOS!$F:$F,0)),0)</f>
        <v>0</v>
      </c>
      <c r="AD754" s="3">
        <f>IFERROR(INDEX(EVENTOS!$D:$D,MATCH(SCORE!AD$2&amp;" "&amp;SCORE!$D754,EVENTOS!$F:$F,0)),0)</f>
        <v>0</v>
      </c>
      <c r="AE754" s="3">
        <f t="shared" si="33"/>
        <v>0</v>
      </c>
      <c r="AF754" s="10" t="e">
        <f t="shared" si="34"/>
        <v>#N/A</v>
      </c>
      <c r="AG754" s="3" t="str">
        <f t="shared" si="35"/>
        <v/>
      </c>
    </row>
    <row r="755" spans="1:33" x14ac:dyDescent="0.25">
      <c r="A755" s="7"/>
      <c r="B755" s="8"/>
      <c r="C755" s="3"/>
      <c r="D755" s="3"/>
      <c r="E755" s="3" t="e">
        <f>VLOOKUP(D755,VIAJES!$D:$E,2,FALSE)</f>
        <v>#N/A</v>
      </c>
      <c r="F755" s="9" t="e">
        <f>VLOOKUP(D755,VIAJES!$D:$F,3,FALSE)</f>
        <v>#N/A</v>
      </c>
      <c r="G755" s="9" t="e">
        <f>VLOOKUP(D755,VIAJES!$D:$G,4,FALSE)</f>
        <v>#N/A</v>
      </c>
      <c r="H755" s="3" t="e">
        <f>VLOOKUP(D755,VIAJES!$D:$H,5,FALSE)</f>
        <v>#N/A</v>
      </c>
      <c r="S755" s="3">
        <f>IFERROR(INDEX(EVENTOS!$D:$D,MATCH(SCORE!S$2&amp;" "&amp;SCORE!$D755,EVENTOS!$F:$F,0)),0)</f>
        <v>0</v>
      </c>
      <c r="T755" s="3">
        <f>IFERROR(INDEX(EVENTOS!$D:$D,MATCH(SCORE!T$2&amp;" "&amp;SCORE!$D755,EVENTOS!$F:$F,0)),0)</f>
        <v>0</v>
      </c>
      <c r="U755" s="3">
        <f>IFERROR(INDEX(EVENTOS!$D:$D,MATCH(SCORE!U$2&amp;" "&amp;SCORE!$D755,EVENTOS!$F:$F,0)),0)</f>
        <v>0</v>
      </c>
      <c r="V755" s="3">
        <f>IFERROR(INDEX(EVENTOS!$D:$D,MATCH(SCORE!V$2&amp;" "&amp;SCORE!$D755,EVENTOS!$F:$F,0)),0)</f>
        <v>0</v>
      </c>
      <c r="W755" s="3">
        <f>IFERROR(INDEX(EVENTOS!$D:$D,MATCH(SCORE!W$2&amp;" "&amp;SCORE!$D755,EVENTOS!$F:$F,0)),0)</f>
        <v>0</v>
      </c>
      <c r="X755" s="3">
        <f>IFERROR(INDEX(EVENTOS!$D:$D,MATCH(SCORE!X$2&amp;" "&amp;SCORE!$D755,EVENTOS!$F:$F,0)),0)</f>
        <v>0</v>
      </c>
      <c r="Y755" s="3">
        <f>SUMIFS(EVENTOS!$D:$D, EVENTOS!$B:$B, D755, EVENTOS!$E:$E, "*GirAlto*")</f>
        <v>0</v>
      </c>
      <c r="Z755" s="3">
        <f>SUMIFS(EVENTOS!$D:$D, EVENTOS!$B:$B, D755, EVENTOS!$E:$E, "*GirMed*")</f>
        <v>0</v>
      </c>
      <c r="AA755" s="3">
        <f>SUMIFS(EVENTOS!$D:$D, EVENTOS!$B:$B, D755, EVENTOS!$E:$E, "*GirBajo*")</f>
        <v>0</v>
      </c>
      <c r="AB755" s="3">
        <f>IFERROR(INDEX(EVENTOS!$D:$D,MATCH(SCORE!AB$2&amp;" "&amp;SCORE!$D755,EVENTOS!$F:$F,0)),0)</f>
        <v>0</v>
      </c>
      <c r="AC755" s="3">
        <f>IFERROR(INDEX(EVENTOS!$D:$D,MATCH(SCORE!AC$2&amp;" "&amp;SCORE!$D755,EVENTOS!$F:$F,0)),0)</f>
        <v>0</v>
      </c>
      <c r="AD755" s="3">
        <f>IFERROR(INDEX(EVENTOS!$D:$D,MATCH(SCORE!AD$2&amp;" "&amp;SCORE!$D755,EVENTOS!$F:$F,0)),0)</f>
        <v>0</v>
      </c>
      <c r="AE755" s="3">
        <f t="shared" si="33"/>
        <v>0</v>
      </c>
      <c r="AF755" s="10" t="e">
        <f t="shared" si="34"/>
        <v>#N/A</v>
      </c>
      <c r="AG755" s="3" t="str">
        <f t="shared" si="35"/>
        <v/>
      </c>
    </row>
    <row r="756" spans="1:33" x14ac:dyDescent="0.25">
      <c r="A756" s="7"/>
      <c r="B756" s="8"/>
      <c r="C756" s="3"/>
      <c r="D756" s="3"/>
      <c r="E756" s="3" t="e">
        <f>VLOOKUP(D756,VIAJES!$D:$E,2,FALSE)</f>
        <v>#N/A</v>
      </c>
      <c r="F756" s="9" t="e">
        <f>VLOOKUP(D756,VIAJES!$D:$F,3,FALSE)</f>
        <v>#N/A</v>
      </c>
      <c r="G756" s="9" t="e">
        <f>VLOOKUP(D756,VIAJES!$D:$G,4,FALSE)</f>
        <v>#N/A</v>
      </c>
      <c r="H756" s="3" t="e">
        <f>VLOOKUP(D756,VIAJES!$D:$H,5,FALSE)</f>
        <v>#N/A</v>
      </c>
      <c r="S756" s="3">
        <f>IFERROR(INDEX(EVENTOS!$D:$D,MATCH(SCORE!S$2&amp;" "&amp;SCORE!$D756,EVENTOS!$F:$F,0)),0)</f>
        <v>0</v>
      </c>
      <c r="T756" s="3">
        <f>IFERROR(INDEX(EVENTOS!$D:$D,MATCH(SCORE!T$2&amp;" "&amp;SCORE!$D756,EVENTOS!$F:$F,0)),0)</f>
        <v>0</v>
      </c>
      <c r="U756" s="3">
        <f>IFERROR(INDEX(EVENTOS!$D:$D,MATCH(SCORE!U$2&amp;" "&amp;SCORE!$D756,EVENTOS!$F:$F,0)),0)</f>
        <v>0</v>
      </c>
      <c r="V756" s="3">
        <f>IFERROR(INDEX(EVENTOS!$D:$D,MATCH(SCORE!V$2&amp;" "&amp;SCORE!$D756,EVENTOS!$F:$F,0)),0)</f>
        <v>0</v>
      </c>
      <c r="W756" s="3">
        <f>IFERROR(INDEX(EVENTOS!$D:$D,MATCH(SCORE!W$2&amp;" "&amp;SCORE!$D756,EVENTOS!$F:$F,0)),0)</f>
        <v>0</v>
      </c>
      <c r="X756" s="3">
        <f>IFERROR(INDEX(EVENTOS!$D:$D,MATCH(SCORE!X$2&amp;" "&amp;SCORE!$D756,EVENTOS!$F:$F,0)),0)</f>
        <v>0</v>
      </c>
      <c r="Y756" s="3">
        <f>SUMIFS(EVENTOS!$D:$D, EVENTOS!$B:$B, D756, EVENTOS!$E:$E, "*GirAlto*")</f>
        <v>0</v>
      </c>
      <c r="Z756" s="3">
        <f>SUMIFS(EVENTOS!$D:$D, EVENTOS!$B:$B, D756, EVENTOS!$E:$E, "*GirMed*")</f>
        <v>0</v>
      </c>
      <c r="AA756" s="3">
        <f>SUMIFS(EVENTOS!$D:$D, EVENTOS!$B:$B, D756, EVENTOS!$E:$E, "*GirBajo*")</f>
        <v>0</v>
      </c>
      <c r="AB756" s="3">
        <f>IFERROR(INDEX(EVENTOS!$D:$D,MATCH(SCORE!AB$2&amp;" "&amp;SCORE!$D756,EVENTOS!$F:$F,0)),0)</f>
        <v>0</v>
      </c>
      <c r="AC756" s="3">
        <f>IFERROR(INDEX(EVENTOS!$D:$D,MATCH(SCORE!AC$2&amp;" "&amp;SCORE!$D756,EVENTOS!$F:$F,0)),0)</f>
        <v>0</v>
      </c>
      <c r="AD756" s="3">
        <f>IFERROR(INDEX(EVENTOS!$D:$D,MATCH(SCORE!AD$2&amp;" "&amp;SCORE!$D756,EVENTOS!$F:$F,0)),0)</f>
        <v>0</v>
      </c>
      <c r="AE756" s="3">
        <f t="shared" si="33"/>
        <v>0</v>
      </c>
      <c r="AF756" s="10" t="e">
        <f t="shared" si="34"/>
        <v>#N/A</v>
      </c>
      <c r="AG756" s="3" t="str">
        <f t="shared" si="35"/>
        <v/>
      </c>
    </row>
    <row r="757" spans="1:33" x14ac:dyDescent="0.25">
      <c r="A757" s="7"/>
      <c r="B757" s="8"/>
      <c r="C757" s="3"/>
      <c r="D757" s="3"/>
      <c r="E757" s="3" t="e">
        <f>VLOOKUP(D757,VIAJES!$D:$E,2,FALSE)</f>
        <v>#N/A</v>
      </c>
      <c r="F757" s="9" t="e">
        <f>VLOOKUP(D757,VIAJES!$D:$F,3,FALSE)</f>
        <v>#N/A</v>
      </c>
      <c r="G757" s="9" t="e">
        <f>VLOOKUP(D757,VIAJES!$D:$G,4,FALSE)</f>
        <v>#N/A</v>
      </c>
      <c r="H757" s="3" t="e">
        <f>VLOOKUP(D757,VIAJES!$D:$H,5,FALSE)</f>
        <v>#N/A</v>
      </c>
      <c r="S757" s="3">
        <f>IFERROR(INDEX(EVENTOS!$D:$D,MATCH(SCORE!S$2&amp;" "&amp;SCORE!$D757,EVENTOS!$F:$F,0)),0)</f>
        <v>0</v>
      </c>
      <c r="T757" s="3">
        <f>IFERROR(INDEX(EVENTOS!$D:$D,MATCH(SCORE!T$2&amp;" "&amp;SCORE!$D757,EVENTOS!$F:$F,0)),0)</f>
        <v>0</v>
      </c>
      <c r="U757" s="3">
        <f>IFERROR(INDEX(EVENTOS!$D:$D,MATCH(SCORE!U$2&amp;" "&amp;SCORE!$D757,EVENTOS!$F:$F,0)),0)</f>
        <v>0</v>
      </c>
      <c r="V757" s="3">
        <f>IFERROR(INDEX(EVENTOS!$D:$D,MATCH(SCORE!V$2&amp;" "&amp;SCORE!$D757,EVENTOS!$F:$F,0)),0)</f>
        <v>0</v>
      </c>
      <c r="W757" s="3">
        <f>IFERROR(INDEX(EVENTOS!$D:$D,MATCH(SCORE!W$2&amp;" "&amp;SCORE!$D757,EVENTOS!$F:$F,0)),0)</f>
        <v>0</v>
      </c>
      <c r="X757" s="3">
        <f>IFERROR(INDEX(EVENTOS!$D:$D,MATCH(SCORE!X$2&amp;" "&amp;SCORE!$D757,EVENTOS!$F:$F,0)),0)</f>
        <v>0</v>
      </c>
      <c r="Y757" s="3">
        <f>SUMIFS(EVENTOS!$D:$D, EVENTOS!$B:$B, D757, EVENTOS!$E:$E, "*GirAlto*")</f>
        <v>0</v>
      </c>
      <c r="Z757" s="3">
        <f>SUMIFS(EVENTOS!$D:$D, EVENTOS!$B:$B, D757, EVENTOS!$E:$E, "*GirMed*")</f>
        <v>0</v>
      </c>
      <c r="AA757" s="3">
        <f>SUMIFS(EVENTOS!$D:$D, EVENTOS!$B:$B, D757, EVENTOS!$E:$E, "*GirBajo*")</f>
        <v>0</v>
      </c>
      <c r="AB757" s="3">
        <f>IFERROR(INDEX(EVENTOS!$D:$D,MATCH(SCORE!AB$2&amp;" "&amp;SCORE!$D757,EVENTOS!$F:$F,0)),0)</f>
        <v>0</v>
      </c>
      <c r="AC757" s="3">
        <f>IFERROR(INDEX(EVENTOS!$D:$D,MATCH(SCORE!AC$2&amp;" "&amp;SCORE!$D757,EVENTOS!$F:$F,0)),0)</f>
        <v>0</v>
      </c>
      <c r="AD757" s="3">
        <f>IFERROR(INDEX(EVENTOS!$D:$D,MATCH(SCORE!AD$2&amp;" "&amp;SCORE!$D757,EVENTOS!$F:$F,0)),0)</f>
        <v>0</v>
      </c>
      <c r="AE757" s="3">
        <f t="shared" si="33"/>
        <v>0</v>
      </c>
      <c r="AF757" s="10" t="e">
        <f t="shared" si="34"/>
        <v>#N/A</v>
      </c>
      <c r="AG757" s="3" t="str">
        <f t="shared" si="35"/>
        <v/>
      </c>
    </row>
    <row r="758" spans="1:33" x14ac:dyDescent="0.25">
      <c r="A758" s="7"/>
      <c r="B758" s="8"/>
      <c r="C758" s="3"/>
      <c r="D758" s="3"/>
      <c r="E758" s="3" t="e">
        <f>VLOOKUP(D758,VIAJES!$D:$E,2,FALSE)</f>
        <v>#N/A</v>
      </c>
      <c r="F758" s="9" t="e">
        <f>VLOOKUP(D758,VIAJES!$D:$F,3,FALSE)</f>
        <v>#N/A</v>
      </c>
      <c r="G758" s="9" t="e">
        <f>VLOOKUP(D758,VIAJES!$D:$G,4,FALSE)</f>
        <v>#N/A</v>
      </c>
      <c r="H758" s="3" t="e">
        <f>VLOOKUP(D758,VIAJES!$D:$H,5,FALSE)</f>
        <v>#N/A</v>
      </c>
      <c r="S758" s="3">
        <f>IFERROR(INDEX(EVENTOS!$D:$D,MATCH(SCORE!S$2&amp;" "&amp;SCORE!$D758,EVENTOS!$F:$F,0)),0)</f>
        <v>0</v>
      </c>
      <c r="T758" s="3">
        <f>IFERROR(INDEX(EVENTOS!$D:$D,MATCH(SCORE!T$2&amp;" "&amp;SCORE!$D758,EVENTOS!$F:$F,0)),0)</f>
        <v>0</v>
      </c>
      <c r="U758" s="3">
        <f>IFERROR(INDEX(EVENTOS!$D:$D,MATCH(SCORE!U$2&amp;" "&amp;SCORE!$D758,EVENTOS!$F:$F,0)),0)</f>
        <v>0</v>
      </c>
      <c r="V758" s="3">
        <f>IFERROR(INDEX(EVENTOS!$D:$D,MATCH(SCORE!V$2&amp;" "&amp;SCORE!$D758,EVENTOS!$F:$F,0)),0)</f>
        <v>0</v>
      </c>
      <c r="W758" s="3">
        <f>IFERROR(INDEX(EVENTOS!$D:$D,MATCH(SCORE!W$2&amp;" "&amp;SCORE!$D758,EVENTOS!$F:$F,0)),0)</f>
        <v>0</v>
      </c>
      <c r="X758" s="3">
        <f>IFERROR(INDEX(EVENTOS!$D:$D,MATCH(SCORE!X$2&amp;" "&amp;SCORE!$D758,EVENTOS!$F:$F,0)),0)</f>
        <v>0</v>
      </c>
      <c r="Y758" s="3">
        <f>SUMIFS(EVENTOS!$D:$D, EVENTOS!$B:$B, D758, EVENTOS!$E:$E, "*GirAlto*")</f>
        <v>0</v>
      </c>
      <c r="Z758" s="3">
        <f>SUMIFS(EVENTOS!$D:$D, EVENTOS!$B:$B, D758, EVENTOS!$E:$E, "*GirMed*")</f>
        <v>0</v>
      </c>
      <c r="AA758" s="3">
        <f>SUMIFS(EVENTOS!$D:$D, EVENTOS!$B:$B, D758, EVENTOS!$E:$E, "*GirBajo*")</f>
        <v>0</v>
      </c>
      <c r="AB758" s="3">
        <f>IFERROR(INDEX(EVENTOS!$D:$D,MATCH(SCORE!AB$2&amp;" "&amp;SCORE!$D758,EVENTOS!$F:$F,0)),0)</f>
        <v>0</v>
      </c>
      <c r="AC758" s="3">
        <f>IFERROR(INDEX(EVENTOS!$D:$D,MATCH(SCORE!AC$2&amp;" "&amp;SCORE!$D758,EVENTOS!$F:$F,0)),0)</f>
        <v>0</v>
      </c>
      <c r="AD758" s="3">
        <f>IFERROR(INDEX(EVENTOS!$D:$D,MATCH(SCORE!AD$2&amp;" "&amp;SCORE!$D758,EVENTOS!$F:$F,0)),0)</f>
        <v>0</v>
      </c>
      <c r="AE758" s="3">
        <f t="shared" si="33"/>
        <v>0</v>
      </c>
      <c r="AF758" s="10" t="e">
        <f t="shared" si="34"/>
        <v>#N/A</v>
      </c>
      <c r="AG758" s="3" t="str">
        <f t="shared" si="35"/>
        <v/>
      </c>
    </row>
    <row r="759" spans="1:33" x14ac:dyDescent="0.25">
      <c r="A759" s="7"/>
      <c r="B759" s="8"/>
      <c r="C759" s="3"/>
      <c r="D759" s="3"/>
      <c r="E759" s="3" t="e">
        <f>VLOOKUP(D759,VIAJES!$D:$E,2,FALSE)</f>
        <v>#N/A</v>
      </c>
      <c r="F759" s="9" t="e">
        <f>VLOOKUP(D759,VIAJES!$D:$F,3,FALSE)</f>
        <v>#N/A</v>
      </c>
      <c r="G759" s="9" t="e">
        <f>VLOOKUP(D759,VIAJES!$D:$G,4,FALSE)</f>
        <v>#N/A</v>
      </c>
      <c r="H759" s="3" t="e">
        <f>VLOOKUP(D759,VIAJES!$D:$H,5,FALSE)</f>
        <v>#N/A</v>
      </c>
      <c r="S759" s="3">
        <f>IFERROR(INDEX(EVENTOS!$D:$D,MATCH(SCORE!S$2&amp;" "&amp;SCORE!$D759,EVENTOS!$F:$F,0)),0)</f>
        <v>0</v>
      </c>
      <c r="T759" s="3">
        <f>IFERROR(INDEX(EVENTOS!$D:$D,MATCH(SCORE!T$2&amp;" "&amp;SCORE!$D759,EVENTOS!$F:$F,0)),0)</f>
        <v>0</v>
      </c>
      <c r="U759" s="3">
        <f>IFERROR(INDEX(EVENTOS!$D:$D,MATCH(SCORE!U$2&amp;" "&amp;SCORE!$D759,EVENTOS!$F:$F,0)),0)</f>
        <v>0</v>
      </c>
      <c r="V759" s="3">
        <f>IFERROR(INDEX(EVENTOS!$D:$D,MATCH(SCORE!V$2&amp;" "&amp;SCORE!$D759,EVENTOS!$F:$F,0)),0)</f>
        <v>0</v>
      </c>
      <c r="W759" s="3">
        <f>IFERROR(INDEX(EVENTOS!$D:$D,MATCH(SCORE!W$2&amp;" "&amp;SCORE!$D759,EVENTOS!$F:$F,0)),0)</f>
        <v>0</v>
      </c>
      <c r="X759" s="3">
        <f>IFERROR(INDEX(EVENTOS!$D:$D,MATCH(SCORE!X$2&amp;" "&amp;SCORE!$D759,EVENTOS!$F:$F,0)),0)</f>
        <v>0</v>
      </c>
      <c r="Y759" s="3">
        <f>SUMIFS(EVENTOS!$D:$D, EVENTOS!$B:$B, D759, EVENTOS!$E:$E, "*GirAlto*")</f>
        <v>0</v>
      </c>
      <c r="Z759" s="3">
        <f>SUMIFS(EVENTOS!$D:$D, EVENTOS!$B:$B, D759, EVENTOS!$E:$E, "*GirMed*")</f>
        <v>0</v>
      </c>
      <c r="AA759" s="3">
        <f>SUMIFS(EVENTOS!$D:$D, EVENTOS!$B:$B, D759, EVENTOS!$E:$E, "*GirBajo*")</f>
        <v>0</v>
      </c>
      <c r="AB759" s="3">
        <f>IFERROR(INDEX(EVENTOS!$D:$D,MATCH(SCORE!AB$2&amp;" "&amp;SCORE!$D759,EVENTOS!$F:$F,0)),0)</f>
        <v>0</v>
      </c>
      <c r="AC759" s="3">
        <f>IFERROR(INDEX(EVENTOS!$D:$D,MATCH(SCORE!AC$2&amp;" "&amp;SCORE!$D759,EVENTOS!$F:$F,0)),0)</f>
        <v>0</v>
      </c>
      <c r="AD759" s="3">
        <f>IFERROR(INDEX(EVENTOS!$D:$D,MATCH(SCORE!AD$2&amp;" "&amp;SCORE!$D759,EVENTOS!$F:$F,0)),0)</f>
        <v>0</v>
      </c>
      <c r="AE759" s="3">
        <f t="shared" si="33"/>
        <v>0</v>
      </c>
      <c r="AF759" s="10" t="e">
        <f t="shared" si="34"/>
        <v>#N/A</v>
      </c>
      <c r="AG759" s="3" t="str">
        <f t="shared" si="35"/>
        <v/>
      </c>
    </row>
    <row r="760" spans="1:33" x14ac:dyDescent="0.25">
      <c r="A760" s="7"/>
      <c r="B760" s="8"/>
      <c r="C760" s="3"/>
      <c r="D760" s="3"/>
      <c r="E760" s="3" t="e">
        <f>VLOOKUP(D760,VIAJES!$D:$E,2,FALSE)</f>
        <v>#N/A</v>
      </c>
      <c r="F760" s="9" t="e">
        <f>VLOOKUP(D760,VIAJES!$D:$F,3,FALSE)</f>
        <v>#N/A</v>
      </c>
      <c r="G760" s="9" t="e">
        <f>VLOOKUP(D760,VIAJES!$D:$G,4,FALSE)</f>
        <v>#N/A</v>
      </c>
      <c r="H760" s="3" t="e">
        <f>VLOOKUP(D760,VIAJES!$D:$H,5,FALSE)</f>
        <v>#N/A</v>
      </c>
      <c r="S760" s="3">
        <f>IFERROR(INDEX(EVENTOS!$D:$D,MATCH(SCORE!S$2&amp;" "&amp;SCORE!$D760,EVENTOS!$F:$F,0)),0)</f>
        <v>0</v>
      </c>
      <c r="T760" s="3">
        <f>IFERROR(INDEX(EVENTOS!$D:$D,MATCH(SCORE!T$2&amp;" "&amp;SCORE!$D760,EVENTOS!$F:$F,0)),0)</f>
        <v>0</v>
      </c>
      <c r="U760" s="3">
        <f>IFERROR(INDEX(EVENTOS!$D:$D,MATCH(SCORE!U$2&amp;" "&amp;SCORE!$D760,EVENTOS!$F:$F,0)),0)</f>
        <v>0</v>
      </c>
      <c r="V760" s="3">
        <f>IFERROR(INDEX(EVENTOS!$D:$D,MATCH(SCORE!V$2&amp;" "&amp;SCORE!$D760,EVENTOS!$F:$F,0)),0)</f>
        <v>0</v>
      </c>
      <c r="W760" s="3">
        <f>IFERROR(INDEX(EVENTOS!$D:$D,MATCH(SCORE!W$2&amp;" "&amp;SCORE!$D760,EVENTOS!$F:$F,0)),0)</f>
        <v>0</v>
      </c>
      <c r="X760" s="3">
        <f>IFERROR(INDEX(EVENTOS!$D:$D,MATCH(SCORE!X$2&amp;" "&amp;SCORE!$D760,EVENTOS!$F:$F,0)),0)</f>
        <v>0</v>
      </c>
      <c r="Y760" s="3">
        <f>SUMIFS(EVENTOS!$D:$D, EVENTOS!$B:$B, D760, EVENTOS!$E:$E, "*GirAlto*")</f>
        <v>0</v>
      </c>
      <c r="Z760" s="3">
        <f>SUMIFS(EVENTOS!$D:$D, EVENTOS!$B:$B, D760, EVENTOS!$E:$E, "*GirMed*")</f>
        <v>0</v>
      </c>
      <c r="AA760" s="3">
        <f>SUMIFS(EVENTOS!$D:$D, EVENTOS!$B:$B, D760, EVENTOS!$E:$E, "*GirBajo*")</f>
        <v>0</v>
      </c>
      <c r="AB760" s="3">
        <f>IFERROR(INDEX(EVENTOS!$D:$D,MATCH(SCORE!AB$2&amp;" "&amp;SCORE!$D760,EVENTOS!$F:$F,0)),0)</f>
        <v>0</v>
      </c>
      <c r="AC760" s="3">
        <f>IFERROR(INDEX(EVENTOS!$D:$D,MATCH(SCORE!AC$2&amp;" "&amp;SCORE!$D760,EVENTOS!$F:$F,0)),0)</f>
        <v>0</v>
      </c>
      <c r="AD760" s="3">
        <f>IFERROR(INDEX(EVENTOS!$D:$D,MATCH(SCORE!AD$2&amp;" "&amp;SCORE!$D760,EVENTOS!$F:$F,0)),0)</f>
        <v>0</v>
      </c>
      <c r="AE760" s="3">
        <f t="shared" si="33"/>
        <v>0</v>
      </c>
      <c r="AF760" s="10" t="e">
        <f t="shared" si="34"/>
        <v>#N/A</v>
      </c>
      <c r="AG760" s="3" t="str">
        <f t="shared" si="35"/>
        <v/>
      </c>
    </row>
    <row r="761" spans="1:33" x14ac:dyDescent="0.25">
      <c r="A761" s="7"/>
      <c r="B761" s="8"/>
      <c r="C761" s="3"/>
      <c r="D761" s="3"/>
      <c r="E761" s="3" t="e">
        <f>VLOOKUP(D761,VIAJES!$D:$E,2,FALSE)</f>
        <v>#N/A</v>
      </c>
      <c r="F761" s="9" t="e">
        <f>VLOOKUP(D761,VIAJES!$D:$F,3,FALSE)</f>
        <v>#N/A</v>
      </c>
      <c r="G761" s="9" t="e">
        <f>VLOOKUP(D761,VIAJES!$D:$G,4,FALSE)</f>
        <v>#N/A</v>
      </c>
      <c r="H761" s="3" t="e">
        <f>VLOOKUP(D761,VIAJES!$D:$H,5,FALSE)</f>
        <v>#N/A</v>
      </c>
      <c r="S761" s="3">
        <f>IFERROR(INDEX(EVENTOS!$D:$D,MATCH(SCORE!S$2&amp;" "&amp;SCORE!$D761,EVENTOS!$F:$F,0)),0)</f>
        <v>0</v>
      </c>
      <c r="T761" s="3">
        <f>IFERROR(INDEX(EVENTOS!$D:$D,MATCH(SCORE!T$2&amp;" "&amp;SCORE!$D761,EVENTOS!$F:$F,0)),0)</f>
        <v>0</v>
      </c>
      <c r="U761" s="3">
        <f>IFERROR(INDEX(EVENTOS!$D:$D,MATCH(SCORE!U$2&amp;" "&amp;SCORE!$D761,EVENTOS!$F:$F,0)),0)</f>
        <v>0</v>
      </c>
      <c r="V761" s="3">
        <f>IFERROR(INDEX(EVENTOS!$D:$D,MATCH(SCORE!V$2&amp;" "&amp;SCORE!$D761,EVENTOS!$F:$F,0)),0)</f>
        <v>0</v>
      </c>
      <c r="W761" s="3">
        <f>IFERROR(INDEX(EVENTOS!$D:$D,MATCH(SCORE!W$2&amp;" "&amp;SCORE!$D761,EVENTOS!$F:$F,0)),0)</f>
        <v>0</v>
      </c>
      <c r="X761" s="3">
        <f>IFERROR(INDEX(EVENTOS!$D:$D,MATCH(SCORE!X$2&amp;" "&amp;SCORE!$D761,EVENTOS!$F:$F,0)),0)</f>
        <v>0</v>
      </c>
      <c r="Y761" s="3">
        <f>SUMIFS(EVENTOS!$D:$D, EVENTOS!$B:$B, D761, EVENTOS!$E:$E, "*GirAlto*")</f>
        <v>0</v>
      </c>
      <c r="Z761" s="3">
        <f>SUMIFS(EVENTOS!$D:$D, EVENTOS!$B:$B, D761, EVENTOS!$E:$E, "*GirMed*")</f>
        <v>0</v>
      </c>
      <c r="AA761" s="3">
        <f>SUMIFS(EVENTOS!$D:$D, EVENTOS!$B:$B, D761, EVENTOS!$E:$E, "*GirBajo*")</f>
        <v>0</v>
      </c>
      <c r="AB761" s="3">
        <f>IFERROR(INDEX(EVENTOS!$D:$D,MATCH(SCORE!AB$2&amp;" "&amp;SCORE!$D761,EVENTOS!$F:$F,0)),0)</f>
        <v>0</v>
      </c>
      <c r="AC761" s="3">
        <f>IFERROR(INDEX(EVENTOS!$D:$D,MATCH(SCORE!AC$2&amp;" "&amp;SCORE!$D761,EVENTOS!$F:$F,0)),0)</f>
        <v>0</v>
      </c>
      <c r="AD761" s="3">
        <f>IFERROR(INDEX(EVENTOS!$D:$D,MATCH(SCORE!AD$2&amp;" "&amp;SCORE!$D761,EVENTOS!$F:$F,0)),0)</f>
        <v>0</v>
      </c>
      <c r="AE761" s="3">
        <f t="shared" si="33"/>
        <v>0</v>
      </c>
      <c r="AF761" s="10" t="e">
        <f t="shared" si="34"/>
        <v>#N/A</v>
      </c>
      <c r="AG761" s="3" t="str">
        <f t="shared" si="35"/>
        <v/>
      </c>
    </row>
    <row r="762" spans="1:33" x14ac:dyDescent="0.25">
      <c r="A762" s="7"/>
      <c r="B762" s="8"/>
      <c r="C762" s="3"/>
      <c r="D762" s="3"/>
      <c r="E762" s="3" t="e">
        <f>VLOOKUP(D762,VIAJES!$D:$E,2,FALSE)</f>
        <v>#N/A</v>
      </c>
      <c r="F762" s="9" t="e">
        <f>VLOOKUP(D762,VIAJES!$D:$F,3,FALSE)</f>
        <v>#N/A</v>
      </c>
      <c r="G762" s="9" t="e">
        <f>VLOOKUP(D762,VIAJES!$D:$G,4,FALSE)</f>
        <v>#N/A</v>
      </c>
      <c r="H762" s="3" t="e">
        <f>VLOOKUP(D762,VIAJES!$D:$H,5,FALSE)</f>
        <v>#N/A</v>
      </c>
      <c r="S762" s="3">
        <f>IFERROR(INDEX(EVENTOS!$D:$D,MATCH(SCORE!S$2&amp;" "&amp;SCORE!$D762,EVENTOS!$F:$F,0)),0)</f>
        <v>0</v>
      </c>
      <c r="T762" s="3">
        <f>IFERROR(INDEX(EVENTOS!$D:$D,MATCH(SCORE!T$2&amp;" "&amp;SCORE!$D762,EVENTOS!$F:$F,0)),0)</f>
        <v>0</v>
      </c>
      <c r="U762" s="3">
        <f>IFERROR(INDEX(EVENTOS!$D:$D,MATCH(SCORE!U$2&amp;" "&amp;SCORE!$D762,EVENTOS!$F:$F,0)),0)</f>
        <v>0</v>
      </c>
      <c r="V762" s="3">
        <f>IFERROR(INDEX(EVENTOS!$D:$D,MATCH(SCORE!V$2&amp;" "&amp;SCORE!$D762,EVENTOS!$F:$F,0)),0)</f>
        <v>0</v>
      </c>
      <c r="W762" s="3">
        <f>IFERROR(INDEX(EVENTOS!$D:$D,MATCH(SCORE!W$2&amp;" "&amp;SCORE!$D762,EVENTOS!$F:$F,0)),0)</f>
        <v>0</v>
      </c>
      <c r="X762" s="3">
        <f>IFERROR(INDEX(EVENTOS!$D:$D,MATCH(SCORE!X$2&amp;" "&amp;SCORE!$D762,EVENTOS!$F:$F,0)),0)</f>
        <v>0</v>
      </c>
      <c r="Y762" s="3">
        <f>SUMIFS(EVENTOS!$D:$D, EVENTOS!$B:$B, D762, EVENTOS!$E:$E, "*GirAlto*")</f>
        <v>0</v>
      </c>
      <c r="Z762" s="3">
        <f>SUMIFS(EVENTOS!$D:$D, EVENTOS!$B:$B, D762, EVENTOS!$E:$E, "*GirMed*")</f>
        <v>0</v>
      </c>
      <c r="AA762" s="3">
        <f>SUMIFS(EVENTOS!$D:$D, EVENTOS!$B:$B, D762, EVENTOS!$E:$E, "*GirBajo*")</f>
        <v>0</v>
      </c>
      <c r="AB762" s="3">
        <f>IFERROR(INDEX(EVENTOS!$D:$D,MATCH(SCORE!AB$2&amp;" "&amp;SCORE!$D762,EVENTOS!$F:$F,0)),0)</f>
        <v>0</v>
      </c>
      <c r="AC762" s="3">
        <f>IFERROR(INDEX(EVENTOS!$D:$D,MATCH(SCORE!AC$2&amp;" "&amp;SCORE!$D762,EVENTOS!$F:$F,0)),0)</f>
        <v>0</v>
      </c>
      <c r="AD762" s="3">
        <f>IFERROR(INDEX(EVENTOS!$D:$D,MATCH(SCORE!AD$2&amp;" "&amp;SCORE!$D762,EVENTOS!$F:$F,0)),0)</f>
        <v>0</v>
      </c>
      <c r="AE762" s="3">
        <f t="shared" si="33"/>
        <v>0</v>
      </c>
      <c r="AF762" s="10" t="e">
        <f t="shared" si="34"/>
        <v>#N/A</v>
      </c>
      <c r="AG762" s="3" t="str">
        <f t="shared" si="35"/>
        <v/>
      </c>
    </row>
    <row r="763" spans="1:33" x14ac:dyDescent="0.25">
      <c r="A763" s="7"/>
      <c r="B763" s="8"/>
      <c r="C763" s="3"/>
      <c r="D763" s="3"/>
      <c r="E763" s="3" t="e">
        <f>VLOOKUP(D763,VIAJES!$D:$E,2,FALSE)</f>
        <v>#N/A</v>
      </c>
      <c r="F763" s="9" t="e">
        <f>VLOOKUP(D763,VIAJES!$D:$F,3,FALSE)</f>
        <v>#N/A</v>
      </c>
      <c r="G763" s="9" t="e">
        <f>VLOOKUP(D763,VIAJES!$D:$G,4,FALSE)</f>
        <v>#N/A</v>
      </c>
      <c r="H763" s="3" t="e">
        <f>VLOOKUP(D763,VIAJES!$D:$H,5,FALSE)</f>
        <v>#N/A</v>
      </c>
      <c r="S763" s="3">
        <f>IFERROR(INDEX(EVENTOS!$D:$D,MATCH(SCORE!S$2&amp;" "&amp;SCORE!$D763,EVENTOS!$F:$F,0)),0)</f>
        <v>0</v>
      </c>
      <c r="T763" s="3">
        <f>IFERROR(INDEX(EVENTOS!$D:$D,MATCH(SCORE!T$2&amp;" "&amp;SCORE!$D763,EVENTOS!$F:$F,0)),0)</f>
        <v>0</v>
      </c>
      <c r="U763" s="3">
        <f>IFERROR(INDEX(EVENTOS!$D:$D,MATCH(SCORE!U$2&amp;" "&amp;SCORE!$D763,EVENTOS!$F:$F,0)),0)</f>
        <v>0</v>
      </c>
      <c r="V763" s="3">
        <f>IFERROR(INDEX(EVENTOS!$D:$D,MATCH(SCORE!V$2&amp;" "&amp;SCORE!$D763,EVENTOS!$F:$F,0)),0)</f>
        <v>0</v>
      </c>
      <c r="W763" s="3">
        <f>IFERROR(INDEX(EVENTOS!$D:$D,MATCH(SCORE!W$2&amp;" "&amp;SCORE!$D763,EVENTOS!$F:$F,0)),0)</f>
        <v>0</v>
      </c>
      <c r="X763" s="3">
        <f>IFERROR(INDEX(EVENTOS!$D:$D,MATCH(SCORE!X$2&amp;" "&amp;SCORE!$D763,EVENTOS!$F:$F,0)),0)</f>
        <v>0</v>
      </c>
      <c r="Y763" s="3">
        <f>SUMIFS(EVENTOS!$D:$D, EVENTOS!$B:$B, D763, EVENTOS!$E:$E, "*GirAlto*")</f>
        <v>0</v>
      </c>
      <c r="Z763" s="3">
        <f>SUMIFS(EVENTOS!$D:$D, EVENTOS!$B:$B, D763, EVENTOS!$E:$E, "*GirMed*")</f>
        <v>0</v>
      </c>
      <c r="AA763" s="3">
        <f>SUMIFS(EVENTOS!$D:$D, EVENTOS!$B:$B, D763, EVENTOS!$E:$E, "*GirBajo*")</f>
        <v>0</v>
      </c>
      <c r="AB763" s="3">
        <f>IFERROR(INDEX(EVENTOS!$D:$D,MATCH(SCORE!AB$2&amp;" "&amp;SCORE!$D763,EVENTOS!$F:$F,0)),0)</f>
        <v>0</v>
      </c>
      <c r="AC763" s="3">
        <f>IFERROR(INDEX(EVENTOS!$D:$D,MATCH(SCORE!AC$2&amp;" "&amp;SCORE!$D763,EVENTOS!$F:$F,0)),0)</f>
        <v>0</v>
      </c>
      <c r="AD763" s="3">
        <f>IFERROR(INDEX(EVENTOS!$D:$D,MATCH(SCORE!AD$2&amp;" "&amp;SCORE!$D763,EVENTOS!$F:$F,0)),0)</f>
        <v>0</v>
      </c>
      <c r="AE763" s="3">
        <f t="shared" si="33"/>
        <v>0</v>
      </c>
      <c r="AF763" s="10" t="e">
        <f t="shared" si="34"/>
        <v>#N/A</v>
      </c>
      <c r="AG763" s="3" t="str">
        <f t="shared" si="35"/>
        <v/>
      </c>
    </row>
    <row r="764" spans="1:33" x14ac:dyDescent="0.25">
      <c r="A764" s="7"/>
      <c r="B764" s="8"/>
      <c r="C764" s="3"/>
      <c r="D764" s="3"/>
      <c r="E764" s="3" t="e">
        <f>VLOOKUP(D764,VIAJES!$D:$E,2,FALSE)</f>
        <v>#N/A</v>
      </c>
      <c r="F764" s="9" t="e">
        <f>VLOOKUP(D764,VIAJES!$D:$F,3,FALSE)</f>
        <v>#N/A</v>
      </c>
      <c r="G764" s="9" t="e">
        <f>VLOOKUP(D764,VIAJES!$D:$G,4,FALSE)</f>
        <v>#N/A</v>
      </c>
      <c r="H764" s="3" t="e">
        <f>VLOOKUP(D764,VIAJES!$D:$H,5,FALSE)</f>
        <v>#N/A</v>
      </c>
      <c r="S764" s="3">
        <f>IFERROR(INDEX(EVENTOS!$D:$D,MATCH(SCORE!S$2&amp;" "&amp;SCORE!$D764,EVENTOS!$F:$F,0)),0)</f>
        <v>0</v>
      </c>
      <c r="T764" s="3">
        <f>IFERROR(INDEX(EVENTOS!$D:$D,MATCH(SCORE!T$2&amp;" "&amp;SCORE!$D764,EVENTOS!$F:$F,0)),0)</f>
        <v>0</v>
      </c>
      <c r="U764" s="3">
        <f>IFERROR(INDEX(EVENTOS!$D:$D,MATCH(SCORE!U$2&amp;" "&amp;SCORE!$D764,EVENTOS!$F:$F,0)),0)</f>
        <v>0</v>
      </c>
      <c r="V764" s="3">
        <f>IFERROR(INDEX(EVENTOS!$D:$D,MATCH(SCORE!V$2&amp;" "&amp;SCORE!$D764,EVENTOS!$F:$F,0)),0)</f>
        <v>0</v>
      </c>
      <c r="W764" s="3">
        <f>IFERROR(INDEX(EVENTOS!$D:$D,MATCH(SCORE!W$2&amp;" "&amp;SCORE!$D764,EVENTOS!$F:$F,0)),0)</f>
        <v>0</v>
      </c>
      <c r="X764" s="3">
        <f>IFERROR(INDEX(EVENTOS!$D:$D,MATCH(SCORE!X$2&amp;" "&amp;SCORE!$D764,EVENTOS!$F:$F,0)),0)</f>
        <v>0</v>
      </c>
      <c r="Y764" s="3">
        <f>SUMIFS(EVENTOS!$D:$D, EVENTOS!$B:$B, D764, EVENTOS!$E:$E, "*GirAlto*")</f>
        <v>0</v>
      </c>
      <c r="Z764" s="3">
        <f>SUMIFS(EVENTOS!$D:$D, EVENTOS!$B:$B, D764, EVENTOS!$E:$E, "*GirMed*")</f>
        <v>0</v>
      </c>
      <c r="AA764" s="3">
        <f>SUMIFS(EVENTOS!$D:$D, EVENTOS!$B:$B, D764, EVENTOS!$E:$E, "*GirBajo*")</f>
        <v>0</v>
      </c>
      <c r="AB764" s="3">
        <f>IFERROR(INDEX(EVENTOS!$D:$D,MATCH(SCORE!AB$2&amp;" "&amp;SCORE!$D764,EVENTOS!$F:$F,0)),0)</f>
        <v>0</v>
      </c>
      <c r="AC764" s="3">
        <f>IFERROR(INDEX(EVENTOS!$D:$D,MATCH(SCORE!AC$2&amp;" "&amp;SCORE!$D764,EVENTOS!$F:$F,0)),0)</f>
        <v>0</v>
      </c>
      <c r="AD764" s="3">
        <f>IFERROR(INDEX(EVENTOS!$D:$D,MATCH(SCORE!AD$2&amp;" "&amp;SCORE!$D764,EVENTOS!$F:$F,0)),0)</f>
        <v>0</v>
      </c>
      <c r="AE764" s="3">
        <f t="shared" si="33"/>
        <v>0</v>
      </c>
      <c r="AF764" s="10" t="e">
        <f t="shared" si="34"/>
        <v>#N/A</v>
      </c>
      <c r="AG764" s="3" t="str">
        <f t="shared" si="35"/>
        <v/>
      </c>
    </row>
    <row r="765" spans="1:33" x14ac:dyDescent="0.25">
      <c r="A765" s="7"/>
      <c r="B765" s="8"/>
      <c r="C765" s="3"/>
      <c r="D765" s="3"/>
      <c r="E765" s="3" t="e">
        <f>VLOOKUP(D765,VIAJES!$D:$E,2,FALSE)</f>
        <v>#N/A</v>
      </c>
      <c r="F765" s="9" t="e">
        <f>VLOOKUP(D765,VIAJES!$D:$F,3,FALSE)</f>
        <v>#N/A</v>
      </c>
      <c r="G765" s="9" t="e">
        <f>VLOOKUP(D765,VIAJES!$D:$G,4,FALSE)</f>
        <v>#N/A</v>
      </c>
      <c r="H765" s="3" t="e">
        <f>VLOOKUP(D765,VIAJES!$D:$H,5,FALSE)</f>
        <v>#N/A</v>
      </c>
      <c r="S765" s="3">
        <f>IFERROR(INDEX(EVENTOS!$D:$D,MATCH(SCORE!S$2&amp;" "&amp;SCORE!$D765,EVENTOS!$F:$F,0)),0)</f>
        <v>0</v>
      </c>
      <c r="T765" s="3">
        <f>IFERROR(INDEX(EVENTOS!$D:$D,MATCH(SCORE!T$2&amp;" "&amp;SCORE!$D765,EVENTOS!$F:$F,0)),0)</f>
        <v>0</v>
      </c>
      <c r="U765" s="3">
        <f>IFERROR(INDEX(EVENTOS!$D:$D,MATCH(SCORE!U$2&amp;" "&amp;SCORE!$D765,EVENTOS!$F:$F,0)),0)</f>
        <v>0</v>
      </c>
      <c r="V765" s="3">
        <f>IFERROR(INDEX(EVENTOS!$D:$D,MATCH(SCORE!V$2&amp;" "&amp;SCORE!$D765,EVENTOS!$F:$F,0)),0)</f>
        <v>0</v>
      </c>
      <c r="W765" s="3">
        <f>IFERROR(INDEX(EVENTOS!$D:$D,MATCH(SCORE!W$2&amp;" "&amp;SCORE!$D765,EVENTOS!$F:$F,0)),0)</f>
        <v>0</v>
      </c>
      <c r="X765" s="3">
        <f>IFERROR(INDEX(EVENTOS!$D:$D,MATCH(SCORE!X$2&amp;" "&amp;SCORE!$D765,EVENTOS!$F:$F,0)),0)</f>
        <v>0</v>
      </c>
      <c r="Y765" s="3">
        <f>SUMIFS(EVENTOS!$D:$D, EVENTOS!$B:$B, D765, EVENTOS!$E:$E, "*GirAlto*")</f>
        <v>0</v>
      </c>
      <c r="Z765" s="3">
        <f>SUMIFS(EVENTOS!$D:$D, EVENTOS!$B:$B, D765, EVENTOS!$E:$E, "*GirMed*")</f>
        <v>0</v>
      </c>
      <c r="AA765" s="3">
        <f>SUMIFS(EVENTOS!$D:$D, EVENTOS!$B:$B, D765, EVENTOS!$E:$E, "*GirBajo*")</f>
        <v>0</v>
      </c>
      <c r="AB765" s="3">
        <f>IFERROR(INDEX(EVENTOS!$D:$D,MATCH(SCORE!AB$2&amp;" "&amp;SCORE!$D765,EVENTOS!$F:$F,0)),0)</f>
        <v>0</v>
      </c>
      <c r="AC765" s="3">
        <f>IFERROR(INDEX(EVENTOS!$D:$D,MATCH(SCORE!AC$2&amp;" "&amp;SCORE!$D765,EVENTOS!$F:$F,0)),0)</f>
        <v>0</v>
      </c>
      <c r="AD765" s="3">
        <f>IFERROR(INDEX(EVENTOS!$D:$D,MATCH(SCORE!AD$2&amp;" "&amp;SCORE!$D765,EVENTOS!$F:$F,0)),0)</f>
        <v>0</v>
      </c>
      <c r="AE765" s="3">
        <f t="shared" si="33"/>
        <v>0</v>
      </c>
      <c r="AF765" s="10" t="e">
        <f t="shared" si="34"/>
        <v>#N/A</v>
      </c>
      <c r="AG765" s="3" t="str">
        <f t="shared" si="35"/>
        <v/>
      </c>
    </row>
    <row r="766" spans="1:33" x14ac:dyDescent="0.25">
      <c r="A766" s="7"/>
      <c r="B766" s="8"/>
      <c r="C766" s="3"/>
      <c r="D766" s="3"/>
      <c r="E766" s="3" t="e">
        <f>VLOOKUP(D766,VIAJES!$D:$E,2,FALSE)</f>
        <v>#N/A</v>
      </c>
      <c r="F766" s="9" t="e">
        <f>VLOOKUP(D766,VIAJES!$D:$F,3,FALSE)</f>
        <v>#N/A</v>
      </c>
      <c r="G766" s="9" t="e">
        <f>VLOOKUP(D766,VIAJES!$D:$G,4,FALSE)</f>
        <v>#N/A</v>
      </c>
      <c r="H766" s="3" t="e">
        <f>VLOOKUP(D766,VIAJES!$D:$H,5,FALSE)</f>
        <v>#N/A</v>
      </c>
      <c r="S766" s="3">
        <f>IFERROR(INDEX(EVENTOS!$D:$D,MATCH(SCORE!S$2&amp;" "&amp;SCORE!$D766,EVENTOS!$F:$F,0)),0)</f>
        <v>0</v>
      </c>
      <c r="T766" s="3">
        <f>IFERROR(INDEX(EVENTOS!$D:$D,MATCH(SCORE!T$2&amp;" "&amp;SCORE!$D766,EVENTOS!$F:$F,0)),0)</f>
        <v>0</v>
      </c>
      <c r="U766" s="3">
        <f>IFERROR(INDEX(EVENTOS!$D:$D,MATCH(SCORE!U$2&amp;" "&amp;SCORE!$D766,EVENTOS!$F:$F,0)),0)</f>
        <v>0</v>
      </c>
      <c r="V766" s="3">
        <f>IFERROR(INDEX(EVENTOS!$D:$D,MATCH(SCORE!V$2&amp;" "&amp;SCORE!$D766,EVENTOS!$F:$F,0)),0)</f>
        <v>0</v>
      </c>
      <c r="W766" s="3">
        <f>IFERROR(INDEX(EVENTOS!$D:$D,MATCH(SCORE!W$2&amp;" "&amp;SCORE!$D766,EVENTOS!$F:$F,0)),0)</f>
        <v>0</v>
      </c>
      <c r="X766" s="3">
        <f>IFERROR(INDEX(EVENTOS!$D:$D,MATCH(SCORE!X$2&amp;" "&amp;SCORE!$D766,EVENTOS!$F:$F,0)),0)</f>
        <v>0</v>
      </c>
      <c r="Y766" s="3">
        <f>SUMIFS(EVENTOS!$D:$D, EVENTOS!$B:$B, D766, EVENTOS!$E:$E, "*GirAlto*")</f>
        <v>0</v>
      </c>
      <c r="Z766" s="3">
        <f>SUMIFS(EVENTOS!$D:$D, EVENTOS!$B:$B, D766, EVENTOS!$E:$E, "*GirMed*")</f>
        <v>0</v>
      </c>
      <c r="AA766" s="3">
        <f>SUMIFS(EVENTOS!$D:$D, EVENTOS!$B:$B, D766, EVENTOS!$E:$E, "*GirBajo*")</f>
        <v>0</v>
      </c>
      <c r="AB766" s="3">
        <f>IFERROR(INDEX(EVENTOS!$D:$D,MATCH(SCORE!AB$2&amp;" "&amp;SCORE!$D766,EVENTOS!$F:$F,0)),0)</f>
        <v>0</v>
      </c>
      <c r="AC766" s="3">
        <f>IFERROR(INDEX(EVENTOS!$D:$D,MATCH(SCORE!AC$2&amp;" "&amp;SCORE!$D766,EVENTOS!$F:$F,0)),0)</f>
        <v>0</v>
      </c>
      <c r="AD766" s="3">
        <f>IFERROR(INDEX(EVENTOS!$D:$D,MATCH(SCORE!AD$2&amp;" "&amp;SCORE!$D766,EVENTOS!$F:$F,0)),0)</f>
        <v>0</v>
      </c>
      <c r="AE766" s="3">
        <f t="shared" si="33"/>
        <v>0</v>
      </c>
      <c r="AF766" s="10" t="e">
        <f t="shared" si="34"/>
        <v>#N/A</v>
      </c>
      <c r="AG766" s="3" t="str">
        <f t="shared" si="35"/>
        <v/>
      </c>
    </row>
    <row r="767" spans="1:33" x14ac:dyDescent="0.25">
      <c r="A767" s="7"/>
      <c r="B767" s="8"/>
      <c r="C767" s="3"/>
      <c r="D767" s="3"/>
      <c r="E767" s="3" t="e">
        <f>VLOOKUP(D767,VIAJES!$D:$E,2,FALSE)</f>
        <v>#N/A</v>
      </c>
      <c r="F767" s="9" t="e">
        <f>VLOOKUP(D767,VIAJES!$D:$F,3,FALSE)</f>
        <v>#N/A</v>
      </c>
      <c r="G767" s="9" t="e">
        <f>VLOOKUP(D767,VIAJES!$D:$G,4,FALSE)</f>
        <v>#N/A</v>
      </c>
      <c r="H767" s="3" t="e">
        <f>VLOOKUP(D767,VIAJES!$D:$H,5,FALSE)</f>
        <v>#N/A</v>
      </c>
      <c r="S767" s="3">
        <f>IFERROR(INDEX(EVENTOS!$D:$D,MATCH(SCORE!S$2&amp;" "&amp;SCORE!$D767,EVENTOS!$F:$F,0)),0)</f>
        <v>0</v>
      </c>
      <c r="T767" s="3">
        <f>IFERROR(INDEX(EVENTOS!$D:$D,MATCH(SCORE!T$2&amp;" "&amp;SCORE!$D767,EVENTOS!$F:$F,0)),0)</f>
        <v>0</v>
      </c>
      <c r="U767" s="3">
        <f>IFERROR(INDEX(EVENTOS!$D:$D,MATCH(SCORE!U$2&amp;" "&amp;SCORE!$D767,EVENTOS!$F:$F,0)),0)</f>
        <v>0</v>
      </c>
      <c r="V767" s="3">
        <f>IFERROR(INDEX(EVENTOS!$D:$D,MATCH(SCORE!V$2&amp;" "&amp;SCORE!$D767,EVENTOS!$F:$F,0)),0)</f>
        <v>0</v>
      </c>
      <c r="W767" s="3">
        <f>IFERROR(INDEX(EVENTOS!$D:$D,MATCH(SCORE!W$2&amp;" "&amp;SCORE!$D767,EVENTOS!$F:$F,0)),0)</f>
        <v>0</v>
      </c>
      <c r="X767" s="3">
        <f>IFERROR(INDEX(EVENTOS!$D:$D,MATCH(SCORE!X$2&amp;" "&amp;SCORE!$D767,EVENTOS!$F:$F,0)),0)</f>
        <v>0</v>
      </c>
      <c r="Y767" s="3">
        <f>SUMIFS(EVENTOS!$D:$D, EVENTOS!$B:$B, D767, EVENTOS!$E:$E, "*GirAlto*")</f>
        <v>0</v>
      </c>
      <c r="Z767" s="3">
        <f>SUMIFS(EVENTOS!$D:$D, EVENTOS!$B:$B, D767, EVENTOS!$E:$E, "*GirMed*")</f>
        <v>0</v>
      </c>
      <c r="AA767" s="3">
        <f>SUMIFS(EVENTOS!$D:$D, EVENTOS!$B:$B, D767, EVENTOS!$E:$E, "*GirBajo*")</f>
        <v>0</v>
      </c>
      <c r="AB767" s="3">
        <f>IFERROR(INDEX(EVENTOS!$D:$D,MATCH(SCORE!AB$2&amp;" "&amp;SCORE!$D767,EVENTOS!$F:$F,0)),0)</f>
        <v>0</v>
      </c>
      <c r="AC767" s="3">
        <f>IFERROR(INDEX(EVENTOS!$D:$D,MATCH(SCORE!AC$2&amp;" "&amp;SCORE!$D767,EVENTOS!$F:$F,0)),0)</f>
        <v>0</v>
      </c>
      <c r="AD767" s="3">
        <f>IFERROR(INDEX(EVENTOS!$D:$D,MATCH(SCORE!AD$2&amp;" "&amp;SCORE!$D767,EVENTOS!$F:$F,0)),0)</f>
        <v>0</v>
      </c>
      <c r="AE767" s="3">
        <f t="shared" si="33"/>
        <v>0</v>
      </c>
      <c r="AF767" s="10" t="e">
        <f t="shared" si="34"/>
        <v>#N/A</v>
      </c>
      <c r="AG767" s="3" t="str">
        <f t="shared" si="35"/>
        <v/>
      </c>
    </row>
    <row r="768" spans="1:33" x14ac:dyDescent="0.25">
      <c r="A768" s="7"/>
      <c r="B768" s="8"/>
      <c r="C768" s="3"/>
      <c r="D768" s="3"/>
      <c r="E768" s="3" t="e">
        <f>VLOOKUP(D768,VIAJES!$D:$E,2,FALSE)</f>
        <v>#N/A</v>
      </c>
      <c r="F768" s="9" t="e">
        <f>VLOOKUP(D768,VIAJES!$D:$F,3,FALSE)</f>
        <v>#N/A</v>
      </c>
      <c r="G768" s="9" t="e">
        <f>VLOOKUP(D768,VIAJES!$D:$G,4,FALSE)</f>
        <v>#N/A</v>
      </c>
      <c r="H768" s="3" t="e">
        <f>VLOOKUP(D768,VIAJES!$D:$H,5,FALSE)</f>
        <v>#N/A</v>
      </c>
      <c r="S768" s="3">
        <f>IFERROR(INDEX(EVENTOS!$D:$D,MATCH(SCORE!S$2&amp;" "&amp;SCORE!$D768,EVENTOS!$F:$F,0)),0)</f>
        <v>0</v>
      </c>
      <c r="T768" s="3">
        <f>IFERROR(INDEX(EVENTOS!$D:$D,MATCH(SCORE!T$2&amp;" "&amp;SCORE!$D768,EVENTOS!$F:$F,0)),0)</f>
        <v>0</v>
      </c>
      <c r="U768" s="3">
        <f>IFERROR(INDEX(EVENTOS!$D:$D,MATCH(SCORE!U$2&amp;" "&amp;SCORE!$D768,EVENTOS!$F:$F,0)),0)</f>
        <v>0</v>
      </c>
      <c r="V768" s="3">
        <f>IFERROR(INDEX(EVENTOS!$D:$D,MATCH(SCORE!V$2&amp;" "&amp;SCORE!$D768,EVENTOS!$F:$F,0)),0)</f>
        <v>0</v>
      </c>
      <c r="W768" s="3">
        <f>IFERROR(INDEX(EVENTOS!$D:$D,MATCH(SCORE!W$2&amp;" "&amp;SCORE!$D768,EVENTOS!$F:$F,0)),0)</f>
        <v>0</v>
      </c>
      <c r="X768" s="3">
        <f>IFERROR(INDEX(EVENTOS!$D:$D,MATCH(SCORE!X$2&amp;" "&amp;SCORE!$D768,EVENTOS!$F:$F,0)),0)</f>
        <v>0</v>
      </c>
      <c r="Y768" s="3">
        <f>SUMIFS(EVENTOS!$D:$D, EVENTOS!$B:$B, D768, EVENTOS!$E:$E, "*GirAlto*")</f>
        <v>0</v>
      </c>
      <c r="Z768" s="3">
        <f>SUMIFS(EVENTOS!$D:$D, EVENTOS!$B:$B, D768, EVENTOS!$E:$E, "*GirMed*")</f>
        <v>0</v>
      </c>
      <c r="AA768" s="3">
        <f>SUMIFS(EVENTOS!$D:$D, EVENTOS!$B:$B, D768, EVENTOS!$E:$E, "*GirBajo*")</f>
        <v>0</v>
      </c>
      <c r="AB768" s="3">
        <f>IFERROR(INDEX(EVENTOS!$D:$D,MATCH(SCORE!AB$2&amp;" "&amp;SCORE!$D768,EVENTOS!$F:$F,0)),0)</f>
        <v>0</v>
      </c>
      <c r="AC768" s="3">
        <f>IFERROR(INDEX(EVENTOS!$D:$D,MATCH(SCORE!AC$2&amp;" "&amp;SCORE!$D768,EVENTOS!$F:$F,0)),0)</f>
        <v>0</v>
      </c>
      <c r="AD768" s="3">
        <f>IFERROR(INDEX(EVENTOS!$D:$D,MATCH(SCORE!AD$2&amp;" "&amp;SCORE!$D768,EVENTOS!$F:$F,0)),0)</f>
        <v>0</v>
      </c>
      <c r="AE768" s="3">
        <f t="shared" si="33"/>
        <v>0</v>
      </c>
      <c r="AF768" s="10" t="e">
        <f t="shared" si="34"/>
        <v>#N/A</v>
      </c>
      <c r="AG768" s="3" t="str">
        <f t="shared" si="35"/>
        <v/>
      </c>
    </row>
    <row r="769" spans="1:33" x14ac:dyDescent="0.25">
      <c r="A769" s="7"/>
      <c r="B769" s="8"/>
      <c r="C769" s="3"/>
      <c r="D769" s="3"/>
      <c r="E769" s="3" t="e">
        <f>VLOOKUP(D769,VIAJES!$D:$E,2,FALSE)</f>
        <v>#N/A</v>
      </c>
      <c r="F769" s="9" t="e">
        <f>VLOOKUP(D769,VIAJES!$D:$F,3,FALSE)</f>
        <v>#N/A</v>
      </c>
      <c r="G769" s="9" t="e">
        <f>VLOOKUP(D769,VIAJES!$D:$G,4,FALSE)</f>
        <v>#N/A</v>
      </c>
      <c r="H769" s="3" t="e">
        <f>VLOOKUP(D769,VIAJES!$D:$H,5,FALSE)</f>
        <v>#N/A</v>
      </c>
      <c r="S769" s="3">
        <f>IFERROR(INDEX(EVENTOS!$D:$D,MATCH(SCORE!S$2&amp;" "&amp;SCORE!$D769,EVENTOS!$F:$F,0)),0)</f>
        <v>0</v>
      </c>
      <c r="T769" s="3">
        <f>IFERROR(INDEX(EVENTOS!$D:$D,MATCH(SCORE!T$2&amp;" "&amp;SCORE!$D769,EVENTOS!$F:$F,0)),0)</f>
        <v>0</v>
      </c>
      <c r="U769" s="3">
        <f>IFERROR(INDEX(EVENTOS!$D:$D,MATCH(SCORE!U$2&amp;" "&amp;SCORE!$D769,EVENTOS!$F:$F,0)),0)</f>
        <v>0</v>
      </c>
      <c r="V769" s="3">
        <f>IFERROR(INDEX(EVENTOS!$D:$D,MATCH(SCORE!V$2&amp;" "&amp;SCORE!$D769,EVENTOS!$F:$F,0)),0)</f>
        <v>0</v>
      </c>
      <c r="W769" s="3">
        <f>IFERROR(INDEX(EVENTOS!$D:$D,MATCH(SCORE!W$2&amp;" "&amp;SCORE!$D769,EVENTOS!$F:$F,0)),0)</f>
        <v>0</v>
      </c>
      <c r="X769" s="3">
        <f>IFERROR(INDEX(EVENTOS!$D:$D,MATCH(SCORE!X$2&amp;" "&amp;SCORE!$D769,EVENTOS!$F:$F,0)),0)</f>
        <v>0</v>
      </c>
      <c r="Y769" s="3">
        <f>SUMIFS(EVENTOS!$D:$D, EVENTOS!$B:$B, D769, EVENTOS!$E:$E, "*GirAlto*")</f>
        <v>0</v>
      </c>
      <c r="Z769" s="3">
        <f>SUMIFS(EVENTOS!$D:$D, EVENTOS!$B:$B, D769, EVENTOS!$E:$E, "*GirMed*")</f>
        <v>0</v>
      </c>
      <c r="AA769" s="3">
        <f>SUMIFS(EVENTOS!$D:$D, EVENTOS!$B:$B, D769, EVENTOS!$E:$E, "*GirBajo*")</f>
        <v>0</v>
      </c>
      <c r="AB769" s="3">
        <f>IFERROR(INDEX(EVENTOS!$D:$D,MATCH(SCORE!AB$2&amp;" "&amp;SCORE!$D769,EVENTOS!$F:$F,0)),0)</f>
        <v>0</v>
      </c>
      <c r="AC769" s="3">
        <f>IFERROR(INDEX(EVENTOS!$D:$D,MATCH(SCORE!AC$2&amp;" "&amp;SCORE!$D769,EVENTOS!$F:$F,0)),0)</f>
        <v>0</v>
      </c>
      <c r="AD769" s="3">
        <f>IFERROR(INDEX(EVENTOS!$D:$D,MATCH(SCORE!AD$2&amp;" "&amp;SCORE!$D769,EVENTOS!$F:$F,0)),0)</f>
        <v>0</v>
      </c>
      <c r="AE769" s="3">
        <f t="shared" si="33"/>
        <v>0</v>
      </c>
      <c r="AF769" s="10" t="e">
        <f t="shared" si="34"/>
        <v>#N/A</v>
      </c>
      <c r="AG769" s="3" t="str">
        <f t="shared" si="35"/>
        <v/>
      </c>
    </row>
    <row r="770" spans="1:33" x14ac:dyDescent="0.25">
      <c r="A770" s="7"/>
      <c r="B770" s="8"/>
      <c r="C770" s="3"/>
      <c r="D770" s="3"/>
      <c r="E770" s="3" t="e">
        <f>VLOOKUP(D770,VIAJES!$D:$E,2,FALSE)</f>
        <v>#N/A</v>
      </c>
      <c r="F770" s="9" t="e">
        <f>VLOOKUP(D770,VIAJES!$D:$F,3,FALSE)</f>
        <v>#N/A</v>
      </c>
      <c r="G770" s="9" t="e">
        <f>VLOOKUP(D770,VIAJES!$D:$G,4,FALSE)</f>
        <v>#N/A</v>
      </c>
      <c r="H770" s="3" t="e">
        <f>VLOOKUP(D770,VIAJES!$D:$H,5,FALSE)</f>
        <v>#N/A</v>
      </c>
      <c r="S770" s="3">
        <f>IFERROR(INDEX(EVENTOS!$D:$D,MATCH(SCORE!S$2&amp;" "&amp;SCORE!$D770,EVENTOS!$F:$F,0)),0)</f>
        <v>0</v>
      </c>
      <c r="T770" s="3">
        <f>IFERROR(INDEX(EVENTOS!$D:$D,MATCH(SCORE!T$2&amp;" "&amp;SCORE!$D770,EVENTOS!$F:$F,0)),0)</f>
        <v>0</v>
      </c>
      <c r="U770" s="3">
        <f>IFERROR(INDEX(EVENTOS!$D:$D,MATCH(SCORE!U$2&amp;" "&amp;SCORE!$D770,EVENTOS!$F:$F,0)),0)</f>
        <v>0</v>
      </c>
      <c r="V770" s="3">
        <f>IFERROR(INDEX(EVENTOS!$D:$D,MATCH(SCORE!V$2&amp;" "&amp;SCORE!$D770,EVENTOS!$F:$F,0)),0)</f>
        <v>0</v>
      </c>
      <c r="W770" s="3">
        <f>IFERROR(INDEX(EVENTOS!$D:$D,MATCH(SCORE!W$2&amp;" "&amp;SCORE!$D770,EVENTOS!$F:$F,0)),0)</f>
        <v>0</v>
      </c>
      <c r="X770" s="3">
        <f>IFERROR(INDEX(EVENTOS!$D:$D,MATCH(SCORE!X$2&amp;" "&amp;SCORE!$D770,EVENTOS!$F:$F,0)),0)</f>
        <v>0</v>
      </c>
      <c r="Y770" s="3">
        <f>SUMIFS(EVENTOS!$D:$D, EVENTOS!$B:$B, D770, EVENTOS!$E:$E, "*GirAlto*")</f>
        <v>0</v>
      </c>
      <c r="Z770" s="3">
        <f>SUMIFS(EVENTOS!$D:$D, EVENTOS!$B:$B, D770, EVENTOS!$E:$E, "*GirMed*")</f>
        <v>0</v>
      </c>
      <c r="AA770" s="3">
        <f>SUMIFS(EVENTOS!$D:$D, EVENTOS!$B:$B, D770, EVENTOS!$E:$E, "*GirBajo*")</f>
        <v>0</v>
      </c>
      <c r="AB770" s="3">
        <f>IFERROR(INDEX(EVENTOS!$D:$D,MATCH(SCORE!AB$2&amp;" "&amp;SCORE!$D770,EVENTOS!$F:$F,0)),0)</f>
        <v>0</v>
      </c>
      <c r="AC770" s="3">
        <f>IFERROR(INDEX(EVENTOS!$D:$D,MATCH(SCORE!AC$2&amp;" "&amp;SCORE!$D770,EVENTOS!$F:$F,0)),0)</f>
        <v>0</v>
      </c>
      <c r="AD770" s="3">
        <f>IFERROR(INDEX(EVENTOS!$D:$D,MATCH(SCORE!AD$2&amp;" "&amp;SCORE!$D770,EVENTOS!$F:$F,0)),0)</f>
        <v>0</v>
      </c>
      <c r="AE770" s="3">
        <f t="shared" si="33"/>
        <v>0</v>
      </c>
      <c r="AF770" s="10" t="e">
        <f t="shared" si="34"/>
        <v>#N/A</v>
      </c>
      <c r="AG770" s="3" t="str">
        <f t="shared" si="35"/>
        <v/>
      </c>
    </row>
    <row r="771" spans="1:33" x14ac:dyDescent="0.25">
      <c r="A771" s="7"/>
      <c r="B771" s="8"/>
      <c r="C771" s="3"/>
      <c r="D771" s="3"/>
      <c r="E771" s="3" t="e">
        <f>VLOOKUP(D771,VIAJES!$D:$E,2,FALSE)</f>
        <v>#N/A</v>
      </c>
      <c r="F771" s="9" t="e">
        <f>VLOOKUP(D771,VIAJES!$D:$F,3,FALSE)</f>
        <v>#N/A</v>
      </c>
      <c r="G771" s="9" t="e">
        <f>VLOOKUP(D771,VIAJES!$D:$G,4,FALSE)</f>
        <v>#N/A</v>
      </c>
      <c r="H771" s="3" t="e">
        <f>VLOOKUP(D771,VIAJES!$D:$H,5,FALSE)</f>
        <v>#N/A</v>
      </c>
      <c r="S771" s="3">
        <f>IFERROR(INDEX(EVENTOS!$D:$D,MATCH(SCORE!S$2&amp;" "&amp;SCORE!$D771,EVENTOS!$F:$F,0)),0)</f>
        <v>0</v>
      </c>
      <c r="T771" s="3">
        <f>IFERROR(INDEX(EVENTOS!$D:$D,MATCH(SCORE!T$2&amp;" "&amp;SCORE!$D771,EVENTOS!$F:$F,0)),0)</f>
        <v>0</v>
      </c>
      <c r="U771" s="3">
        <f>IFERROR(INDEX(EVENTOS!$D:$D,MATCH(SCORE!U$2&amp;" "&amp;SCORE!$D771,EVENTOS!$F:$F,0)),0)</f>
        <v>0</v>
      </c>
      <c r="V771" s="3">
        <f>IFERROR(INDEX(EVENTOS!$D:$D,MATCH(SCORE!V$2&amp;" "&amp;SCORE!$D771,EVENTOS!$F:$F,0)),0)</f>
        <v>0</v>
      </c>
      <c r="W771" s="3">
        <f>IFERROR(INDEX(EVENTOS!$D:$D,MATCH(SCORE!W$2&amp;" "&amp;SCORE!$D771,EVENTOS!$F:$F,0)),0)</f>
        <v>0</v>
      </c>
      <c r="X771" s="3">
        <f>IFERROR(INDEX(EVENTOS!$D:$D,MATCH(SCORE!X$2&amp;" "&amp;SCORE!$D771,EVENTOS!$F:$F,0)),0)</f>
        <v>0</v>
      </c>
      <c r="Y771" s="3">
        <f>SUMIFS(EVENTOS!$D:$D, EVENTOS!$B:$B, D771, EVENTOS!$E:$E, "*GirAlto*")</f>
        <v>0</v>
      </c>
      <c r="Z771" s="3">
        <f>SUMIFS(EVENTOS!$D:$D, EVENTOS!$B:$B, D771, EVENTOS!$E:$E, "*GirMed*")</f>
        <v>0</v>
      </c>
      <c r="AA771" s="3">
        <f>SUMIFS(EVENTOS!$D:$D, EVENTOS!$B:$B, D771, EVENTOS!$E:$E, "*GirBajo*")</f>
        <v>0</v>
      </c>
      <c r="AB771" s="3">
        <f>IFERROR(INDEX(EVENTOS!$D:$D,MATCH(SCORE!AB$2&amp;" "&amp;SCORE!$D771,EVENTOS!$F:$F,0)),0)</f>
        <v>0</v>
      </c>
      <c r="AC771" s="3">
        <f>IFERROR(INDEX(EVENTOS!$D:$D,MATCH(SCORE!AC$2&amp;" "&amp;SCORE!$D771,EVENTOS!$F:$F,0)),0)</f>
        <v>0</v>
      </c>
      <c r="AD771" s="3">
        <f>IFERROR(INDEX(EVENTOS!$D:$D,MATCH(SCORE!AD$2&amp;" "&amp;SCORE!$D771,EVENTOS!$F:$F,0)),0)</f>
        <v>0</v>
      </c>
      <c r="AE771" s="3">
        <f t="shared" ref="AE771:AE834" si="36">((S771+V771+Y771+AB771)*50)+((T771+W771+Z771+AC771)*25)+((U771+X771+AA771+AD771)*5)</f>
        <v>0</v>
      </c>
      <c r="AF771" s="10" t="e">
        <f t="shared" ref="AF771:AF834" si="37">AE771/(G771*24)*100</f>
        <v>#N/A</v>
      </c>
      <c r="AG771" s="3" t="str">
        <f t="shared" ref="AG771:AG834" si="38">IF(D771&lt;&gt;"",IF(AF771&gt;=30000,5,ROUNDDOWN((((5-95)*(AF771-0))/(30000-0))+95,0)),"")</f>
        <v/>
      </c>
    </row>
    <row r="772" spans="1:33" x14ac:dyDescent="0.25">
      <c r="A772" s="7"/>
      <c r="B772" s="8"/>
      <c r="C772" s="3"/>
      <c r="D772" s="3"/>
      <c r="E772" s="3" t="e">
        <f>VLOOKUP(D772,VIAJES!$D:$E,2,FALSE)</f>
        <v>#N/A</v>
      </c>
      <c r="F772" s="9" t="e">
        <f>VLOOKUP(D772,VIAJES!$D:$F,3,FALSE)</f>
        <v>#N/A</v>
      </c>
      <c r="G772" s="9" t="e">
        <f>VLOOKUP(D772,VIAJES!$D:$G,4,FALSE)</f>
        <v>#N/A</v>
      </c>
      <c r="H772" s="3" t="e">
        <f>VLOOKUP(D772,VIAJES!$D:$H,5,FALSE)</f>
        <v>#N/A</v>
      </c>
      <c r="S772" s="3">
        <f>IFERROR(INDEX(EVENTOS!$D:$D,MATCH(SCORE!S$2&amp;" "&amp;SCORE!$D772,EVENTOS!$F:$F,0)),0)</f>
        <v>0</v>
      </c>
      <c r="T772" s="3">
        <f>IFERROR(INDEX(EVENTOS!$D:$D,MATCH(SCORE!T$2&amp;" "&amp;SCORE!$D772,EVENTOS!$F:$F,0)),0)</f>
        <v>0</v>
      </c>
      <c r="U772" s="3">
        <f>IFERROR(INDEX(EVENTOS!$D:$D,MATCH(SCORE!U$2&amp;" "&amp;SCORE!$D772,EVENTOS!$F:$F,0)),0)</f>
        <v>0</v>
      </c>
      <c r="V772" s="3">
        <f>IFERROR(INDEX(EVENTOS!$D:$D,MATCH(SCORE!V$2&amp;" "&amp;SCORE!$D772,EVENTOS!$F:$F,0)),0)</f>
        <v>0</v>
      </c>
      <c r="W772" s="3">
        <f>IFERROR(INDEX(EVENTOS!$D:$D,MATCH(SCORE!W$2&amp;" "&amp;SCORE!$D772,EVENTOS!$F:$F,0)),0)</f>
        <v>0</v>
      </c>
      <c r="X772" s="3">
        <f>IFERROR(INDEX(EVENTOS!$D:$D,MATCH(SCORE!X$2&amp;" "&amp;SCORE!$D772,EVENTOS!$F:$F,0)),0)</f>
        <v>0</v>
      </c>
      <c r="Y772" s="3">
        <f>SUMIFS(EVENTOS!$D:$D, EVENTOS!$B:$B, D772, EVENTOS!$E:$E, "*GirAlto*")</f>
        <v>0</v>
      </c>
      <c r="Z772" s="3">
        <f>SUMIFS(EVENTOS!$D:$D, EVENTOS!$B:$B, D772, EVENTOS!$E:$E, "*GirMed*")</f>
        <v>0</v>
      </c>
      <c r="AA772" s="3">
        <f>SUMIFS(EVENTOS!$D:$D, EVENTOS!$B:$B, D772, EVENTOS!$E:$E, "*GirBajo*")</f>
        <v>0</v>
      </c>
      <c r="AB772" s="3">
        <f>IFERROR(INDEX(EVENTOS!$D:$D,MATCH(SCORE!AB$2&amp;" "&amp;SCORE!$D772,EVENTOS!$F:$F,0)),0)</f>
        <v>0</v>
      </c>
      <c r="AC772" s="3">
        <f>IFERROR(INDEX(EVENTOS!$D:$D,MATCH(SCORE!AC$2&amp;" "&amp;SCORE!$D772,EVENTOS!$F:$F,0)),0)</f>
        <v>0</v>
      </c>
      <c r="AD772" s="3">
        <f>IFERROR(INDEX(EVENTOS!$D:$D,MATCH(SCORE!AD$2&amp;" "&amp;SCORE!$D772,EVENTOS!$F:$F,0)),0)</f>
        <v>0</v>
      </c>
      <c r="AE772" s="3">
        <f t="shared" si="36"/>
        <v>0</v>
      </c>
      <c r="AF772" s="10" t="e">
        <f t="shared" si="37"/>
        <v>#N/A</v>
      </c>
      <c r="AG772" s="3" t="str">
        <f t="shared" si="38"/>
        <v/>
      </c>
    </row>
    <row r="773" spans="1:33" x14ac:dyDescent="0.25">
      <c r="A773" s="7"/>
      <c r="B773" s="8"/>
      <c r="C773" s="3"/>
      <c r="D773" s="3"/>
      <c r="E773" s="3" t="e">
        <f>VLOOKUP(D773,VIAJES!$D:$E,2,FALSE)</f>
        <v>#N/A</v>
      </c>
      <c r="F773" s="9" t="e">
        <f>VLOOKUP(D773,VIAJES!$D:$F,3,FALSE)</f>
        <v>#N/A</v>
      </c>
      <c r="G773" s="9" t="e">
        <f>VLOOKUP(D773,VIAJES!$D:$G,4,FALSE)</f>
        <v>#N/A</v>
      </c>
      <c r="H773" s="3" t="e">
        <f>VLOOKUP(D773,VIAJES!$D:$H,5,FALSE)</f>
        <v>#N/A</v>
      </c>
      <c r="S773" s="3">
        <f>IFERROR(INDEX(EVENTOS!$D:$D,MATCH(SCORE!S$2&amp;" "&amp;SCORE!$D773,EVENTOS!$F:$F,0)),0)</f>
        <v>0</v>
      </c>
      <c r="T773" s="3">
        <f>IFERROR(INDEX(EVENTOS!$D:$D,MATCH(SCORE!T$2&amp;" "&amp;SCORE!$D773,EVENTOS!$F:$F,0)),0)</f>
        <v>0</v>
      </c>
      <c r="U773" s="3">
        <f>IFERROR(INDEX(EVENTOS!$D:$D,MATCH(SCORE!U$2&amp;" "&amp;SCORE!$D773,EVENTOS!$F:$F,0)),0)</f>
        <v>0</v>
      </c>
      <c r="V773" s="3">
        <f>IFERROR(INDEX(EVENTOS!$D:$D,MATCH(SCORE!V$2&amp;" "&amp;SCORE!$D773,EVENTOS!$F:$F,0)),0)</f>
        <v>0</v>
      </c>
      <c r="W773" s="3">
        <f>IFERROR(INDEX(EVENTOS!$D:$D,MATCH(SCORE!W$2&amp;" "&amp;SCORE!$D773,EVENTOS!$F:$F,0)),0)</f>
        <v>0</v>
      </c>
      <c r="X773" s="3">
        <f>IFERROR(INDEX(EVENTOS!$D:$D,MATCH(SCORE!X$2&amp;" "&amp;SCORE!$D773,EVENTOS!$F:$F,0)),0)</f>
        <v>0</v>
      </c>
      <c r="Y773" s="3">
        <f>SUMIFS(EVENTOS!$D:$D, EVENTOS!$B:$B, D773, EVENTOS!$E:$E, "*GirAlto*")</f>
        <v>0</v>
      </c>
      <c r="Z773" s="3">
        <f>SUMIFS(EVENTOS!$D:$D, EVENTOS!$B:$B, D773, EVENTOS!$E:$E, "*GirMed*")</f>
        <v>0</v>
      </c>
      <c r="AA773" s="3">
        <f>SUMIFS(EVENTOS!$D:$D, EVENTOS!$B:$B, D773, EVENTOS!$E:$E, "*GirBajo*")</f>
        <v>0</v>
      </c>
      <c r="AB773" s="3">
        <f>IFERROR(INDEX(EVENTOS!$D:$D,MATCH(SCORE!AB$2&amp;" "&amp;SCORE!$D773,EVENTOS!$F:$F,0)),0)</f>
        <v>0</v>
      </c>
      <c r="AC773" s="3">
        <f>IFERROR(INDEX(EVENTOS!$D:$D,MATCH(SCORE!AC$2&amp;" "&amp;SCORE!$D773,EVENTOS!$F:$F,0)),0)</f>
        <v>0</v>
      </c>
      <c r="AD773" s="3">
        <f>IFERROR(INDEX(EVENTOS!$D:$D,MATCH(SCORE!AD$2&amp;" "&amp;SCORE!$D773,EVENTOS!$F:$F,0)),0)</f>
        <v>0</v>
      </c>
      <c r="AE773" s="3">
        <f t="shared" si="36"/>
        <v>0</v>
      </c>
      <c r="AF773" s="10" t="e">
        <f t="shared" si="37"/>
        <v>#N/A</v>
      </c>
      <c r="AG773" s="3" t="str">
        <f t="shared" si="38"/>
        <v/>
      </c>
    </row>
    <row r="774" spans="1:33" x14ac:dyDescent="0.25">
      <c r="A774" s="7"/>
      <c r="B774" s="8"/>
      <c r="C774" s="3"/>
      <c r="D774" s="3"/>
      <c r="E774" s="3" t="e">
        <f>VLOOKUP(D774,VIAJES!$D:$E,2,FALSE)</f>
        <v>#N/A</v>
      </c>
      <c r="F774" s="9" t="e">
        <f>VLOOKUP(D774,VIAJES!$D:$F,3,FALSE)</f>
        <v>#N/A</v>
      </c>
      <c r="G774" s="9" t="e">
        <f>VLOOKUP(D774,VIAJES!$D:$G,4,FALSE)</f>
        <v>#N/A</v>
      </c>
      <c r="H774" s="3" t="e">
        <f>VLOOKUP(D774,VIAJES!$D:$H,5,FALSE)</f>
        <v>#N/A</v>
      </c>
      <c r="S774" s="3">
        <f>IFERROR(INDEX(EVENTOS!$D:$D,MATCH(SCORE!S$2&amp;" "&amp;SCORE!$D774,EVENTOS!$F:$F,0)),0)</f>
        <v>0</v>
      </c>
      <c r="T774" s="3">
        <f>IFERROR(INDEX(EVENTOS!$D:$D,MATCH(SCORE!T$2&amp;" "&amp;SCORE!$D774,EVENTOS!$F:$F,0)),0)</f>
        <v>0</v>
      </c>
      <c r="U774" s="3">
        <f>IFERROR(INDEX(EVENTOS!$D:$D,MATCH(SCORE!U$2&amp;" "&amp;SCORE!$D774,EVENTOS!$F:$F,0)),0)</f>
        <v>0</v>
      </c>
      <c r="V774" s="3">
        <f>IFERROR(INDEX(EVENTOS!$D:$D,MATCH(SCORE!V$2&amp;" "&amp;SCORE!$D774,EVENTOS!$F:$F,0)),0)</f>
        <v>0</v>
      </c>
      <c r="W774" s="3">
        <f>IFERROR(INDEX(EVENTOS!$D:$D,MATCH(SCORE!W$2&amp;" "&amp;SCORE!$D774,EVENTOS!$F:$F,0)),0)</f>
        <v>0</v>
      </c>
      <c r="X774" s="3">
        <f>IFERROR(INDEX(EVENTOS!$D:$D,MATCH(SCORE!X$2&amp;" "&amp;SCORE!$D774,EVENTOS!$F:$F,0)),0)</f>
        <v>0</v>
      </c>
      <c r="Y774" s="3">
        <f>SUMIFS(EVENTOS!$D:$D, EVENTOS!$B:$B, D774, EVENTOS!$E:$E, "*GirAlto*")</f>
        <v>0</v>
      </c>
      <c r="Z774" s="3">
        <f>SUMIFS(EVENTOS!$D:$D, EVENTOS!$B:$B, D774, EVENTOS!$E:$E, "*GirMed*")</f>
        <v>0</v>
      </c>
      <c r="AA774" s="3">
        <f>SUMIFS(EVENTOS!$D:$D, EVENTOS!$B:$B, D774, EVENTOS!$E:$E, "*GirBajo*")</f>
        <v>0</v>
      </c>
      <c r="AB774" s="3">
        <f>IFERROR(INDEX(EVENTOS!$D:$D,MATCH(SCORE!AB$2&amp;" "&amp;SCORE!$D774,EVENTOS!$F:$F,0)),0)</f>
        <v>0</v>
      </c>
      <c r="AC774" s="3">
        <f>IFERROR(INDEX(EVENTOS!$D:$D,MATCH(SCORE!AC$2&amp;" "&amp;SCORE!$D774,EVENTOS!$F:$F,0)),0)</f>
        <v>0</v>
      </c>
      <c r="AD774" s="3">
        <f>IFERROR(INDEX(EVENTOS!$D:$D,MATCH(SCORE!AD$2&amp;" "&amp;SCORE!$D774,EVENTOS!$F:$F,0)),0)</f>
        <v>0</v>
      </c>
      <c r="AE774" s="3">
        <f t="shared" si="36"/>
        <v>0</v>
      </c>
      <c r="AF774" s="10" t="e">
        <f t="shared" si="37"/>
        <v>#N/A</v>
      </c>
      <c r="AG774" s="3" t="str">
        <f t="shared" si="38"/>
        <v/>
      </c>
    </row>
    <row r="775" spans="1:33" x14ac:dyDescent="0.25">
      <c r="A775" s="7"/>
      <c r="B775" s="8"/>
      <c r="C775" s="3"/>
      <c r="D775" s="3"/>
      <c r="E775" s="3" t="e">
        <f>VLOOKUP(D775,VIAJES!$D:$E,2,FALSE)</f>
        <v>#N/A</v>
      </c>
      <c r="F775" s="9" t="e">
        <f>VLOOKUP(D775,VIAJES!$D:$F,3,FALSE)</f>
        <v>#N/A</v>
      </c>
      <c r="G775" s="9" t="e">
        <f>VLOOKUP(D775,VIAJES!$D:$G,4,FALSE)</f>
        <v>#N/A</v>
      </c>
      <c r="H775" s="3" t="e">
        <f>VLOOKUP(D775,VIAJES!$D:$H,5,FALSE)</f>
        <v>#N/A</v>
      </c>
      <c r="S775" s="3">
        <f>IFERROR(INDEX(EVENTOS!$D:$D,MATCH(SCORE!S$2&amp;" "&amp;SCORE!$D775,EVENTOS!$F:$F,0)),0)</f>
        <v>0</v>
      </c>
      <c r="T775" s="3">
        <f>IFERROR(INDEX(EVENTOS!$D:$D,MATCH(SCORE!T$2&amp;" "&amp;SCORE!$D775,EVENTOS!$F:$F,0)),0)</f>
        <v>0</v>
      </c>
      <c r="U775" s="3">
        <f>IFERROR(INDEX(EVENTOS!$D:$D,MATCH(SCORE!U$2&amp;" "&amp;SCORE!$D775,EVENTOS!$F:$F,0)),0)</f>
        <v>0</v>
      </c>
      <c r="V775" s="3">
        <f>IFERROR(INDEX(EVENTOS!$D:$D,MATCH(SCORE!V$2&amp;" "&amp;SCORE!$D775,EVENTOS!$F:$F,0)),0)</f>
        <v>0</v>
      </c>
      <c r="W775" s="3">
        <f>IFERROR(INDEX(EVENTOS!$D:$D,MATCH(SCORE!W$2&amp;" "&amp;SCORE!$D775,EVENTOS!$F:$F,0)),0)</f>
        <v>0</v>
      </c>
      <c r="X775" s="3">
        <f>IFERROR(INDEX(EVENTOS!$D:$D,MATCH(SCORE!X$2&amp;" "&amp;SCORE!$D775,EVENTOS!$F:$F,0)),0)</f>
        <v>0</v>
      </c>
      <c r="Y775" s="3">
        <f>SUMIFS(EVENTOS!$D:$D, EVENTOS!$B:$B, D775, EVENTOS!$E:$E, "*GirAlto*")</f>
        <v>0</v>
      </c>
      <c r="Z775" s="3">
        <f>SUMIFS(EVENTOS!$D:$D, EVENTOS!$B:$B, D775, EVENTOS!$E:$E, "*GirMed*")</f>
        <v>0</v>
      </c>
      <c r="AA775" s="3">
        <f>SUMIFS(EVENTOS!$D:$D, EVENTOS!$B:$B, D775, EVENTOS!$E:$E, "*GirBajo*")</f>
        <v>0</v>
      </c>
      <c r="AB775" s="3">
        <f>IFERROR(INDEX(EVENTOS!$D:$D,MATCH(SCORE!AB$2&amp;" "&amp;SCORE!$D775,EVENTOS!$F:$F,0)),0)</f>
        <v>0</v>
      </c>
      <c r="AC775" s="3">
        <f>IFERROR(INDEX(EVENTOS!$D:$D,MATCH(SCORE!AC$2&amp;" "&amp;SCORE!$D775,EVENTOS!$F:$F,0)),0)</f>
        <v>0</v>
      </c>
      <c r="AD775" s="3">
        <f>IFERROR(INDEX(EVENTOS!$D:$D,MATCH(SCORE!AD$2&amp;" "&amp;SCORE!$D775,EVENTOS!$F:$F,0)),0)</f>
        <v>0</v>
      </c>
      <c r="AE775" s="3">
        <f t="shared" si="36"/>
        <v>0</v>
      </c>
      <c r="AF775" s="10" t="e">
        <f t="shared" si="37"/>
        <v>#N/A</v>
      </c>
      <c r="AG775" s="3" t="str">
        <f t="shared" si="38"/>
        <v/>
      </c>
    </row>
    <row r="776" spans="1:33" x14ac:dyDescent="0.25">
      <c r="A776" s="7"/>
      <c r="B776" s="8"/>
      <c r="C776" s="3"/>
      <c r="D776" s="3"/>
      <c r="E776" s="3" t="e">
        <f>VLOOKUP(D776,VIAJES!$D:$E,2,FALSE)</f>
        <v>#N/A</v>
      </c>
      <c r="F776" s="9" t="e">
        <f>VLOOKUP(D776,VIAJES!$D:$F,3,FALSE)</f>
        <v>#N/A</v>
      </c>
      <c r="G776" s="9" t="e">
        <f>VLOOKUP(D776,VIAJES!$D:$G,4,FALSE)</f>
        <v>#N/A</v>
      </c>
      <c r="H776" s="3" t="e">
        <f>VLOOKUP(D776,VIAJES!$D:$H,5,FALSE)</f>
        <v>#N/A</v>
      </c>
      <c r="S776" s="3">
        <f>IFERROR(INDEX(EVENTOS!$D:$D,MATCH(SCORE!S$2&amp;" "&amp;SCORE!$D776,EVENTOS!$F:$F,0)),0)</f>
        <v>0</v>
      </c>
      <c r="T776" s="3">
        <f>IFERROR(INDEX(EVENTOS!$D:$D,MATCH(SCORE!T$2&amp;" "&amp;SCORE!$D776,EVENTOS!$F:$F,0)),0)</f>
        <v>0</v>
      </c>
      <c r="U776" s="3">
        <f>IFERROR(INDEX(EVENTOS!$D:$D,MATCH(SCORE!U$2&amp;" "&amp;SCORE!$D776,EVENTOS!$F:$F,0)),0)</f>
        <v>0</v>
      </c>
      <c r="V776" s="3">
        <f>IFERROR(INDEX(EVENTOS!$D:$D,MATCH(SCORE!V$2&amp;" "&amp;SCORE!$D776,EVENTOS!$F:$F,0)),0)</f>
        <v>0</v>
      </c>
      <c r="W776" s="3">
        <f>IFERROR(INDEX(EVENTOS!$D:$D,MATCH(SCORE!W$2&amp;" "&amp;SCORE!$D776,EVENTOS!$F:$F,0)),0)</f>
        <v>0</v>
      </c>
      <c r="X776" s="3">
        <f>IFERROR(INDEX(EVENTOS!$D:$D,MATCH(SCORE!X$2&amp;" "&amp;SCORE!$D776,EVENTOS!$F:$F,0)),0)</f>
        <v>0</v>
      </c>
      <c r="Y776" s="3">
        <f>SUMIFS(EVENTOS!$D:$D, EVENTOS!$B:$B, D776, EVENTOS!$E:$E, "*GirAlto*")</f>
        <v>0</v>
      </c>
      <c r="Z776" s="3">
        <f>SUMIFS(EVENTOS!$D:$D, EVENTOS!$B:$B, D776, EVENTOS!$E:$E, "*GirMed*")</f>
        <v>0</v>
      </c>
      <c r="AA776" s="3">
        <f>SUMIFS(EVENTOS!$D:$D, EVENTOS!$B:$B, D776, EVENTOS!$E:$E, "*GirBajo*")</f>
        <v>0</v>
      </c>
      <c r="AB776" s="3">
        <f>IFERROR(INDEX(EVENTOS!$D:$D,MATCH(SCORE!AB$2&amp;" "&amp;SCORE!$D776,EVENTOS!$F:$F,0)),0)</f>
        <v>0</v>
      </c>
      <c r="AC776" s="3">
        <f>IFERROR(INDEX(EVENTOS!$D:$D,MATCH(SCORE!AC$2&amp;" "&amp;SCORE!$D776,EVENTOS!$F:$F,0)),0)</f>
        <v>0</v>
      </c>
      <c r="AD776" s="3">
        <f>IFERROR(INDEX(EVENTOS!$D:$D,MATCH(SCORE!AD$2&amp;" "&amp;SCORE!$D776,EVENTOS!$F:$F,0)),0)</f>
        <v>0</v>
      </c>
      <c r="AE776" s="3">
        <f t="shared" si="36"/>
        <v>0</v>
      </c>
      <c r="AF776" s="10" t="e">
        <f t="shared" si="37"/>
        <v>#N/A</v>
      </c>
      <c r="AG776" s="3" t="str">
        <f t="shared" si="38"/>
        <v/>
      </c>
    </row>
    <row r="777" spans="1:33" x14ac:dyDescent="0.25">
      <c r="A777" s="7"/>
      <c r="B777" s="8"/>
      <c r="C777" s="3"/>
      <c r="D777" s="3"/>
      <c r="E777" s="3" t="e">
        <f>VLOOKUP(D777,VIAJES!$D:$E,2,FALSE)</f>
        <v>#N/A</v>
      </c>
      <c r="F777" s="9" t="e">
        <f>VLOOKUP(D777,VIAJES!$D:$F,3,FALSE)</f>
        <v>#N/A</v>
      </c>
      <c r="G777" s="9" t="e">
        <f>VLOOKUP(D777,VIAJES!$D:$G,4,FALSE)</f>
        <v>#N/A</v>
      </c>
      <c r="H777" s="3" t="e">
        <f>VLOOKUP(D777,VIAJES!$D:$H,5,FALSE)</f>
        <v>#N/A</v>
      </c>
      <c r="S777" s="3">
        <f>IFERROR(INDEX(EVENTOS!$D:$D,MATCH(SCORE!S$2&amp;" "&amp;SCORE!$D777,EVENTOS!$F:$F,0)),0)</f>
        <v>0</v>
      </c>
      <c r="T777" s="3">
        <f>IFERROR(INDEX(EVENTOS!$D:$D,MATCH(SCORE!T$2&amp;" "&amp;SCORE!$D777,EVENTOS!$F:$F,0)),0)</f>
        <v>0</v>
      </c>
      <c r="U777" s="3">
        <f>IFERROR(INDEX(EVENTOS!$D:$D,MATCH(SCORE!U$2&amp;" "&amp;SCORE!$D777,EVENTOS!$F:$F,0)),0)</f>
        <v>0</v>
      </c>
      <c r="V777" s="3">
        <f>IFERROR(INDEX(EVENTOS!$D:$D,MATCH(SCORE!V$2&amp;" "&amp;SCORE!$D777,EVENTOS!$F:$F,0)),0)</f>
        <v>0</v>
      </c>
      <c r="W777" s="3">
        <f>IFERROR(INDEX(EVENTOS!$D:$D,MATCH(SCORE!W$2&amp;" "&amp;SCORE!$D777,EVENTOS!$F:$F,0)),0)</f>
        <v>0</v>
      </c>
      <c r="X777" s="3">
        <f>IFERROR(INDEX(EVENTOS!$D:$D,MATCH(SCORE!X$2&amp;" "&amp;SCORE!$D777,EVENTOS!$F:$F,0)),0)</f>
        <v>0</v>
      </c>
      <c r="Y777" s="3">
        <f>SUMIFS(EVENTOS!$D:$D, EVENTOS!$B:$B, D777, EVENTOS!$E:$E, "*GirAlto*")</f>
        <v>0</v>
      </c>
      <c r="Z777" s="3">
        <f>SUMIFS(EVENTOS!$D:$D, EVENTOS!$B:$B, D777, EVENTOS!$E:$E, "*GirMed*")</f>
        <v>0</v>
      </c>
      <c r="AA777" s="3">
        <f>SUMIFS(EVENTOS!$D:$D, EVENTOS!$B:$B, D777, EVENTOS!$E:$E, "*GirBajo*")</f>
        <v>0</v>
      </c>
      <c r="AB777" s="3">
        <f>IFERROR(INDEX(EVENTOS!$D:$D,MATCH(SCORE!AB$2&amp;" "&amp;SCORE!$D777,EVENTOS!$F:$F,0)),0)</f>
        <v>0</v>
      </c>
      <c r="AC777" s="3">
        <f>IFERROR(INDEX(EVENTOS!$D:$D,MATCH(SCORE!AC$2&amp;" "&amp;SCORE!$D777,EVENTOS!$F:$F,0)),0)</f>
        <v>0</v>
      </c>
      <c r="AD777" s="3">
        <f>IFERROR(INDEX(EVENTOS!$D:$D,MATCH(SCORE!AD$2&amp;" "&amp;SCORE!$D777,EVENTOS!$F:$F,0)),0)</f>
        <v>0</v>
      </c>
      <c r="AE777" s="3">
        <f t="shared" si="36"/>
        <v>0</v>
      </c>
      <c r="AF777" s="10" t="e">
        <f t="shared" si="37"/>
        <v>#N/A</v>
      </c>
      <c r="AG777" s="3" t="str">
        <f t="shared" si="38"/>
        <v/>
      </c>
    </row>
    <row r="778" spans="1:33" x14ac:dyDescent="0.25">
      <c r="A778" s="7"/>
      <c r="B778" s="8"/>
      <c r="C778" s="3"/>
      <c r="D778" s="3"/>
      <c r="E778" s="3" t="e">
        <f>VLOOKUP(D778,VIAJES!$D:$E,2,FALSE)</f>
        <v>#N/A</v>
      </c>
      <c r="F778" s="9" t="e">
        <f>VLOOKUP(D778,VIAJES!$D:$F,3,FALSE)</f>
        <v>#N/A</v>
      </c>
      <c r="G778" s="9" t="e">
        <f>VLOOKUP(D778,VIAJES!$D:$G,4,FALSE)</f>
        <v>#N/A</v>
      </c>
      <c r="H778" s="3" t="e">
        <f>VLOOKUP(D778,VIAJES!$D:$H,5,FALSE)</f>
        <v>#N/A</v>
      </c>
      <c r="S778" s="3">
        <f>IFERROR(INDEX(EVENTOS!$D:$D,MATCH(SCORE!S$2&amp;" "&amp;SCORE!$D778,EVENTOS!$F:$F,0)),0)</f>
        <v>0</v>
      </c>
      <c r="T778" s="3">
        <f>IFERROR(INDEX(EVENTOS!$D:$D,MATCH(SCORE!T$2&amp;" "&amp;SCORE!$D778,EVENTOS!$F:$F,0)),0)</f>
        <v>0</v>
      </c>
      <c r="U778" s="3">
        <f>IFERROR(INDEX(EVENTOS!$D:$D,MATCH(SCORE!U$2&amp;" "&amp;SCORE!$D778,EVENTOS!$F:$F,0)),0)</f>
        <v>0</v>
      </c>
      <c r="V778" s="3">
        <f>IFERROR(INDEX(EVENTOS!$D:$D,MATCH(SCORE!V$2&amp;" "&amp;SCORE!$D778,EVENTOS!$F:$F,0)),0)</f>
        <v>0</v>
      </c>
      <c r="W778" s="3">
        <f>IFERROR(INDEX(EVENTOS!$D:$D,MATCH(SCORE!W$2&amp;" "&amp;SCORE!$D778,EVENTOS!$F:$F,0)),0)</f>
        <v>0</v>
      </c>
      <c r="X778" s="3">
        <f>IFERROR(INDEX(EVENTOS!$D:$D,MATCH(SCORE!X$2&amp;" "&amp;SCORE!$D778,EVENTOS!$F:$F,0)),0)</f>
        <v>0</v>
      </c>
      <c r="Y778" s="3">
        <f>SUMIFS(EVENTOS!$D:$D, EVENTOS!$B:$B, D778, EVENTOS!$E:$E, "*GirAlto*")</f>
        <v>0</v>
      </c>
      <c r="Z778" s="3">
        <f>SUMIFS(EVENTOS!$D:$D, EVENTOS!$B:$B, D778, EVENTOS!$E:$E, "*GirMed*")</f>
        <v>0</v>
      </c>
      <c r="AA778" s="3">
        <f>SUMIFS(EVENTOS!$D:$D, EVENTOS!$B:$B, D778, EVENTOS!$E:$E, "*GirBajo*")</f>
        <v>0</v>
      </c>
      <c r="AB778" s="3">
        <f>IFERROR(INDEX(EVENTOS!$D:$D,MATCH(SCORE!AB$2&amp;" "&amp;SCORE!$D778,EVENTOS!$F:$F,0)),0)</f>
        <v>0</v>
      </c>
      <c r="AC778" s="3">
        <f>IFERROR(INDEX(EVENTOS!$D:$D,MATCH(SCORE!AC$2&amp;" "&amp;SCORE!$D778,EVENTOS!$F:$F,0)),0)</f>
        <v>0</v>
      </c>
      <c r="AD778" s="3">
        <f>IFERROR(INDEX(EVENTOS!$D:$D,MATCH(SCORE!AD$2&amp;" "&amp;SCORE!$D778,EVENTOS!$F:$F,0)),0)</f>
        <v>0</v>
      </c>
      <c r="AE778" s="3">
        <f t="shared" si="36"/>
        <v>0</v>
      </c>
      <c r="AF778" s="10" t="e">
        <f t="shared" si="37"/>
        <v>#N/A</v>
      </c>
      <c r="AG778" s="3" t="str">
        <f t="shared" si="38"/>
        <v/>
      </c>
    </row>
    <row r="779" spans="1:33" x14ac:dyDescent="0.25">
      <c r="A779" s="7"/>
      <c r="B779" s="8"/>
      <c r="C779" s="3"/>
      <c r="D779" s="3"/>
      <c r="E779" s="3" t="e">
        <f>VLOOKUP(D779,VIAJES!$D:$E,2,FALSE)</f>
        <v>#N/A</v>
      </c>
      <c r="F779" s="9" t="e">
        <f>VLOOKUP(D779,VIAJES!$D:$F,3,FALSE)</f>
        <v>#N/A</v>
      </c>
      <c r="G779" s="9" t="e">
        <f>VLOOKUP(D779,VIAJES!$D:$G,4,FALSE)</f>
        <v>#N/A</v>
      </c>
      <c r="H779" s="3" t="e">
        <f>VLOOKUP(D779,VIAJES!$D:$H,5,FALSE)</f>
        <v>#N/A</v>
      </c>
      <c r="S779" s="3">
        <f>IFERROR(INDEX(EVENTOS!$D:$D,MATCH(SCORE!S$2&amp;" "&amp;SCORE!$D779,EVENTOS!$F:$F,0)),0)</f>
        <v>0</v>
      </c>
      <c r="T779" s="3">
        <f>IFERROR(INDEX(EVENTOS!$D:$D,MATCH(SCORE!T$2&amp;" "&amp;SCORE!$D779,EVENTOS!$F:$F,0)),0)</f>
        <v>0</v>
      </c>
      <c r="U779" s="3">
        <f>IFERROR(INDEX(EVENTOS!$D:$D,MATCH(SCORE!U$2&amp;" "&amp;SCORE!$D779,EVENTOS!$F:$F,0)),0)</f>
        <v>0</v>
      </c>
      <c r="V779" s="3">
        <f>IFERROR(INDEX(EVENTOS!$D:$D,MATCH(SCORE!V$2&amp;" "&amp;SCORE!$D779,EVENTOS!$F:$F,0)),0)</f>
        <v>0</v>
      </c>
      <c r="W779" s="3">
        <f>IFERROR(INDEX(EVENTOS!$D:$D,MATCH(SCORE!W$2&amp;" "&amp;SCORE!$D779,EVENTOS!$F:$F,0)),0)</f>
        <v>0</v>
      </c>
      <c r="X779" s="3">
        <f>IFERROR(INDEX(EVENTOS!$D:$D,MATCH(SCORE!X$2&amp;" "&amp;SCORE!$D779,EVENTOS!$F:$F,0)),0)</f>
        <v>0</v>
      </c>
      <c r="Y779" s="3">
        <f>SUMIFS(EVENTOS!$D:$D, EVENTOS!$B:$B, D779, EVENTOS!$E:$E, "*GirAlto*")</f>
        <v>0</v>
      </c>
      <c r="Z779" s="3">
        <f>SUMIFS(EVENTOS!$D:$D, EVENTOS!$B:$B, D779, EVENTOS!$E:$E, "*GirMed*")</f>
        <v>0</v>
      </c>
      <c r="AA779" s="3">
        <f>SUMIFS(EVENTOS!$D:$D, EVENTOS!$B:$B, D779, EVENTOS!$E:$E, "*GirBajo*")</f>
        <v>0</v>
      </c>
      <c r="AB779" s="3">
        <f>IFERROR(INDEX(EVENTOS!$D:$D,MATCH(SCORE!AB$2&amp;" "&amp;SCORE!$D779,EVENTOS!$F:$F,0)),0)</f>
        <v>0</v>
      </c>
      <c r="AC779" s="3">
        <f>IFERROR(INDEX(EVENTOS!$D:$D,MATCH(SCORE!AC$2&amp;" "&amp;SCORE!$D779,EVENTOS!$F:$F,0)),0)</f>
        <v>0</v>
      </c>
      <c r="AD779" s="3">
        <f>IFERROR(INDEX(EVENTOS!$D:$D,MATCH(SCORE!AD$2&amp;" "&amp;SCORE!$D779,EVENTOS!$F:$F,0)),0)</f>
        <v>0</v>
      </c>
      <c r="AE779" s="3">
        <f t="shared" si="36"/>
        <v>0</v>
      </c>
      <c r="AF779" s="10" t="e">
        <f t="shared" si="37"/>
        <v>#N/A</v>
      </c>
      <c r="AG779" s="3" t="str">
        <f t="shared" si="38"/>
        <v/>
      </c>
    </row>
    <row r="780" spans="1:33" x14ac:dyDescent="0.25">
      <c r="A780" s="7"/>
      <c r="B780" s="8"/>
      <c r="C780" s="3"/>
      <c r="D780" s="3"/>
      <c r="E780" s="3" t="e">
        <f>VLOOKUP(D780,VIAJES!$D:$E,2,FALSE)</f>
        <v>#N/A</v>
      </c>
      <c r="F780" s="9" t="e">
        <f>VLOOKUP(D780,VIAJES!$D:$F,3,FALSE)</f>
        <v>#N/A</v>
      </c>
      <c r="G780" s="9" t="e">
        <f>VLOOKUP(D780,VIAJES!$D:$G,4,FALSE)</f>
        <v>#N/A</v>
      </c>
      <c r="H780" s="3" t="e">
        <f>VLOOKUP(D780,VIAJES!$D:$H,5,FALSE)</f>
        <v>#N/A</v>
      </c>
      <c r="S780" s="3">
        <f>IFERROR(INDEX(EVENTOS!$D:$D,MATCH(SCORE!S$2&amp;" "&amp;SCORE!$D780,EVENTOS!$F:$F,0)),0)</f>
        <v>0</v>
      </c>
      <c r="T780" s="3">
        <f>IFERROR(INDEX(EVENTOS!$D:$D,MATCH(SCORE!T$2&amp;" "&amp;SCORE!$D780,EVENTOS!$F:$F,0)),0)</f>
        <v>0</v>
      </c>
      <c r="U780" s="3">
        <f>IFERROR(INDEX(EVENTOS!$D:$D,MATCH(SCORE!U$2&amp;" "&amp;SCORE!$D780,EVENTOS!$F:$F,0)),0)</f>
        <v>0</v>
      </c>
      <c r="V780" s="3">
        <f>IFERROR(INDEX(EVENTOS!$D:$D,MATCH(SCORE!V$2&amp;" "&amp;SCORE!$D780,EVENTOS!$F:$F,0)),0)</f>
        <v>0</v>
      </c>
      <c r="W780" s="3">
        <f>IFERROR(INDEX(EVENTOS!$D:$D,MATCH(SCORE!W$2&amp;" "&amp;SCORE!$D780,EVENTOS!$F:$F,0)),0)</f>
        <v>0</v>
      </c>
      <c r="X780" s="3">
        <f>IFERROR(INDEX(EVENTOS!$D:$D,MATCH(SCORE!X$2&amp;" "&amp;SCORE!$D780,EVENTOS!$F:$F,0)),0)</f>
        <v>0</v>
      </c>
      <c r="Y780" s="3">
        <f>SUMIFS(EVENTOS!$D:$D, EVENTOS!$B:$B, D780, EVENTOS!$E:$E, "*GirAlto*")</f>
        <v>0</v>
      </c>
      <c r="Z780" s="3">
        <f>SUMIFS(EVENTOS!$D:$D, EVENTOS!$B:$B, D780, EVENTOS!$E:$E, "*GirMed*")</f>
        <v>0</v>
      </c>
      <c r="AA780" s="3">
        <f>SUMIFS(EVENTOS!$D:$D, EVENTOS!$B:$B, D780, EVENTOS!$E:$E, "*GirBajo*")</f>
        <v>0</v>
      </c>
      <c r="AB780" s="3">
        <f>IFERROR(INDEX(EVENTOS!$D:$D,MATCH(SCORE!AB$2&amp;" "&amp;SCORE!$D780,EVENTOS!$F:$F,0)),0)</f>
        <v>0</v>
      </c>
      <c r="AC780" s="3">
        <f>IFERROR(INDEX(EVENTOS!$D:$D,MATCH(SCORE!AC$2&amp;" "&amp;SCORE!$D780,EVENTOS!$F:$F,0)),0)</f>
        <v>0</v>
      </c>
      <c r="AD780" s="3">
        <f>IFERROR(INDEX(EVENTOS!$D:$D,MATCH(SCORE!AD$2&amp;" "&amp;SCORE!$D780,EVENTOS!$F:$F,0)),0)</f>
        <v>0</v>
      </c>
      <c r="AE780" s="3">
        <f t="shared" si="36"/>
        <v>0</v>
      </c>
      <c r="AF780" s="10" t="e">
        <f t="shared" si="37"/>
        <v>#N/A</v>
      </c>
      <c r="AG780" s="3" t="str">
        <f t="shared" si="38"/>
        <v/>
      </c>
    </row>
    <row r="781" spans="1:33" x14ac:dyDescent="0.25">
      <c r="A781" s="7"/>
      <c r="B781" s="8"/>
      <c r="C781" s="3"/>
      <c r="D781" s="3"/>
      <c r="E781" s="3" t="e">
        <f>VLOOKUP(D781,VIAJES!$D:$E,2,FALSE)</f>
        <v>#N/A</v>
      </c>
      <c r="F781" s="9" t="e">
        <f>VLOOKUP(D781,VIAJES!$D:$F,3,FALSE)</f>
        <v>#N/A</v>
      </c>
      <c r="G781" s="9" t="e">
        <f>VLOOKUP(D781,VIAJES!$D:$G,4,FALSE)</f>
        <v>#N/A</v>
      </c>
      <c r="H781" s="3" t="e">
        <f>VLOOKUP(D781,VIAJES!$D:$H,5,FALSE)</f>
        <v>#N/A</v>
      </c>
      <c r="S781" s="3">
        <f>IFERROR(INDEX(EVENTOS!$D:$D,MATCH(SCORE!S$2&amp;" "&amp;SCORE!$D781,EVENTOS!$F:$F,0)),0)</f>
        <v>0</v>
      </c>
      <c r="T781" s="3">
        <f>IFERROR(INDEX(EVENTOS!$D:$D,MATCH(SCORE!T$2&amp;" "&amp;SCORE!$D781,EVENTOS!$F:$F,0)),0)</f>
        <v>0</v>
      </c>
      <c r="U781" s="3">
        <f>IFERROR(INDEX(EVENTOS!$D:$D,MATCH(SCORE!U$2&amp;" "&amp;SCORE!$D781,EVENTOS!$F:$F,0)),0)</f>
        <v>0</v>
      </c>
      <c r="V781" s="3">
        <f>IFERROR(INDEX(EVENTOS!$D:$D,MATCH(SCORE!V$2&amp;" "&amp;SCORE!$D781,EVENTOS!$F:$F,0)),0)</f>
        <v>0</v>
      </c>
      <c r="W781" s="3">
        <f>IFERROR(INDEX(EVENTOS!$D:$D,MATCH(SCORE!W$2&amp;" "&amp;SCORE!$D781,EVENTOS!$F:$F,0)),0)</f>
        <v>0</v>
      </c>
      <c r="X781" s="3">
        <f>IFERROR(INDEX(EVENTOS!$D:$D,MATCH(SCORE!X$2&amp;" "&amp;SCORE!$D781,EVENTOS!$F:$F,0)),0)</f>
        <v>0</v>
      </c>
      <c r="Y781" s="3">
        <f>SUMIFS(EVENTOS!$D:$D, EVENTOS!$B:$B, D781, EVENTOS!$E:$E, "*GirAlto*")</f>
        <v>0</v>
      </c>
      <c r="Z781" s="3">
        <f>SUMIFS(EVENTOS!$D:$D, EVENTOS!$B:$B, D781, EVENTOS!$E:$E, "*GirMed*")</f>
        <v>0</v>
      </c>
      <c r="AA781" s="3">
        <f>SUMIFS(EVENTOS!$D:$D, EVENTOS!$B:$B, D781, EVENTOS!$E:$E, "*GirBajo*")</f>
        <v>0</v>
      </c>
      <c r="AB781" s="3">
        <f>IFERROR(INDEX(EVENTOS!$D:$D,MATCH(SCORE!AB$2&amp;" "&amp;SCORE!$D781,EVENTOS!$F:$F,0)),0)</f>
        <v>0</v>
      </c>
      <c r="AC781" s="3">
        <f>IFERROR(INDEX(EVENTOS!$D:$D,MATCH(SCORE!AC$2&amp;" "&amp;SCORE!$D781,EVENTOS!$F:$F,0)),0)</f>
        <v>0</v>
      </c>
      <c r="AD781" s="3">
        <f>IFERROR(INDEX(EVENTOS!$D:$D,MATCH(SCORE!AD$2&amp;" "&amp;SCORE!$D781,EVENTOS!$F:$F,0)),0)</f>
        <v>0</v>
      </c>
      <c r="AE781" s="3">
        <f t="shared" si="36"/>
        <v>0</v>
      </c>
      <c r="AF781" s="10" t="e">
        <f t="shared" si="37"/>
        <v>#N/A</v>
      </c>
      <c r="AG781" s="3" t="str">
        <f t="shared" si="38"/>
        <v/>
      </c>
    </row>
    <row r="782" spans="1:33" x14ac:dyDescent="0.25">
      <c r="A782" s="7"/>
      <c r="B782" s="8"/>
      <c r="C782" s="3"/>
      <c r="D782" s="3"/>
      <c r="E782" s="3" t="e">
        <f>VLOOKUP(D782,VIAJES!$D:$E,2,FALSE)</f>
        <v>#N/A</v>
      </c>
      <c r="F782" s="9" t="e">
        <f>VLOOKUP(D782,VIAJES!$D:$F,3,FALSE)</f>
        <v>#N/A</v>
      </c>
      <c r="G782" s="9" t="e">
        <f>VLOOKUP(D782,VIAJES!$D:$G,4,FALSE)</f>
        <v>#N/A</v>
      </c>
      <c r="H782" s="3" t="e">
        <f>VLOOKUP(D782,VIAJES!$D:$H,5,FALSE)</f>
        <v>#N/A</v>
      </c>
      <c r="S782" s="3">
        <f>IFERROR(INDEX(EVENTOS!$D:$D,MATCH(SCORE!S$2&amp;" "&amp;SCORE!$D782,EVENTOS!$F:$F,0)),0)</f>
        <v>0</v>
      </c>
      <c r="T782" s="3">
        <f>IFERROR(INDEX(EVENTOS!$D:$D,MATCH(SCORE!T$2&amp;" "&amp;SCORE!$D782,EVENTOS!$F:$F,0)),0)</f>
        <v>0</v>
      </c>
      <c r="U782" s="3">
        <f>IFERROR(INDEX(EVENTOS!$D:$D,MATCH(SCORE!U$2&amp;" "&amp;SCORE!$D782,EVENTOS!$F:$F,0)),0)</f>
        <v>0</v>
      </c>
      <c r="V782" s="3">
        <f>IFERROR(INDEX(EVENTOS!$D:$D,MATCH(SCORE!V$2&amp;" "&amp;SCORE!$D782,EVENTOS!$F:$F,0)),0)</f>
        <v>0</v>
      </c>
      <c r="W782" s="3">
        <f>IFERROR(INDEX(EVENTOS!$D:$D,MATCH(SCORE!W$2&amp;" "&amp;SCORE!$D782,EVENTOS!$F:$F,0)),0)</f>
        <v>0</v>
      </c>
      <c r="X782" s="3">
        <f>IFERROR(INDEX(EVENTOS!$D:$D,MATCH(SCORE!X$2&amp;" "&amp;SCORE!$D782,EVENTOS!$F:$F,0)),0)</f>
        <v>0</v>
      </c>
      <c r="Y782" s="3">
        <f>SUMIFS(EVENTOS!$D:$D, EVENTOS!$B:$B, D782, EVENTOS!$E:$E, "*GirAlto*")</f>
        <v>0</v>
      </c>
      <c r="Z782" s="3">
        <f>SUMIFS(EVENTOS!$D:$D, EVENTOS!$B:$B, D782, EVENTOS!$E:$E, "*GirMed*")</f>
        <v>0</v>
      </c>
      <c r="AA782" s="3">
        <f>SUMIFS(EVENTOS!$D:$D, EVENTOS!$B:$B, D782, EVENTOS!$E:$E, "*GirBajo*")</f>
        <v>0</v>
      </c>
      <c r="AB782" s="3">
        <f>IFERROR(INDEX(EVENTOS!$D:$D,MATCH(SCORE!AB$2&amp;" "&amp;SCORE!$D782,EVENTOS!$F:$F,0)),0)</f>
        <v>0</v>
      </c>
      <c r="AC782" s="3">
        <f>IFERROR(INDEX(EVENTOS!$D:$D,MATCH(SCORE!AC$2&amp;" "&amp;SCORE!$D782,EVENTOS!$F:$F,0)),0)</f>
        <v>0</v>
      </c>
      <c r="AD782" s="3">
        <f>IFERROR(INDEX(EVENTOS!$D:$D,MATCH(SCORE!AD$2&amp;" "&amp;SCORE!$D782,EVENTOS!$F:$F,0)),0)</f>
        <v>0</v>
      </c>
      <c r="AE782" s="3">
        <f t="shared" si="36"/>
        <v>0</v>
      </c>
      <c r="AF782" s="10" t="e">
        <f t="shared" si="37"/>
        <v>#N/A</v>
      </c>
      <c r="AG782" s="3" t="str">
        <f t="shared" si="38"/>
        <v/>
      </c>
    </row>
    <row r="783" spans="1:33" x14ac:dyDescent="0.25">
      <c r="A783" s="7"/>
      <c r="B783" s="8"/>
      <c r="C783" s="3"/>
      <c r="D783" s="3"/>
      <c r="E783" s="3" t="e">
        <f>VLOOKUP(D783,VIAJES!$D:$E,2,FALSE)</f>
        <v>#N/A</v>
      </c>
      <c r="F783" s="9" t="e">
        <f>VLOOKUP(D783,VIAJES!$D:$F,3,FALSE)</f>
        <v>#N/A</v>
      </c>
      <c r="G783" s="9" t="e">
        <f>VLOOKUP(D783,VIAJES!$D:$G,4,FALSE)</f>
        <v>#N/A</v>
      </c>
      <c r="H783" s="3" t="e">
        <f>VLOOKUP(D783,VIAJES!$D:$H,5,FALSE)</f>
        <v>#N/A</v>
      </c>
      <c r="S783" s="3">
        <f>IFERROR(INDEX(EVENTOS!$D:$D,MATCH(SCORE!S$2&amp;" "&amp;SCORE!$D783,EVENTOS!$F:$F,0)),0)</f>
        <v>0</v>
      </c>
      <c r="T783" s="3">
        <f>IFERROR(INDEX(EVENTOS!$D:$D,MATCH(SCORE!T$2&amp;" "&amp;SCORE!$D783,EVENTOS!$F:$F,0)),0)</f>
        <v>0</v>
      </c>
      <c r="U783" s="3">
        <f>IFERROR(INDEX(EVENTOS!$D:$D,MATCH(SCORE!U$2&amp;" "&amp;SCORE!$D783,EVENTOS!$F:$F,0)),0)</f>
        <v>0</v>
      </c>
      <c r="V783" s="3">
        <f>IFERROR(INDEX(EVENTOS!$D:$D,MATCH(SCORE!V$2&amp;" "&amp;SCORE!$D783,EVENTOS!$F:$F,0)),0)</f>
        <v>0</v>
      </c>
      <c r="W783" s="3">
        <f>IFERROR(INDEX(EVENTOS!$D:$D,MATCH(SCORE!W$2&amp;" "&amp;SCORE!$D783,EVENTOS!$F:$F,0)),0)</f>
        <v>0</v>
      </c>
      <c r="X783" s="3">
        <f>IFERROR(INDEX(EVENTOS!$D:$D,MATCH(SCORE!X$2&amp;" "&amp;SCORE!$D783,EVENTOS!$F:$F,0)),0)</f>
        <v>0</v>
      </c>
      <c r="Y783" s="3">
        <f>SUMIFS(EVENTOS!$D:$D, EVENTOS!$B:$B, D783, EVENTOS!$E:$E, "*GirAlto*")</f>
        <v>0</v>
      </c>
      <c r="Z783" s="3">
        <f>SUMIFS(EVENTOS!$D:$D, EVENTOS!$B:$B, D783, EVENTOS!$E:$E, "*GirMed*")</f>
        <v>0</v>
      </c>
      <c r="AA783" s="3">
        <f>SUMIFS(EVENTOS!$D:$D, EVENTOS!$B:$B, D783, EVENTOS!$E:$E, "*GirBajo*")</f>
        <v>0</v>
      </c>
      <c r="AB783" s="3">
        <f>IFERROR(INDEX(EVENTOS!$D:$D,MATCH(SCORE!AB$2&amp;" "&amp;SCORE!$D783,EVENTOS!$F:$F,0)),0)</f>
        <v>0</v>
      </c>
      <c r="AC783" s="3">
        <f>IFERROR(INDEX(EVENTOS!$D:$D,MATCH(SCORE!AC$2&amp;" "&amp;SCORE!$D783,EVENTOS!$F:$F,0)),0)</f>
        <v>0</v>
      </c>
      <c r="AD783" s="3">
        <f>IFERROR(INDEX(EVENTOS!$D:$D,MATCH(SCORE!AD$2&amp;" "&amp;SCORE!$D783,EVENTOS!$F:$F,0)),0)</f>
        <v>0</v>
      </c>
      <c r="AE783" s="3">
        <f t="shared" si="36"/>
        <v>0</v>
      </c>
      <c r="AF783" s="10" t="e">
        <f t="shared" si="37"/>
        <v>#N/A</v>
      </c>
      <c r="AG783" s="3" t="str">
        <f t="shared" si="38"/>
        <v/>
      </c>
    </row>
    <row r="784" spans="1:33" x14ac:dyDescent="0.25">
      <c r="A784" s="7"/>
      <c r="B784" s="8"/>
      <c r="C784" s="3"/>
      <c r="D784" s="3"/>
      <c r="E784" s="3" t="e">
        <f>VLOOKUP(D784,VIAJES!$D:$E,2,FALSE)</f>
        <v>#N/A</v>
      </c>
      <c r="F784" s="9" t="e">
        <f>VLOOKUP(D784,VIAJES!$D:$F,3,FALSE)</f>
        <v>#N/A</v>
      </c>
      <c r="G784" s="9" t="e">
        <f>VLOOKUP(D784,VIAJES!$D:$G,4,FALSE)</f>
        <v>#N/A</v>
      </c>
      <c r="H784" s="3" t="e">
        <f>VLOOKUP(D784,VIAJES!$D:$H,5,FALSE)</f>
        <v>#N/A</v>
      </c>
      <c r="S784" s="3">
        <f>IFERROR(INDEX(EVENTOS!$D:$D,MATCH(SCORE!S$2&amp;" "&amp;SCORE!$D784,EVENTOS!$F:$F,0)),0)</f>
        <v>0</v>
      </c>
      <c r="T784" s="3">
        <f>IFERROR(INDEX(EVENTOS!$D:$D,MATCH(SCORE!T$2&amp;" "&amp;SCORE!$D784,EVENTOS!$F:$F,0)),0)</f>
        <v>0</v>
      </c>
      <c r="U784" s="3">
        <f>IFERROR(INDEX(EVENTOS!$D:$D,MATCH(SCORE!U$2&amp;" "&amp;SCORE!$D784,EVENTOS!$F:$F,0)),0)</f>
        <v>0</v>
      </c>
      <c r="V784" s="3">
        <f>IFERROR(INDEX(EVENTOS!$D:$D,MATCH(SCORE!V$2&amp;" "&amp;SCORE!$D784,EVENTOS!$F:$F,0)),0)</f>
        <v>0</v>
      </c>
      <c r="W784" s="3">
        <f>IFERROR(INDEX(EVENTOS!$D:$D,MATCH(SCORE!W$2&amp;" "&amp;SCORE!$D784,EVENTOS!$F:$F,0)),0)</f>
        <v>0</v>
      </c>
      <c r="X784" s="3">
        <f>IFERROR(INDEX(EVENTOS!$D:$D,MATCH(SCORE!X$2&amp;" "&amp;SCORE!$D784,EVENTOS!$F:$F,0)),0)</f>
        <v>0</v>
      </c>
      <c r="Y784" s="3">
        <f>SUMIFS(EVENTOS!$D:$D, EVENTOS!$B:$B, D784, EVENTOS!$E:$E, "*GirAlto*")</f>
        <v>0</v>
      </c>
      <c r="Z784" s="3">
        <f>SUMIFS(EVENTOS!$D:$D, EVENTOS!$B:$B, D784, EVENTOS!$E:$E, "*GirMed*")</f>
        <v>0</v>
      </c>
      <c r="AA784" s="3">
        <f>SUMIFS(EVENTOS!$D:$D, EVENTOS!$B:$B, D784, EVENTOS!$E:$E, "*GirBajo*")</f>
        <v>0</v>
      </c>
      <c r="AB784" s="3">
        <f>IFERROR(INDEX(EVENTOS!$D:$D,MATCH(SCORE!AB$2&amp;" "&amp;SCORE!$D784,EVENTOS!$F:$F,0)),0)</f>
        <v>0</v>
      </c>
      <c r="AC784" s="3">
        <f>IFERROR(INDEX(EVENTOS!$D:$D,MATCH(SCORE!AC$2&amp;" "&amp;SCORE!$D784,EVENTOS!$F:$F,0)),0)</f>
        <v>0</v>
      </c>
      <c r="AD784" s="3">
        <f>IFERROR(INDEX(EVENTOS!$D:$D,MATCH(SCORE!AD$2&amp;" "&amp;SCORE!$D784,EVENTOS!$F:$F,0)),0)</f>
        <v>0</v>
      </c>
      <c r="AE784" s="3">
        <f t="shared" si="36"/>
        <v>0</v>
      </c>
      <c r="AF784" s="10" t="e">
        <f t="shared" si="37"/>
        <v>#N/A</v>
      </c>
      <c r="AG784" s="3" t="str">
        <f t="shared" si="38"/>
        <v/>
      </c>
    </row>
    <row r="785" spans="1:33" x14ac:dyDescent="0.25">
      <c r="A785" s="7"/>
      <c r="B785" s="8"/>
      <c r="C785" s="3"/>
      <c r="D785" s="3"/>
      <c r="E785" s="3" t="e">
        <f>VLOOKUP(D785,VIAJES!$D:$E,2,FALSE)</f>
        <v>#N/A</v>
      </c>
      <c r="F785" s="9" t="e">
        <f>VLOOKUP(D785,VIAJES!$D:$F,3,FALSE)</f>
        <v>#N/A</v>
      </c>
      <c r="G785" s="9" t="e">
        <f>VLOOKUP(D785,VIAJES!$D:$G,4,FALSE)</f>
        <v>#N/A</v>
      </c>
      <c r="H785" s="3" t="e">
        <f>VLOOKUP(D785,VIAJES!$D:$H,5,FALSE)</f>
        <v>#N/A</v>
      </c>
      <c r="S785" s="3">
        <f>IFERROR(INDEX(EVENTOS!$D:$D,MATCH(SCORE!S$2&amp;" "&amp;SCORE!$D785,EVENTOS!$F:$F,0)),0)</f>
        <v>0</v>
      </c>
      <c r="T785" s="3">
        <f>IFERROR(INDEX(EVENTOS!$D:$D,MATCH(SCORE!T$2&amp;" "&amp;SCORE!$D785,EVENTOS!$F:$F,0)),0)</f>
        <v>0</v>
      </c>
      <c r="U785" s="3">
        <f>IFERROR(INDEX(EVENTOS!$D:$D,MATCH(SCORE!U$2&amp;" "&amp;SCORE!$D785,EVENTOS!$F:$F,0)),0)</f>
        <v>0</v>
      </c>
      <c r="V785" s="3">
        <f>IFERROR(INDEX(EVENTOS!$D:$D,MATCH(SCORE!V$2&amp;" "&amp;SCORE!$D785,EVENTOS!$F:$F,0)),0)</f>
        <v>0</v>
      </c>
      <c r="W785" s="3">
        <f>IFERROR(INDEX(EVENTOS!$D:$D,MATCH(SCORE!W$2&amp;" "&amp;SCORE!$D785,EVENTOS!$F:$F,0)),0)</f>
        <v>0</v>
      </c>
      <c r="X785" s="3">
        <f>IFERROR(INDEX(EVENTOS!$D:$D,MATCH(SCORE!X$2&amp;" "&amp;SCORE!$D785,EVENTOS!$F:$F,0)),0)</f>
        <v>0</v>
      </c>
      <c r="Y785" s="3">
        <f>SUMIFS(EVENTOS!$D:$D, EVENTOS!$B:$B, D785, EVENTOS!$E:$E, "*GirAlto*")</f>
        <v>0</v>
      </c>
      <c r="Z785" s="3">
        <f>SUMIFS(EVENTOS!$D:$D, EVENTOS!$B:$B, D785, EVENTOS!$E:$E, "*GirMed*")</f>
        <v>0</v>
      </c>
      <c r="AA785" s="3">
        <f>SUMIFS(EVENTOS!$D:$D, EVENTOS!$B:$B, D785, EVENTOS!$E:$E, "*GirBajo*")</f>
        <v>0</v>
      </c>
      <c r="AB785" s="3">
        <f>IFERROR(INDEX(EVENTOS!$D:$D,MATCH(SCORE!AB$2&amp;" "&amp;SCORE!$D785,EVENTOS!$F:$F,0)),0)</f>
        <v>0</v>
      </c>
      <c r="AC785" s="3">
        <f>IFERROR(INDEX(EVENTOS!$D:$D,MATCH(SCORE!AC$2&amp;" "&amp;SCORE!$D785,EVENTOS!$F:$F,0)),0)</f>
        <v>0</v>
      </c>
      <c r="AD785" s="3">
        <f>IFERROR(INDEX(EVENTOS!$D:$D,MATCH(SCORE!AD$2&amp;" "&amp;SCORE!$D785,EVENTOS!$F:$F,0)),0)</f>
        <v>0</v>
      </c>
      <c r="AE785" s="3">
        <f t="shared" si="36"/>
        <v>0</v>
      </c>
      <c r="AF785" s="10" t="e">
        <f t="shared" si="37"/>
        <v>#N/A</v>
      </c>
      <c r="AG785" s="3" t="str">
        <f t="shared" si="38"/>
        <v/>
      </c>
    </row>
    <row r="786" spans="1:33" x14ac:dyDescent="0.25">
      <c r="A786" s="7"/>
      <c r="B786" s="8"/>
      <c r="C786" s="3"/>
      <c r="D786" s="3"/>
      <c r="E786" s="3" t="e">
        <f>VLOOKUP(D786,VIAJES!$D:$E,2,FALSE)</f>
        <v>#N/A</v>
      </c>
      <c r="F786" s="9" t="e">
        <f>VLOOKUP(D786,VIAJES!$D:$F,3,FALSE)</f>
        <v>#N/A</v>
      </c>
      <c r="G786" s="9" t="e">
        <f>VLOOKUP(D786,VIAJES!$D:$G,4,FALSE)</f>
        <v>#N/A</v>
      </c>
      <c r="H786" s="3" t="e">
        <f>VLOOKUP(D786,VIAJES!$D:$H,5,FALSE)</f>
        <v>#N/A</v>
      </c>
      <c r="S786" s="3">
        <f>IFERROR(INDEX(EVENTOS!$D:$D,MATCH(SCORE!S$2&amp;" "&amp;SCORE!$D786,EVENTOS!$F:$F,0)),0)</f>
        <v>0</v>
      </c>
      <c r="T786" s="3">
        <f>IFERROR(INDEX(EVENTOS!$D:$D,MATCH(SCORE!T$2&amp;" "&amp;SCORE!$D786,EVENTOS!$F:$F,0)),0)</f>
        <v>0</v>
      </c>
      <c r="U786" s="3">
        <f>IFERROR(INDEX(EVENTOS!$D:$D,MATCH(SCORE!U$2&amp;" "&amp;SCORE!$D786,EVENTOS!$F:$F,0)),0)</f>
        <v>0</v>
      </c>
      <c r="V786" s="3">
        <f>IFERROR(INDEX(EVENTOS!$D:$D,MATCH(SCORE!V$2&amp;" "&amp;SCORE!$D786,EVENTOS!$F:$F,0)),0)</f>
        <v>0</v>
      </c>
      <c r="W786" s="3">
        <f>IFERROR(INDEX(EVENTOS!$D:$D,MATCH(SCORE!W$2&amp;" "&amp;SCORE!$D786,EVENTOS!$F:$F,0)),0)</f>
        <v>0</v>
      </c>
      <c r="X786" s="3">
        <f>IFERROR(INDEX(EVENTOS!$D:$D,MATCH(SCORE!X$2&amp;" "&amp;SCORE!$D786,EVENTOS!$F:$F,0)),0)</f>
        <v>0</v>
      </c>
      <c r="Y786" s="3">
        <f>SUMIFS(EVENTOS!$D:$D, EVENTOS!$B:$B, D786, EVENTOS!$E:$E, "*GirAlto*")</f>
        <v>0</v>
      </c>
      <c r="Z786" s="3">
        <f>SUMIFS(EVENTOS!$D:$D, EVENTOS!$B:$B, D786, EVENTOS!$E:$E, "*GirMed*")</f>
        <v>0</v>
      </c>
      <c r="AA786" s="3">
        <f>SUMIFS(EVENTOS!$D:$D, EVENTOS!$B:$B, D786, EVENTOS!$E:$E, "*GirBajo*")</f>
        <v>0</v>
      </c>
      <c r="AB786" s="3">
        <f>IFERROR(INDEX(EVENTOS!$D:$D,MATCH(SCORE!AB$2&amp;" "&amp;SCORE!$D786,EVENTOS!$F:$F,0)),0)</f>
        <v>0</v>
      </c>
      <c r="AC786" s="3">
        <f>IFERROR(INDEX(EVENTOS!$D:$D,MATCH(SCORE!AC$2&amp;" "&amp;SCORE!$D786,EVENTOS!$F:$F,0)),0)</f>
        <v>0</v>
      </c>
      <c r="AD786" s="3">
        <f>IFERROR(INDEX(EVENTOS!$D:$D,MATCH(SCORE!AD$2&amp;" "&amp;SCORE!$D786,EVENTOS!$F:$F,0)),0)</f>
        <v>0</v>
      </c>
      <c r="AE786" s="3">
        <f t="shared" si="36"/>
        <v>0</v>
      </c>
      <c r="AF786" s="10" t="e">
        <f t="shared" si="37"/>
        <v>#N/A</v>
      </c>
      <c r="AG786" s="3" t="str">
        <f t="shared" si="38"/>
        <v/>
      </c>
    </row>
    <row r="787" spans="1:33" x14ac:dyDescent="0.25">
      <c r="A787" s="7"/>
      <c r="B787" s="8"/>
      <c r="C787" s="3"/>
      <c r="D787" s="3"/>
      <c r="E787" s="3" t="e">
        <f>VLOOKUP(D787,VIAJES!$D:$E,2,FALSE)</f>
        <v>#N/A</v>
      </c>
      <c r="F787" s="9" t="e">
        <f>VLOOKUP(D787,VIAJES!$D:$F,3,FALSE)</f>
        <v>#N/A</v>
      </c>
      <c r="G787" s="9" t="e">
        <f>VLOOKUP(D787,VIAJES!$D:$G,4,FALSE)</f>
        <v>#N/A</v>
      </c>
      <c r="H787" s="3" t="e">
        <f>VLOOKUP(D787,VIAJES!$D:$H,5,FALSE)</f>
        <v>#N/A</v>
      </c>
      <c r="S787" s="3">
        <f>IFERROR(INDEX(EVENTOS!$D:$D,MATCH(SCORE!S$2&amp;" "&amp;SCORE!$D787,EVENTOS!$F:$F,0)),0)</f>
        <v>0</v>
      </c>
      <c r="T787" s="3">
        <f>IFERROR(INDEX(EVENTOS!$D:$D,MATCH(SCORE!T$2&amp;" "&amp;SCORE!$D787,EVENTOS!$F:$F,0)),0)</f>
        <v>0</v>
      </c>
      <c r="U787" s="3">
        <f>IFERROR(INDEX(EVENTOS!$D:$D,MATCH(SCORE!U$2&amp;" "&amp;SCORE!$D787,EVENTOS!$F:$F,0)),0)</f>
        <v>0</v>
      </c>
      <c r="V787" s="3">
        <f>IFERROR(INDEX(EVENTOS!$D:$D,MATCH(SCORE!V$2&amp;" "&amp;SCORE!$D787,EVENTOS!$F:$F,0)),0)</f>
        <v>0</v>
      </c>
      <c r="W787" s="3">
        <f>IFERROR(INDEX(EVENTOS!$D:$D,MATCH(SCORE!W$2&amp;" "&amp;SCORE!$D787,EVENTOS!$F:$F,0)),0)</f>
        <v>0</v>
      </c>
      <c r="X787" s="3">
        <f>IFERROR(INDEX(EVENTOS!$D:$D,MATCH(SCORE!X$2&amp;" "&amp;SCORE!$D787,EVENTOS!$F:$F,0)),0)</f>
        <v>0</v>
      </c>
      <c r="Y787" s="3">
        <f>SUMIFS(EVENTOS!$D:$D, EVENTOS!$B:$B, D787, EVENTOS!$E:$E, "*GirAlto*")</f>
        <v>0</v>
      </c>
      <c r="Z787" s="3">
        <f>SUMIFS(EVENTOS!$D:$D, EVENTOS!$B:$B, D787, EVENTOS!$E:$E, "*GirMed*")</f>
        <v>0</v>
      </c>
      <c r="AA787" s="3">
        <f>SUMIFS(EVENTOS!$D:$D, EVENTOS!$B:$B, D787, EVENTOS!$E:$E, "*GirBajo*")</f>
        <v>0</v>
      </c>
      <c r="AB787" s="3">
        <f>IFERROR(INDEX(EVENTOS!$D:$D,MATCH(SCORE!AB$2&amp;" "&amp;SCORE!$D787,EVENTOS!$F:$F,0)),0)</f>
        <v>0</v>
      </c>
      <c r="AC787" s="3">
        <f>IFERROR(INDEX(EVENTOS!$D:$D,MATCH(SCORE!AC$2&amp;" "&amp;SCORE!$D787,EVENTOS!$F:$F,0)),0)</f>
        <v>0</v>
      </c>
      <c r="AD787" s="3">
        <f>IFERROR(INDEX(EVENTOS!$D:$D,MATCH(SCORE!AD$2&amp;" "&amp;SCORE!$D787,EVENTOS!$F:$F,0)),0)</f>
        <v>0</v>
      </c>
      <c r="AE787" s="3">
        <f t="shared" si="36"/>
        <v>0</v>
      </c>
      <c r="AF787" s="10" t="e">
        <f t="shared" si="37"/>
        <v>#N/A</v>
      </c>
      <c r="AG787" s="3" t="str">
        <f t="shared" si="38"/>
        <v/>
      </c>
    </row>
    <row r="788" spans="1:33" x14ac:dyDescent="0.25">
      <c r="A788" s="7"/>
      <c r="B788" s="8"/>
      <c r="C788" s="3"/>
      <c r="D788" s="3"/>
      <c r="E788" s="3" t="e">
        <f>VLOOKUP(D788,VIAJES!$D:$E,2,FALSE)</f>
        <v>#N/A</v>
      </c>
      <c r="F788" s="9" t="e">
        <f>VLOOKUP(D788,VIAJES!$D:$F,3,FALSE)</f>
        <v>#N/A</v>
      </c>
      <c r="G788" s="9" t="e">
        <f>VLOOKUP(D788,VIAJES!$D:$G,4,FALSE)</f>
        <v>#N/A</v>
      </c>
      <c r="H788" s="3" t="e">
        <f>VLOOKUP(D788,VIAJES!$D:$H,5,FALSE)</f>
        <v>#N/A</v>
      </c>
      <c r="S788" s="3">
        <f>IFERROR(INDEX(EVENTOS!$D:$D,MATCH(SCORE!S$2&amp;" "&amp;SCORE!$D788,EVENTOS!$F:$F,0)),0)</f>
        <v>0</v>
      </c>
      <c r="T788" s="3">
        <f>IFERROR(INDEX(EVENTOS!$D:$D,MATCH(SCORE!T$2&amp;" "&amp;SCORE!$D788,EVENTOS!$F:$F,0)),0)</f>
        <v>0</v>
      </c>
      <c r="U788" s="3">
        <f>IFERROR(INDEX(EVENTOS!$D:$D,MATCH(SCORE!U$2&amp;" "&amp;SCORE!$D788,EVENTOS!$F:$F,0)),0)</f>
        <v>0</v>
      </c>
      <c r="V788" s="3">
        <f>IFERROR(INDEX(EVENTOS!$D:$D,MATCH(SCORE!V$2&amp;" "&amp;SCORE!$D788,EVENTOS!$F:$F,0)),0)</f>
        <v>0</v>
      </c>
      <c r="W788" s="3">
        <f>IFERROR(INDEX(EVENTOS!$D:$D,MATCH(SCORE!W$2&amp;" "&amp;SCORE!$D788,EVENTOS!$F:$F,0)),0)</f>
        <v>0</v>
      </c>
      <c r="X788" s="3">
        <f>IFERROR(INDEX(EVENTOS!$D:$D,MATCH(SCORE!X$2&amp;" "&amp;SCORE!$D788,EVENTOS!$F:$F,0)),0)</f>
        <v>0</v>
      </c>
      <c r="Y788" s="3">
        <f>SUMIFS(EVENTOS!$D:$D, EVENTOS!$B:$B, D788, EVENTOS!$E:$E, "*GirAlto*")</f>
        <v>0</v>
      </c>
      <c r="Z788" s="3">
        <f>SUMIFS(EVENTOS!$D:$D, EVENTOS!$B:$B, D788, EVENTOS!$E:$E, "*GirMed*")</f>
        <v>0</v>
      </c>
      <c r="AA788" s="3">
        <f>SUMIFS(EVENTOS!$D:$D, EVENTOS!$B:$B, D788, EVENTOS!$E:$E, "*GirBajo*")</f>
        <v>0</v>
      </c>
      <c r="AB788" s="3">
        <f>IFERROR(INDEX(EVENTOS!$D:$D,MATCH(SCORE!AB$2&amp;" "&amp;SCORE!$D788,EVENTOS!$F:$F,0)),0)</f>
        <v>0</v>
      </c>
      <c r="AC788" s="3">
        <f>IFERROR(INDEX(EVENTOS!$D:$D,MATCH(SCORE!AC$2&amp;" "&amp;SCORE!$D788,EVENTOS!$F:$F,0)),0)</f>
        <v>0</v>
      </c>
      <c r="AD788" s="3">
        <f>IFERROR(INDEX(EVENTOS!$D:$D,MATCH(SCORE!AD$2&amp;" "&amp;SCORE!$D788,EVENTOS!$F:$F,0)),0)</f>
        <v>0</v>
      </c>
      <c r="AE788" s="3">
        <f t="shared" si="36"/>
        <v>0</v>
      </c>
      <c r="AF788" s="10" t="e">
        <f t="shared" si="37"/>
        <v>#N/A</v>
      </c>
      <c r="AG788" s="3" t="str">
        <f t="shared" si="38"/>
        <v/>
      </c>
    </row>
    <row r="789" spans="1:33" x14ac:dyDescent="0.25">
      <c r="A789" s="7"/>
      <c r="B789" s="8"/>
      <c r="C789" s="3"/>
      <c r="D789" s="3"/>
      <c r="E789" s="3" t="e">
        <f>VLOOKUP(D789,VIAJES!$D:$E,2,FALSE)</f>
        <v>#N/A</v>
      </c>
      <c r="F789" s="9" t="e">
        <f>VLOOKUP(D789,VIAJES!$D:$F,3,FALSE)</f>
        <v>#N/A</v>
      </c>
      <c r="G789" s="9" t="e">
        <f>VLOOKUP(D789,VIAJES!$D:$G,4,FALSE)</f>
        <v>#N/A</v>
      </c>
      <c r="H789" s="3" t="e">
        <f>VLOOKUP(D789,VIAJES!$D:$H,5,FALSE)</f>
        <v>#N/A</v>
      </c>
      <c r="S789" s="3">
        <f>IFERROR(INDEX(EVENTOS!$D:$D,MATCH(SCORE!S$2&amp;" "&amp;SCORE!$D789,EVENTOS!$F:$F,0)),0)</f>
        <v>0</v>
      </c>
      <c r="T789" s="3">
        <f>IFERROR(INDEX(EVENTOS!$D:$D,MATCH(SCORE!T$2&amp;" "&amp;SCORE!$D789,EVENTOS!$F:$F,0)),0)</f>
        <v>0</v>
      </c>
      <c r="U789" s="3">
        <f>IFERROR(INDEX(EVENTOS!$D:$D,MATCH(SCORE!U$2&amp;" "&amp;SCORE!$D789,EVENTOS!$F:$F,0)),0)</f>
        <v>0</v>
      </c>
      <c r="V789" s="3">
        <f>IFERROR(INDEX(EVENTOS!$D:$D,MATCH(SCORE!V$2&amp;" "&amp;SCORE!$D789,EVENTOS!$F:$F,0)),0)</f>
        <v>0</v>
      </c>
      <c r="W789" s="3">
        <f>IFERROR(INDEX(EVENTOS!$D:$D,MATCH(SCORE!W$2&amp;" "&amp;SCORE!$D789,EVENTOS!$F:$F,0)),0)</f>
        <v>0</v>
      </c>
      <c r="X789" s="3">
        <f>IFERROR(INDEX(EVENTOS!$D:$D,MATCH(SCORE!X$2&amp;" "&amp;SCORE!$D789,EVENTOS!$F:$F,0)),0)</f>
        <v>0</v>
      </c>
      <c r="Y789" s="3">
        <f>SUMIFS(EVENTOS!$D:$D, EVENTOS!$B:$B, D789, EVENTOS!$E:$E, "*GirAlto*")</f>
        <v>0</v>
      </c>
      <c r="Z789" s="3">
        <f>SUMIFS(EVENTOS!$D:$D, EVENTOS!$B:$B, D789, EVENTOS!$E:$E, "*GirMed*")</f>
        <v>0</v>
      </c>
      <c r="AA789" s="3">
        <f>SUMIFS(EVENTOS!$D:$D, EVENTOS!$B:$B, D789, EVENTOS!$E:$E, "*GirBajo*")</f>
        <v>0</v>
      </c>
      <c r="AB789" s="3">
        <f>IFERROR(INDEX(EVENTOS!$D:$D,MATCH(SCORE!AB$2&amp;" "&amp;SCORE!$D789,EVENTOS!$F:$F,0)),0)</f>
        <v>0</v>
      </c>
      <c r="AC789" s="3">
        <f>IFERROR(INDEX(EVENTOS!$D:$D,MATCH(SCORE!AC$2&amp;" "&amp;SCORE!$D789,EVENTOS!$F:$F,0)),0)</f>
        <v>0</v>
      </c>
      <c r="AD789" s="3">
        <f>IFERROR(INDEX(EVENTOS!$D:$D,MATCH(SCORE!AD$2&amp;" "&amp;SCORE!$D789,EVENTOS!$F:$F,0)),0)</f>
        <v>0</v>
      </c>
      <c r="AE789" s="3">
        <f t="shared" si="36"/>
        <v>0</v>
      </c>
      <c r="AF789" s="10" t="e">
        <f t="shared" si="37"/>
        <v>#N/A</v>
      </c>
      <c r="AG789" s="3" t="str">
        <f t="shared" si="38"/>
        <v/>
      </c>
    </row>
    <row r="790" spans="1:33" x14ac:dyDescent="0.25">
      <c r="A790" s="7"/>
      <c r="B790" s="8"/>
      <c r="C790" s="3"/>
      <c r="D790" s="3"/>
      <c r="E790" s="3" t="e">
        <f>VLOOKUP(D790,VIAJES!$D:$E,2,FALSE)</f>
        <v>#N/A</v>
      </c>
      <c r="F790" s="9" t="e">
        <f>VLOOKUP(D790,VIAJES!$D:$F,3,FALSE)</f>
        <v>#N/A</v>
      </c>
      <c r="G790" s="9" t="e">
        <f>VLOOKUP(D790,VIAJES!$D:$G,4,FALSE)</f>
        <v>#N/A</v>
      </c>
      <c r="H790" s="3" t="e">
        <f>VLOOKUP(D790,VIAJES!$D:$H,5,FALSE)</f>
        <v>#N/A</v>
      </c>
      <c r="S790" s="3">
        <f>IFERROR(INDEX(EVENTOS!$D:$D,MATCH(SCORE!S$2&amp;" "&amp;SCORE!$D790,EVENTOS!$F:$F,0)),0)</f>
        <v>0</v>
      </c>
      <c r="T790" s="3">
        <f>IFERROR(INDEX(EVENTOS!$D:$D,MATCH(SCORE!T$2&amp;" "&amp;SCORE!$D790,EVENTOS!$F:$F,0)),0)</f>
        <v>0</v>
      </c>
      <c r="U790" s="3">
        <f>IFERROR(INDEX(EVENTOS!$D:$D,MATCH(SCORE!U$2&amp;" "&amp;SCORE!$D790,EVENTOS!$F:$F,0)),0)</f>
        <v>0</v>
      </c>
      <c r="V790" s="3">
        <f>IFERROR(INDEX(EVENTOS!$D:$D,MATCH(SCORE!V$2&amp;" "&amp;SCORE!$D790,EVENTOS!$F:$F,0)),0)</f>
        <v>0</v>
      </c>
      <c r="W790" s="3">
        <f>IFERROR(INDEX(EVENTOS!$D:$D,MATCH(SCORE!W$2&amp;" "&amp;SCORE!$D790,EVENTOS!$F:$F,0)),0)</f>
        <v>0</v>
      </c>
      <c r="X790" s="3">
        <f>IFERROR(INDEX(EVENTOS!$D:$D,MATCH(SCORE!X$2&amp;" "&amp;SCORE!$D790,EVENTOS!$F:$F,0)),0)</f>
        <v>0</v>
      </c>
      <c r="Y790" s="3">
        <f>SUMIFS(EVENTOS!$D:$D, EVENTOS!$B:$B, D790, EVENTOS!$E:$E, "*GirAlto*")</f>
        <v>0</v>
      </c>
      <c r="Z790" s="3">
        <f>SUMIFS(EVENTOS!$D:$D, EVENTOS!$B:$B, D790, EVENTOS!$E:$E, "*GirMed*")</f>
        <v>0</v>
      </c>
      <c r="AA790" s="3">
        <f>SUMIFS(EVENTOS!$D:$D, EVENTOS!$B:$B, D790, EVENTOS!$E:$E, "*GirBajo*")</f>
        <v>0</v>
      </c>
      <c r="AB790" s="3">
        <f>IFERROR(INDEX(EVENTOS!$D:$D,MATCH(SCORE!AB$2&amp;" "&amp;SCORE!$D790,EVENTOS!$F:$F,0)),0)</f>
        <v>0</v>
      </c>
      <c r="AC790" s="3">
        <f>IFERROR(INDEX(EVENTOS!$D:$D,MATCH(SCORE!AC$2&amp;" "&amp;SCORE!$D790,EVENTOS!$F:$F,0)),0)</f>
        <v>0</v>
      </c>
      <c r="AD790" s="3">
        <f>IFERROR(INDEX(EVENTOS!$D:$D,MATCH(SCORE!AD$2&amp;" "&amp;SCORE!$D790,EVENTOS!$F:$F,0)),0)</f>
        <v>0</v>
      </c>
      <c r="AE790" s="3">
        <f t="shared" si="36"/>
        <v>0</v>
      </c>
      <c r="AF790" s="10" t="e">
        <f t="shared" si="37"/>
        <v>#N/A</v>
      </c>
      <c r="AG790" s="3" t="str">
        <f t="shared" si="38"/>
        <v/>
      </c>
    </row>
    <row r="791" spans="1:33" x14ac:dyDescent="0.25">
      <c r="A791" s="7"/>
      <c r="B791" s="8"/>
      <c r="C791" s="3"/>
      <c r="D791" s="3"/>
      <c r="E791" s="3" t="e">
        <f>VLOOKUP(D791,VIAJES!$D:$E,2,FALSE)</f>
        <v>#N/A</v>
      </c>
      <c r="F791" s="9" t="e">
        <f>VLOOKUP(D791,VIAJES!$D:$F,3,FALSE)</f>
        <v>#N/A</v>
      </c>
      <c r="G791" s="9" t="e">
        <f>VLOOKUP(D791,VIAJES!$D:$G,4,FALSE)</f>
        <v>#N/A</v>
      </c>
      <c r="H791" s="3" t="e">
        <f>VLOOKUP(D791,VIAJES!$D:$H,5,FALSE)</f>
        <v>#N/A</v>
      </c>
      <c r="S791" s="3">
        <f>IFERROR(INDEX(EVENTOS!$D:$D,MATCH(SCORE!S$2&amp;" "&amp;SCORE!$D791,EVENTOS!$F:$F,0)),0)</f>
        <v>0</v>
      </c>
      <c r="T791" s="3">
        <f>IFERROR(INDEX(EVENTOS!$D:$D,MATCH(SCORE!T$2&amp;" "&amp;SCORE!$D791,EVENTOS!$F:$F,0)),0)</f>
        <v>0</v>
      </c>
      <c r="U791" s="3">
        <f>IFERROR(INDEX(EVENTOS!$D:$D,MATCH(SCORE!U$2&amp;" "&amp;SCORE!$D791,EVENTOS!$F:$F,0)),0)</f>
        <v>0</v>
      </c>
      <c r="V791" s="3">
        <f>IFERROR(INDEX(EVENTOS!$D:$D,MATCH(SCORE!V$2&amp;" "&amp;SCORE!$D791,EVENTOS!$F:$F,0)),0)</f>
        <v>0</v>
      </c>
      <c r="W791" s="3">
        <f>IFERROR(INDEX(EVENTOS!$D:$D,MATCH(SCORE!W$2&amp;" "&amp;SCORE!$D791,EVENTOS!$F:$F,0)),0)</f>
        <v>0</v>
      </c>
      <c r="X791" s="3">
        <f>IFERROR(INDEX(EVENTOS!$D:$D,MATCH(SCORE!X$2&amp;" "&amp;SCORE!$D791,EVENTOS!$F:$F,0)),0)</f>
        <v>0</v>
      </c>
      <c r="Y791" s="3">
        <f>SUMIFS(EVENTOS!$D:$D, EVENTOS!$B:$B, D791, EVENTOS!$E:$E, "*GirAlto*")</f>
        <v>0</v>
      </c>
      <c r="Z791" s="3">
        <f>SUMIFS(EVENTOS!$D:$D, EVENTOS!$B:$B, D791, EVENTOS!$E:$E, "*GirMed*")</f>
        <v>0</v>
      </c>
      <c r="AA791" s="3">
        <f>SUMIFS(EVENTOS!$D:$D, EVENTOS!$B:$B, D791, EVENTOS!$E:$E, "*GirBajo*")</f>
        <v>0</v>
      </c>
      <c r="AB791" s="3">
        <f>IFERROR(INDEX(EVENTOS!$D:$D,MATCH(SCORE!AB$2&amp;" "&amp;SCORE!$D791,EVENTOS!$F:$F,0)),0)</f>
        <v>0</v>
      </c>
      <c r="AC791" s="3">
        <f>IFERROR(INDEX(EVENTOS!$D:$D,MATCH(SCORE!AC$2&amp;" "&amp;SCORE!$D791,EVENTOS!$F:$F,0)),0)</f>
        <v>0</v>
      </c>
      <c r="AD791" s="3">
        <f>IFERROR(INDEX(EVENTOS!$D:$D,MATCH(SCORE!AD$2&amp;" "&amp;SCORE!$D791,EVENTOS!$F:$F,0)),0)</f>
        <v>0</v>
      </c>
      <c r="AE791" s="3">
        <f t="shared" si="36"/>
        <v>0</v>
      </c>
      <c r="AF791" s="10" t="e">
        <f t="shared" si="37"/>
        <v>#N/A</v>
      </c>
      <c r="AG791" s="3" t="str">
        <f t="shared" si="38"/>
        <v/>
      </c>
    </row>
    <row r="792" spans="1:33" x14ac:dyDescent="0.25">
      <c r="A792" s="7"/>
      <c r="B792" s="8"/>
      <c r="C792" s="3"/>
      <c r="D792" s="3"/>
      <c r="E792" s="3" t="e">
        <f>VLOOKUP(D792,VIAJES!$D:$E,2,FALSE)</f>
        <v>#N/A</v>
      </c>
      <c r="F792" s="9" t="e">
        <f>VLOOKUP(D792,VIAJES!$D:$F,3,FALSE)</f>
        <v>#N/A</v>
      </c>
      <c r="G792" s="9" t="e">
        <f>VLOOKUP(D792,VIAJES!$D:$G,4,FALSE)</f>
        <v>#N/A</v>
      </c>
      <c r="H792" s="3" t="e">
        <f>VLOOKUP(D792,VIAJES!$D:$H,5,FALSE)</f>
        <v>#N/A</v>
      </c>
      <c r="S792" s="3">
        <f>IFERROR(INDEX(EVENTOS!$D:$D,MATCH(SCORE!S$2&amp;" "&amp;SCORE!$D792,EVENTOS!$F:$F,0)),0)</f>
        <v>0</v>
      </c>
      <c r="T792" s="3">
        <f>IFERROR(INDEX(EVENTOS!$D:$D,MATCH(SCORE!T$2&amp;" "&amp;SCORE!$D792,EVENTOS!$F:$F,0)),0)</f>
        <v>0</v>
      </c>
      <c r="U792" s="3">
        <f>IFERROR(INDEX(EVENTOS!$D:$D,MATCH(SCORE!U$2&amp;" "&amp;SCORE!$D792,EVENTOS!$F:$F,0)),0)</f>
        <v>0</v>
      </c>
      <c r="V792" s="3">
        <f>IFERROR(INDEX(EVENTOS!$D:$D,MATCH(SCORE!V$2&amp;" "&amp;SCORE!$D792,EVENTOS!$F:$F,0)),0)</f>
        <v>0</v>
      </c>
      <c r="W792" s="3">
        <f>IFERROR(INDEX(EVENTOS!$D:$D,MATCH(SCORE!W$2&amp;" "&amp;SCORE!$D792,EVENTOS!$F:$F,0)),0)</f>
        <v>0</v>
      </c>
      <c r="X792" s="3">
        <f>IFERROR(INDEX(EVENTOS!$D:$D,MATCH(SCORE!X$2&amp;" "&amp;SCORE!$D792,EVENTOS!$F:$F,0)),0)</f>
        <v>0</v>
      </c>
      <c r="Y792" s="3">
        <f>SUMIFS(EVENTOS!$D:$D, EVENTOS!$B:$B, D792, EVENTOS!$E:$E, "*GirAlto*")</f>
        <v>0</v>
      </c>
      <c r="Z792" s="3">
        <f>SUMIFS(EVENTOS!$D:$D, EVENTOS!$B:$B, D792, EVENTOS!$E:$E, "*GirMed*")</f>
        <v>0</v>
      </c>
      <c r="AA792" s="3">
        <f>SUMIFS(EVENTOS!$D:$D, EVENTOS!$B:$B, D792, EVENTOS!$E:$E, "*GirBajo*")</f>
        <v>0</v>
      </c>
      <c r="AB792" s="3">
        <f>IFERROR(INDEX(EVENTOS!$D:$D,MATCH(SCORE!AB$2&amp;" "&amp;SCORE!$D792,EVENTOS!$F:$F,0)),0)</f>
        <v>0</v>
      </c>
      <c r="AC792" s="3">
        <f>IFERROR(INDEX(EVENTOS!$D:$D,MATCH(SCORE!AC$2&amp;" "&amp;SCORE!$D792,EVENTOS!$F:$F,0)),0)</f>
        <v>0</v>
      </c>
      <c r="AD792" s="3">
        <f>IFERROR(INDEX(EVENTOS!$D:$D,MATCH(SCORE!AD$2&amp;" "&amp;SCORE!$D792,EVENTOS!$F:$F,0)),0)</f>
        <v>0</v>
      </c>
      <c r="AE792" s="3">
        <f t="shared" si="36"/>
        <v>0</v>
      </c>
      <c r="AF792" s="10" t="e">
        <f t="shared" si="37"/>
        <v>#N/A</v>
      </c>
      <c r="AG792" s="3" t="str">
        <f t="shared" si="38"/>
        <v/>
      </c>
    </row>
    <row r="793" spans="1:33" x14ac:dyDescent="0.25">
      <c r="A793" s="7"/>
      <c r="B793" s="8"/>
      <c r="C793" s="3"/>
      <c r="D793" s="3"/>
      <c r="E793" s="3" t="e">
        <f>VLOOKUP(D793,VIAJES!$D:$E,2,FALSE)</f>
        <v>#N/A</v>
      </c>
      <c r="F793" s="9" t="e">
        <f>VLOOKUP(D793,VIAJES!$D:$F,3,FALSE)</f>
        <v>#N/A</v>
      </c>
      <c r="G793" s="9" t="e">
        <f>VLOOKUP(D793,VIAJES!$D:$G,4,FALSE)</f>
        <v>#N/A</v>
      </c>
      <c r="H793" s="3" t="e">
        <f>VLOOKUP(D793,VIAJES!$D:$H,5,FALSE)</f>
        <v>#N/A</v>
      </c>
      <c r="S793" s="3">
        <f>IFERROR(INDEX(EVENTOS!$D:$D,MATCH(SCORE!S$2&amp;" "&amp;SCORE!$D793,EVENTOS!$F:$F,0)),0)</f>
        <v>0</v>
      </c>
      <c r="T793" s="3">
        <f>IFERROR(INDEX(EVENTOS!$D:$D,MATCH(SCORE!T$2&amp;" "&amp;SCORE!$D793,EVENTOS!$F:$F,0)),0)</f>
        <v>0</v>
      </c>
      <c r="U793" s="3">
        <f>IFERROR(INDEX(EVENTOS!$D:$D,MATCH(SCORE!U$2&amp;" "&amp;SCORE!$D793,EVENTOS!$F:$F,0)),0)</f>
        <v>0</v>
      </c>
      <c r="V793" s="3">
        <f>IFERROR(INDEX(EVENTOS!$D:$D,MATCH(SCORE!V$2&amp;" "&amp;SCORE!$D793,EVENTOS!$F:$F,0)),0)</f>
        <v>0</v>
      </c>
      <c r="W793" s="3">
        <f>IFERROR(INDEX(EVENTOS!$D:$D,MATCH(SCORE!W$2&amp;" "&amp;SCORE!$D793,EVENTOS!$F:$F,0)),0)</f>
        <v>0</v>
      </c>
      <c r="X793" s="3">
        <f>IFERROR(INDEX(EVENTOS!$D:$D,MATCH(SCORE!X$2&amp;" "&amp;SCORE!$D793,EVENTOS!$F:$F,0)),0)</f>
        <v>0</v>
      </c>
      <c r="Y793" s="3">
        <f>SUMIFS(EVENTOS!$D:$D, EVENTOS!$B:$B, D793, EVENTOS!$E:$E, "*GirAlto*")</f>
        <v>0</v>
      </c>
      <c r="Z793" s="3">
        <f>SUMIFS(EVENTOS!$D:$D, EVENTOS!$B:$B, D793, EVENTOS!$E:$E, "*GirMed*")</f>
        <v>0</v>
      </c>
      <c r="AA793" s="3">
        <f>SUMIFS(EVENTOS!$D:$D, EVENTOS!$B:$B, D793, EVENTOS!$E:$E, "*GirBajo*")</f>
        <v>0</v>
      </c>
      <c r="AB793" s="3">
        <f>IFERROR(INDEX(EVENTOS!$D:$D,MATCH(SCORE!AB$2&amp;" "&amp;SCORE!$D793,EVENTOS!$F:$F,0)),0)</f>
        <v>0</v>
      </c>
      <c r="AC793" s="3">
        <f>IFERROR(INDEX(EVENTOS!$D:$D,MATCH(SCORE!AC$2&amp;" "&amp;SCORE!$D793,EVENTOS!$F:$F,0)),0)</f>
        <v>0</v>
      </c>
      <c r="AD793" s="3">
        <f>IFERROR(INDEX(EVENTOS!$D:$D,MATCH(SCORE!AD$2&amp;" "&amp;SCORE!$D793,EVENTOS!$F:$F,0)),0)</f>
        <v>0</v>
      </c>
      <c r="AE793" s="3">
        <f t="shared" si="36"/>
        <v>0</v>
      </c>
      <c r="AF793" s="10" t="e">
        <f t="shared" si="37"/>
        <v>#N/A</v>
      </c>
      <c r="AG793" s="3" t="str">
        <f t="shared" si="38"/>
        <v/>
      </c>
    </row>
    <row r="794" spans="1:33" x14ac:dyDescent="0.25">
      <c r="A794" s="7"/>
      <c r="B794" s="8"/>
      <c r="C794" s="3"/>
      <c r="D794" s="3"/>
      <c r="E794" s="3" t="e">
        <f>VLOOKUP(D794,VIAJES!$D:$E,2,FALSE)</f>
        <v>#N/A</v>
      </c>
      <c r="F794" s="9" t="e">
        <f>VLOOKUP(D794,VIAJES!$D:$F,3,FALSE)</f>
        <v>#N/A</v>
      </c>
      <c r="G794" s="9" t="e">
        <f>VLOOKUP(D794,VIAJES!$D:$G,4,FALSE)</f>
        <v>#N/A</v>
      </c>
      <c r="H794" s="3" t="e">
        <f>VLOOKUP(D794,VIAJES!$D:$H,5,FALSE)</f>
        <v>#N/A</v>
      </c>
      <c r="S794" s="3">
        <f>IFERROR(INDEX(EVENTOS!$D:$D,MATCH(SCORE!S$2&amp;" "&amp;SCORE!$D794,EVENTOS!$F:$F,0)),0)</f>
        <v>0</v>
      </c>
      <c r="T794" s="3">
        <f>IFERROR(INDEX(EVENTOS!$D:$D,MATCH(SCORE!T$2&amp;" "&amp;SCORE!$D794,EVENTOS!$F:$F,0)),0)</f>
        <v>0</v>
      </c>
      <c r="U794" s="3">
        <f>IFERROR(INDEX(EVENTOS!$D:$D,MATCH(SCORE!U$2&amp;" "&amp;SCORE!$D794,EVENTOS!$F:$F,0)),0)</f>
        <v>0</v>
      </c>
      <c r="V794" s="3">
        <f>IFERROR(INDEX(EVENTOS!$D:$D,MATCH(SCORE!V$2&amp;" "&amp;SCORE!$D794,EVENTOS!$F:$F,0)),0)</f>
        <v>0</v>
      </c>
      <c r="W794" s="3">
        <f>IFERROR(INDEX(EVENTOS!$D:$D,MATCH(SCORE!W$2&amp;" "&amp;SCORE!$D794,EVENTOS!$F:$F,0)),0)</f>
        <v>0</v>
      </c>
      <c r="X794" s="3">
        <f>IFERROR(INDEX(EVENTOS!$D:$D,MATCH(SCORE!X$2&amp;" "&amp;SCORE!$D794,EVENTOS!$F:$F,0)),0)</f>
        <v>0</v>
      </c>
      <c r="Y794" s="3">
        <f>SUMIFS(EVENTOS!$D:$D, EVENTOS!$B:$B, D794, EVENTOS!$E:$E, "*GirAlto*")</f>
        <v>0</v>
      </c>
      <c r="Z794" s="3">
        <f>SUMIFS(EVENTOS!$D:$D, EVENTOS!$B:$B, D794, EVENTOS!$E:$E, "*GirMed*")</f>
        <v>0</v>
      </c>
      <c r="AA794" s="3">
        <f>SUMIFS(EVENTOS!$D:$D, EVENTOS!$B:$B, D794, EVENTOS!$E:$E, "*GirBajo*")</f>
        <v>0</v>
      </c>
      <c r="AB794" s="3">
        <f>IFERROR(INDEX(EVENTOS!$D:$D,MATCH(SCORE!AB$2&amp;" "&amp;SCORE!$D794,EVENTOS!$F:$F,0)),0)</f>
        <v>0</v>
      </c>
      <c r="AC794" s="3">
        <f>IFERROR(INDEX(EVENTOS!$D:$D,MATCH(SCORE!AC$2&amp;" "&amp;SCORE!$D794,EVENTOS!$F:$F,0)),0)</f>
        <v>0</v>
      </c>
      <c r="AD794" s="3">
        <f>IFERROR(INDEX(EVENTOS!$D:$D,MATCH(SCORE!AD$2&amp;" "&amp;SCORE!$D794,EVENTOS!$F:$F,0)),0)</f>
        <v>0</v>
      </c>
      <c r="AE794" s="3">
        <f t="shared" si="36"/>
        <v>0</v>
      </c>
      <c r="AF794" s="10" t="e">
        <f t="shared" si="37"/>
        <v>#N/A</v>
      </c>
      <c r="AG794" s="3" t="str">
        <f t="shared" si="38"/>
        <v/>
      </c>
    </row>
    <row r="795" spans="1:33" x14ac:dyDescent="0.25">
      <c r="A795" s="7"/>
      <c r="B795" s="8"/>
      <c r="C795" s="3"/>
      <c r="D795" s="3"/>
      <c r="E795" s="3" t="e">
        <f>VLOOKUP(D795,VIAJES!$D:$E,2,FALSE)</f>
        <v>#N/A</v>
      </c>
      <c r="F795" s="9" t="e">
        <f>VLOOKUP(D795,VIAJES!$D:$F,3,FALSE)</f>
        <v>#N/A</v>
      </c>
      <c r="G795" s="9" t="e">
        <f>VLOOKUP(D795,VIAJES!$D:$G,4,FALSE)</f>
        <v>#N/A</v>
      </c>
      <c r="H795" s="3" t="e">
        <f>VLOOKUP(D795,VIAJES!$D:$H,5,FALSE)</f>
        <v>#N/A</v>
      </c>
      <c r="S795" s="3">
        <f>IFERROR(INDEX(EVENTOS!$D:$D,MATCH(SCORE!S$2&amp;" "&amp;SCORE!$D795,EVENTOS!$F:$F,0)),0)</f>
        <v>0</v>
      </c>
      <c r="T795" s="3">
        <f>IFERROR(INDEX(EVENTOS!$D:$D,MATCH(SCORE!T$2&amp;" "&amp;SCORE!$D795,EVENTOS!$F:$F,0)),0)</f>
        <v>0</v>
      </c>
      <c r="U795" s="3">
        <f>IFERROR(INDEX(EVENTOS!$D:$D,MATCH(SCORE!U$2&amp;" "&amp;SCORE!$D795,EVENTOS!$F:$F,0)),0)</f>
        <v>0</v>
      </c>
      <c r="V795" s="3">
        <f>IFERROR(INDEX(EVENTOS!$D:$D,MATCH(SCORE!V$2&amp;" "&amp;SCORE!$D795,EVENTOS!$F:$F,0)),0)</f>
        <v>0</v>
      </c>
      <c r="W795" s="3">
        <f>IFERROR(INDEX(EVENTOS!$D:$D,MATCH(SCORE!W$2&amp;" "&amp;SCORE!$D795,EVENTOS!$F:$F,0)),0)</f>
        <v>0</v>
      </c>
      <c r="X795" s="3">
        <f>IFERROR(INDEX(EVENTOS!$D:$D,MATCH(SCORE!X$2&amp;" "&amp;SCORE!$D795,EVENTOS!$F:$F,0)),0)</f>
        <v>0</v>
      </c>
      <c r="Y795" s="3">
        <f>SUMIFS(EVENTOS!$D:$D, EVENTOS!$B:$B, D795, EVENTOS!$E:$E, "*GirAlto*")</f>
        <v>0</v>
      </c>
      <c r="Z795" s="3">
        <f>SUMIFS(EVENTOS!$D:$D, EVENTOS!$B:$B, D795, EVENTOS!$E:$E, "*GirMed*")</f>
        <v>0</v>
      </c>
      <c r="AA795" s="3">
        <f>SUMIFS(EVENTOS!$D:$D, EVENTOS!$B:$B, D795, EVENTOS!$E:$E, "*GirBajo*")</f>
        <v>0</v>
      </c>
      <c r="AB795" s="3">
        <f>IFERROR(INDEX(EVENTOS!$D:$D,MATCH(SCORE!AB$2&amp;" "&amp;SCORE!$D795,EVENTOS!$F:$F,0)),0)</f>
        <v>0</v>
      </c>
      <c r="AC795" s="3">
        <f>IFERROR(INDEX(EVENTOS!$D:$D,MATCH(SCORE!AC$2&amp;" "&amp;SCORE!$D795,EVENTOS!$F:$F,0)),0)</f>
        <v>0</v>
      </c>
      <c r="AD795" s="3">
        <f>IFERROR(INDEX(EVENTOS!$D:$D,MATCH(SCORE!AD$2&amp;" "&amp;SCORE!$D795,EVENTOS!$F:$F,0)),0)</f>
        <v>0</v>
      </c>
      <c r="AE795" s="3">
        <f t="shared" si="36"/>
        <v>0</v>
      </c>
      <c r="AF795" s="10" t="e">
        <f t="shared" si="37"/>
        <v>#N/A</v>
      </c>
      <c r="AG795" s="3" t="str">
        <f t="shared" si="38"/>
        <v/>
      </c>
    </row>
    <row r="796" spans="1:33" x14ac:dyDescent="0.25">
      <c r="A796" s="7"/>
      <c r="B796" s="8"/>
      <c r="C796" s="3"/>
      <c r="D796" s="3"/>
      <c r="E796" s="3" t="e">
        <f>VLOOKUP(D796,VIAJES!$D:$E,2,FALSE)</f>
        <v>#N/A</v>
      </c>
      <c r="F796" s="9" t="e">
        <f>VLOOKUP(D796,VIAJES!$D:$F,3,FALSE)</f>
        <v>#N/A</v>
      </c>
      <c r="G796" s="9" t="e">
        <f>VLOOKUP(D796,VIAJES!$D:$G,4,FALSE)</f>
        <v>#N/A</v>
      </c>
      <c r="H796" s="3" t="e">
        <f>VLOOKUP(D796,VIAJES!$D:$H,5,FALSE)</f>
        <v>#N/A</v>
      </c>
      <c r="S796" s="3">
        <f>IFERROR(INDEX(EVENTOS!$D:$D,MATCH(SCORE!S$2&amp;" "&amp;SCORE!$D796,EVENTOS!$F:$F,0)),0)</f>
        <v>0</v>
      </c>
      <c r="T796" s="3">
        <f>IFERROR(INDEX(EVENTOS!$D:$D,MATCH(SCORE!T$2&amp;" "&amp;SCORE!$D796,EVENTOS!$F:$F,0)),0)</f>
        <v>0</v>
      </c>
      <c r="U796" s="3">
        <f>IFERROR(INDEX(EVENTOS!$D:$D,MATCH(SCORE!U$2&amp;" "&amp;SCORE!$D796,EVENTOS!$F:$F,0)),0)</f>
        <v>0</v>
      </c>
      <c r="V796" s="3">
        <f>IFERROR(INDEX(EVENTOS!$D:$D,MATCH(SCORE!V$2&amp;" "&amp;SCORE!$D796,EVENTOS!$F:$F,0)),0)</f>
        <v>0</v>
      </c>
      <c r="W796" s="3">
        <f>IFERROR(INDEX(EVENTOS!$D:$D,MATCH(SCORE!W$2&amp;" "&amp;SCORE!$D796,EVENTOS!$F:$F,0)),0)</f>
        <v>0</v>
      </c>
      <c r="X796" s="3">
        <f>IFERROR(INDEX(EVENTOS!$D:$D,MATCH(SCORE!X$2&amp;" "&amp;SCORE!$D796,EVENTOS!$F:$F,0)),0)</f>
        <v>0</v>
      </c>
      <c r="Y796" s="3">
        <f>SUMIFS(EVENTOS!$D:$D, EVENTOS!$B:$B, D796, EVENTOS!$E:$E, "*GirAlto*")</f>
        <v>0</v>
      </c>
      <c r="Z796" s="3">
        <f>SUMIFS(EVENTOS!$D:$D, EVENTOS!$B:$B, D796, EVENTOS!$E:$E, "*GirMed*")</f>
        <v>0</v>
      </c>
      <c r="AA796" s="3">
        <f>SUMIFS(EVENTOS!$D:$D, EVENTOS!$B:$B, D796, EVENTOS!$E:$E, "*GirBajo*")</f>
        <v>0</v>
      </c>
      <c r="AB796" s="3">
        <f>IFERROR(INDEX(EVENTOS!$D:$D,MATCH(SCORE!AB$2&amp;" "&amp;SCORE!$D796,EVENTOS!$F:$F,0)),0)</f>
        <v>0</v>
      </c>
      <c r="AC796" s="3">
        <f>IFERROR(INDEX(EVENTOS!$D:$D,MATCH(SCORE!AC$2&amp;" "&amp;SCORE!$D796,EVENTOS!$F:$F,0)),0)</f>
        <v>0</v>
      </c>
      <c r="AD796" s="3">
        <f>IFERROR(INDEX(EVENTOS!$D:$D,MATCH(SCORE!AD$2&amp;" "&amp;SCORE!$D796,EVENTOS!$F:$F,0)),0)</f>
        <v>0</v>
      </c>
      <c r="AE796" s="3">
        <f t="shared" si="36"/>
        <v>0</v>
      </c>
      <c r="AF796" s="10" t="e">
        <f t="shared" si="37"/>
        <v>#N/A</v>
      </c>
      <c r="AG796" s="3" t="str">
        <f t="shared" si="38"/>
        <v/>
      </c>
    </row>
    <row r="797" spans="1:33" x14ac:dyDescent="0.25">
      <c r="A797" s="7"/>
      <c r="B797" s="8"/>
      <c r="C797" s="3"/>
      <c r="D797" s="3"/>
      <c r="E797" s="3" t="e">
        <f>VLOOKUP(D797,VIAJES!$D:$E,2,FALSE)</f>
        <v>#N/A</v>
      </c>
      <c r="F797" s="9" t="e">
        <f>VLOOKUP(D797,VIAJES!$D:$F,3,FALSE)</f>
        <v>#N/A</v>
      </c>
      <c r="G797" s="9" t="e">
        <f>VLOOKUP(D797,VIAJES!$D:$G,4,FALSE)</f>
        <v>#N/A</v>
      </c>
      <c r="H797" s="3" t="e">
        <f>VLOOKUP(D797,VIAJES!$D:$H,5,FALSE)</f>
        <v>#N/A</v>
      </c>
      <c r="S797" s="3">
        <f>IFERROR(INDEX(EVENTOS!$D:$D,MATCH(SCORE!S$2&amp;" "&amp;SCORE!$D797,EVENTOS!$F:$F,0)),0)</f>
        <v>0</v>
      </c>
      <c r="T797" s="3">
        <f>IFERROR(INDEX(EVENTOS!$D:$D,MATCH(SCORE!T$2&amp;" "&amp;SCORE!$D797,EVENTOS!$F:$F,0)),0)</f>
        <v>0</v>
      </c>
      <c r="U797" s="3">
        <f>IFERROR(INDEX(EVENTOS!$D:$D,MATCH(SCORE!U$2&amp;" "&amp;SCORE!$D797,EVENTOS!$F:$F,0)),0)</f>
        <v>0</v>
      </c>
      <c r="V797" s="3">
        <f>IFERROR(INDEX(EVENTOS!$D:$D,MATCH(SCORE!V$2&amp;" "&amp;SCORE!$D797,EVENTOS!$F:$F,0)),0)</f>
        <v>0</v>
      </c>
      <c r="W797" s="3">
        <f>IFERROR(INDEX(EVENTOS!$D:$D,MATCH(SCORE!W$2&amp;" "&amp;SCORE!$D797,EVENTOS!$F:$F,0)),0)</f>
        <v>0</v>
      </c>
      <c r="X797" s="3">
        <f>IFERROR(INDEX(EVENTOS!$D:$D,MATCH(SCORE!X$2&amp;" "&amp;SCORE!$D797,EVENTOS!$F:$F,0)),0)</f>
        <v>0</v>
      </c>
      <c r="Y797" s="3">
        <f>SUMIFS(EVENTOS!$D:$D, EVENTOS!$B:$B, D797, EVENTOS!$E:$E, "*GirAlto*")</f>
        <v>0</v>
      </c>
      <c r="Z797" s="3">
        <f>SUMIFS(EVENTOS!$D:$D, EVENTOS!$B:$B, D797, EVENTOS!$E:$E, "*GirMed*")</f>
        <v>0</v>
      </c>
      <c r="AA797" s="3">
        <f>SUMIFS(EVENTOS!$D:$D, EVENTOS!$B:$B, D797, EVENTOS!$E:$E, "*GirBajo*")</f>
        <v>0</v>
      </c>
      <c r="AB797" s="3">
        <f>IFERROR(INDEX(EVENTOS!$D:$D,MATCH(SCORE!AB$2&amp;" "&amp;SCORE!$D797,EVENTOS!$F:$F,0)),0)</f>
        <v>0</v>
      </c>
      <c r="AC797" s="3">
        <f>IFERROR(INDEX(EVENTOS!$D:$D,MATCH(SCORE!AC$2&amp;" "&amp;SCORE!$D797,EVENTOS!$F:$F,0)),0)</f>
        <v>0</v>
      </c>
      <c r="AD797" s="3">
        <f>IFERROR(INDEX(EVENTOS!$D:$D,MATCH(SCORE!AD$2&amp;" "&amp;SCORE!$D797,EVENTOS!$F:$F,0)),0)</f>
        <v>0</v>
      </c>
      <c r="AE797" s="3">
        <f t="shared" si="36"/>
        <v>0</v>
      </c>
      <c r="AF797" s="10" t="e">
        <f t="shared" si="37"/>
        <v>#N/A</v>
      </c>
      <c r="AG797" s="3" t="str">
        <f t="shared" si="38"/>
        <v/>
      </c>
    </row>
    <row r="798" spans="1:33" x14ac:dyDescent="0.25">
      <c r="A798" s="7"/>
      <c r="B798" s="8"/>
      <c r="C798" s="3"/>
      <c r="D798" s="3"/>
      <c r="E798" s="3" t="e">
        <f>VLOOKUP(D798,VIAJES!$D:$E,2,FALSE)</f>
        <v>#N/A</v>
      </c>
      <c r="F798" s="9" t="e">
        <f>VLOOKUP(D798,VIAJES!$D:$F,3,FALSE)</f>
        <v>#N/A</v>
      </c>
      <c r="G798" s="9" t="e">
        <f>VLOOKUP(D798,VIAJES!$D:$G,4,FALSE)</f>
        <v>#N/A</v>
      </c>
      <c r="H798" s="3" t="e">
        <f>VLOOKUP(D798,VIAJES!$D:$H,5,FALSE)</f>
        <v>#N/A</v>
      </c>
      <c r="S798" s="3">
        <f>IFERROR(INDEX(EVENTOS!$D:$D,MATCH(SCORE!S$2&amp;" "&amp;SCORE!$D798,EVENTOS!$F:$F,0)),0)</f>
        <v>0</v>
      </c>
      <c r="T798" s="3">
        <f>IFERROR(INDEX(EVENTOS!$D:$D,MATCH(SCORE!T$2&amp;" "&amp;SCORE!$D798,EVENTOS!$F:$F,0)),0)</f>
        <v>0</v>
      </c>
      <c r="U798" s="3">
        <f>IFERROR(INDEX(EVENTOS!$D:$D,MATCH(SCORE!U$2&amp;" "&amp;SCORE!$D798,EVENTOS!$F:$F,0)),0)</f>
        <v>0</v>
      </c>
      <c r="V798" s="3">
        <f>IFERROR(INDEX(EVENTOS!$D:$D,MATCH(SCORE!V$2&amp;" "&amp;SCORE!$D798,EVENTOS!$F:$F,0)),0)</f>
        <v>0</v>
      </c>
      <c r="W798" s="3">
        <f>IFERROR(INDEX(EVENTOS!$D:$D,MATCH(SCORE!W$2&amp;" "&amp;SCORE!$D798,EVENTOS!$F:$F,0)),0)</f>
        <v>0</v>
      </c>
      <c r="X798" s="3">
        <f>IFERROR(INDEX(EVENTOS!$D:$D,MATCH(SCORE!X$2&amp;" "&amp;SCORE!$D798,EVENTOS!$F:$F,0)),0)</f>
        <v>0</v>
      </c>
      <c r="Y798" s="3">
        <f>SUMIFS(EVENTOS!$D:$D, EVENTOS!$B:$B, D798, EVENTOS!$E:$E, "*GirAlto*")</f>
        <v>0</v>
      </c>
      <c r="Z798" s="3">
        <f>SUMIFS(EVENTOS!$D:$D, EVENTOS!$B:$B, D798, EVENTOS!$E:$E, "*GirMed*")</f>
        <v>0</v>
      </c>
      <c r="AA798" s="3">
        <f>SUMIFS(EVENTOS!$D:$D, EVENTOS!$B:$B, D798, EVENTOS!$E:$E, "*GirBajo*")</f>
        <v>0</v>
      </c>
      <c r="AB798" s="3">
        <f>IFERROR(INDEX(EVENTOS!$D:$D,MATCH(SCORE!AB$2&amp;" "&amp;SCORE!$D798,EVENTOS!$F:$F,0)),0)</f>
        <v>0</v>
      </c>
      <c r="AC798" s="3">
        <f>IFERROR(INDEX(EVENTOS!$D:$D,MATCH(SCORE!AC$2&amp;" "&amp;SCORE!$D798,EVENTOS!$F:$F,0)),0)</f>
        <v>0</v>
      </c>
      <c r="AD798" s="3">
        <f>IFERROR(INDEX(EVENTOS!$D:$D,MATCH(SCORE!AD$2&amp;" "&amp;SCORE!$D798,EVENTOS!$F:$F,0)),0)</f>
        <v>0</v>
      </c>
      <c r="AE798" s="3">
        <f t="shared" si="36"/>
        <v>0</v>
      </c>
      <c r="AF798" s="10" t="e">
        <f t="shared" si="37"/>
        <v>#N/A</v>
      </c>
      <c r="AG798" s="3" t="str">
        <f t="shared" si="38"/>
        <v/>
      </c>
    </row>
    <row r="799" spans="1:33" x14ac:dyDescent="0.25">
      <c r="A799" s="7"/>
      <c r="B799" s="8"/>
      <c r="C799" s="3"/>
      <c r="D799" s="3"/>
      <c r="E799" s="3" t="e">
        <f>VLOOKUP(D799,VIAJES!$D:$E,2,FALSE)</f>
        <v>#N/A</v>
      </c>
      <c r="F799" s="9" t="e">
        <f>VLOOKUP(D799,VIAJES!$D:$F,3,FALSE)</f>
        <v>#N/A</v>
      </c>
      <c r="G799" s="9" t="e">
        <f>VLOOKUP(D799,VIAJES!$D:$G,4,FALSE)</f>
        <v>#N/A</v>
      </c>
      <c r="H799" s="3" t="e">
        <f>VLOOKUP(D799,VIAJES!$D:$H,5,FALSE)</f>
        <v>#N/A</v>
      </c>
      <c r="S799" s="3">
        <f>IFERROR(INDEX(EVENTOS!$D:$D,MATCH(SCORE!S$2&amp;" "&amp;SCORE!$D799,EVENTOS!$F:$F,0)),0)</f>
        <v>0</v>
      </c>
      <c r="T799" s="3">
        <f>IFERROR(INDEX(EVENTOS!$D:$D,MATCH(SCORE!T$2&amp;" "&amp;SCORE!$D799,EVENTOS!$F:$F,0)),0)</f>
        <v>0</v>
      </c>
      <c r="U799" s="3">
        <f>IFERROR(INDEX(EVENTOS!$D:$D,MATCH(SCORE!U$2&amp;" "&amp;SCORE!$D799,EVENTOS!$F:$F,0)),0)</f>
        <v>0</v>
      </c>
      <c r="V799" s="3">
        <f>IFERROR(INDEX(EVENTOS!$D:$D,MATCH(SCORE!V$2&amp;" "&amp;SCORE!$D799,EVENTOS!$F:$F,0)),0)</f>
        <v>0</v>
      </c>
      <c r="W799" s="3">
        <f>IFERROR(INDEX(EVENTOS!$D:$D,MATCH(SCORE!W$2&amp;" "&amp;SCORE!$D799,EVENTOS!$F:$F,0)),0)</f>
        <v>0</v>
      </c>
      <c r="X799" s="3">
        <f>IFERROR(INDEX(EVENTOS!$D:$D,MATCH(SCORE!X$2&amp;" "&amp;SCORE!$D799,EVENTOS!$F:$F,0)),0)</f>
        <v>0</v>
      </c>
      <c r="Y799" s="3">
        <f>SUMIFS(EVENTOS!$D:$D, EVENTOS!$B:$B, D799, EVENTOS!$E:$E, "*GirAlto*")</f>
        <v>0</v>
      </c>
      <c r="Z799" s="3">
        <f>SUMIFS(EVENTOS!$D:$D, EVENTOS!$B:$B, D799, EVENTOS!$E:$E, "*GirMed*")</f>
        <v>0</v>
      </c>
      <c r="AA799" s="3">
        <f>SUMIFS(EVENTOS!$D:$D, EVENTOS!$B:$B, D799, EVENTOS!$E:$E, "*GirBajo*")</f>
        <v>0</v>
      </c>
      <c r="AB799" s="3">
        <f>IFERROR(INDEX(EVENTOS!$D:$D,MATCH(SCORE!AB$2&amp;" "&amp;SCORE!$D799,EVENTOS!$F:$F,0)),0)</f>
        <v>0</v>
      </c>
      <c r="AC799" s="3">
        <f>IFERROR(INDEX(EVENTOS!$D:$D,MATCH(SCORE!AC$2&amp;" "&amp;SCORE!$D799,EVENTOS!$F:$F,0)),0)</f>
        <v>0</v>
      </c>
      <c r="AD799" s="3">
        <f>IFERROR(INDEX(EVENTOS!$D:$D,MATCH(SCORE!AD$2&amp;" "&amp;SCORE!$D799,EVENTOS!$F:$F,0)),0)</f>
        <v>0</v>
      </c>
      <c r="AE799" s="3">
        <f t="shared" si="36"/>
        <v>0</v>
      </c>
      <c r="AF799" s="10" t="e">
        <f t="shared" si="37"/>
        <v>#N/A</v>
      </c>
      <c r="AG799" s="3" t="str">
        <f t="shared" si="38"/>
        <v/>
      </c>
    </row>
    <row r="800" spans="1:33" x14ac:dyDescent="0.25">
      <c r="A800" s="7"/>
      <c r="B800" s="8"/>
      <c r="C800" s="3"/>
      <c r="D800" s="3"/>
      <c r="E800" s="3" t="e">
        <f>VLOOKUP(D800,VIAJES!$D:$E,2,FALSE)</f>
        <v>#N/A</v>
      </c>
      <c r="F800" s="9" t="e">
        <f>VLOOKUP(D800,VIAJES!$D:$F,3,FALSE)</f>
        <v>#N/A</v>
      </c>
      <c r="G800" s="9" t="e">
        <f>VLOOKUP(D800,VIAJES!$D:$G,4,FALSE)</f>
        <v>#N/A</v>
      </c>
      <c r="H800" s="3" t="e">
        <f>VLOOKUP(D800,VIAJES!$D:$H,5,FALSE)</f>
        <v>#N/A</v>
      </c>
      <c r="S800" s="3">
        <f>IFERROR(INDEX(EVENTOS!$D:$D,MATCH(SCORE!S$2&amp;" "&amp;SCORE!$D800,EVENTOS!$F:$F,0)),0)</f>
        <v>0</v>
      </c>
      <c r="T800" s="3">
        <f>IFERROR(INDEX(EVENTOS!$D:$D,MATCH(SCORE!T$2&amp;" "&amp;SCORE!$D800,EVENTOS!$F:$F,0)),0)</f>
        <v>0</v>
      </c>
      <c r="U800" s="3">
        <f>IFERROR(INDEX(EVENTOS!$D:$D,MATCH(SCORE!U$2&amp;" "&amp;SCORE!$D800,EVENTOS!$F:$F,0)),0)</f>
        <v>0</v>
      </c>
      <c r="V800" s="3">
        <f>IFERROR(INDEX(EVENTOS!$D:$D,MATCH(SCORE!V$2&amp;" "&amp;SCORE!$D800,EVENTOS!$F:$F,0)),0)</f>
        <v>0</v>
      </c>
      <c r="W800" s="3">
        <f>IFERROR(INDEX(EVENTOS!$D:$D,MATCH(SCORE!W$2&amp;" "&amp;SCORE!$D800,EVENTOS!$F:$F,0)),0)</f>
        <v>0</v>
      </c>
      <c r="X800" s="3">
        <f>IFERROR(INDEX(EVENTOS!$D:$D,MATCH(SCORE!X$2&amp;" "&amp;SCORE!$D800,EVENTOS!$F:$F,0)),0)</f>
        <v>0</v>
      </c>
      <c r="Y800" s="3">
        <f>SUMIFS(EVENTOS!$D:$D, EVENTOS!$B:$B, D800, EVENTOS!$E:$E, "*GirAlto*")</f>
        <v>0</v>
      </c>
      <c r="Z800" s="3">
        <f>SUMIFS(EVENTOS!$D:$D, EVENTOS!$B:$B, D800, EVENTOS!$E:$E, "*GirMed*")</f>
        <v>0</v>
      </c>
      <c r="AA800" s="3">
        <f>SUMIFS(EVENTOS!$D:$D, EVENTOS!$B:$B, D800, EVENTOS!$E:$E, "*GirBajo*")</f>
        <v>0</v>
      </c>
      <c r="AB800" s="3">
        <f>IFERROR(INDEX(EVENTOS!$D:$D,MATCH(SCORE!AB$2&amp;" "&amp;SCORE!$D800,EVENTOS!$F:$F,0)),0)</f>
        <v>0</v>
      </c>
      <c r="AC800" s="3">
        <f>IFERROR(INDEX(EVENTOS!$D:$D,MATCH(SCORE!AC$2&amp;" "&amp;SCORE!$D800,EVENTOS!$F:$F,0)),0)</f>
        <v>0</v>
      </c>
      <c r="AD800" s="3">
        <f>IFERROR(INDEX(EVENTOS!$D:$D,MATCH(SCORE!AD$2&amp;" "&amp;SCORE!$D800,EVENTOS!$F:$F,0)),0)</f>
        <v>0</v>
      </c>
      <c r="AE800" s="3">
        <f t="shared" si="36"/>
        <v>0</v>
      </c>
      <c r="AF800" s="10" t="e">
        <f t="shared" si="37"/>
        <v>#N/A</v>
      </c>
      <c r="AG800" s="3" t="str">
        <f t="shared" si="38"/>
        <v/>
      </c>
    </row>
    <row r="801" spans="1:33" x14ac:dyDescent="0.25">
      <c r="A801" s="7"/>
      <c r="B801" s="8"/>
      <c r="C801" s="3"/>
      <c r="D801" s="3"/>
      <c r="E801" s="3" t="e">
        <f>VLOOKUP(D801,VIAJES!$D:$E,2,FALSE)</f>
        <v>#N/A</v>
      </c>
      <c r="F801" s="9" t="e">
        <f>VLOOKUP(D801,VIAJES!$D:$F,3,FALSE)</f>
        <v>#N/A</v>
      </c>
      <c r="G801" s="9" t="e">
        <f>VLOOKUP(D801,VIAJES!$D:$G,4,FALSE)</f>
        <v>#N/A</v>
      </c>
      <c r="H801" s="3" t="e">
        <f>VLOOKUP(D801,VIAJES!$D:$H,5,FALSE)</f>
        <v>#N/A</v>
      </c>
      <c r="S801" s="3">
        <f>IFERROR(INDEX(EVENTOS!$D:$D,MATCH(SCORE!S$2&amp;" "&amp;SCORE!$D801,EVENTOS!$F:$F,0)),0)</f>
        <v>0</v>
      </c>
      <c r="T801" s="3">
        <f>IFERROR(INDEX(EVENTOS!$D:$D,MATCH(SCORE!T$2&amp;" "&amp;SCORE!$D801,EVENTOS!$F:$F,0)),0)</f>
        <v>0</v>
      </c>
      <c r="U801" s="3">
        <f>IFERROR(INDEX(EVENTOS!$D:$D,MATCH(SCORE!U$2&amp;" "&amp;SCORE!$D801,EVENTOS!$F:$F,0)),0)</f>
        <v>0</v>
      </c>
      <c r="V801" s="3">
        <f>IFERROR(INDEX(EVENTOS!$D:$D,MATCH(SCORE!V$2&amp;" "&amp;SCORE!$D801,EVENTOS!$F:$F,0)),0)</f>
        <v>0</v>
      </c>
      <c r="W801" s="3">
        <f>IFERROR(INDEX(EVENTOS!$D:$D,MATCH(SCORE!W$2&amp;" "&amp;SCORE!$D801,EVENTOS!$F:$F,0)),0)</f>
        <v>0</v>
      </c>
      <c r="X801" s="3">
        <f>IFERROR(INDEX(EVENTOS!$D:$D,MATCH(SCORE!X$2&amp;" "&amp;SCORE!$D801,EVENTOS!$F:$F,0)),0)</f>
        <v>0</v>
      </c>
      <c r="Y801" s="3">
        <f>SUMIFS(EVENTOS!$D:$D, EVENTOS!$B:$B, D801, EVENTOS!$E:$E, "*GirAlto*")</f>
        <v>0</v>
      </c>
      <c r="Z801" s="3">
        <f>SUMIFS(EVENTOS!$D:$D, EVENTOS!$B:$B, D801, EVENTOS!$E:$E, "*GirMed*")</f>
        <v>0</v>
      </c>
      <c r="AA801" s="3">
        <f>SUMIFS(EVENTOS!$D:$D, EVENTOS!$B:$B, D801, EVENTOS!$E:$E, "*GirBajo*")</f>
        <v>0</v>
      </c>
      <c r="AB801" s="3">
        <f>IFERROR(INDEX(EVENTOS!$D:$D,MATCH(SCORE!AB$2&amp;" "&amp;SCORE!$D801,EVENTOS!$F:$F,0)),0)</f>
        <v>0</v>
      </c>
      <c r="AC801" s="3">
        <f>IFERROR(INDEX(EVENTOS!$D:$D,MATCH(SCORE!AC$2&amp;" "&amp;SCORE!$D801,EVENTOS!$F:$F,0)),0)</f>
        <v>0</v>
      </c>
      <c r="AD801" s="3">
        <f>IFERROR(INDEX(EVENTOS!$D:$D,MATCH(SCORE!AD$2&amp;" "&amp;SCORE!$D801,EVENTOS!$F:$F,0)),0)</f>
        <v>0</v>
      </c>
      <c r="AE801" s="3">
        <f t="shared" si="36"/>
        <v>0</v>
      </c>
      <c r="AF801" s="10" t="e">
        <f t="shared" si="37"/>
        <v>#N/A</v>
      </c>
      <c r="AG801" s="3" t="str">
        <f t="shared" si="38"/>
        <v/>
      </c>
    </row>
    <row r="802" spans="1:33" x14ac:dyDescent="0.25">
      <c r="A802" s="7"/>
      <c r="B802" s="8"/>
      <c r="C802" s="3"/>
      <c r="D802" s="3"/>
      <c r="E802" s="3" t="e">
        <f>VLOOKUP(D802,VIAJES!$D:$E,2,FALSE)</f>
        <v>#N/A</v>
      </c>
      <c r="F802" s="9" t="e">
        <f>VLOOKUP(D802,VIAJES!$D:$F,3,FALSE)</f>
        <v>#N/A</v>
      </c>
      <c r="G802" s="9" t="e">
        <f>VLOOKUP(D802,VIAJES!$D:$G,4,FALSE)</f>
        <v>#N/A</v>
      </c>
      <c r="H802" s="3" t="e">
        <f>VLOOKUP(D802,VIAJES!$D:$H,5,FALSE)</f>
        <v>#N/A</v>
      </c>
      <c r="S802" s="3">
        <f>IFERROR(INDEX(EVENTOS!$D:$D,MATCH(SCORE!S$2&amp;" "&amp;SCORE!$D802,EVENTOS!$F:$F,0)),0)</f>
        <v>0</v>
      </c>
      <c r="T802" s="3">
        <f>IFERROR(INDEX(EVENTOS!$D:$D,MATCH(SCORE!T$2&amp;" "&amp;SCORE!$D802,EVENTOS!$F:$F,0)),0)</f>
        <v>0</v>
      </c>
      <c r="U802" s="3">
        <f>IFERROR(INDEX(EVENTOS!$D:$D,MATCH(SCORE!U$2&amp;" "&amp;SCORE!$D802,EVENTOS!$F:$F,0)),0)</f>
        <v>0</v>
      </c>
      <c r="V802" s="3">
        <f>IFERROR(INDEX(EVENTOS!$D:$D,MATCH(SCORE!V$2&amp;" "&amp;SCORE!$D802,EVENTOS!$F:$F,0)),0)</f>
        <v>0</v>
      </c>
      <c r="W802" s="3">
        <f>IFERROR(INDEX(EVENTOS!$D:$D,MATCH(SCORE!W$2&amp;" "&amp;SCORE!$D802,EVENTOS!$F:$F,0)),0)</f>
        <v>0</v>
      </c>
      <c r="X802" s="3">
        <f>IFERROR(INDEX(EVENTOS!$D:$D,MATCH(SCORE!X$2&amp;" "&amp;SCORE!$D802,EVENTOS!$F:$F,0)),0)</f>
        <v>0</v>
      </c>
      <c r="Y802" s="3">
        <f>SUMIFS(EVENTOS!$D:$D, EVENTOS!$B:$B, D802, EVENTOS!$E:$E, "*GirAlto*")</f>
        <v>0</v>
      </c>
      <c r="Z802" s="3">
        <f>SUMIFS(EVENTOS!$D:$D, EVENTOS!$B:$B, D802, EVENTOS!$E:$E, "*GirMed*")</f>
        <v>0</v>
      </c>
      <c r="AA802" s="3">
        <f>SUMIFS(EVENTOS!$D:$D, EVENTOS!$B:$B, D802, EVENTOS!$E:$E, "*GirBajo*")</f>
        <v>0</v>
      </c>
      <c r="AB802" s="3">
        <f>IFERROR(INDEX(EVENTOS!$D:$D,MATCH(SCORE!AB$2&amp;" "&amp;SCORE!$D802,EVENTOS!$F:$F,0)),0)</f>
        <v>0</v>
      </c>
      <c r="AC802" s="3">
        <f>IFERROR(INDEX(EVENTOS!$D:$D,MATCH(SCORE!AC$2&amp;" "&amp;SCORE!$D802,EVENTOS!$F:$F,0)),0)</f>
        <v>0</v>
      </c>
      <c r="AD802" s="3">
        <f>IFERROR(INDEX(EVENTOS!$D:$D,MATCH(SCORE!AD$2&amp;" "&amp;SCORE!$D802,EVENTOS!$F:$F,0)),0)</f>
        <v>0</v>
      </c>
      <c r="AE802" s="3">
        <f t="shared" si="36"/>
        <v>0</v>
      </c>
      <c r="AF802" s="10" t="e">
        <f t="shared" si="37"/>
        <v>#N/A</v>
      </c>
      <c r="AG802" s="3" t="str">
        <f t="shared" si="38"/>
        <v/>
      </c>
    </row>
    <row r="803" spans="1:33" x14ac:dyDescent="0.25">
      <c r="A803" s="7"/>
      <c r="B803" s="8"/>
      <c r="C803" s="3"/>
      <c r="D803" s="3"/>
      <c r="E803" s="3" t="e">
        <f>VLOOKUP(D803,VIAJES!$D:$E,2,FALSE)</f>
        <v>#N/A</v>
      </c>
      <c r="F803" s="9" t="e">
        <f>VLOOKUP(D803,VIAJES!$D:$F,3,FALSE)</f>
        <v>#N/A</v>
      </c>
      <c r="G803" s="9" t="e">
        <f>VLOOKUP(D803,VIAJES!$D:$G,4,FALSE)</f>
        <v>#N/A</v>
      </c>
      <c r="H803" s="3" t="e">
        <f>VLOOKUP(D803,VIAJES!$D:$H,5,FALSE)</f>
        <v>#N/A</v>
      </c>
      <c r="S803" s="3">
        <f>IFERROR(INDEX(EVENTOS!$D:$D,MATCH(SCORE!S$2&amp;" "&amp;SCORE!$D803,EVENTOS!$F:$F,0)),0)</f>
        <v>0</v>
      </c>
      <c r="T803" s="3">
        <f>IFERROR(INDEX(EVENTOS!$D:$D,MATCH(SCORE!T$2&amp;" "&amp;SCORE!$D803,EVENTOS!$F:$F,0)),0)</f>
        <v>0</v>
      </c>
      <c r="U803" s="3">
        <f>IFERROR(INDEX(EVENTOS!$D:$D,MATCH(SCORE!U$2&amp;" "&amp;SCORE!$D803,EVENTOS!$F:$F,0)),0)</f>
        <v>0</v>
      </c>
      <c r="V803" s="3">
        <f>IFERROR(INDEX(EVENTOS!$D:$D,MATCH(SCORE!V$2&amp;" "&amp;SCORE!$D803,EVENTOS!$F:$F,0)),0)</f>
        <v>0</v>
      </c>
      <c r="W803" s="3">
        <f>IFERROR(INDEX(EVENTOS!$D:$D,MATCH(SCORE!W$2&amp;" "&amp;SCORE!$D803,EVENTOS!$F:$F,0)),0)</f>
        <v>0</v>
      </c>
      <c r="X803" s="3">
        <f>IFERROR(INDEX(EVENTOS!$D:$D,MATCH(SCORE!X$2&amp;" "&amp;SCORE!$D803,EVENTOS!$F:$F,0)),0)</f>
        <v>0</v>
      </c>
      <c r="Y803" s="3">
        <f>SUMIFS(EVENTOS!$D:$D, EVENTOS!$B:$B, D803, EVENTOS!$E:$E, "*GirAlto*")</f>
        <v>0</v>
      </c>
      <c r="Z803" s="3">
        <f>SUMIFS(EVENTOS!$D:$D, EVENTOS!$B:$B, D803, EVENTOS!$E:$E, "*GirMed*")</f>
        <v>0</v>
      </c>
      <c r="AA803" s="3">
        <f>SUMIFS(EVENTOS!$D:$D, EVENTOS!$B:$B, D803, EVENTOS!$E:$E, "*GirBajo*")</f>
        <v>0</v>
      </c>
      <c r="AB803" s="3">
        <f>IFERROR(INDEX(EVENTOS!$D:$D,MATCH(SCORE!AB$2&amp;" "&amp;SCORE!$D803,EVENTOS!$F:$F,0)),0)</f>
        <v>0</v>
      </c>
      <c r="AC803" s="3">
        <f>IFERROR(INDEX(EVENTOS!$D:$D,MATCH(SCORE!AC$2&amp;" "&amp;SCORE!$D803,EVENTOS!$F:$F,0)),0)</f>
        <v>0</v>
      </c>
      <c r="AD803" s="3">
        <f>IFERROR(INDEX(EVENTOS!$D:$D,MATCH(SCORE!AD$2&amp;" "&amp;SCORE!$D803,EVENTOS!$F:$F,0)),0)</f>
        <v>0</v>
      </c>
      <c r="AE803" s="3">
        <f t="shared" si="36"/>
        <v>0</v>
      </c>
      <c r="AF803" s="10" t="e">
        <f t="shared" si="37"/>
        <v>#N/A</v>
      </c>
      <c r="AG803" s="3" t="str">
        <f t="shared" si="38"/>
        <v/>
      </c>
    </row>
    <row r="804" spans="1:33" x14ac:dyDescent="0.25">
      <c r="A804" s="7"/>
      <c r="B804" s="8"/>
      <c r="C804" s="3"/>
      <c r="D804" s="3"/>
      <c r="E804" s="3" t="e">
        <f>VLOOKUP(D804,VIAJES!$D:$E,2,FALSE)</f>
        <v>#N/A</v>
      </c>
      <c r="F804" s="9" t="e">
        <f>VLOOKUP(D804,VIAJES!$D:$F,3,FALSE)</f>
        <v>#N/A</v>
      </c>
      <c r="G804" s="9" t="e">
        <f>VLOOKUP(D804,VIAJES!$D:$G,4,FALSE)</f>
        <v>#N/A</v>
      </c>
      <c r="H804" s="3" t="e">
        <f>VLOOKUP(D804,VIAJES!$D:$H,5,FALSE)</f>
        <v>#N/A</v>
      </c>
      <c r="S804" s="3">
        <f>IFERROR(INDEX(EVENTOS!$D:$D,MATCH(SCORE!S$2&amp;" "&amp;SCORE!$D804,EVENTOS!$F:$F,0)),0)</f>
        <v>0</v>
      </c>
      <c r="T804" s="3">
        <f>IFERROR(INDEX(EVENTOS!$D:$D,MATCH(SCORE!T$2&amp;" "&amp;SCORE!$D804,EVENTOS!$F:$F,0)),0)</f>
        <v>0</v>
      </c>
      <c r="U804" s="3">
        <f>IFERROR(INDEX(EVENTOS!$D:$D,MATCH(SCORE!U$2&amp;" "&amp;SCORE!$D804,EVENTOS!$F:$F,0)),0)</f>
        <v>0</v>
      </c>
      <c r="V804" s="3">
        <f>IFERROR(INDEX(EVENTOS!$D:$D,MATCH(SCORE!V$2&amp;" "&amp;SCORE!$D804,EVENTOS!$F:$F,0)),0)</f>
        <v>0</v>
      </c>
      <c r="W804" s="3">
        <f>IFERROR(INDEX(EVENTOS!$D:$D,MATCH(SCORE!W$2&amp;" "&amp;SCORE!$D804,EVENTOS!$F:$F,0)),0)</f>
        <v>0</v>
      </c>
      <c r="X804" s="3">
        <f>IFERROR(INDEX(EVENTOS!$D:$D,MATCH(SCORE!X$2&amp;" "&amp;SCORE!$D804,EVENTOS!$F:$F,0)),0)</f>
        <v>0</v>
      </c>
      <c r="Y804" s="3">
        <f>SUMIFS(EVENTOS!$D:$D, EVENTOS!$B:$B, D804, EVENTOS!$E:$E, "*GirAlto*")</f>
        <v>0</v>
      </c>
      <c r="Z804" s="3">
        <f>SUMIFS(EVENTOS!$D:$D, EVENTOS!$B:$B, D804, EVENTOS!$E:$E, "*GirMed*")</f>
        <v>0</v>
      </c>
      <c r="AA804" s="3">
        <f>SUMIFS(EVENTOS!$D:$D, EVENTOS!$B:$B, D804, EVENTOS!$E:$E, "*GirBajo*")</f>
        <v>0</v>
      </c>
      <c r="AB804" s="3">
        <f>IFERROR(INDEX(EVENTOS!$D:$D,MATCH(SCORE!AB$2&amp;" "&amp;SCORE!$D804,EVENTOS!$F:$F,0)),0)</f>
        <v>0</v>
      </c>
      <c r="AC804" s="3">
        <f>IFERROR(INDEX(EVENTOS!$D:$D,MATCH(SCORE!AC$2&amp;" "&amp;SCORE!$D804,EVENTOS!$F:$F,0)),0)</f>
        <v>0</v>
      </c>
      <c r="AD804" s="3">
        <f>IFERROR(INDEX(EVENTOS!$D:$D,MATCH(SCORE!AD$2&amp;" "&amp;SCORE!$D804,EVENTOS!$F:$F,0)),0)</f>
        <v>0</v>
      </c>
      <c r="AE804" s="3">
        <f t="shared" si="36"/>
        <v>0</v>
      </c>
      <c r="AF804" s="10" t="e">
        <f t="shared" si="37"/>
        <v>#N/A</v>
      </c>
      <c r="AG804" s="3" t="str">
        <f t="shared" si="38"/>
        <v/>
      </c>
    </row>
    <row r="805" spans="1:33" x14ac:dyDescent="0.25">
      <c r="A805" s="7"/>
      <c r="B805" s="8"/>
      <c r="C805" s="3"/>
      <c r="D805" s="3"/>
      <c r="E805" s="3" t="e">
        <f>VLOOKUP(D805,VIAJES!$D:$E,2,FALSE)</f>
        <v>#N/A</v>
      </c>
      <c r="F805" s="9" t="e">
        <f>VLOOKUP(D805,VIAJES!$D:$F,3,FALSE)</f>
        <v>#N/A</v>
      </c>
      <c r="G805" s="9" t="e">
        <f>VLOOKUP(D805,VIAJES!$D:$G,4,FALSE)</f>
        <v>#N/A</v>
      </c>
      <c r="H805" s="3" t="e">
        <f>VLOOKUP(D805,VIAJES!$D:$H,5,FALSE)</f>
        <v>#N/A</v>
      </c>
      <c r="S805" s="3">
        <f>IFERROR(INDEX(EVENTOS!$D:$D,MATCH(SCORE!S$2&amp;" "&amp;SCORE!$D805,EVENTOS!$F:$F,0)),0)</f>
        <v>0</v>
      </c>
      <c r="T805" s="3">
        <f>IFERROR(INDEX(EVENTOS!$D:$D,MATCH(SCORE!T$2&amp;" "&amp;SCORE!$D805,EVENTOS!$F:$F,0)),0)</f>
        <v>0</v>
      </c>
      <c r="U805" s="3">
        <f>IFERROR(INDEX(EVENTOS!$D:$D,MATCH(SCORE!U$2&amp;" "&amp;SCORE!$D805,EVENTOS!$F:$F,0)),0)</f>
        <v>0</v>
      </c>
      <c r="V805" s="3">
        <f>IFERROR(INDEX(EVENTOS!$D:$D,MATCH(SCORE!V$2&amp;" "&amp;SCORE!$D805,EVENTOS!$F:$F,0)),0)</f>
        <v>0</v>
      </c>
      <c r="W805" s="3">
        <f>IFERROR(INDEX(EVENTOS!$D:$D,MATCH(SCORE!W$2&amp;" "&amp;SCORE!$D805,EVENTOS!$F:$F,0)),0)</f>
        <v>0</v>
      </c>
      <c r="X805" s="3">
        <f>IFERROR(INDEX(EVENTOS!$D:$D,MATCH(SCORE!X$2&amp;" "&amp;SCORE!$D805,EVENTOS!$F:$F,0)),0)</f>
        <v>0</v>
      </c>
      <c r="Y805" s="3">
        <f>SUMIFS(EVENTOS!$D:$D, EVENTOS!$B:$B, D805, EVENTOS!$E:$E, "*GirAlto*")</f>
        <v>0</v>
      </c>
      <c r="Z805" s="3">
        <f>SUMIFS(EVENTOS!$D:$D, EVENTOS!$B:$B, D805, EVENTOS!$E:$E, "*GirMed*")</f>
        <v>0</v>
      </c>
      <c r="AA805" s="3">
        <f>SUMIFS(EVENTOS!$D:$D, EVENTOS!$B:$B, D805, EVENTOS!$E:$E, "*GirBajo*")</f>
        <v>0</v>
      </c>
      <c r="AB805" s="3">
        <f>IFERROR(INDEX(EVENTOS!$D:$D,MATCH(SCORE!AB$2&amp;" "&amp;SCORE!$D805,EVENTOS!$F:$F,0)),0)</f>
        <v>0</v>
      </c>
      <c r="AC805" s="3">
        <f>IFERROR(INDEX(EVENTOS!$D:$D,MATCH(SCORE!AC$2&amp;" "&amp;SCORE!$D805,EVENTOS!$F:$F,0)),0)</f>
        <v>0</v>
      </c>
      <c r="AD805" s="3">
        <f>IFERROR(INDEX(EVENTOS!$D:$D,MATCH(SCORE!AD$2&amp;" "&amp;SCORE!$D805,EVENTOS!$F:$F,0)),0)</f>
        <v>0</v>
      </c>
      <c r="AE805" s="3">
        <f t="shared" si="36"/>
        <v>0</v>
      </c>
      <c r="AF805" s="10" t="e">
        <f t="shared" si="37"/>
        <v>#N/A</v>
      </c>
      <c r="AG805" s="3" t="str">
        <f t="shared" si="38"/>
        <v/>
      </c>
    </row>
    <row r="806" spans="1:33" x14ac:dyDescent="0.25">
      <c r="A806" s="7"/>
      <c r="B806" s="8"/>
      <c r="C806" s="3"/>
      <c r="D806" s="3"/>
      <c r="E806" s="3" t="e">
        <f>VLOOKUP(D806,VIAJES!$D:$E,2,FALSE)</f>
        <v>#N/A</v>
      </c>
      <c r="F806" s="9" t="e">
        <f>VLOOKUP(D806,VIAJES!$D:$F,3,FALSE)</f>
        <v>#N/A</v>
      </c>
      <c r="G806" s="9" t="e">
        <f>VLOOKUP(D806,VIAJES!$D:$G,4,FALSE)</f>
        <v>#N/A</v>
      </c>
      <c r="H806" s="3" t="e">
        <f>VLOOKUP(D806,VIAJES!$D:$H,5,FALSE)</f>
        <v>#N/A</v>
      </c>
      <c r="S806" s="3">
        <f>IFERROR(INDEX(EVENTOS!$D:$D,MATCH(SCORE!S$2&amp;" "&amp;SCORE!$D806,EVENTOS!$F:$F,0)),0)</f>
        <v>0</v>
      </c>
      <c r="T806" s="3">
        <f>IFERROR(INDEX(EVENTOS!$D:$D,MATCH(SCORE!T$2&amp;" "&amp;SCORE!$D806,EVENTOS!$F:$F,0)),0)</f>
        <v>0</v>
      </c>
      <c r="U806" s="3">
        <f>IFERROR(INDEX(EVENTOS!$D:$D,MATCH(SCORE!U$2&amp;" "&amp;SCORE!$D806,EVENTOS!$F:$F,0)),0)</f>
        <v>0</v>
      </c>
      <c r="V806" s="3">
        <f>IFERROR(INDEX(EVENTOS!$D:$D,MATCH(SCORE!V$2&amp;" "&amp;SCORE!$D806,EVENTOS!$F:$F,0)),0)</f>
        <v>0</v>
      </c>
      <c r="W806" s="3">
        <f>IFERROR(INDEX(EVENTOS!$D:$D,MATCH(SCORE!W$2&amp;" "&amp;SCORE!$D806,EVENTOS!$F:$F,0)),0)</f>
        <v>0</v>
      </c>
      <c r="X806" s="3">
        <f>IFERROR(INDEX(EVENTOS!$D:$D,MATCH(SCORE!X$2&amp;" "&amp;SCORE!$D806,EVENTOS!$F:$F,0)),0)</f>
        <v>0</v>
      </c>
      <c r="Y806" s="3">
        <f>SUMIFS(EVENTOS!$D:$D, EVENTOS!$B:$B, D806, EVENTOS!$E:$E, "*GirAlto*")</f>
        <v>0</v>
      </c>
      <c r="Z806" s="3">
        <f>SUMIFS(EVENTOS!$D:$D, EVENTOS!$B:$B, D806, EVENTOS!$E:$E, "*GirMed*")</f>
        <v>0</v>
      </c>
      <c r="AA806" s="3">
        <f>SUMIFS(EVENTOS!$D:$D, EVENTOS!$B:$B, D806, EVENTOS!$E:$E, "*GirBajo*")</f>
        <v>0</v>
      </c>
      <c r="AB806" s="3">
        <f>IFERROR(INDEX(EVENTOS!$D:$D,MATCH(SCORE!AB$2&amp;" "&amp;SCORE!$D806,EVENTOS!$F:$F,0)),0)</f>
        <v>0</v>
      </c>
      <c r="AC806" s="3">
        <f>IFERROR(INDEX(EVENTOS!$D:$D,MATCH(SCORE!AC$2&amp;" "&amp;SCORE!$D806,EVENTOS!$F:$F,0)),0)</f>
        <v>0</v>
      </c>
      <c r="AD806" s="3">
        <f>IFERROR(INDEX(EVENTOS!$D:$D,MATCH(SCORE!AD$2&amp;" "&amp;SCORE!$D806,EVENTOS!$F:$F,0)),0)</f>
        <v>0</v>
      </c>
      <c r="AE806" s="3">
        <f t="shared" si="36"/>
        <v>0</v>
      </c>
      <c r="AF806" s="10" t="e">
        <f t="shared" si="37"/>
        <v>#N/A</v>
      </c>
      <c r="AG806" s="3" t="str">
        <f t="shared" si="38"/>
        <v/>
      </c>
    </row>
    <row r="807" spans="1:33" x14ac:dyDescent="0.25">
      <c r="A807" s="7"/>
      <c r="B807" s="8"/>
      <c r="C807" s="3"/>
      <c r="D807" s="3"/>
      <c r="E807" s="3" t="e">
        <f>VLOOKUP(D807,VIAJES!$D:$E,2,FALSE)</f>
        <v>#N/A</v>
      </c>
      <c r="F807" s="9" t="e">
        <f>VLOOKUP(D807,VIAJES!$D:$F,3,FALSE)</f>
        <v>#N/A</v>
      </c>
      <c r="G807" s="9" t="e">
        <f>VLOOKUP(D807,VIAJES!$D:$G,4,FALSE)</f>
        <v>#N/A</v>
      </c>
      <c r="H807" s="3" t="e">
        <f>VLOOKUP(D807,VIAJES!$D:$H,5,FALSE)</f>
        <v>#N/A</v>
      </c>
      <c r="S807" s="3">
        <f>IFERROR(INDEX(EVENTOS!$D:$D,MATCH(SCORE!S$2&amp;" "&amp;SCORE!$D807,EVENTOS!$F:$F,0)),0)</f>
        <v>0</v>
      </c>
      <c r="T807" s="3">
        <f>IFERROR(INDEX(EVENTOS!$D:$D,MATCH(SCORE!T$2&amp;" "&amp;SCORE!$D807,EVENTOS!$F:$F,0)),0)</f>
        <v>0</v>
      </c>
      <c r="U807" s="3">
        <f>IFERROR(INDEX(EVENTOS!$D:$D,MATCH(SCORE!U$2&amp;" "&amp;SCORE!$D807,EVENTOS!$F:$F,0)),0)</f>
        <v>0</v>
      </c>
      <c r="V807" s="3">
        <f>IFERROR(INDEX(EVENTOS!$D:$D,MATCH(SCORE!V$2&amp;" "&amp;SCORE!$D807,EVENTOS!$F:$F,0)),0)</f>
        <v>0</v>
      </c>
      <c r="W807" s="3">
        <f>IFERROR(INDEX(EVENTOS!$D:$D,MATCH(SCORE!W$2&amp;" "&amp;SCORE!$D807,EVENTOS!$F:$F,0)),0)</f>
        <v>0</v>
      </c>
      <c r="X807" s="3">
        <f>IFERROR(INDEX(EVENTOS!$D:$D,MATCH(SCORE!X$2&amp;" "&amp;SCORE!$D807,EVENTOS!$F:$F,0)),0)</f>
        <v>0</v>
      </c>
      <c r="Y807" s="3">
        <f>SUMIFS(EVENTOS!$D:$D, EVENTOS!$B:$B, D807, EVENTOS!$E:$E, "*GirAlto*")</f>
        <v>0</v>
      </c>
      <c r="Z807" s="3">
        <f>SUMIFS(EVENTOS!$D:$D, EVENTOS!$B:$B, D807, EVENTOS!$E:$E, "*GirMed*")</f>
        <v>0</v>
      </c>
      <c r="AA807" s="3">
        <f>SUMIFS(EVENTOS!$D:$D, EVENTOS!$B:$B, D807, EVENTOS!$E:$E, "*GirBajo*")</f>
        <v>0</v>
      </c>
      <c r="AB807" s="3">
        <f>IFERROR(INDEX(EVENTOS!$D:$D,MATCH(SCORE!AB$2&amp;" "&amp;SCORE!$D807,EVENTOS!$F:$F,0)),0)</f>
        <v>0</v>
      </c>
      <c r="AC807" s="3">
        <f>IFERROR(INDEX(EVENTOS!$D:$D,MATCH(SCORE!AC$2&amp;" "&amp;SCORE!$D807,EVENTOS!$F:$F,0)),0)</f>
        <v>0</v>
      </c>
      <c r="AD807" s="3">
        <f>IFERROR(INDEX(EVENTOS!$D:$D,MATCH(SCORE!AD$2&amp;" "&amp;SCORE!$D807,EVENTOS!$F:$F,0)),0)</f>
        <v>0</v>
      </c>
      <c r="AE807" s="3">
        <f t="shared" si="36"/>
        <v>0</v>
      </c>
      <c r="AF807" s="10" t="e">
        <f t="shared" si="37"/>
        <v>#N/A</v>
      </c>
      <c r="AG807" s="3" t="str">
        <f t="shared" si="38"/>
        <v/>
      </c>
    </row>
    <row r="808" spans="1:33" x14ac:dyDescent="0.25">
      <c r="A808" s="7"/>
      <c r="B808" s="8"/>
      <c r="C808" s="3"/>
      <c r="D808" s="3"/>
      <c r="E808" s="3" t="e">
        <f>VLOOKUP(D808,VIAJES!$D:$E,2,FALSE)</f>
        <v>#N/A</v>
      </c>
      <c r="F808" s="9" t="e">
        <f>VLOOKUP(D808,VIAJES!$D:$F,3,FALSE)</f>
        <v>#N/A</v>
      </c>
      <c r="G808" s="9" t="e">
        <f>VLOOKUP(D808,VIAJES!$D:$G,4,FALSE)</f>
        <v>#N/A</v>
      </c>
      <c r="H808" s="3" t="e">
        <f>VLOOKUP(D808,VIAJES!$D:$H,5,FALSE)</f>
        <v>#N/A</v>
      </c>
      <c r="S808" s="3">
        <f>IFERROR(INDEX(EVENTOS!$D:$D,MATCH(SCORE!S$2&amp;" "&amp;SCORE!$D808,EVENTOS!$F:$F,0)),0)</f>
        <v>0</v>
      </c>
      <c r="T808" s="3">
        <f>IFERROR(INDEX(EVENTOS!$D:$D,MATCH(SCORE!T$2&amp;" "&amp;SCORE!$D808,EVENTOS!$F:$F,0)),0)</f>
        <v>0</v>
      </c>
      <c r="U808" s="3">
        <f>IFERROR(INDEX(EVENTOS!$D:$D,MATCH(SCORE!U$2&amp;" "&amp;SCORE!$D808,EVENTOS!$F:$F,0)),0)</f>
        <v>0</v>
      </c>
      <c r="V808" s="3">
        <f>IFERROR(INDEX(EVENTOS!$D:$D,MATCH(SCORE!V$2&amp;" "&amp;SCORE!$D808,EVENTOS!$F:$F,0)),0)</f>
        <v>0</v>
      </c>
      <c r="W808" s="3">
        <f>IFERROR(INDEX(EVENTOS!$D:$D,MATCH(SCORE!W$2&amp;" "&amp;SCORE!$D808,EVENTOS!$F:$F,0)),0)</f>
        <v>0</v>
      </c>
      <c r="X808" s="3">
        <f>IFERROR(INDEX(EVENTOS!$D:$D,MATCH(SCORE!X$2&amp;" "&amp;SCORE!$D808,EVENTOS!$F:$F,0)),0)</f>
        <v>0</v>
      </c>
      <c r="Y808" s="3">
        <f>SUMIFS(EVENTOS!$D:$D, EVENTOS!$B:$B, D808, EVENTOS!$E:$E, "*GirAlto*")</f>
        <v>0</v>
      </c>
      <c r="Z808" s="3">
        <f>SUMIFS(EVENTOS!$D:$D, EVENTOS!$B:$B, D808, EVENTOS!$E:$E, "*GirMed*")</f>
        <v>0</v>
      </c>
      <c r="AA808" s="3">
        <f>SUMIFS(EVENTOS!$D:$D, EVENTOS!$B:$B, D808, EVENTOS!$E:$E, "*GirBajo*")</f>
        <v>0</v>
      </c>
      <c r="AB808" s="3">
        <f>IFERROR(INDEX(EVENTOS!$D:$D,MATCH(SCORE!AB$2&amp;" "&amp;SCORE!$D808,EVENTOS!$F:$F,0)),0)</f>
        <v>0</v>
      </c>
      <c r="AC808" s="3">
        <f>IFERROR(INDEX(EVENTOS!$D:$D,MATCH(SCORE!AC$2&amp;" "&amp;SCORE!$D808,EVENTOS!$F:$F,0)),0)</f>
        <v>0</v>
      </c>
      <c r="AD808" s="3">
        <f>IFERROR(INDEX(EVENTOS!$D:$D,MATCH(SCORE!AD$2&amp;" "&amp;SCORE!$D808,EVENTOS!$F:$F,0)),0)</f>
        <v>0</v>
      </c>
      <c r="AE808" s="3">
        <f t="shared" si="36"/>
        <v>0</v>
      </c>
      <c r="AF808" s="10" t="e">
        <f t="shared" si="37"/>
        <v>#N/A</v>
      </c>
      <c r="AG808" s="3" t="str">
        <f t="shared" si="38"/>
        <v/>
      </c>
    </row>
    <row r="809" spans="1:33" x14ac:dyDescent="0.25">
      <c r="A809" s="7"/>
      <c r="B809" s="8"/>
      <c r="C809" s="3"/>
      <c r="D809" s="3"/>
      <c r="E809" s="3" t="e">
        <f>VLOOKUP(D809,VIAJES!$D:$E,2,FALSE)</f>
        <v>#N/A</v>
      </c>
      <c r="F809" s="9" t="e">
        <f>VLOOKUP(D809,VIAJES!$D:$F,3,FALSE)</f>
        <v>#N/A</v>
      </c>
      <c r="G809" s="9" t="e">
        <f>VLOOKUP(D809,VIAJES!$D:$G,4,FALSE)</f>
        <v>#N/A</v>
      </c>
      <c r="H809" s="3" t="e">
        <f>VLOOKUP(D809,VIAJES!$D:$H,5,FALSE)</f>
        <v>#N/A</v>
      </c>
      <c r="S809" s="3">
        <f>IFERROR(INDEX(EVENTOS!$D:$D,MATCH(SCORE!S$2&amp;" "&amp;SCORE!$D809,EVENTOS!$F:$F,0)),0)</f>
        <v>0</v>
      </c>
      <c r="T809" s="3">
        <f>IFERROR(INDEX(EVENTOS!$D:$D,MATCH(SCORE!T$2&amp;" "&amp;SCORE!$D809,EVENTOS!$F:$F,0)),0)</f>
        <v>0</v>
      </c>
      <c r="U809" s="3">
        <f>IFERROR(INDEX(EVENTOS!$D:$D,MATCH(SCORE!U$2&amp;" "&amp;SCORE!$D809,EVENTOS!$F:$F,0)),0)</f>
        <v>0</v>
      </c>
      <c r="V809" s="3">
        <f>IFERROR(INDEX(EVENTOS!$D:$D,MATCH(SCORE!V$2&amp;" "&amp;SCORE!$D809,EVENTOS!$F:$F,0)),0)</f>
        <v>0</v>
      </c>
      <c r="W809" s="3">
        <f>IFERROR(INDEX(EVENTOS!$D:$D,MATCH(SCORE!W$2&amp;" "&amp;SCORE!$D809,EVENTOS!$F:$F,0)),0)</f>
        <v>0</v>
      </c>
      <c r="X809" s="3">
        <f>IFERROR(INDEX(EVENTOS!$D:$D,MATCH(SCORE!X$2&amp;" "&amp;SCORE!$D809,EVENTOS!$F:$F,0)),0)</f>
        <v>0</v>
      </c>
      <c r="Y809" s="3">
        <f>SUMIFS(EVENTOS!$D:$D, EVENTOS!$B:$B, D809, EVENTOS!$E:$E, "*GirAlto*")</f>
        <v>0</v>
      </c>
      <c r="Z809" s="3">
        <f>SUMIFS(EVENTOS!$D:$D, EVENTOS!$B:$B, D809, EVENTOS!$E:$E, "*GirMed*")</f>
        <v>0</v>
      </c>
      <c r="AA809" s="3">
        <f>SUMIFS(EVENTOS!$D:$D, EVENTOS!$B:$B, D809, EVENTOS!$E:$E, "*GirBajo*")</f>
        <v>0</v>
      </c>
      <c r="AB809" s="3">
        <f>IFERROR(INDEX(EVENTOS!$D:$D,MATCH(SCORE!AB$2&amp;" "&amp;SCORE!$D809,EVENTOS!$F:$F,0)),0)</f>
        <v>0</v>
      </c>
      <c r="AC809" s="3">
        <f>IFERROR(INDEX(EVENTOS!$D:$D,MATCH(SCORE!AC$2&amp;" "&amp;SCORE!$D809,EVENTOS!$F:$F,0)),0)</f>
        <v>0</v>
      </c>
      <c r="AD809" s="3">
        <f>IFERROR(INDEX(EVENTOS!$D:$D,MATCH(SCORE!AD$2&amp;" "&amp;SCORE!$D809,EVENTOS!$F:$F,0)),0)</f>
        <v>0</v>
      </c>
      <c r="AE809" s="3">
        <f t="shared" si="36"/>
        <v>0</v>
      </c>
      <c r="AF809" s="10" t="e">
        <f t="shared" si="37"/>
        <v>#N/A</v>
      </c>
      <c r="AG809" s="3" t="str">
        <f t="shared" si="38"/>
        <v/>
      </c>
    </row>
    <row r="810" spans="1:33" x14ac:dyDescent="0.25">
      <c r="A810" s="7"/>
      <c r="B810" s="8"/>
      <c r="C810" s="3"/>
      <c r="D810" s="3"/>
      <c r="E810" s="3" t="e">
        <f>VLOOKUP(D810,VIAJES!$D:$E,2,FALSE)</f>
        <v>#N/A</v>
      </c>
      <c r="F810" s="9" t="e">
        <f>VLOOKUP(D810,VIAJES!$D:$F,3,FALSE)</f>
        <v>#N/A</v>
      </c>
      <c r="G810" s="9" t="e">
        <f>VLOOKUP(D810,VIAJES!$D:$G,4,FALSE)</f>
        <v>#N/A</v>
      </c>
      <c r="H810" s="3" t="e">
        <f>VLOOKUP(D810,VIAJES!$D:$H,5,FALSE)</f>
        <v>#N/A</v>
      </c>
      <c r="S810" s="3">
        <f>IFERROR(INDEX(EVENTOS!$D:$D,MATCH(SCORE!S$2&amp;" "&amp;SCORE!$D810,EVENTOS!$F:$F,0)),0)</f>
        <v>0</v>
      </c>
      <c r="T810" s="3">
        <f>IFERROR(INDEX(EVENTOS!$D:$D,MATCH(SCORE!T$2&amp;" "&amp;SCORE!$D810,EVENTOS!$F:$F,0)),0)</f>
        <v>0</v>
      </c>
      <c r="U810" s="3">
        <f>IFERROR(INDEX(EVENTOS!$D:$D,MATCH(SCORE!U$2&amp;" "&amp;SCORE!$D810,EVENTOS!$F:$F,0)),0)</f>
        <v>0</v>
      </c>
      <c r="V810" s="3">
        <f>IFERROR(INDEX(EVENTOS!$D:$D,MATCH(SCORE!V$2&amp;" "&amp;SCORE!$D810,EVENTOS!$F:$F,0)),0)</f>
        <v>0</v>
      </c>
      <c r="W810" s="3">
        <f>IFERROR(INDEX(EVENTOS!$D:$D,MATCH(SCORE!W$2&amp;" "&amp;SCORE!$D810,EVENTOS!$F:$F,0)),0)</f>
        <v>0</v>
      </c>
      <c r="X810" s="3">
        <f>IFERROR(INDEX(EVENTOS!$D:$D,MATCH(SCORE!X$2&amp;" "&amp;SCORE!$D810,EVENTOS!$F:$F,0)),0)</f>
        <v>0</v>
      </c>
      <c r="Y810" s="3">
        <f>SUMIFS(EVENTOS!$D:$D, EVENTOS!$B:$B, D810, EVENTOS!$E:$E, "*GirAlto*")</f>
        <v>0</v>
      </c>
      <c r="Z810" s="3">
        <f>SUMIFS(EVENTOS!$D:$D, EVENTOS!$B:$B, D810, EVENTOS!$E:$E, "*GirMed*")</f>
        <v>0</v>
      </c>
      <c r="AA810" s="3">
        <f>SUMIFS(EVENTOS!$D:$D, EVENTOS!$B:$B, D810, EVENTOS!$E:$E, "*GirBajo*")</f>
        <v>0</v>
      </c>
      <c r="AB810" s="3">
        <f>IFERROR(INDEX(EVENTOS!$D:$D,MATCH(SCORE!AB$2&amp;" "&amp;SCORE!$D810,EVENTOS!$F:$F,0)),0)</f>
        <v>0</v>
      </c>
      <c r="AC810" s="3">
        <f>IFERROR(INDEX(EVENTOS!$D:$D,MATCH(SCORE!AC$2&amp;" "&amp;SCORE!$D810,EVENTOS!$F:$F,0)),0)</f>
        <v>0</v>
      </c>
      <c r="AD810" s="3">
        <f>IFERROR(INDEX(EVENTOS!$D:$D,MATCH(SCORE!AD$2&amp;" "&amp;SCORE!$D810,EVENTOS!$F:$F,0)),0)</f>
        <v>0</v>
      </c>
      <c r="AE810" s="3">
        <f t="shared" si="36"/>
        <v>0</v>
      </c>
      <c r="AF810" s="10" t="e">
        <f t="shared" si="37"/>
        <v>#N/A</v>
      </c>
      <c r="AG810" s="3" t="str">
        <f t="shared" si="38"/>
        <v/>
      </c>
    </row>
    <row r="811" spans="1:33" x14ac:dyDescent="0.25">
      <c r="A811" s="7"/>
      <c r="B811" s="8"/>
      <c r="C811" s="3"/>
      <c r="D811" s="3"/>
      <c r="E811" s="3" t="e">
        <f>VLOOKUP(D811,VIAJES!$D:$E,2,FALSE)</f>
        <v>#N/A</v>
      </c>
      <c r="F811" s="9" t="e">
        <f>VLOOKUP(D811,VIAJES!$D:$F,3,FALSE)</f>
        <v>#N/A</v>
      </c>
      <c r="G811" s="9" t="e">
        <f>VLOOKUP(D811,VIAJES!$D:$G,4,FALSE)</f>
        <v>#N/A</v>
      </c>
      <c r="H811" s="3" t="e">
        <f>VLOOKUP(D811,VIAJES!$D:$H,5,FALSE)</f>
        <v>#N/A</v>
      </c>
      <c r="S811" s="3">
        <f>IFERROR(INDEX(EVENTOS!$D:$D,MATCH(SCORE!S$2&amp;" "&amp;SCORE!$D811,EVENTOS!$F:$F,0)),0)</f>
        <v>0</v>
      </c>
      <c r="T811" s="3">
        <f>IFERROR(INDEX(EVENTOS!$D:$D,MATCH(SCORE!T$2&amp;" "&amp;SCORE!$D811,EVENTOS!$F:$F,0)),0)</f>
        <v>0</v>
      </c>
      <c r="U811" s="3">
        <f>IFERROR(INDEX(EVENTOS!$D:$D,MATCH(SCORE!U$2&amp;" "&amp;SCORE!$D811,EVENTOS!$F:$F,0)),0)</f>
        <v>0</v>
      </c>
      <c r="V811" s="3">
        <f>IFERROR(INDEX(EVENTOS!$D:$D,MATCH(SCORE!V$2&amp;" "&amp;SCORE!$D811,EVENTOS!$F:$F,0)),0)</f>
        <v>0</v>
      </c>
      <c r="W811" s="3">
        <f>IFERROR(INDEX(EVENTOS!$D:$D,MATCH(SCORE!W$2&amp;" "&amp;SCORE!$D811,EVENTOS!$F:$F,0)),0)</f>
        <v>0</v>
      </c>
      <c r="X811" s="3">
        <f>IFERROR(INDEX(EVENTOS!$D:$D,MATCH(SCORE!X$2&amp;" "&amp;SCORE!$D811,EVENTOS!$F:$F,0)),0)</f>
        <v>0</v>
      </c>
      <c r="Y811" s="3">
        <f>SUMIFS(EVENTOS!$D:$D, EVENTOS!$B:$B, D811, EVENTOS!$E:$E, "*GirAlto*")</f>
        <v>0</v>
      </c>
      <c r="Z811" s="3">
        <f>SUMIFS(EVENTOS!$D:$D, EVENTOS!$B:$B, D811, EVENTOS!$E:$E, "*GirMed*")</f>
        <v>0</v>
      </c>
      <c r="AA811" s="3">
        <f>SUMIFS(EVENTOS!$D:$D, EVENTOS!$B:$B, D811, EVENTOS!$E:$E, "*GirBajo*")</f>
        <v>0</v>
      </c>
      <c r="AB811" s="3">
        <f>IFERROR(INDEX(EVENTOS!$D:$D,MATCH(SCORE!AB$2&amp;" "&amp;SCORE!$D811,EVENTOS!$F:$F,0)),0)</f>
        <v>0</v>
      </c>
      <c r="AC811" s="3">
        <f>IFERROR(INDEX(EVENTOS!$D:$D,MATCH(SCORE!AC$2&amp;" "&amp;SCORE!$D811,EVENTOS!$F:$F,0)),0)</f>
        <v>0</v>
      </c>
      <c r="AD811" s="3">
        <f>IFERROR(INDEX(EVENTOS!$D:$D,MATCH(SCORE!AD$2&amp;" "&amp;SCORE!$D811,EVENTOS!$F:$F,0)),0)</f>
        <v>0</v>
      </c>
      <c r="AE811" s="3">
        <f t="shared" si="36"/>
        <v>0</v>
      </c>
      <c r="AF811" s="10" t="e">
        <f t="shared" si="37"/>
        <v>#N/A</v>
      </c>
      <c r="AG811" s="3" t="str">
        <f t="shared" si="38"/>
        <v/>
      </c>
    </row>
    <row r="812" spans="1:33" x14ac:dyDescent="0.25">
      <c r="A812" s="7"/>
      <c r="B812" s="8"/>
      <c r="C812" s="3"/>
      <c r="D812" s="3"/>
      <c r="E812" s="3" t="e">
        <f>VLOOKUP(D812,VIAJES!$D:$E,2,FALSE)</f>
        <v>#N/A</v>
      </c>
      <c r="F812" s="9" t="e">
        <f>VLOOKUP(D812,VIAJES!$D:$F,3,FALSE)</f>
        <v>#N/A</v>
      </c>
      <c r="G812" s="9" t="e">
        <f>VLOOKUP(D812,VIAJES!$D:$G,4,FALSE)</f>
        <v>#N/A</v>
      </c>
      <c r="H812" s="3" t="e">
        <f>VLOOKUP(D812,VIAJES!$D:$H,5,FALSE)</f>
        <v>#N/A</v>
      </c>
      <c r="S812" s="3">
        <f>IFERROR(INDEX(EVENTOS!$D:$D,MATCH(SCORE!S$2&amp;" "&amp;SCORE!$D812,EVENTOS!$F:$F,0)),0)</f>
        <v>0</v>
      </c>
      <c r="T812" s="3">
        <f>IFERROR(INDEX(EVENTOS!$D:$D,MATCH(SCORE!T$2&amp;" "&amp;SCORE!$D812,EVENTOS!$F:$F,0)),0)</f>
        <v>0</v>
      </c>
      <c r="U812" s="3">
        <f>IFERROR(INDEX(EVENTOS!$D:$D,MATCH(SCORE!U$2&amp;" "&amp;SCORE!$D812,EVENTOS!$F:$F,0)),0)</f>
        <v>0</v>
      </c>
      <c r="V812" s="3">
        <f>IFERROR(INDEX(EVENTOS!$D:$D,MATCH(SCORE!V$2&amp;" "&amp;SCORE!$D812,EVENTOS!$F:$F,0)),0)</f>
        <v>0</v>
      </c>
      <c r="W812" s="3">
        <f>IFERROR(INDEX(EVENTOS!$D:$D,MATCH(SCORE!W$2&amp;" "&amp;SCORE!$D812,EVENTOS!$F:$F,0)),0)</f>
        <v>0</v>
      </c>
      <c r="X812" s="3">
        <f>IFERROR(INDEX(EVENTOS!$D:$D,MATCH(SCORE!X$2&amp;" "&amp;SCORE!$D812,EVENTOS!$F:$F,0)),0)</f>
        <v>0</v>
      </c>
      <c r="Y812" s="3">
        <f>SUMIFS(EVENTOS!$D:$D, EVENTOS!$B:$B, D812, EVENTOS!$E:$E, "*GirAlto*")</f>
        <v>0</v>
      </c>
      <c r="Z812" s="3">
        <f>SUMIFS(EVENTOS!$D:$D, EVENTOS!$B:$B, D812, EVENTOS!$E:$E, "*GirMed*")</f>
        <v>0</v>
      </c>
      <c r="AA812" s="3">
        <f>SUMIFS(EVENTOS!$D:$D, EVENTOS!$B:$B, D812, EVENTOS!$E:$E, "*GirBajo*")</f>
        <v>0</v>
      </c>
      <c r="AB812" s="3">
        <f>IFERROR(INDEX(EVENTOS!$D:$D,MATCH(SCORE!AB$2&amp;" "&amp;SCORE!$D812,EVENTOS!$F:$F,0)),0)</f>
        <v>0</v>
      </c>
      <c r="AC812" s="3">
        <f>IFERROR(INDEX(EVENTOS!$D:$D,MATCH(SCORE!AC$2&amp;" "&amp;SCORE!$D812,EVENTOS!$F:$F,0)),0)</f>
        <v>0</v>
      </c>
      <c r="AD812" s="3">
        <f>IFERROR(INDEX(EVENTOS!$D:$D,MATCH(SCORE!AD$2&amp;" "&amp;SCORE!$D812,EVENTOS!$F:$F,0)),0)</f>
        <v>0</v>
      </c>
      <c r="AE812" s="3">
        <f t="shared" si="36"/>
        <v>0</v>
      </c>
      <c r="AF812" s="10" t="e">
        <f t="shared" si="37"/>
        <v>#N/A</v>
      </c>
      <c r="AG812" s="3" t="str">
        <f t="shared" si="38"/>
        <v/>
      </c>
    </row>
    <row r="813" spans="1:33" x14ac:dyDescent="0.25">
      <c r="A813" s="7"/>
      <c r="B813" s="8"/>
      <c r="C813" s="3"/>
      <c r="D813" s="3"/>
      <c r="E813" s="3" t="e">
        <f>VLOOKUP(D813,VIAJES!$D:$E,2,FALSE)</f>
        <v>#N/A</v>
      </c>
      <c r="F813" s="9" t="e">
        <f>VLOOKUP(D813,VIAJES!$D:$F,3,FALSE)</f>
        <v>#N/A</v>
      </c>
      <c r="G813" s="9" t="e">
        <f>VLOOKUP(D813,VIAJES!$D:$G,4,FALSE)</f>
        <v>#N/A</v>
      </c>
      <c r="H813" s="3" t="e">
        <f>VLOOKUP(D813,VIAJES!$D:$H,5,FALSE)</f>
        <v>#N/A</v>
      </c>
      <c r="S813" s="3">
        <f>IFERROR(INDEX(EVENTOS!$D:$D,MATCH(SCORE!S$2&amp;" "&amp;SCORE!$D813,EVENTOS!$F:$F,0)),0)</f>
        <v>0</v>
      </c>
      <c r="T813" s="3">
        <f>IFERROR(INDEX(EVENTOS!$D:$D,MATCH(SCORE!T$2&amp;" "&amp;SCORE!$D813,EVENTOS!$F:$F,0)),0)</f>
        <v>0</v>
      </c>
      <c r="U813" s="3">
        <f>IFERROR(INDEX(EVENTOS!$D:$D,MATCH(SCORE!U$2&amp;" "&amp;SCORE!$D813,EVENTOS!$F:$F,0)),0)</f>
        <v>0</v>
      </c>
      <c r="V813" s="3">
        <f>IFERROR(INDEX(EVENTOS!$D:$D,MATCH(SCORE!V$2&amp;" "&amp;SCORE!$D813,EVENTOS!$F:$F,0)),0)</f>
        <v>0</v>
      </c>
      <c r="W813" s="3">
        <f>IFERROR(INDEX(EVENTOS!$D:$D,MATCH(SCORE!W$2&amp;" "&amp;SCORE!$D813,EVENTOS!$F:$F,0)),0)</f>
        <v>0</v>
      </c>
      <c r="X813" s="3">
        <f>IFERROR(INDEX(EVENTOS!$D:$D,MATCH(SCORE!X$2&amp;" "&amp;SCORE!$D813,EVENTOS!$F:$F,0)),0)</f>
        <v>0</v>
      </c>
      <c r="Y813" s="3">
        <f>SUMIFS(EVENTOS!$D:$D, EVENTOS!$B:$B, D813, EVENTOS!$E:$E, "*GirAlto*")</f>
        <v>0</v>
      </c>
      <c r="Z813" s="3">
        <f>SUMIFS(EVENTOS!$D:$D, EVENTOS!$B:$B, D813, EVENTOS!$E:$E, "*GirMed*")</f>
        <v>0</v>
      </c>
      <c r="AA813" s="3">
        <f>SUMIFS(EVENTOS!$D:$D, EVENTOS!$B:$B, D813, EVENTOS!$E:$E, "*GirBajo*")</f>
        <v>0</v>
      </c>
      <c r="AB813" s="3">
        <f>IFERROR(INDEX(EVENTOS!$D:$D,MATCH(SCORE!AB$2&amp;" "&amp;SCORE!$D813,EVENTOS!$F:$F,0)),0)</f>
        <v>0</v>
      </c>
      <c r="AC813" s="3">
        <f>IFERROR(INDEX(EVENTOS!$D:$D,MATCH(SCORE!AC$2&amp;" "&amp;SCORE!$D813,EVENTOS!$F:$F,0)),0)</f>
        <v>0</v>
      </c>
      <c r="AD813" s="3">
        <f>IFERROR(INDEX(EVENTOS!$D:$D,MATCH(SCORE!AD$2&amp;" "&amp;SCORE!$D813,EVENTOS!$F:$F,0)),0)</f>
        <v>0</v>
      </c>
      <c r="AE813" s="3">
        <f t="shared" si="36"/>
        <v>0</v>
      </c>
      <c r="AF813" s="10" t="e">
        <f t="shared" si="37"/>
        <v>#N/A</v>
      </c>
      <c r="AG813" s="3" t="str">
        <f t="shared" si="38"/>
        <v/>
      </c>
    </row>
    <row r="814" spans="1:33" x14ac:dyDescent="0.25">
      <c r="A814" s="7"/>
      <c r="B814" s="8"/>
      <c r="C814" s="3"/>
      <c r="D814" s="3"/>
      <c r="E814" s="3" t="e">
        <f>VLOOKUP(D814,VIAJES!$D:$E,2,FALSE)</f>
        <v>#N/A</v>
      </c>
      <c r="F814" s="9" t="e">
        <f>VLOOKUP(D814,VIAJES!$D:$F,3,FALSE)</f>
        <v>#N/A</v>
      </c>
      <c r="G814" s="9" t="e">
        <f>VLOOKUP(D814,VIAJES!$D:$G,4,FALSE)</f>
        <v>#N/A</v>
      </c>
      <c r="H814" s="3" t="e">
        <f>VLOOKUP(D814,VIAJES!$D:$H,5,FALSE)</f>
        <v>#N/A</v>
      </c>
      <c r="S814" s="3">
        <f>IFERROR(INDEX(EVENTOS!$D:$D,MATCH(SCORE!S$2&amp;" "&amp;SCORE!$D814,EVENTOS!$F:$F,0)),0)</f>
        <v>0</v>
      </c>
      <c r="T814" s="3">
        <f>IFERROR(INDEX(EVENTOS!$D:$D,MATCH(SCORE!T$2&amp;" "&amp;SCORE!$D814,EVENTOS!$F:$F,0)),0)</f>
        <v>0</v>
      </c>
      <c r="U814" s="3">
        <f>IFERROR(INDEX(EVENTOS!$D:$D,MATCH(SCORE!U$2&amp;" "&amp;SCORE!$D814,EVENTOS!$F:$F,0)),0)</f>
        <v>0</v>
      </c>
      <c r="V814" s="3">
        <f>IFERROR(INDEX(EVENTOS!$D:$D,MATCH(SCORE!V$2&amp;" "&amp;SCORE!$D814,EVENTOS!$F:$F,0)),0)</f>
        <v>0</v>
      </c>
      <c r="W814" s="3">
        <f>IFERROR(INDEX(EVENTOS!$D:$D,MATCH(SCORE!W$2&amp;" "&amp;SCORE!$D814,EVENTOS!$F:$F,0)),0)</f>
        <v>0</v>
      </c>
      <c r="X814" s="3">
        <f>IFERROR(INDEX(EVENTOS!$D:$D,MATCH(SCORE!X$2&amp;" "&amp;SCORE!$D814,EVENTOS!$F:$F,0)),0)</f>
        <v>0</v>
      </c>
      <c r="Y814" s="3">
        <f>SUMIFS(EVENTOS!$D:$D, EVENTOS!$B:$B, D814, EVENTOS!$E:$E, "*GirAlto*")</f>
        <v>0</v>
      </c>
      <c r="Z814" s="3">
        <f>SUMIFS(EVENTOS!$D:$D, EVENTOS!$B:$B, D814, EVENTOS!$E:$E, "*GirMed*")</f>
        <v>0</v>
      </c>
      <c r="AA814" s="3">
        <f>SUMIFS(EVENTOS!$D:$D, EVENTOS!$B:$B, D814, EVENTOS!$E:$E, "*GirBajo*")</f>
        <v>0</v>
      </c>
      <c r="AB814" s="3">
        <f>IFERROR(INDEX(EVENTOS!$D:$D,MATCH(SCORE!AB$2&amp;" "&amp;SCORE!$D814,EVENTOS!$F:$F,0)),0)</f>
        <v>0</v>
      </c>
      <c r="AC814" s="3">
        <f>IFERROR(INDEX(EVENTOS!$D:$D,MATCH(SCORE!AC$2&amp;" "&amp;SCORE!$D814,EVENTOS!$F:$F,0)),0)</f>
        <v>0</v>
      </c>
      <c r="AD814" s="3">
        <f>IFERROR(INDEX(EVENTOS!$D:$D,MATCH(SCORE!AD$2&amp;" "&amp;SCORE!$D814,EVENTOS!$F:$F,0)),0)</f>
        <v>0</v>
      </c>
      <c r="AE814" s="3">
        <f t="shared" si="36"/>
        <v>0</v>
      </c>
      <c r="AF814" s="10" t="e">
        <f t="shared" si="37"/>
        <v>#N/A</v>
      </c>
      <c r="AG814" s="3" t="str">
        <f t="shared" si="38"/>
        <v/>
      </c>
    </row>
    <row r="815" spans="1:33" x14ac:dyDescent="0.25">
      <c r="A815" s="7"/>
      <c r="B815" s="8"/>
      <c r="C815" s="3"/>
      <c r="D815" s="3"/>
      <c r="E815" s="3" t="e">
        <f>VLOOKUP(D815,VIAJES!$D:$E,2,FALSE)</f>
        <v>#N/A</v>
      </c>
      <c r="F815" s="9" t="e">
        <f>VLOOKUP(D815,VIAJES!$D:$F,3,FALSE)</f>
        <v>#N/A</v>
      </c>
      <c r="G815" s="9" t="e">
        <f>VLOOKUP(D815,VIAJES!$D:$G,4,FALSE)</f>
        <v>#N/A</v>
      </c>
      <c r="H815" s="3" t="e">
        <f>VLOOKUP(D815,VIAJES!$D:$H,5,FALSE)</f>
        <v>#N/A</v>
      </c>
      <c r="S815" s="3">
        <f>IFERROR(INDEX(EVENTOS!$D:$D,MATCH(SCORE!S$2&amp;" "&amp;SCORE!$D815,EVENTOS!$F:$F,0)),0)</f>
        <v>0</v>
      </c>
      <c r="T815" s="3">
        <f>IFERROR(INDEX(EVENTOS!$D:$D,MATCH(SCORE!T$2&amp;" "&amp;SCORE!$D815,EVENTOS!$F:$F,0)),0)</f>
        <v>0</v>
      </c>
      <c r="U815" s="3">
        <f>IFERROR(INDEX(EVENTOS!$D:$D,MATCH(SCORE!U$2&amp;" "&amp;SCORE!$D815,EVENTOS!$F:$F,0)),0)</f>
        <v>0</v>
      </c>
      <c r="V815" s="3">
        <f>IFERROR(INDEX(EVENTOS!$D:$D,MATCH(SCORE!V$2&amp;" "&amp;SCORE!$D815,EVENTOS!$F:$F,0)),0)</f>
        <v>0</v>
      </c>
      <c r="W815" s="3">
        <f>IFERROR(INDEX(EVENTOS!$D:$D,MATCH(SCORE!W$2&amp;" "&amp;SCORE!$D815,EVENTOS!$F:$F,0)),0)</f>
        <v>0</v>
      </c>
      <c r="X815" s="3">
        <f>IFERROR(INDEX(EVENTOS!$D:$D,MATCH(SCORE!X$2&amp;" "&amp;SCORE!$D815,EVENTOS!$F:$F,0)),0)</f>
        <v>0</v>
      </c>
      <c r="Y815" s="3">
        <f>SUMIFS(EVENTOS!$D:$D, EVENTOS!$B:$B, D815, EVENTOS!$E:$E, "*GirAlto*")</f>
        <v>0</v>
      </c>
      <c r="Z815" s="3">
        <f>SUMIFS(EVENTOS!$D:$D, EVENTOS!$B:$B, D815, EVENTOS!$E:$E, "*GirMed*")</f>
        <v>0</v>
      </c>
      <c r="AA815" s="3">
        <f>SUMIFS(EVENTOS!$D:$D, EVENTOS!$B:$B, D815, EVENTOS!$E:$E, "*GirBajo*")</f>
        <v>0</v>
      </c>
      <c r="AB815" s="3">
        <f>IFERROR(INDEX(EVENTOS!$D:$D,MATCH(SCORE!AB$2&amp;" "&amp;SCORE!$D815,EVENTOS!$F:$F,0)),0)</f>
        <v>0</v>
      </c>
      <c r="AC815" s="3">
        <f>IFERROR(INDEX(EVENTOS!$D:$D,MATCH(SCORE!AC$2&amp;" "&amp;SCORE!$D815,EVENTOS!$F:$F,0)),0)</f>
        <v>0</v>
      </c>
      <c r="AD815" s="3">
        <f>IFERROR(INDEX(EVENTOS!$D:$D,MATCH(SCORE!AD$2&amp;" "&amp;SCORE!$D815,EVENTOS!$F:$F,0)),0)</f>
        <v>0</v>
      </c>
      <c r="AE815" s="3">
        <f t="shared" si="36"/>
        <v>0</v>
      </c>
      <c r="AF815" s="10" t="e">
        <f t="shared" si="37"/>
        <v>#N/A</v>
      </c>
      <c r="AG815" s="3" t="str">
        <f t="shared" si="38"/>
        <v/>
      </c>
    </row>
    <row r="816" spans="1:33" x14ac:dyDescent="0.25">
      <c r="A816" s="7"/>
      <c r="B816" s="8"/>
      <c r="C816" s="3"/>
      <c r="D816" s="3"/>
      <c r="E816" s="3" t="e">
        <f>VLOOKUP(D816,VIAJES!$D:$E,2,FALSE)</f>
        <v>#N/A</v>
      </c>
      <c r="F816" s="9" t="e">
        <f>VLOOKUP(D816,VIAJES!$D:$F,3,FALSE)</f>
        <v>#N/A</v>
      </c>
      <c r="G816" s="9" t="e">
        <f>VLOOKUP(D816,VIAJES!$D:$G,4,FALSE)</f>
        <v>#N/A</v>
      </c>
      <c r="H816" s="3" t="e">
        <f>VLOOKUP(D816,VIAJES!$D:$H,5,FALSE)</f>
        <v>#N/A</v>
      </c>
      <c r="S816" s="3">
        <f>IFERROR(INDEX(EVENTOS!$D:$D,MATCH(SCORE!S$2&amp;" "&amp;SCORE!$D816,EVENTOS!$F:$F,0)),0)</f>
        <v>0</v>
      </c>
      <c r="T816" s="3">
        <f>IFERROR(INDEX(EVENTOS!$D:$D,MATCH(SCORE!T$2&amp;" "&amp;SCORE!$D816,EVENTOS!$F:$F,0)),0)</f>
        <v>0</v>
      </c>
      <c r="U816" s="3">
        <f>IFERROR(INDEX(EVENTOS!$D:$D,MATCH(SCORE!U$2&amp;" "&amp;SCORE!$D816,EVENTOS!$F:$F,0)),0)</f>
        <v>0</v>
      </c>
      <c r="V816" s="3">
        <f>IFERROR(INDEX(EVENTOS!$D:$D,MATCH(SCORE!V$2&amp;" "&amp;SCORE!$D816,EVENTOS!$F:$F,0)),0)</f>
        <v>0</v>
      </c>
      <c r="W816" s="3">
        <f>IFERROR(INDEX(EVENTOS!$D:$D,MATCH(SCORE!W$2&amp;" "&amp;SCORE!$D816,EVENTOS!$F:$F,0)),0)</f>
        <v>0</v>
      </c>
      <c r="X816" s="3">
        <f>IFERROR(INDEX(EVENTOS!$D:$D,MATCH(SCORE!X$2&amp;" "&amp;SCORE!$D816,EVENTOS!$F:$F,0)),0)</f>
        <v>0</v>
      </c>
      <c r="Y816" s="3">
        <f>SUMIFS(EVENTOS!$D:$D, EVENTOS!$B:$B, D816, EVENTOS!$E:$E, "*GirAlto*")</f>
        <v>0</v>
      </c>
      <c r="Z816" s="3">
        <f>SUMIFS(EVENTOS!$D:$D, EVENTOS!$B:$B, D816, EVENTOS!$E:$E, "*GirMed*")</f>
        <v>0</v>
      </c>
      <c r="AA816" s="3">
        <f>SUMIFS(EVENTOS!$D:$D, EVENTOS!$B:$B, D816, EVENTOS!$E:$E, "*GirBajo*")</f>
        <v>0</v>
      </c>
      <c r="AB816" s="3">
        <f>IFERROR(INDEX(EVENTOS!$D:$D,MATCH(SCORE!AB$2&amp;" "&amp;SCORE!$D816,EVENTOS!$F:$F,0)),0)</f>
        <v>0</v>
      </c>
      <c r="AC816" s="3">
        <f>IFERROR(INDEX(EVENTOS!$D:$D,MATCH(SCORE!AC$2&amp;" "&amp;SCORE!$D816,EVENTOS!$F:$F,0)),0)</f>
        <v>0</v>
      </c>
      <c r="AD816" s="3">
        <f>IFERROR(INDEX(EVENTOS!$D:$D,MATCH(SCORE!AD$2&amp;" "&amp;SCORE!$D816,EVENTOS!$F:$F,0)),0)</f>
        <v>0</v>
      </c>
      <c r="AE816" s="3">
        <f t="shared" si="36"/>
        <v>0</v>
      </c>
      <c r="AF816" s="10" t="e">
        <f t="shared" si="37"/>
        <v>#N/A</v>
      </c>
      <c r="AG816" s="3" t="str">
        <f t="shared" si="38"/>
        <v/>
      </c>
    </row>
    <row r="817" spans="1:33" x14ac:dyDescent="0.25">
      <c r="A817" s="7"/>
      <c r="B817" s="8"/>
      <c r="C817" s="3"/>
      <c r="D817" s="3"/>
      <c r="E817" s="3" t="e">
        <f>VLOOKUP(D817,VIAJES!$D:$E,2,FALSE)</f>
        <v>#N/A</v>
      </c>
      <c r="F817" s="9" t="e">
        <f>VLOOKUP(D817,VIAJES!$D:$F,3,FALSE)</f>
        <v>#N/A</v>
      </c>
      <c r="G817" s="9" t="e">
        <f>VLOOKUP(D817,VIAJES!$D:$G,4,FALSE)</f>
        <v>#N/A</v>
      </c>
      <c r="H817" s="3" t="e">
        <f>VLOOKUP(D817,VIAJES!$D:$H,5,FALSE)</f>
        <v>#N/A</v>
      </c>
      <c r="S817" s="3">
        <f>IFERROR(INDEX(EVENTOS!$D:$D,MATCH(SCORE!S$2&amp;" "&amp;SCORE!$D817,EVENTOS!$F:$F,0)),0)</f>
        <v>0</v>
      </c>
      <c r="T817" s="3">
        <f>IFERROR(INDEX(EVENTOS!$D:$D,MATCH(SCORE!T$2&amp;" "&amp;SCORE!$D817,EVENTOS!$F:$F,0)),0)</f>
        <v>0</v>
      </c>
      <c r="U817" s="3">
        <f>IFERROR(INDEX(EVENTOS!$D:$D,MATCH(SCORE!U$2&amp;" "&amp;SCORE!$D817,EVENTOS!$F:$F,0)),0)</f>
        <v>0</v>
      </c>
      <c r="V817" s="3">
        <f>IFERROR(INDEX(EVENTOS!$D:$D,MATCH(SCORE!V$2&amp;" "&amp;SCORE!$D817,EVENTOS!$F:$F,0)),0)</f>
        <v>0</v>
      </c>
      <c r="W817" s="3">
        <f>IFERROR(INDEX(EVENTOS!$D:$D,MATCH(SCORE!W$2&amp;" "&amp;SCORE!$D817,EVENTOS!$F:$F,0)),0)</f>
        <v>0</v>
      </c>
      <c r="X817" s="3">
        <f>IFERROR(INDEX(EVENTOS!$D:$D,MATCH(SCORE!X$2&amp;" "&amp;SCORE!$D817,EVENTOS!$F:$F,0)),0)</f>
        <v>0</v>
      </c>
      <c r="Y817" s="3">
        <f>SUMIFS(EVENTOS!$D:$D, EVENTOS!$B:$B, D817, EVENTOS!$E:$E, "*GirAlto*")</f>
        <v>0</v>
      </c>
      <c r="Z817" s="3">
        <f>SUMIFS(EVENTOS!$D:$D, EVENTOS!$B:$B, D817, EVENTOS!$E:$E, "*GirMed*")</f>
        <v>0</v>
      </c>
      <c r="AA817" s="3">
        <f>SUMIFS(EVENTOS!$D:$D, EVENTOS!$B:$B, D817, EVENTOS!$E:$E, "*GirBajo*")</f>
        <v>0</v>
      </c>
      <c r="AB817" s="3">
        <f>IFERROR(INDEX(EVENTOS!$D:$D,MATCH(SCORE!AB$2&amp;" "&amp;SCORE!$D817,EVENTOS!$F:$F,0)),0)</f>
        <v>0</v>
      </c>
      <c r="AC817" s="3">
        <f>IFERROR(INDEX(EVENTOS!$D:$D,MATCH(SCORE!AC$2&amp;" "&amp;SCORE!$D817,EVENTOS!$F:$F,0)),0)</f>
        <v>0</v>
      </c>
      <c r="AD817" s="3">
        <f>IFERROR(INDEX(EVENTOS!$D:$D,MATCH(SCORE!AD$2&amp;" "&amp;SCORE!$D817,EVENTOS!$F:$F,0)),0)</f>
        <v>0</v>
      </c>
      <c r="AE817" s="3">
        <f t="shared" si="36"/>
        <v>0</v>
      </c>
      <c r="AF817" s="10" t="e">
        <f t="shared" si="37"/>
        <v>#N/A</v>
      </c>
      <c r="AG817" s="3" t="str">
        <f t="shared" si="38"/>
        <v/>
      </c>
    </row>
    <row r="818" spans="1:33" x14ac:dyDescent="0.25">
      <c r="A818" s="7"/>
      <c r="B818" s="8"/>
      <c r="C818" s="3"/>
      <c r="D818" s="3"/>
      <c r="E818" s="3" t="e">
        <f>VLOOKUP(D818,VIAJES!$D:$E,2,FALSE)</f>
        <v>#N/A</v>
      </c>
      <c r="F818" s="9" t="e">
        <f>VLOOKUP(D818,VIAJES!$D:$F,3,FALSE)</f>
        <v>#N/A</v>
      </c>
      <c r="G818" s="9" t="e">
        <f>VLOOKUP(D818,VIAJES!$D:$G,4,FALSE)</f>
        <v>#N/A</v>
      </c>
      <c r="H818" s="3" t="e">
        <f>VLOOKUP(D818,VIAJES!$D:$H,5,FALSE)</f>
        <v>#N/A</v>
      </c>
      <c r="S818" s="3">
        <f>IFERROR(INDEX(EVENTOS!$D:$D,MATCH(SCORE!S$2&amp;" "&amp;SCORE!$D818,EVENTOS!$F:$F,0)),0)</f>
        <v>0</v>
      </c>
      <c r="T818" s="3">
        <f>IFERROR(INDEX(EVENTOS!$D:$D,MATCH(SCORE!T$2&amp;" "&amp;SCORE!$D818,EVENTOS!$F:$F,0)),0)</f>
        <v>0</v>
      </c>
      <c r="U818" s="3">
        <f>IFERROR(INDEX(EVENTOS!$D:$D,MATCH(SCORE!U$2&amp;" "&amp;SCORE!$D818,EVENTOS!$F:$F,0)),0)</f>
        <v>0</v>
      </c>
      <c r="V818" s="3">
        <f>IFERROR(INDEX(EVENTOS!$D:$D,MATCH(SCORE!V$2&amp;" "&amp;SCORE!$D818,EVENTOS!$F:$F,0)),0)</f>
        <v>0</v>
      </c>
      <c r="W818" s="3">
        <f>IFERROR(INDEX(EVENTOS!$D:$D,MATCH(SCORE!W$2&amp;" "&amp;SCORE!$D818,EVENTOS!$F:$F,0)),0)</f>
        <v>0</v>
      </c>
      <c r="X818" s="3">
        <f>IFERROR(INDEX(EVENTOS!$D:$D,MATCH(SCORE!X$2&amp;" "&amp;SCORE!$D818,EVENTOS!$F:$F,0)),0)</f>
        <v>0</v>
      </c>
      <c r="Y818" s="3">
        <f>SUMIFS(EVENTOS!$D:$D, EVENTOS!$B:$B, D818, EVENTOS!$E:$E, "*GirAlto*")</f>
        <v>0</v>
      </c>
      <c r="Z818" s="3">
        <f>SUMIFS(EVENTOS!$D:$D, EVENTOS!$B:$B, D818, EVENTOS!$E:$E, "*GirMed*")</f>
        <v>0</v>
      </c>
      <c r="AA818" s="3">
        <f>SUMIFS(EVENTOS!$D:$D, EVENTOS!$B:$B, D818, EVENTOS!$E:$E, "*GirBajo*")</f>
        <v>0</v>
      </c>
      <c r="AB818" s="3">
        <f>IFERROR(INDEX(EVENTOS!$D:$D,MATCH(SCORE!AB$2&amp;" "&amp;SCORE!$D818,EVENTOS!$F:$F,0)),0)</f>
        <v>0</v>
      </c>
      <c r="AC818" s="3">
        <f>IFERROR(INDEX(EVENTOS!$D:$D,MATCH(SCORE!AC$2&amp;" "&amp;SCORE!$D818,EVENTOS!$F:$F,0)),0)</f>
        <v>0</v>
      </c>
      <c r="AD818" s="3">
        <f>IFERROR(INDEX(EVENTOS!$D:$D,MATCH(SCORE!AD$2&amp;" "&amp;SCORE!$D818,EVENTOS!$F:$F,0)),0)</f>
        <v>0</v>
      </c>
      <c r="AE818" s="3">
        <f t="shared" si="36"/>
        <v>0</v>
      </c>
      <c r="AF818" s="10" t="e">
        <f t="shared" si="37"/>
        <v>#N/A</v>
      </c>
      <c r="AG818" s="3" t="str">
        <f t="shared" si="38"/>
        <v/>
      </c>
    </row>
    <row r="819" spans="1:33" x14ac:dyDescent="0.25">
      <c r="A819" s="7"/>
      <c r="B819" s="8"/>
      <c r="C819" s="3"/>
      <c r="D819" s="3"/>
      <c r="E819" s="3" t="e">
        <f>VLOOKUP(D819,VIAJES!$D:$E,2,FALSE)</f>
        <v>#N/A</v>
      </c>
      <c r="F819" s="9" t="e">
        <f>VLOOKUP(D819,VIAJES!$D:$F,3,FALSE)</f>
        <v>#N/A</v>
      </c>
      <c r="G819" s="9" t="e">
        <f>VLOOKUP(D819,VIAJES!$D:$G,4,FALSE)</f>
        <v>#N/A</v>
      </c>
      <c r="H819" s="3" t="e">
        <f>VLOOKUP(D819,VIAJES!$D:$H,5,FALSE)</f>
        <v>#N/A</v>
      </c>
      <c r="S819" s="3">
        <f>IFERROR(INDEX(EVENTOS!$D:$D,MATCH(SCORE!S$2&amp;" "&amp;SCORE!$D819,EVENTOS!$F:$F,0)),0)</f>
        <v>0</v>
      </c>
      <c r="T819" s="3">
        <f>IFERROR(INDEX(EVENTOS!$D:$D,MATCH(SCORE!T$2&amp;" "&amp;SCORE!$D819,EVENTOS!$F:$F,0)),0)</f>
        <v>0</v>
      </c>
      <c r="U819" s="3">
        <f>IFERROR(INDEX(EVENTOS!$D:$D,MATCH(SCORE!U$2&amp;" "&amp;SCORE!$D819,EVENTOS!$F:$F,0)),0)</f>
        <v>0</v>
      </c>
      <c r="V819" s="3">
        <f>IFERROR(INDEX(EVENTOS!$D:$D,MATCH(SCORE!V$2&amp;" "&amp;SCORE!$D819,EVENTOS!$F:$F,0)),0)</f>
        <v>0</v>
      </c>
      <c r="W819" s="3">
        <f>IFERROR(INDEX(EVENTOS!$D:$D,MATCH(SCORE!W$2&amp;" "&amp;SCORE!$D819,EVENTOS!$F:$F,0)),0)</f>
        <v>0</v>
      </c>
      <c r="X819" s="3">
        <f>IFERROR(INDEX(EVENTOS!$D:$D,MATCH(SCORE!X$2&amp;" "&amp;SCORE!$D819,EVENTOS!$F:$F,0)),0)</f>
        <v>0</v>
      </c>
      <c r="Y819" s="3">
        <f>SUMIFS(EVENTOS!$D:$D, EVENTOS!$B:$B, D819, EVENTOS!$E:$E, "*GirAlto*")</f>
        <v>0</v>
      </c>
      <c r="Z819" s="3">
        <f>SUMIFS(EVENTOS!$D:$D, EVENTOS!$B:$B, D819, EVENTOS!$E:$E, "*GirMed*")</f>
        <v>0</v>
      </c>
      <c r="AA819" s="3">
        <f>SUMIFS(EVENTOS!$D:$D, EVENTOS!$B:$B, D819, EVENTOS!$E:$E, "*GirBajo*")</f>
        <v>0</v>
      </c>
      <c r="AB819" s="3">
        <f>IFERROR(INDEX(EVENTOS!$D:$D,MATCH(SCORE!AB$2&amp;" "&amp;SCORE!$D819,EVENTOS!$F:$F,0)),0)</f>
        <v>0</v>
      </c>
      <c r="AC819" s="3">
        <f>IFERROR(INDEX(EVENTOS!$D:$D,MATCH(SCORE!AC$2&amp;" "&amp;SCORE!$D819,EVENTOS!$F:$F,0)),0)</f>
        <v>0</v>
      </c>
      <c r="AD819" s="3">
        <f>IFERROR(INDEX(EVENTOS!$D:$D,MATCH(SCORE!AD$2&amp;" "&amp;SCORE!$D819,EVENTOS!$F:$F,0)),0)</f>
        <v>0</v>
      </c>
      <c r="AE819" s="3">
        <f t="shared" si="36"/>
        <v>0</v>
      </c>
      <c r="AF819" s="10" t="e">
        <f t="shared" si="37"/>
        <v>#N/A</v>
      </c>
      <c r="AG819" s="3" t="str">
        <f t="shared" si="38"/>
        <v/>
      </c>
    </row>
    <row r="820" spans="1:33" x14ac:dyDescent="0.25">
      <c r="A820" s="7"/>
      <c r="B820" s="8"/>
      <c r="C820" s="3"/>
      <c r="D820" s="3"/>
      <c r="E820" s="3" t="e">
        <f>VLOOKUP(D820,VIAJES!$D:$E,2,FALSE)</f>
        <v>#N/A</v>
      </c>
      <c r="F820" s="9" t="e">
        <f>VLOOKUP(D820,VIAJES!$D:$F,3,FALSE)</f>
        <v>#N/A</v>
      </c>
      <c r="G820" s="9" t="e">
        <f>VLOOKUP(D820,VIAJES!$D:$G,4,FALSE)</f>
        <v>#N/A</v>
      </c>
      <c r="H820" s="3" t="e">
        <f>VLOOKUP(D820,VIAJES!$D:$H,5,FALSE)</f>
        <v>#N/A</v>
      </c>
      <c r="S820" s="3">
        <f>IFERROR(INDEX(EVENTOS!$D:$D,MATCH(SCORE!S$2&amp;" "&amp;SCORE!$D820,EVENTOS!$F:$F,0)),0)</f>
        <v>0</v>
      </c>
      <c r="T820" s="3">
        <f>IFERROR(INDEX(EVENTOS!$D:$D,MATCH(SCORE!T$2&amp;" "&amp;SCORE!$D820,EVENTOS!$F:$F,0)),0)</f>
        <v>0</v>
      </c>
      <c r="U820" s="3">
        <f>IFERROR(INDEX(EVENTOS!$D:$D,MATCH(SCORE!U$2&amp;" "&amp;SCORE!$D820,EVENTOS!$F:$F,0)),0)</f>
        <v>0</v>
      </c>
      <c r="V820" s="3">
        <f>IFERROR(INDEX(EVENTOS!$D:$D,MATCH(SCORE!V$2&amp;" "&amp;SCORE!$D820,EVENTOS!$F:$F,0)),0)</f>
        <v>0</v>
      </c>
      <c r="W820" s="3">
        <f>IFERROR(INDEX(EVENTOS!$D:$D,MATCH(SCORE!W$2&amp;" "&amp;SCORE!$D820,EVENTOS!$F:$F,0)),0)</f>
        <v>0</v>
      </c>
      <c r="X820" s="3">
        <f>IFERROR(INDEX(EVENTOS!$D:$D,MATCH(SCORE!X$2&amp;" "&amp;SCORE!$D820,EVENTOS!$F:$F,0)),0)</f>
        <v>0</v>
      </c>
      <c r="Y820" s="3">
        <f>SUMIFS(EVENTOS!$D:$D, EVENTOS!$B:$B, D820, EVENTOS!$E:$E, "*GirAlto*")</f>
        <v>0</v>
      </c>
      <c r="Z820" s="3">
        <f>SUMIFS(EVENTOS!$D:$D, EVENTOS!$B:$B, D820, EVENTOS!$E:$E, "*GirMed*")</f>
        <v>0</v>
      </c>
      <c r="AA820" s="3">
        <f>SUMIFS(EVENTOS!$D:$D, EVENTOS!$B:$B, D820, EVENTOS!$E:$E, "*GirBajo*")</f>
        <v>0</v>
      </c>
      <c r="AB820" s="3">
        <f>IFERROR(INDEX(EVENTOS!$D:$D,MATCH(SCORE!AB$2&amp;" "&amp;SCORE!$D820,EVENTOS!$F:$F,0)),0)</f>
        <v>0</v>
      </c>
      <c r="AC820" s="3">
        <f>IFERROR(INDEX(EVENTOS!$D:$D,MATCH(SCORE!AC$2&amp;" "&amp;SCORE!$D820,EVENTOS!$F:$F,0)),0)</f>
        <v>0</v>
      </c>
      <c r="AD820" s="3">
        <f>IFERROR(INDEX(EVENTOS!$D:$D,MATCH(SCORE!AD$2&amp;" "&amp;SCORE!$D820,EVENTOS!$F:$F,0)),0)</f>
        <v>0</v>
      </c>
      <c r="AE820" s="3">
        <f t="shared" si="36"/>
        <v>0</v>
      </c>
      <c r="AF820" s="10" t="e">
        <f t="shared" si="37"/>
        <v>#N/A</v>
      </c>
      <c r="AG820" s="3" t="str">
        <f t="shared" si="38"/>
        <v/>
      </c>
    </row>
    <row r="821" spans="1:33" x14ac:dyDescent="0.25">
      <c r="A821" s="7"/>
      <c r="B821" s="8"/>
      <c r="C821" s="3"/>
      <c r="D821" s="3"/>
      <c r="E821" s="3" t="e">
        <f>VLOOKUP(D821,VIAJES!$D:$E,2,FALSE)</f>
        <v>#N/A</v>
      </c>
      <c r="F821" s="9" t="e">
        <f>VLOOKUP(D821,VIAJES!$D:$F,3,FALSE)</f>
        <v>#N/A</v>
      </c>
      <c r="G821" s="9" t="e">
        <f>VLOOKUP(D821,VIAJES!$D:$G,4,FALSE)</f>
        <v>#N/A</v>
      </c>
      <c r="H821" s="3" t="e">
        <f>VLOOKUP(D821,VIAJES!$D:$H,5,FALSE)</f>
        <v>#N/A</v>
      </c>
      <c r="S821" s="3">
        <f>IFERROR(INDEX(EVENTOS!$D:$D,MATCH(SCORE!S$2&amp;" "&amp;SCORE!$D821,EVENTOS!$F:$F,0)),0)</f>
        <v>0</v>
      </c>
      <c r="T821" s="3">
        <f>IFERROR(INDEX(EVENTOS!$D:$D,MATCH(SCORE!T$2&amp;" "&amp;SCORE!$D821,EVENTOS!$F:$F,0)),0)</f>
        <v>0</v>
      </c>
      <c r="U821" s="3">
        <f>IFERROR(INDEX(EVENTOS!$D:$D,MATCH(SCORE!U$2&amp;" "&amp;SCORE!$D821,EVENTOS!$F:$F,0)),0)</f>
        <v>0</v>
      </c>
      <c r="V821" s="3">
        <f>IFERROR(INDEX(EVENTOS!$D:$D,MATCH(SCORE!V$2&amp;" "&amp;SCORE!$D821,EVENTOS!$F:$F,0)),0)</f>
        <v>0</v>
      </c>
      <c r="W821" s="3">
        <f>IFERROR(INDEX(EVENTOS!$D:$D,MATCH(SCORE!W$2&amp;" "&amp;SCORE!$D821,EVENTOS!$F:$F,0)),0)</f>
        <v>0</v>
      </c>
      <c r="X821" s="3">
        <f>IFERROR(INDEX(EVENTOS!$D:$D,MATCH(SCORE!X$2&amp;" "&amp;SCORE!$D821,EVENTOS!$F:$F,0)),0)</f>
        <v>0</v>
      </c>
      <c r="Y821" s="3">
        <f>SUMIFS(EVENTOS!$D:$D, EVENTOS!$B:$B, D821, EVENTOS!$E:$E, "*GirAlto*")</f>
        <v>0</v>
      </c>
      <c r="Z821" s="3">
        <f>SUMIFS(EVENTOS!$D:$D, EVENTOS!$B:$B, D821, EVENTOS!$E:$E, "*GirMed*")</f>
        <v>0</v>
      </c>
      <c r="AA821" s="3">
        <f>SUMIFS(EVENTOS!$D:$D, EVENTOS!$B:$B, D821, EVENTOS!$E:$E, "*GirBajo*")</f>
        <v>0</v>
      </c>
      <c r="AB821" s="3">
        <f>IFERROR(INDEX(EVENTOS!$D:$D,MATCH(SCORE!AB$2&amp;" "&amp;SCORE!$D821,EVENTOS!$F:$F,0)),0)</f>
        <v>0</v>
      </c>
      <c r="AC821" s="3">
        <f>IFERROR(INDEX(EVENTOS!$D:$D,MATCH(SCORE!AC$2&amp;" "&amp;SCORE!$D821,EVENTOS!$F:$F,0)),0)</f>
        <v>0</v>
      </c>
      <c r="AD821" s="3">
        <f>IFERROR(INDEX(EVENTOS!$D:$D,MATCH(SCORE!AD$2&amp;" "&amp;SCORE!$D821,EVENTOS!$F:$F,0)),0)</f>
        <v>0</v>
      </c>
      <c r="AE821" s="3">
        <f t="shared" si="36"/>
        <v>0</v>
      </c>
      <c r="AF821" s="10" t="e">
        <f t="shared" si="37"/>
        <v>#N/A</v>
      </c>
      <c r="AG821" s="3" t="str">
        <f t="shared" si="38"/>
        <v/>
      </c>
    </row>
    <row r="822" spans="1:33" x14ac:dyDescent="0.25">
      <c r="A822" s="7"/>
      <c r="B822" s="8"/>
      <c r="C822" s="3"/>
      <c r="D822" s="3"/>
      <c r="E822" s="3" t="e">
        <f>VLOOKUP(D822,VIAJES!$D:$E,2,FALSE)</f>
        <v>#N/A</v>
      </c>
      <c r="F822" s="9" t="e">
        <f>VLOOKUP(D822,VIAJES!$D:$F,3,FALSE)</f>
        <v>#N/A</v>
      </c>
      <c r="G822" s="9" t="e">
        <f>VLOOKUP(D822,VIAJES!$D:$G,4,FALSE)</f>
        <v>#N/A</v>
      </c>
      <c r="H822" s="3" t="e">
        <f>VLOOKUP(D822,VIAJES!$D:$H,5,FALSE)</f>
        <v>#N/A</v>
      </c>
      <c r="S822" s="3">
        <f>IFERROR(INDEX(EVENTOS!$D:$D,MATCH(SCORE!S$2&amp;" "&amp;SCORE!$D822,EVENTOS!$F:$F,0)),0)</f>
        <v>0</v>
      </c>
      <c r="T822" s="3">
        <f>IFERROR(INDEX(EVENTOS!$D:$D,MATCH(SCORE!T$2&amp;" "&amp;SCORE!$D822,EVENTOS!$F:$F,0)),0)</f>
        <v>0</v>
      </c>
      <c r="U822" s="3">
        <f>IFERROR(INDEX(EVENTOS!$D:$D,MATCH(SCORE!U$2&amp;" "&amp;SCORE!$D822,EVENTOS!$F:$F,0)),0)</f>
        <v>0</v>
      </c>
      <c r="V822" s="3">
        <f>IFERROR(INDEX(EVENTOS!$D:$D,MATCH(SCORE!V$2&amp;" "&amp;SCORE!$D822,EVENTOS!$F:$F,0)),0)</f>
        <v>0</v>
      </c>
      <c r="W822" s="3">
        <f>IFERROR(INDEX(EVENTOS!$D:$D,MATCH(SCORE!W$2&amp;" "&amp;SCORE!$D822,EVENTOS!$F:$F,0)),0)</f>
        <v>0</v>
      </c>
      <c r="X822" s="3">
        <f>IFERROR(INDEX(EVENTOS!$D:$D,MATCH(SCORE!X$2&amp;" "&amp;SCORE!$D822,EVENTOS!$F:$F,0)),0)</f>
        <v>0</v>
      </c>
      <c r="Y822" s="3">
        <f>SUMIFS(EVENTOS!$D:$D, EVENTOS!$B:$B, D822, EVENTOS!$E:$E, "*GirAlto*")</f>
        <v>0</v>
      </c>
      <c r="Z822" s="3">
        <f>SUMIFS(EVENTOS!$D:$D, EVENTOS!$B:$B, D822, EVENTOS!$E:$E, "*GirMed*")</f>
        <v>0</v>
      </c>
      <c r="AA822" s="3">
        <f>SUMIFS(EVENTOS!$D:$D, EVENTOS!$B:$B, D822, EVENTOS!$E:$E, "*GirBajo*")</f>
        <v>0</v>
      </c>
      <c r="AB822" s="3">
        <f>IFERROR(INDEX(EVENTOS!$D:$D,MATCH(SCORE!AB$2&amp;" "&amp;SCORE!$D822,EVENTOS!$F:$F,0)),0)</f>
        <v>0</v>
      </c>
      <c r="AC822" s="3">
        <f>IFERROR(INDEX(EVENTOS!$D:$D,MATCH(SCORE!AC$2&amp;" "&amp;SCORE!$D822,EVENTOS!$F:$F,0)),0)</f>
        <v>0</v>
      </c>
      <c r="AD822" s="3">
        <f>IFERROR(INDEX(EVENTOS!$D:$D,MATCH(SCORE!AD$2&amp;" "&amp;SCORE!$D822,EVENTOS!$F:$F,0)),0)</f>
        <v>0</v>
      </c>
      <c r="AE822" s="3">
        <f t="shared" si="36"/>
        <v>0</v>
      </c>
      <c r="AF822" s="10" t="e">
        <f t="shared" si="37"/>
        <v>#N/A</v>
      </c>
      <c r="AG822" s="3" t="str">
        <f t="shared" si="38"/>
        <v/>
      </c>
    </row>
    <row r="823" spans="1:33" x14ac:dyDescent="0.25">
      <c r="A823" s="7"/>
      <c r="B823" s="8"/>
      <c r="C823" s="3"/>
      <c r="D823" s="3"/>
      <c r="E823" s="3" t="e">
        <f>VLOOKUP(D823,VIAJES!$D:$E,2,FALSE)</f>
        <v>#N/A</v>
      </c>
      <c r="F823" s="9" t="e">
        <f>VLOOKUP(D823,VIAJES!$D:$F,3,FALSE)</f>
        <v>#N/A</v>
      </c>
      <c r="G823" s="9" t="e">
        <f>VLOOKUP(D823,VIAJES!$D:$G,4,FALSE)</f>
        <v>#N/A</v>
      </c>
      <c r="H823" s="3" t="e">
        <f>VLOOKUP(D823,VIAJES!$D:$H,5,FALSE)</f>
        <v>#N/A</v>
      </c>
      <c r="S823" s="3">
        <f>IFERROR(INDEX(EVENTOS!$D:$D,MATCH(SCORE!S$2&amp;" "&amp;SCORE!$D823,EVENTOS!$F:$F,0)),0)</f>
        <v>0</v>
      </c>
      <c r="T823" s="3">
        <f>IFERROR(INDEX(EVENTOS!$D:$D,MATCH(SCORE!T$2&amp;" "&amp;SCORE!$D823,EVENTOS!$F:$F,0)),0)</f>
        <v>0</v>
      </c>
      <c r="U823" s="3">
        <f>IFERROR(INDEX(EVENTOS!$D:$D,MATCH(SCORE!U$2&amp;" "&amp;SCORE!$D823,EVENTOS!$F:$F,0)),0)</f>
        <v>0</v>
      </c>
      <c r="V823" s="3">
        <f>IFERROR(INDEX(EVENTOS!$D:$D,MATCH(SCORE!V$2&amp;" "&amp;SCORE!$D823,EVENTOS!$F:$F,0)),0)</f>
        <v>0</v>
      </c>
      <c r="W823" s="3">
        <f>IFERROR(INDEX(EVENTOS!$D:$D,MATCH(SCORE!W$2&amp;" "&amp;SCORE!$D823,EVENTOS!$F:$F,0)),0)</f>
        <v>0</v>
      </c>
      <c r="X823" s="3">
        <f>IFERROR(INDEX(EVENTOS!$D:$D,MATCH(SCORE!X$2&amp;" "&amp;SCORE!$D823,EVENTOS!$F:$F,0)),0)</f>
        <v>0</v>
      </c>
      <c r="Y823" s="3">
        <f>SUMIFS(EVENTOS!$D:$D, EVENTOS!$B:$B, D823, EVENTOS!$E:$E, "*GirAlto*")</f>
        <v>0</v>
      </c>
      <c r="Z823" s="3">
        <f>SUMIFS(EVENTOS!$D:$D, EVENTOS!$B:$B, D823, EVENTOS!$E:$E, "*GirMed*")</f>
        <v>0</v>
      </c>
      <c r="AA823" s="3">
        <f>SUMIFS(EVENTOS!$D:$D, EVENTOS!$B:$B, D823, EVENTOS!$E:$E, "*GirBajo*")</f>
        <v>0</v>
      </c>
      <c r="AB823" s="3">
        <f>IFERROR(INDEX(EVENTOS!$D:$D,MATCH(SCORE!AB$2&amp;" "&amp;SCORE!$D823,EVENTOS!$F:$F,0)),0)</f>
        <v>0</v>
      </c>
      <c r="AC823" s="3">
        <f>IFERROR(INDEX(EVENTOS!$D:$D,MATCH(SCORE!AC$2&amp;" "&amp;SCORE!$D823,EVENTOS!$F:$F,0)),0)</f>
        <v>0</v>
      </c>
      <c r="AD823" s="3">
        <f>IFERROR(INDEX(EVENTOS!$D:$D,MATCH(SCORE!AD$2&amp;" "&amp;SCORE!$D823,EVENTOS!$F:$F,0)),0)</f>
        <v>0</v>
      </c>
      <c r="AE823" s="3">
        <f t="shared" si="36"/>
        <v>0</v>
      </c>
      <c r="AF823" s="10" t="e">
        <f t="shared" si="37"/>
        <v>#N/A</v>
      </c>
      <c r="AG823" s="3" t="str">
        <f t="shared" si="38"/>
        <v/>
      </c>
    </row>
    <row r="824" spans="1:33" x14ac:dyDescent="0.25">
      <c r="A824" s="7"/>
      <c r="B824" s="8"/>
      <c r="C824" s="3"/>
      <c r="D824" s="3"/>
      <c r="E824" s="3" t="e">
        <f>VLOOKUP(D824,VIAJES!$D:$E,2,FALSE)</f>
        <v>#N/A</v>
      </c>
      <c r="F824" s="9" t="e">
        <f>VLOOKUP(D824,VIAJES!$D:$F,3,FALSE)</f>
        <v>#N/A</v>
      </c>
      <c r="G824" s="9" t="e">
        <f>VLOOKUP(D824,VIAJES!$D:$G,4,FALSE)</f>
        <v>#N/A</v>
      </c>
      <c r="H824" s="3" t="e">
        <f>VLOOKUP(D824,VIAJES!$D:$H,5,FALSE)</f>
        <v>#N/A</v>
      </c>
      <c r="S824" s="3">
        <f>IFERROR(INDEX(EVENTOS!$D:$D,MATCH(SCORE!S$2&amp;" "&amp;SCORE!$D824,EVENTOS!$F:$F,0)),0)</f>
        <v>0</v>
      </c>
      <c r="T824" s="3">
        <f>IFERROR(INDEX(EVENTOS!$D:$D,MATCH(SCORE!T$2&amp;" "&amp;SCORE!$D824,EVENTOS!$F:$F,0)),0)</f>
        <v>0</v>
      </c>
      <c r="U824" s="3">
        <f>IFERROR(INDEX(EVENTOS!$D:$D,MATCH(SCORE!U$2&amp;" "&amp;SCORE!$D824,EVENTOS!$F:$F,0)),0)</f>
        <v>0</v>
      </c>
      <c r="V824" s="3">
        <f>IFERROR(INDEX(EVENTOS!$D:$D,MATCH(SCORE!V$2&amp;" "&amp;SCORE!$D824,EVENTOS!$F:$F,0)),0)</f>
        <v>0</v>
      </c>
      <c r="W824" s="3">
        <f>IFERROR(INDEX(EVENTOS!$D:$D,MATCH(SCORE!W$2&amp;" "&amp;SCORE!$D824,EVENTOS!$F:$F,0)),0)</f>
        <v>0</v>
      </c>
      <c r="X824" s="3">
        <f>IFERROR(INDEX(EVENTOS!$D:$D,MATCH(SCORE!X$2&amp;" "&amp;SCORE!$D824,EVENTOS!$F:$F,0)),0)</f>
        <v>0</v>
      </c>
      <c r="Y824" s="3">
        <f>SUMIFS(EVENTOS!$D:$D, EVENTOS!$B:$B, D824, EVENTOS!$E:$E, "*GirAlto*")</f>
        <v>0</v>
      </c>
      <c r="Z824" s="3">
        <f>SUMIFS(EVENTOS!$D:$D, EVENTOS!$B:$B, D824, EVENTOS!$E:$E, "*GirMed*")</f>
        <v>0</v>
      </c>
      <c r="AA824" s="3">
        <f>SUMIFS(EVENTOS!$D:$D, EVENTOS!$B:$B, D824, EVENTOS!$E:$E, "*GirBajo*")</f>
        <v>0</v>
      </c>
      <c r="AB824" s="3">
        <f>IFERROR(INDEX(EVENTOS!$D:$D,MATCH(SCORE!AB$2&amp;" "&amp;SCORE!$D824,EVENTOS!$F:$F,0)),0)</f>
        <v>0</v>
      </c>
      <c r="AC824" s="3">
        <f>IFERROR(INDEX(EVENTOS!$D:$D,MATCH(SCORE!AC$2&amp;" "&amp;SCORE!$D824,EVENTOS!$F:$F,0)),0)</f>
        <v>0</v>
      </c>
      <c r="AD824" s="3">
        <f>IFERROR(INDEX(EVENTOS!$D:$D,MATCH(SCORE!AD$2&amp;" "&amp;SCORE!$D824,EVENTOS!$F:$F,0)),0)</f>
        <v>0</v>
      </c>
      <c r="AE824" s="3">
        <f t="shared" si="36"/>
        <v>0</v>
      </c>
      <c r="AF824" s="10" t="e">
        <f t="shared" si="37"/>
        <v>#N/A</v>
      </c>
      <c r="AG824" s="3" t="str">
        <f t="shared" si="38"/>
        <v/>
      </c>
    </row>
    <row r="825" spans="1:33" x14ac:dyDescent="0.25">
      <c r="A825" s="7"/>
      <c r="B825" s="8"/>
      <c r="C825" s="3"/>
      <c r="D825" s="3"/>
      <c r="E825" s="3" t="e">
        <f>VLOOKUP(D825,VIAJES!$D:$E,2,FALSE)</f>
        <v>#N/A</v>
      </c>
      <c r="F825" s="9" t="e">
        <f>VLOOKUP(D825,VIAJES!$D:$F,3,FALSE)</f>
        <v>#N/A</v>
      </c>
      <c r="G825" s="9" t="e">
        <f>VLOOKUP(D825,VIAJES!$D:$G,4,FALSE)</f>
        <v>#N/A</v>
      </c>
      <c r="H825" s="3" t="e">
        <f>VLOOKUP(D825,VIAJES!$D:$H,5,FALSE)</f>
        <v>#N/A</v>
      </c>
      <c r="S825" s="3">
        <f>IFERROR(INDEX(EVENTOS!$D:$D,MATCH(SCORE!S$2&amp;" "&amp;SCORE!$D825,EVENTOS!$F:$F,0)),0)</f>
        <v>0</v>
      </c>
      <c r="T825" s="3">
        <f>IFERROR(INDEX(EVENTOS!$D:$D,MATCH(SCORE!T$2&amp;" "&amp;SCORE!$D825,EVENTOS!$F:$F,0)),0)</f>
        <v>0</v>
      </c>
      <c r="U825" s="3">
        <f>IFERROR(INDEX(EVENTOS!$D:$D,MATCH(SCORE!U$2&amp;" "&amp;SCORE!$D825,EVENTOS!$F:$F,0)),0)</f>
        <v>0</v>
      </c>
      <c r="V825" s="3">
        <f>IFERROR(INDEX(EVENTOS!$D:$D,MATCH(SCORE!V$2&amp;" "&amp;SCORE!$D825,EVENTOS!$F:$F,0)),0)</f>
        <v>0</v>
      </c>
      <c r="W825" s="3">
        <f>IFERROR(INDEX(EVENTOS!$D:$D,MATCH(SCORE!W$2&amp;" "&amp;SCORE!$D825,EVENTOS!$F:$F,0)),0)</f>
        <v>0</v>
      </c>
      <c r="X825" s="3">
        <f>IFERROR(INDEX(EVENTOS!$D:$D,MATCH(SCORE!X$2&amp;" "&amp;SCORE!$D825,EVENTOS!$F:$F,0)),0)</f>
        <v>0</v>
      </c>
      <c r="Y825" s="3">
        <f>SUMIFS(EVENTOS!$D:$D, EVENTOS!$B:$B, D825, EVENTOS!$E:$E, "*GirAlto*")</f>
        <v>0</v>
      </c>
      <c r="Z825" s="3">
        <f>SUMIFS(EVENTOS!$D:$D, EVENTOS!$B:$B, D825, EVENTOS!$E:$E, "*GirMed*")</f>
        <v>0</v>
      </c>
      <c r="AA825" s="3">
        <f>SUMIFS(EVENTOS!$D:$D, EVENTOS!$B:$B, D825, EVENTOS!$E:$E, "*GirBajo*")</f>
        <v>0</v>
      </c>
      <c r="AB825" s="3">
        <f>IFERROR(INDEX(EVENTOS!$D:$D,MATCH(SCORE!AB$2&amp;" "&amp;SCORE!$D825,EVENTOS!$F:$F,0)),0)</f>
        <v>0</v>
      </c>
      <c r="AC825" s="3">
        <f>IFERROR(INDEX(EVENTOS!$D:$D,MATCH(SCORE!AC$2&amp;" "&amp;SCORE!$D825,EVENTOS!$F:$F,0)),0)</f>
        <v>0</v>
      </c>
      <c r="AD825" s="3">
        <f>IFERROR(INDEX(EVENTOS!$D:$D,MATCH(SCORE!AD$2&amp;" "&amp;SCORE!$D825,EVENTOS!$F:$F,0)),0)</f>
        <v>0</v>
      </c>
      <c r="AE825" s="3">
        <f t="shared" si="36"/>
        <v>0</v>
      </c>
      <c r="AF825" s="10" t="e">
        <f t="shared" si="37"/>
        <v>#N/A</v>
      </c>
      <c r="AG825" s="3" t="str">
        <f t="shared" si="38"/>
        <v/>
      </c>
    </row>
    <row r="826" spans="1:33" x14ac:dyDescent="0.25">
      <c r="A826" s="7"/>
      <c r="B826" s="8"/>
      <c r="C826" s="3"/>
      <c r="D826" s="3"/>
      <c r="E826" s="3" t="e">
        <f>VLOOKUP(D826,VIAJES!$D:$E,2,FALSE)</f>
        <v>#N/A</v>
      </c>
      <c r="F826" s="9" t="e">
        <f>VLOOKUP(D826,VIAJES!$D:$F,3,FALSE)</f>
        <v>#N/A</v>
      </c>
      <c r="G826" s="9" t="e">
        <f>VLOOKUP(D826,VIAJES!$D:$G,4,FALSE)</f>
        <v>#N/A</v>
      </c>
      <c r="H826" s="3" t="e">
        <f>VLOOKUP(D826,VIAJES!$D:$H,5,FALSE)</f>
        <v>#N/A</v>
      </c>
      <c r="S826" s="3">
        <f>IFERROR(INDEX(EVENTOS!$D:$D,MATCH(SCORE!S$2&amp;" "&amp;SCORE!$D826,EVENTOS!$F:$F,0)),0)</f>
        <v>0</v>
      </c>
      <c r="T826" s="3">
        <f>IFERROR(INDEX(EVENTOS!$D:$D,MATCH(SCORE!T$2&amp;" "&amp;SCORE!$D826,EVENTOS!$F:$F,0)),0)</f>
        <v>0</v>
      </c>
      <c r="U826" s="3">
        <f>IFERROR(INDEX(EVENTOS!$D:$D,MATCH(SCORE!U$2&amp;" "&amp;SCORE!$D826,EVENTOS!$F:$F,0)),0)</f>
        <v>0</v>
      </c>
      <c r="V826" s="3">
        <f>IFERROR(INDEX(EVENTOS!$D:$D,MATCH(SCORE!V$2&amp;" "&amp;SCORE!$D826,EVENTOS!$F:$F,0)),0)</f>
        <v>0</v>
      </c>
      <c r="W826" s="3">
        <f>IFERROR(INDEX(EVENTOS!$D:$D,MATCH(SCORE!W$2&amp;" "&amp;SCORE!$D826,EVENTOS!$F:$F,0)),0)</f>
        <v>0</v>
      </c>
      <c r="X826" s="3">
        <f>IFERROR(INDEX(EVENTOS!$D:$D,MATCH(SCORE!X$2&amp;" "&amp;SCORE!$D826,EVENTOS!$F:$F,0)),0)</f>
        <v>0</v>
      </c>
      <c r="Y826" s="3">
        <f>SUMIFS(EVENTOS!$D:$D, EVENTOS!$B:$B, D826, EVENTOS!$E:$E, "*GirAlto*")</f>
        <v>0</v>
      </c>
      <c r="Z826" s="3">
        <f>SUMIFS(EVENTOS!$D:$D, EVENTOS!$B:$B, D826, EVENTOS!$E:$E, "*GirMed*")</f>
        <v>0</v>
      </c>
      <c r="AA826" s="3">
        <f>SUMIFS(EVENTOS!$D:$D, EVENTOS!$B:$B, D826, EVENTOS!$E:$E, "*GirBajo*")</f>
        <v>0</v>
      </c>
      <c r="AB826" s="3">
        <f>IFERROR(INDEX(EVENTOS!$D:$D,MATCH(SCORE!AB$2&amp;" "&amp;SCORE!$D826,EVENTOS!$F:$F,0)),0)</f>
        <v>0</v>
      </c>
      <c r="AC826" s="3">
        <f>IFERROR(INDEX(EVENTOS!$D:$D,MATCH(SCORE!AC$2&amp;" "&amp;SCORE!$D826,EVENTOS!$F:$F,0)),0)</f>
        <v>0</v>
      </c>
      <c r="AD826" s="3">
        <f>IFERROR(INDEX(EVENTOS!$D:$D,MATCH(SCORE!AD$2&amp;" "&amp;SCORE!$D826,EVENTOS!$F:$F,0)),0)</f>
        <v>0</v>
      </c>
      <c r="AE826" s="3">
        <f t="shared" si="36"/>
        <v>0</v>
      </c>
      <c r="AF826" s="10" t="e">
        <f t="shared" si="37"/>
        <v>#N/A</v>
      </c>
      <c r="AG826" s="3" t="str">
        <f t="shared" si="38"/>
        <v/>
      </c>
    </row>
    <row r="827" spans="1:33" x14ac:dyDescent="0.25">
      <c r="A827" s="7"/>
      <c r="B827" s="8"/>
      <c r="C827" s="3"/>
      <c r="D827" s="3"/>
      <c r="E827" s="3" t="e">
        <f>VLOOKUP(D827,VIAJES!$D:$E,2,FALSE)</f>
        <v>#N/A</v>
      </c>
      <c r="F827" s="9" t="e">
        <f>VLOOKUP(D827,VIAJES!$D:$F,3,FALSE)</f>
        <v>#N/A</v>
      </c>
      <c r="G827" s="9" t="e">
        <f>VLOOKUP(D827,VIAJES!$D:$G,4,FALSE)</f>
        <v>#N/A</v>
      </c>
      <c r="H827" s="3" t="e">
        <f>VLOOKUP(D827,VIAJES!$D:$H,5,FALSE)</f>
        <v>#N/A</v>
      </c>
      <c r="S827" s="3">
        <f>IFERROR(INDEX(EVENTOS!$D:$D,MATCH(SCORE!S$2&amp;" "&amp;SCORE!$D827,EVENTOS!$F:$F,0)),0)</f>
        <v>0</v>
      </c>
      <c r="T827" s="3">
        <f>IFERROR(INDEX(EVENTOS!$D:$D,MATCH(SCORE!T$2&amp;" "&amp;SCORE!$D827,EVENTOS!$F:$F,0)),0)</f>
        <v>0</v>
      </c>
      <c r="U827" s="3">
        <f>IFERROR(INDEX(EVENTOS!$D:$D,MATCH(SCORE!U$2&amp;" "&amp;SCORE!$D827,EVENTOS!$F:$F,0)),0)</f>
        <v>0</v>
      </c>
      <c r="V827" s="3">
        <f>IFERROR(INDEX(EVENTOS!$D:$D,MATCH(SCORE!V$2&amp;" "&amp;SCORE!$D827,EVENTOS!$F:$F,0)),0)</f>
        <v>0</v>
      </c>
      <c r="W827" s="3">
        <f>IFERROR(INDEX(EVENTOS!$D:$D,MATCH(SCORE!W$2&amp;" "&amp;SCORE!$D827,EVENTOS!$F:$F,0)),0)</f>
        <v>0</v>
      </c>
      <c r="X827" s="3">
        <f>IFERROR(INDEX(EVENTOS!$D:$D,MATCH(SCORE!X$2&amp;" "&amp;SCORE!$D827,EVENTOS!$F:$F,0)),0)</f>
        <v>0</v>
      </c>
      <c r="Y827" s="3">
        <f>SUMIFS(EVENTOS!$D:$D, EVENTOS!$B:$B, D827, EVENTOS!$E:$E, "*GirAlto*")</f>
        <v>0</v>
      </c>
      <c r="Z827" s="3">
        <f>SUMIFS(EVENTOS!$D:$D, EVENTOS!$B:$B, D827, EVENTOS!$E:$E, "*GirMed*")</f>
        <v>0</v>
      </c>
      <c r="AA827" s="3">
        <f>SUMIFS(EVENTOS!$D:$D, EVENTOS!$B:$B, D827, EVENTOS!$E:$E, "*GirBajo*")</f>
        <v>0</v>
      </c>
      <c r="AB827" s="3">
        <f>IFERROR(INDEX(EVENTOS!$D:$D,MATCH(SCORE!AB$2&amp;" "&amp;SCORE!$D827,EVENTOS!$F:$F,0)),0)</f>
        <v>0</v>
      </c>
      <c r="AC827" s="3">
        <f>IFERROR(INDEX(EVENTOS!$D:$D,MATCH(SCORE!AC$2&amp;" "&amp;SCORE!$D827,EVENTOS!$F:$F,0)),0)</f>
        <v>0</v>
      </c>
      <c r="AD827" s="3">
        <f>IFERROR(INDEX(EVENTOS!$D:$D,MATCH(SCORE!AD$2&amp;" "&amp;SCORE!$D827,EVENTOS!$F:$F,0)),0)</f>
        <v>0</v>
      </c>
      <c r="AE827" s="3">
        <f t="shared" si="36"/>
        <v>0</v>
      </c>
      <c r="AF827" s="10" t="e">
        <f t="shared" si="37"/>
        <v>#N/A</v>
      </c>
      <c r="AG827" s="3" t="str">
        <f t="shared" si="38"/>
        <v/>
      </c>
    </row>
    <row r="828" spans="1:33" x14ac:dyDescent="0.25">
      <c r="A828" s="7"/>
      <c r="B828" s="8"/>
      <c r="C828" s="3"/>
      <c r="D828" s="3"/>
      <c r="E828" s="3" t="e">
        <f>VLOOKUP(D828,VIAJES!$D:$E,2,FALSE)</f>
        <v>#N/A</v>
      </c>
      <c r="F828" s="9" t="e">
        <f>VLOOKUP(D828,VIAJES!$D:$F,3,FALSE)</f>
        <v>#N/A</v>
      </c>
      <c r="G828" s="9" t="e">
        <f>VLOOKUP(D828,VIAJES!$D:$G,4,FALSE)</f>
        <v>#N/A</v>
      </c>
      <c r="H828" s="3" t="e">
        <f>VLOOKUP(D828,VIAJES!$D:$H,5,FALSE)</f>
        <v>#N/A</v>
      </c>
      <c r="S828" s="3">
        <f>IFERROR(INDEX(EVENTOS!$D:$D,MATCH(SCORE!S$2&amp;" "&amp;SCORE!$D828,EVENTOS!$F:$F,0)),0)</f>
        <v>0</v>
      </c>
      <c r="T828" s="3">
        <f>IFERROR(INDEX(EVENTOS!$D:$D,MATCH(SCORE!T$2&amp;" "&amp;SCORE!$D828,EVENTOS!$F:$F,0)),0)</f>
        <v>0</v>
      </c>
      <c r="U828" s="3">
        <f>IFERROR(INDEX(EVENTOS!$D:$D,MATCH(SCORE!U$2&amp;" "&amp;SCORE!$D828,EVENTOS!$F:$F,0)),0)</f>
        <v>0</v>
      </c>
      <c r="V828" s="3">
        <f>IFERROR(INDEX(EVENTOS!$D:$D,MATCH(SCORE!V$2&amp;" "&amp;SCORE!$D828,EVENTOS!$F:$F,0)),0)</f>
        <v>0</v>
      </c>
      <c r="W828" s="3">
        <f>IFERROR(INDEX(EVENTOS!$D:$D,MATCH(SCORE!W$2&amp;" "&amp;SCORE!$D828,EVENTOS!$F:$F,0)),0)</f>
        <v>0</v>
      </c>
      <c r="X828" s="3">
        <f>IFERROR(INDEX(EVENTOS!$D:$D,MATCH(SCORE!X$2&amp;" "&amp;SCORE!$D828,EVENTOS!$F:$F,0)),0)</f>
        <v>0</v>
      </c>
      <c r="Y828" s="3">
        <f>SUMIFS(EVENTOS!$D:$D, EVENTOS!$B:$B, D828, EVENTOS!$E:$E, "*GirAlto*")</f>
        <v>0</v>
      </c>
      <c r="Z828" s="3">
        <f>SUMIFS(EVENTOS!$D:$D, EVENTOS!$B:$B, D828, EVENTOS!$E:$E, "*GirMed*")</f>
        <v>0</v>
      </c>
      <c r="AA828" s="3">
        <f>SUMIFS(EVENTOS!$D:$D, EVENTOS!$B:$B, D828, EVENTOS!$E:$E, "*GirBajo*")</f>
        <v>0</v>
      </c>
      <c r="AB828" s="3">
        <f>IFERROR(INDEX(EVENTOS!$D:$D,MATCH(SCORE!AB$2&amp;" "&amp;SCORE!$D828,EVENTOS!$F:$F,0)),0)</f>
        <v>0</v>
      </c>
      <c r="AC828" s="3">
        <f>IFERROR(INDEX(EVENTOS!$D:$D,MATCH(SCORE!AC$2&amp;" "&amp;SCORE!$D828,EVENTOS!$F:$F,0)),0)</f>
        <v>0</v>
      </c>
      <c r="AD828" s="3">
        <f>IFERROR(INDEX(EVENTOS!$D:$D,MATCH(SCORE!AD$2&amp;" "&amp;SCORE!$D828,EVENTOS!$F:$F,0)),0)</f>
        <v>0</v>
      </c>
      <c r="AE828" s="3">
        <f t="shared" si="36"/>
        <v>0</v>
      </c>
      <c r="AF828" s="10" t="e">
        <f t="shared" si="37"/>
        <v>#N/A</v>
      </c>
      <c r="AG828" s="3" t="str">
        <f t="shared" si="38"/>
        <v/>
      </c>
    </row>
    <row r="829" spans="1:33" x14ac:dyDescent="0.25">
      <c r="A829" s="7"/>
      <c r="B829" s="8"/>
      <c r="C829" s="3"/>
      <c r="D829" s="3"/>
      <c r="E829" s="3" t="e">
        <f>VLOOKUP(D829,VIAJES!$D:$E,2,FALSE)</f>
        <v>#N/A</v>
      </c>
      <c r="F829" s="9" t="e">
        <f>VLOOKUP(D829,VIAJES!$D:$F,3,FALSE)</f>
        <v>#N/A</v>
      </c>
      <c r="G829" s="9" t="e">
        <f>VLOOKUP(D829,VIAJES!$D:$G,4,FALSE)</f>
        <v>#N/A</v>
      </c>
      <c r="H829" s="3" t="e">
        <f>VLOOKUP(D829,VIAJES!$D:$H,5,FALSE)</f>
        <v>#N/A</v>
      </c>
      <c r="S829" s="3">
        <f>IFERROR(INDEX(EVENTOS!$D:$D,MATCH(SCORE!S$2&amp;" "&amp;SCORE!$D829,EVENTOS!$F:$F,0)),0)</f>
        <v>0</v>
      </c>
      <c r="T829" s="3">
        <f>IFERROR(INDEX(EVENTOS!$D:$D,MATCH(SCORE!T$2&amp;" "&amp;SCORE!$D829,EVENTOS!$F:$F,0)),0)</f>
        <v>0</v>
      </c>
      <c r="U829" s="3">
        <f>IFERROR(INDEX(EVENTOS!$D:$D,MATCH(SCORE!U$2&amp;" "&amp;SCORE!$D829,EVENTOS!$F:$F,0)),0)</f>
        <v>0</v>
      </c>
      <c r="V829" s="3">
        <f>IFERROR(INDEX(EVENTOS!$D:$D,MATCH(SCORE!V$2&amp;" "&amp;SCORE!$D829,EVENTOS!$F:$F,0)),0)</f>
        <v>0</v>
      </c>
      <c r="W829" s="3">
        <f>IFERROR(INDEX(EVENTOS!$D:$D,MATCH(SCORE!W$2&amp;" "&amp;SCORE!$D829,EVENTOS!$F:$F,0)),0)</f>
        <v>0</v>
      </c>
      <c r="X829" s="3">
        <f>IFERROR(INDEX(EVENTOS!$D:$D,MATCH(SCORE!X$2&amp;" "&amp;SCORE!$D829,EVENTOS!$F:$F,0)),0)</f>
        <v>0</v>
      </c>
      <c r="Y829" s="3">
        <f>SUMIFS(EVENTOS!$D:$D, EVENTOS!$B:$B, D829, EVENTOS!$E:$E, "*GirAlto*")</f>
        <v>0</v>
      </c>
      <c r="Z829" s="3">
        <f>SUMIFS(EVENTOS!$D:$D, EVENTOS!$B:$B, D829, EVENTOS!$E:$E, "*GirMed*")</f>
        <v>0</v>
      </c>
      <c r="AA829" s="3">
        <f>SUMIFS(EVENTOS!$D:$D, EVENTOS!$B:$B, D829, EVENTOS!$E:$E, "*GirBajo*")</f>
        <v>0</v>
      </c>
      <c r="AB829" s="3">
        <f>IFERROR(INDEX(EVENTOS!$D:$D,MATCH(SCORE!AB$2&amp;" "&amp;SCORE!$D829,EVENTOS!$F:$F,0)),0)</f>
        <v>0</v>
      </c>
      <c r="AC829" s="3">
        <f>IFERROR(INDEX(EVENTOS!$D:$D,MATCH(SCORE!AC$2&amp;" "&amp;SCORE!$D829,EVENTOS!$F:$F,0)),0)</f>
        <v>0</v>
      </c>
      <c r="AD829" s="3">
        <f>IFERROR(INDEX(EVENTOS!$D:$D,MATCH(SCORE!AD$2&amp;" "&amp;SCORE!$D829,EVENTOS!$F:$F,0)),0)</f>
        <v>0</v>
      </c>
      <c r="AE829" s="3">
        <f t="shared" si="36"/>
        <v>0</v>
      </c>
      <c r="AF829" s="10" t="e">
        <f t="shared" si="37"/>
        <v>#N/A</v>
      </c>
      <c r="AG829" s="3" t="str">
        <f t="shared" si="38"/>
        <v/>
      </c>
    </row>
    <row r="830" spans="1:33" x14ac:dyDescent="0.25">
      <c r="A830" s="7"/>
      <c r="B830" s="8"/>
      <c r="C830" s="3"/>
      <c r="D830" s="3"/>
      <c r="E830" s="3" t="e">
        <f>VLOOKUP(D830,VIAJES!$D:$E,2,FALSE)</f>
        <v>#N/A</v>
      </c>
      <c r="F830" s="9" t="e">
        <f>VLOOKUP(D830,VIAJES!$D:$F,3,FALSE)</f>
        <v>#N/A</v>
      </c>
      <c r="G830" s="9" t="e">
        <f>VLOOKUP(D830,VIAJES!$D:$G,4,FALSE)</f>
        <v>#N/A</v>
      </c>
      <c r="H830" s="3" t="e">
        <f>VLOOKUP(D830,VIAJES!$D:$H,5,FALSE)</f>
        <v>#N/A</v>
      </c>
      <c r="S830" s="3">
        <f>IFERROR(INDEX(EVENTOS!$D:$D,MATCH(SCORE!S$2&amp;" "&amp;SCORE!$D830,EVENTOS!$F:$F,0)),0)</f>
        <v>0</v>
      </c>
      <c r="T830" s="3">
        <f>IFERROR(INDEX(EVENTOS!$D:$D,MATCH(SCORE!T$2&amp;" "&amp;SCORE!$D830,EVENTOS!$F:$F,0)),0)</f>
        <v>0</v>
      </c>
      <c r="U830" s="3">
        <f>IFERROR(INDEX(EVENTOS!$D:$D,MATCH(SCORE!U$2&amp;" "&amp;SCORE!$D830,EVENTOS!$F:$F,0)),0)</f>
        <v>0</v>
      </c>
      <c r="V830" s="3">
        <f>IFERROR(INDEX(EVENTOS!$D:$D,MATCH(SCORE!V$2&amp;" "&amp;SCORE!$D830,EVENTOS!$F:$F,0)),0)</f>
        <v>0</v>
      </c>
      <c r="W830" s="3">
        <f>IFERROR(INDEX(EVENTOS!$D:$D,MATCH(SCORE!W$2&amp;" "&amp;SCORE!$D830,EVENTOS!$F:$F,0)),0)</f>
        <v>0</v>
      </c>
      <c r="X830" s="3">
        <f>IFERROR(INDEX(EVENTOS!$D:$D,MATCH(SCORE!X$2&amp;" "&amp;SCORE!$D830,EVENTOS!$F:$F,0)),0)</f>
        <v>0</v>
      </c>
      <c r="Y830" s="3">
        <f>SUMIFS(EVENTOS!$D:$D, EVENTOS!$B:$B, D830, EVENTOS!$E:$E, "*GirAlto*")</f>
        <v>0</v>
      </c>
      <c r="Z830" s="3">
        <f>SUMIFS(EVENTOS!$D:$D, EVENTOS!$B:$B, D830, EVENTOS!$E:$E, "*GirMed*")</f>
        <v>0</v>
      </c>
      <c r="AA830" s="3">
        <f>SUMIFS(EVENTOS!$D:$D, EVENTOS!$B:$B, D830, EVENTOS!$E:$E, "*GirBajo*")</f>
        <v>0</v>
      </c>
      <c r="AB830" s="3">
        <f>IFERROR(INDEX(EVENTOS!$D:$D,MATCH(SCORE!AB$2&amp;" "&amp;SCORE!$D830,EVENTOS!$F:$F,0)),0)</f>
        <v>0</v>
      </c>
      <c r="AC830" s="3">
        <f>IFERROR(INDEX(EVENTOS!$D:$D,MATCH(SCORE!AC$2&amp;" "&amp;SCORE!$D830,EVENTOS!$F:$F,0)),0)</f>
        <v>0</v>
      </c>
      <c r="AD830" s="3">
        <f>IFERROR(INDEX(EVENTOS!$D:$D,MATCH(SCORE!AD$2&amp;" "&amp;SCORE!$D830,EVENTOS!$F:$F,0)),0)</f>
        <v>0</v>
      </c>
      <c r="AE830" s="3">
        <f t="shared" si="36"/>
        <v>0</v>
      </c>
      <c r="AF830" s="10" t="e">
        <f t="shared" si="37"/>
        <v>#N/A</v>
      </c>
      <c r="AG830" s="3" t="str">
        <f t="shared" si="38"/>
        <v/>
      </c>
    </row>
    <row r="831" spans="1:33" x14ac:dyDescent="0.25">
      <c r="A831" s="7"/>
      <c r="B831" s="8"/>
      <c r="C831" s="3"/>
      <c r="D831" s="3"/>
      <c r="E831" s="3" t="e">
        <f>VLOOKUP(D831,VIAJES!$D:$E,2,FALSE)</f>
        <v>#N/A</v>
      </c>
      <c r="F831" s="9" t="e">
        <f>VLOOKUP(D831,VIAJES!$D:$F,3,FALSE)</f>
        <v>#N/A</v>
      </c>
      <c r="G831" s="9" t="e">
        <f>VLOOKUP(D831,VIAJES!$D:$G,4,FALSE)</f>
        <v>#N/A</v>
      </c>
      <c r="H831" s="3" t="e">
        <f>VLOOKUP(D831,VIAJES!$D:$H,5,FALSE)</f>
        <v>#N/A</v>
      </c>
      <c r="S831" s="3">
        <f>IFERROR(INDEX(EVENTOS!$D:$D,MATCH(SCORE!S$2&amp;" "&amp;SCORE!$D831,EVENTOS!$F:$F,0)),0)</f>
        <v>0</v>
      </c>
      <c r="T831" s="3">
        <f>IFERROR(INDEX(EVENTOS!$D:$D,MATCH(SCORE!T$2&amp;" "&amp;SCORE!$D831,EVENTOS!$F:$F,0)),0)</f>
        <v>0</v>
      </c>
      <c r="U831" s="3">
        <f>IFERROR(INDEX(EVENTOS!$D:$D,MATCH(SCORE!U$2&amp;" "&amp;SCORE!$D831,EVENTOS!$F:$F,0)),0)</f>
        <v>0</v>
      </c>
      <c r="V831" s="3">
        <f>IFERROR(INDEX(EVENTOS!$D:$D,MATCH(SCORE!V$2&amp;" "&amp;SCORE!$D831,EVENTOS!$F:$F,0)),0)</f>
        <v>0</v>
      </c>
      <c r="W831" s="3">
        <f>IFERROR(INDEX(EVENTOS!$D:$D,MATCH(SCORE!W$2&amp;" "&amp;SCORE!$D831,EVENTOS!$F:$F,0)),0)</f>
        <v>0</v>
      </c>
      <c r="X831" s="3">
        <f>IFERROR(INDEX(EVENTOS!$D:$D,MATCH(SCORE!X$2&amp;" "&amp;SCORE!$D831,EVENTOS!$F:$F,0)),0)</f>
        <v>0</v>
      </c>
      <c r="Y831" s="3">
        <f>SUMIFS(EVENTOS!$D:$D, EVENTOS!$B:$B, D831, EVENTOS!$E:$E, "*GirAlto*")</f>
        <v>0</v>
      </c>
      <c r="Z831" s="3">
        <f>SUMIFS(EVENTOS!$D:$D, EVENTOS!$B:$B, D831, EVENTOS!$E:$E, "*GirMed*")</f>
        <v>0</v>
      </c>
      <c r="AA831" s="3">
        <f>SUMIFS(EVENTOS!$D:$D, EVENTOS!$B:$B, D831, EVENTOS!$E:$E, "*GirBajo*")</f>
        <v>0</v>
      </c>
      <c r="AB831" s="3">
        <f>IFERROR(INDEX(EVENTOS!$D:$D,MATCH(SCORE!AB$2&amp;" "&amp;SCORE!$D831,EVENTOS!$F:$F,0)),0)</f>
        <v>0</v>
      </c>
      <c r="AC831" s="3">
        <f>IFERROR(INDEX(EVENTOS!$D:$D,MATCH(SCORE!AC$2&amp;" "&amp;SCORE!$D831,EVENTOS!$F:$F,0)),0)</f>
        <v>0</v>
      </c>
      <c r="AD831" s="3">
        <f>IFERROR(INDEX(EVENTOS!$D:$D,MATCH(SCORE!AD$2&amp;" "&amp;SCORE!$D831,EVENTOS!$F:$F,0)),0)</f>
        <v>0</v>
      </c>
      <c r="AE831" s="3">
        <f t="shared" si="36"/>
        <v>0</v>
      </c>
      <c r="AF831" s="10" t="e">
        <f t="shared" si="37"/>
        <v>#N/A</v>
      </c>
      <c r="AG831" s="3" t="str">
        <f t="shared" si="38"/>
        <v/>
      </c>
    </row>
    <row r="832" spans="1:33" x14ac:dyDescent="0.25">
      <c r="A832" s="7"/>
      <c r="B832" s="8"/>
      <c r="C832" s="3"/>
      <c r="D832" s="3"/>
      <c r="E832" s="3" t="e">
        <f>VLOOKUP(D832,VIAJES!$D:$E,2,FALSE)</f>
        <v>#N/A</v>
      </c>
      <c r="F832" s="9" t="e">
        <f>VLOOKUP(D832,VIAJES!$D:$F,3,FALSE)</f>
        <v>#N/A</v>
      </c>
      <c r="G832" s="9" t="e">
        <f>VLOOKUP(D832,VIAJES!$D:$G,4,FALSE)</f>
        <v>#N/A</v>
      </c>
      <c r="H832" s="3" t="e">
        <f>VLOOKUP(D832,VIAJES!$D:$H,5,FALSE)</f>
        <v>#N/A</v>
      </c>
      <c r="S832" s="3">
        <f>IFERROR(INDEX(EVENTOS!$D:$D,MATCH(SCORE!S$2&amp;" "&amp;SCORE!$D832,EVENTOS!$F:$F,0)),0)</f>
        <v>0</v>
      </c>
      <c r="T832" s="3">
        <f>IFERROR(INDEX(EVENTOS!$D:$D,MATCH(SCORE!T$2&amp;" "&amp;SCORE!$D832,EVENTOS!$F:$F,0)),0)</f>
        <v>0</v>
      </c>
      <c r="U832" s="3">
        <f>IFERROR(INDEX(EVENTOS!$D:$D,MATCH(SCORE!U$2&amp;" "&amp;SCORE!$D832,EVENTOS!$F:$F,0)),0)</f>
        <v>0</v>
      </c>
      <c r="V832" s="3">
        <f>IFERROR(INDEX(EVENTOS!$D:$D,MATCH(SCORE!V$2&amp;" "&amp;SCORE!$D832,EVENTOS!$F:$F,0)),0)</f>
        <v>0</v>
      </c>
      <c r="W832" s="3">
        <f>IFERROR(INDEX(EVENTOS!$D:$D,MATCH(SCORE!W$2&amp;" "&amp;SCORE!$D832,EVENTOS!$F:$F,0)),0)</f>
        <v>0</v>
      </c>
      <c r="X832" s="3">
        <f>IFERROR(INDEX(EVENTOS!$D:$D,MATCH(SCORE!X$2&amp;" "&amp;SCORE!$D832,EVENTOS!$F:$F,0)),0)</f>
        <v>0</v>
      </c>
      <c r="Y832" s="3">
        <f>SUMIFS(EVENTOS!$D:$D, EVENTOS!$B:$B, D832, EVENTOS!$E:$E, "*GirAlto*")</f>
        <v>0</v>
      </c>
      <c r="Z832" s="3">
        <f>SUMIFS(EVENTOS!$D:$D, EVENTOS!$B:$B, D832, EVENTOS!$E:$E, "*GirMed*")</f>
        <v>0</v>
      </c>
      <c r="AA832" s="3">
        <f>SUMIFS(EVENTOS!$D:$D, EVENTOS!$B:$B, D832, EVENTOS!$E:$E, "*GirBajo*")</f>
        <v>0</v>
      </c>
      <c r="AB832" s="3">
        <f>IFERROR(INDEX(EVENTOS!$D:$D,MATCH(SCORE!AB$2&amp;" "&amp;SCORE!$D832,EVENTOS!$F:$F,0)),0)</f>
        <v>0</v>
      </c>
      <c r="AC832" s="3">
        <f>IFERROR(INDEX(EVENTOS!$D:$D,MATCH(SCORE!AC$2&amp;" "&amp;SCORE!$D832,EVENTOS!$F:$F,0)),0)</f>
        <v>0</v>
      </c>
      <c r="AD832" s="3">
        <f>IFERROR(INDEX(EVENTOS!$D:$D,MATCH(SCORE!AD$2&amp;" "&amp;SCORE!$D832,EVENTOS!$F:$F,0)),0)</f>
        <v>0</v>
      </c>
      <c r="AE832" s="3">
        <f t="shared" si="36"/>
        <v>0</v>
      </c>
      <c r="AF832" s="10" t="e">
        <f t="shared" si="37"/>
        <v>#N/A</v>
      </c>
      <c r="AG832" s="3" t="str">
        <f t="shared" si="38"/>
        <v/>
      </c>
    </row>
    <row r="833" spans="1:33" x14ac:dyDescent="0.25">
      <c r="A833" s="7"/>
      <c r="B833" s="8"/>
      <c r="C833" s="3"/>
      <c r="D833" s="3"/>
      <c r="E833" s="3" t="e">
        <f>VLOOKUP(D833,VIAJES!$D:$E,2,FALSE)</f>
        <v>#N/A</v>
      </c>
      <c r="F833" s="9" t="e">
        <f>VLOOKUP(D833,VIAJES!$D:$F,3,FALSE)</f>
        <v>#N/A</v>
      </c>
      <c r="G833" s="9" t="e">
        <f>VLOOKUP(D833,VIAJES!$D:$G,4,FALSE)</f>
        <v>#N/A</v>
      </c>
      <c r="H833" s="3" t="e">
        <f>VLOOKUP(D833,VIAJES!$D:$H,5,FALSE)</f>
        <v>#N/A</v>
      </c>
      <c r="S833" s="3">
        <f>IFERROR(INDEX(EVENTOS!$D:$D,MATCH(SCORE!S$2&amp;" "&amp;SCORE!$D833,EVENTOS!$F:$F,0)),0)</f>
        <v>0</v>
      </c>
      <c r="T833" s="3">
        <f>IFERROR(INDEX(EVENTOS!$D:$D,MATCH(SCORE!T$2&amp;" "&amp;SCORE!$D833,EVENTOS!$F:$F,0)),0)</f>
        <v>0</v>
      </c>
      <c r="U833" s="3">
        <f>IFERROR(INDEX(EVENTOS!$D:$D,MATCH(SCORE!U$2&amp;" "&amp;SCORE!$D833,EVENTOS!$F:$F,0)),0)</f>
        <v>0</v>
      </c>
      <c r="V833" s="3">
        <f>IFERROR(INDEX(EVENTOS!$D:$D,MATCH(SCORE!V$2&amp;" "&amp;SCORE!$D833,EVENTOS!$F:$F,0)),0)</f>
        <v>0</v>
      </c>
      <c r="W833" s="3">
        <f>IFERROR(INDEX(EVENTOS!$D:$D,MATCH(SCORE!W$2&amp;" "&amp;SCORE!$D833,EVENTOS!$F:$F,0)),0)</f>
        <v>0</v>
      </c>
      <c r="X833" s="3">
        <f>IFERROR(INDEX(EVENTOS!$D:$D,MATCH(SCORE!X$2&amp;" "&amp;SCORE!$D833,EVENTOS!$F:$F,0)),0)</f>
        <v>0</v>
      </c>
      <c r="Y833" s="3">
        <f>SUMIFS(EVENTOS!$D:$D, EVENTOS!$B:$B, D833, EVENTOS!$E:$E, "*GirAlto*")</f>
        <v>0</v>
      </c>
      <c r="Z833" s="3">
        <f>SUMIFS(EVENTOS!$D:$D, EVENTOS!$B:$B, D833, EVENTOS!$E:$E, "*GirMed*")</f>
        <v>0</v>
      </c>
      <c r="AA833" s="3">
        <f>SUMIFS(EVENTOS!$D:$D, EVENTOS!$B:$B, D833, EVENTOS!$E:$E, "*GirBajo*")</f>
        <v>0</v>
      </c>
      <c r="AB833" s="3">
        <f>IFERROR(INDEX(EVENTOS!$D:$D,MATCH(SCORE!AB$2&amp;" "&amp;SCORE!$D833,EVENTOS!$F:$F,0)),0)</f>
        <v>0</v>
      </c>
      <c r="AC833" s="3">
        <f>IFERROR(INDEX(EVENTOS!$D:$D,MATCH(SCORE!AC$2&amp;" "&amp;SCORE!$D833,EVENTOS!$F:$F,0)),0)</f>
        <v>0</v>
      </c>
      <c r="AD833" s="3">
        <f>IFERROR(INDEX(EVENTOS!$D:$D,MATCH(SCORE!AD$2&amp;" "&amp;SCORE!$D833,EVENTOS!$F:$F,0)),0)</f>
        <v>0</v>
      </c>
      <c r="AE833" s="3">
        <f t="shared" si="36"/>
        <v>0</v>
      </c>
      <c r="AF833" s="10" t="e">
        <f t="shared" si="37"/>
        <v>#N/A</v>
      </c>
      <c r="AG833" s="3" t="str">
        <f t="shared" si="38"/>
        <v/>
      </c>
    </row>
    <row r="834" spans="1:33" x14ac:dyDescent="0.25">
      <c r="A834" s="7"/>
      <c r="B834" s="8"/>
      <c r="C834" s="3"/>
      <c r="D834" s="3"/>
      <c r="E834" s="3" t="e">
        <f>VLOOKUP(D834,VIAJES!$D:$E,2,FALSE)</f>
        <v>#N/A</v>
      </c>
      <c r="F834" s="9" t="e">
        <f>VLOOKUP(D834,VIAJES!$D:$F,3,FALSE)</f>
        <v>#N/A</v>
      </c>
      <c r="G834" s="9" t="e">
        <f>VLOOKUP(D834,VIAJES!$D:$G,4,FALSE)</f>
        <v>#N/A</v>
      </c>
      <c r="H834" s="3" t="e">
        <f>VLOOKUP(D834,VIAJES!$D:$H,5,FALSE)</f>
        <v>#N/A</v>
      </c>
      <c r="S834" s="3">
        <f>IFERROR(INDEX(EVENTOS!$D:$D,MATCH(SCORE!S$2&amp;" "&amp;SCORE!$D834,EVENTOS!$F:$F,0)),0)</f>
        <v>0</v>
      </c>
      <c r="T834" s="3">
        <f>IFERROR(INDEX(EVENTOS!$D:$D,MATCH(SCORE!T$2&amp;" "&amp;SCORE!$D834,EVENTOS!$F:$F,0)),0)</f>
        <v>0</v>
      </c>
      <c r="U834" s="3">
        <f>IFERROR(INDEX(EVENTOS!$D:$D,MATCH(SCORE!U$2&amp;" "&amp;SCORE!$D834,EVENTOS!$F:$F,0)),0)</f>
        <v>0</v>
      </c>
      <c r="V834" s="3">
        <f>IFERROR(INDEX(EVENTOS!$D:$D,MATCH(SCORE!V$2&amp;" "&amp;SCORE!$D834,EVENTOS!$F:$F,0)),0)</f>
        <v>0</v>
      </c>
      <c r="W834" s="3">
        <f>IFERROR(INDEX(EVENTOS!$D:$D,MATCH(SCORE!W$2&amp;" "&amp;SCORE!$D834,EVENTOS!$F:$F,0)),0)</f>
        <v>0</v>
      </c>
      <c r="X834" s="3">
        <f>IFERROR(INDEX(EVENTOS!$D:$D,MATCH(SCORE!X$2&amp;" "&amp;SCORE!$D834,EVENTOS!$F:$F,0)),0)</f>
        <v>0</v>
      </c>
      <c r="Y834" s="3">
        <f>SUMIFS(EVENTOS!$D:$D, EVENTOS!$B:$B, D834, EVENTOS!$E:$E, "*GirAlto*")</f>
        <v>0</v>
      </c>
      <c r="Z834" s="3">
        <f>SUMIFS(EVENTOS!$D:$D, EVENTOS!$B:$B, D834, EVENTOS!$E:$E, "*GirMed*")</f>
        <v>0</v>
      </c>
      <c r="AA834" s="3">
        <f>SUMIFS(EVENTOS!$D:$D, EVENTOS!$B:$B, D834, EVENTOS!$E:$E, "*GirBajo*")</f>
        <v>0</v>
      </c>
      <c r="AB834" s="3">
        <f>IFERROR(INDEX(EVENTOS!$D:$D,MATCH(SCORE!AB$2&amp;" "&amp;SCORE!$D834,EVENTOS!$F:$F,0)),0)</f>
        <v>0</v>
      </c>
      <c r="AC834" s="3">
        <f>IFERROR(INDEX(EVENTOS!$D:$D,MATCH(SCORE!AC$2&amp;" "&amp;SCORE!$D834,EVENTOS!$F:$F,0)),0)</f>
        <v>0</v>
      </c>
      <c r="AD834" s="3">
        <f>IFERROR(INDEX(EVENTOS!$D:$D,MATCH(SCORE!AD$2&amp;" "&amp;SCORE!$D834,EVENTOS!$F:$F,0)),0)</f>
        <v>0</v>
      </c>
      <c r="AE834" s="3">
        <f t="shared" si="36"/>
        <v>0</v>
      </c>
      <c r="AF834" s="10" t="e">
        <f t="shared" si="37"/>
        <v>#N/A</v>
      </c>
      <c r="AG834" s="3" t="str">
        <f t="shared" si="38"/>
        <v/>
      </c>
    </row>
    <row r="835" spans="1:33" x14ac:dyDescent="0.25">
      <c r="A835" s="7"/>
      <c r="B835" s="8"/>
      <c r="C835" s="3"/>
      <c r="D835" s="3"/>
      <c r="E835" s="3" t="e">
        <f>VLOOKUP(D835,VIAJES!$D:$E,2,FALSE)</f>
        <v>#N/A</v>
      </c>
      <c r="F835" s="9" t="e">
        <f>VLOOKUP(D835,VIAJES!$D:$F,3,FALSE)</f>
        <v>#N/A</v>
      </c>
      <c r="G835" s="9" t="e">
        <f>VLOOKUP(D835,VIAJES!$D:$G,4,FALSE)</f>
        <v>#N/A</v>
      </c>
      <c r="H835" s="3" t="e">
        <f>VLOOKUP(D835,VIAJES!$D:$H,5,FALSE)</f>
        <v>#N/A</v>
      </c>
      <c r="S835" s="3">
        <f>IFERROR(INDEX(EVENTOS!$D:$D,MATCH(SCORE!S$2&amp;" "&amp;SCORE!$D835,EVENTOS!$F:$F,0)),0)</f>
        <v>0</v>
      </c>
      <c r="T835" s="3">
        <f>IFERROR(INDEX(EVENTOS!$D:$D,MATCH(SCORE!T$2&amp;" "&amp;SCORE!$D835,EVENTOS!$F:$F,0)),0)</f>
        <v>0</v>
      </c>
      <c r="U835" s="3">
        <f>IFERROR(INDEX(EVENTOS!$D:$D,MATCH(SCORE!U$2&amp;" "&amp;SCORE!$D835,EVENTOS!$F:$F,0)),0)</f>
        <v>0</v>
      </c>
      <c r="V835" s="3">
        <f>IFERROR(INDEX(EVENTOS!$D:$D,MATCH(SCORE!V$2&amp;" "&amp;SCORE!$D835,EVENTOS!$F:$F,0)),0)</f>
        <v>0</v>
      </c>
      <c r="W835" s="3">
        <f>IFERROR(INDEX(EVENTOS!$D:$D,MATCH(SCORE!W$2&amp;" "&amp;SCORE!$D835,EVENTOS!$F:$F,0)),0)</f>
        <v>0</v>
      </c>
      <c r="X835" s="3">
        <f>IFERROR(INDEX(EVENTOS!$D:$D,MATCH(SCORE!X$2&amp;" "&amp;SCORE!$D835,EVENTOS!$F:$F,0)),0)</f>
        <v>0</v>
      </c>
      <c r="Y835" s="3">
        <f>SUMIFS(EVENTOS!$D:$D, EVENTOS!$B:$B, D835, EVENTOS!$E:$E, "*GirAlto*")</f>
        <v>0</v>
      </c>
      <c r="Z835" s="3">
        <f>SUMIFS(EVENTOS!$D:$D, EVENTOS!$B:$B, D835, EVENTOS!$E:$E, "*GirMed*")</f>
        <v>0</v>
      </c>
      <c r="AA835" s="3">
        <f>SUMIFS(EVENTOS!$D:$D, EVENTOS!$B:$B, D835, EVENTOS!$E:$E, "*GirBajo*")</f>
        <v>0</v>
      </c>
      <c r="AB835" s="3">
        <f>IFERROR(INDEX(EVENTOS!$D:$D,MATCH(SCORE!AB$2&amp;" "&amp;SCORE!$D835,EVENTOS!$F:$F,0)),0)</f>
        <v>0</v>
      </c>
      <c r="AC835" s="3">
        <f>IFERROR(INDEX(EVENTOS!$D:$D,MATCH(SCORE!AC$2&amp;" "&amp;SCORE!$D835,EVENTOS!$F:$F,0)),0)</f>
        <v>0</v>
      </c>
      <c r="AD835" s="3">
        <f>IFERROR(INDEX(EVENTOS!$D:$D,MATCH(SCORE!AD$2&amp;" "&amp;SCORE!$D835,EVENTOS!$F:$F,0)),0)</f>
        <v>0</v>
      </c>
      <c r="AE835" s="3">
        <f t="shared" ref="AE835:AE898" si="39">((S835+V835+Y835+AB835)*50)+((T835+W835+Z835+AC835)*25)+((U835+X835+AA835+AD835)*5)</f>
        <v>0</v>
      </c>
      <c r="AF835" s="10" t="e">
        <f t="shared" ref="AF835:AF898" si="40">AE835/(G835*24)*100</f>
        <v>#N/A</v>
      </c>
      <c r="AG835" s="3" t="str">
        <f t="shared" ref="AG835:AG898" si="41">IF(D835&lt;&gt;"",IF(AF835&gt;=30000,5,ROUNDDOWN((((5-95)*(AF835-0))/(30000-0))+95,0)),"")</f>
        <v/>
      </c>
    </row>
    <row r="836" spans="1:33" x14ac:dyDescent="0.25">
      <c r="A836" s="7"/>
      <c r="B836" s="8"/>
      <c r="C836" s="3"/>
      <c r="D836" s="3"/>
      <c r="E836" s="3" t="e">
        <f>VLOOKUP(D836,VIAJES!$D:$E,2,FALSE)</f>
        <v>#N/A</v>
      </c>
      <c r="F836" s="9" t="e">
        <f>VLOOKUP(D836,VIAJES!$D:$F,3,FALSE)</f>
        <v>#N/A</v>
      </c>
      <c r="G836" s="9" t="e">
        <f>VLOOKUP(D836,VIAJES!$D:$G,4,FALSE)</f>
        <v>#N/A</v>
      </c>
      <c r="H836" s="3" t="e">
        <f>VLOOKUP(D836,VIAJES!$D:$H,5,FALSE)</f>
        <v>#N/A</v>
      </c>
      <c r="S836" s="3">
        <f>IFERROR(INDEX(EVENTOS!$D:$D,MATCH(SCORE!S$2&amp;" "&amp;SCORE!$D836,EVENTOS!$F:$F,0)),0)</f>
        <v>0</v>
      </c>
      <c r="T836" s="3">
        <f>IFERROR(INDEX(EVENTOS!$D:$D,MATCH(SCORE!T$2&amp;" "&amp;SCORE!$D836,EVENTOS!$F:$F,0)),0)</f>
        <v>0</v>
      </c>
      <c r="U836" s="3">
        <f>IFERROR(INDEX(EVENTOS!$D:$D,MATCH(SCORE!U$2&amp;" "&amp;SCORE!$D836,EVENTOS!$F:$F,0)),0)</f>
        <v>0</v>
      </c>
      <c r="V836" s="3">
        <f>IFERROR(INDEX(EVENTOS!$D:$D,MATCH(SCORE!V$2&amp;" "&amp;SCORE!$D836,EVENTOS!$F:$F,0)),0)</f>
        <v>0</v>
      </c>
      <c r="W836" s="3">
        <f>IFERROR(INDEX(EVENTOS!$D:$D,MATCH(SCORE!W$2&amp;" "&amp;SCORE!$D836,EVENTOS!$F:$F,0)),0)</f>
        <v>0</v>
      </c>
      <c r="X836" s="3">
        <f>IFERROR(INDEX(EVENTOS!$D:$D,MATCH(SCORE!X$2&amp;" "&amp;SCORE!$D836,EVENTOS!$F:$F,0)),0)</f>
        <v>0</v>
      </c>
      <c r="Y836" s="3">
        <f>SUMIFS(EVENTOS!$D:$D, EVENTOS!$B:$B, D836, EVENTOS!$E:$E, "*GirAlto*")</f>
        <v>0</v>
      </c>
      <c r="Z836" s="3">
        <f>SUMIFS(EVENTOS!$D:$D, EVENTOS!$B:$B, D836, EVENTOS!$E:$E, "*GirMed*")</f>
        <v>0</v>
      </c>
      <c r="AA836" s="3">
        <f>SUMIFS(EVENTOS!$D:$D, EVENTOS!$B:$B, D836, EVENTOS!$E:$E, "*GirBajo*")</f>
        <v>0</v>
      </c>
      <c r="AB836" s="3">
        <f>IFERROR(INDEX(EVENTOS!$D:$D,MATCH(SCORE!AB$2&amp;" "&amp;SCORE!$D836,EVENTOS!$F:$F,0)),0)</f>
        <v>0</v>
      </c>
      <c r="AC836" s="3">
        <f>IFERROR(INDEX(EVENTOS!$D:$D,MATCH(SCORE!AC$2&amp;" "&amp;SCORE!$D836,EVENTOS!$F:$F,0)),0)</f>
        <v>0</v>
      </c>
      <c r="AD836" s="3">
        <f>IFERROR(INDEX(EVENTOS!$D:$D,MATCH(SCORE!AD$2&amp;" "&amp;SCORE!$D836,EVENTOS!$F:$F,0)),0)</f>
        <v>0</v>
      </c>
      <c r="AE836" s="3">
        <f t="shared" si="39"/>
        <v>0</v>
      </c>
      <c r="AF836" s="10" t="e">
        <f t="shared" si="40"/>
        <v>#N/A</v>
      </c>
      <c r="AG836" s="3" t="str">
        <f t="shared" si="41"/>
        <v/>
      </c>
    </row>
    <row r="837" spans="1:33" x14ac:dyDescent="0.25">
      <c r="A837" s="7"/>
      <c r="B837" s="8"/>
      <c r="C837" s="3"/>
      <c r="D837" s="3"/>
      <c r="E837" s="3" t="e">
        <f>VLOOKUP(D837,VIAJES!$D:$E,2,FALSE)</f>
        <v>#N/A</v>
      </c>
      <c r="F837" s="9" t="e">
        <f>VLOOKUP(D837,VIAJES!$D:$F,3,FALSE)</f>
        <v>#N/A</v>
      </c>
      <c r="G837" s="9" t="e">
        <f>VLOOKUP(D837,VIAJES!$D:$G,4,FALSE)</f>
        <v>#N/A</v>
      </c>
      <c r="H837" s="3" t="e">
        <f>VLOOKUP(D837,VIAJES!$D:$H,5,FALSE)</f>
        <v>#N/A</v>
      </c>
      <c r="S837" s="3">
        <f>IFERROR(INDEX(EVENTOS!$D:$D,MATCH(SCORE!S$2&amp;" "&amp;SCORE!$D837,EVENTOS!$F:$F,0)),0)</f>
        <v>0</v>
      </c>
      <c r="T837" s="3">
        <f>IFERROR(INDEX(EVENTOS!$D:$D,MATCH(SCORE!T$2&amp;" "&amp;SCORE!$D837,EVENTOS!$F:$F,0)),0)</f>
        <v>0</v>
      </c>
      <c r="U837" s="3">
        <f>IFERROR(INDEX(EVENTOS!$D:$D,MATCH(SCORE!U$2&amp;" "&amp;SCORE!$D837,EVENTOS!$F:$F,0)),0)</f>
        <v>0</v>
      </c>
      <c r="V837" s="3">
        <f>IFERROR(INDEX(EVENTOS!$D:$D,MATCH(SCORE!V$2&amp;" "&amp;SCORE!$D837,EVENTOS!$F:$F,0)),0)</f>
        <v>0</v>
      </c>
      <c r="W837" s="3">
        <f>IFERROR(INDEX(EVENTOS!$D:$D,MATCH(SCORE!W$2&amp;" "&amp;SCORE!$D837,EVENTOS!$F:$F,0)),0)</f>
        <v>0</v>
      </c>
      <c r="X837" s="3">
        <f>IFERROR(INDEX(EVENTOS!$D:$D,MATCH(SCORE!X$2&amp;" "&amp;SCORE!$D837,EVENTOS!$F:$F,0)),0)</f>
        <v>0</v>
      </c>
      <c r="Y837" s="3">
        <f>SUMIFS(EVENTOS!$D:$D, EVENTOS!$B:$B, D837, EVENTOS!$E:$E, "*GirAlto*")</f>
        <v>0</v>
      </c>
      <c r="Z837" s="3">
        <f>SUMIFS(EVENTOS!$D:$D, EVENTOS!$B:$B, D837, EVENTOS!$E:$E, "*GirMed*")</f>
        <v>0</v>
      </c>
      <c r="AA837" s="3">
        <f>SUMIFS(EVENTOS!$D:$D, EVENTOS!$B:$B, D837, EVENTOS!$E:$E, "*GirBajo*")</f>
        <v>0</v>
      </c>
      <c r="AB837" s="3">
        <f>IFERROR(INDEX(EVENTOS!$D:$D,MATCH(SCORE!AB$2&amp;" "&amp;SCORE!$D837,EVENTOS!$F:$F,0)),0)</f>
        <v>0</v>
      </c>
      <c r="AC837" s="3">
        <f>IFERROR(INDEX(EVENTOS!$D:$D,MATCH(SCORE!AC$2&amp;" "&amp;SCORE!$D837,EVENTOS!$F:$F,0)),0)</f>
        <v>0</v>
      </c>
      <c r="AD837" s="3">
        <f>IFERROR(INDEX(EVENTOS!$D:$D,MATCH(SCORE!AD$2&amp;" "&amp;SCORE!$D837,EVENTOS!$F:$F,0)),0)</f>
        <v>0</v>
      </c>
      <c r="AE837" s="3">
        <f t="shared" si="39"/>
        <v>0</v>
      </c>
      <c r="AF837" s="10" t="e">
        <f t="shared" si="40"/>
        <v>#N/A</v>
      </c>
      <c r="AG837" s="3" t="str">
        <f t="shared" si="41"/>
        <v/>
      </c>
    </row>
    <row r="838" spans="1:33" x14ac:dyDescent="0.25">
      <c r="A838" s="7"/>
      <c r="B838" s="8"/>
      <c r="C838" s="3"/>
      <c r="D838" s="3"/>
      <c r="E838" s="3" t="e">
        <f>VLOOKUP(D838,VIAJES!$D:$E,2,FALSE)</f>
        <v>#N/A</v>
      </c>
      <c r="F838" s="9" t="e">
        <f>VLOOKUP(D838,VIAJES!$D:$F,3,FALSE)</f>
        <v>#N/A</v>
      </c>
      <c r="G838" s="9" t="e">
        <f>VLOOKUP(D838,VIAJES!$D:$G,4,FALSE)</f>
        <v>#N/A</v>
      </c>
      <c r="H838" s="3" t="e">
        <f>VLOOKUP(D838,VIAJES!$D:$H,5,FALSE)</f>
        <v>#N/A</v>
      </c>
      <c r="S838" s="3">
        <f>IFERROR(INDEX(EVENTOS!$D:$D,MATCH(SCORE!S$2&amp;" "&amp;SCORE!$D838,EVENTOS!$F:$F,0)),0)</f>
        <v>0</v>
      </c>
      <c r="T838" s="3">
        <f>IFERROR(INDEX(EVENTOS!$D:$D,MATCH(SCORE!T$2&amp;" "&amp;SCORE!$D838,EVENTOS!$F:$F,0)),0)</f>
        <v>0</v>
      </c>
      <c r="U838" s="3">
        <f>IFERROR(INDEX(EVENTOS!$D:$D,MATCH(SCORE!U$2&amp;" "&amp;SCORE!$D838,EVENTOS!$F:$F,0)),0)</f>
        <v>0</v>
      </c>
      <c r="V838" s="3">
        <f>IFERROR(INDEX(EVENTOS!$D:$D,MATCH(SCORE!V$2&amp;" "&amp;SCORE!$D838,EVENTOS!$F:$F,0)),0)</f>
        <v>0</v>
      </c>
      <c r="W838" s="3">
        <f>IFERROR(INDEX(EVENTOS!$D:$D,MATCH(SCORE!W$2&amp;" "&amp;SCORE!$D838,EVENTOS!$F:$F,0)),0)</f>
        <v>0</v>
      </c>
      <c r="X838" s="3">
        <f>IFERROR(INDEX(EVENTOS!$D:$D,MATCH(SCORE!X$2&amp;" "&amp;SCORE!$D838,EVENTOS!$F:$F,0)),0)</f>
        <v>0</v>
      </c>
      <c r="Y838" s="3">
        <f>SUMIFS(EVENTOS!$D:$D, EVENTOS!$B:$B, D838, EVENTOS!$E:$E, "*GirAlto*")</f>
        <v>0</v>
      </c>
      <c r="Z838" s="3">
        <f>SUMIFS(EVENTOS!$D:$D, EVENTOS!$B:$B, D838, EVENTOS!$E:$E, "*GirMed*")</f>
        <v>0</v>
      </c>
      <c r="AA838" s="3">
        <f>SUMIFS(EVENTOS!$D:$D, EVENTOS!$B:$B, D838, EVENTOS!$E:$E, "*GirBajo*")</f>
        <v>0</v>
      </c>
      <c r="AB838" s="3">
        <f>IFERROR(INDEX(EVENTOS!$D:$D,MATCH(SCORE!AB$2&amp;" "&amp;SCORE!$D838,EVENTOS!$F:$F,0)),0)</f>
        <v>0</v>
      </c>
      <c r="AC838" s="3">
        <f>IFERROR(INDEX(EVENTOS!$D:$D,MATCH(SCORE!AC$2&amp;" "&amp;SCORE!$D838,EVENTOS!$F:$F,0)),0)</f>
        <v>0</v>
      </c>
      <c r="AD838" s="3">
        <f>IFERROR(INDEX(EVENTOS!$D:$D,MATCH(SCORE!AD$2&amp;" "&amp;SCORE!$D838,EVENTOS!$F:$F,0)),0)</f>
        <v>0</v>
      </c>
      <c r="AE838" s="3">
        <f t="shared" si="39"/>
        <v>0</v>
      </c>
      <c r="AF838" s="10" t="e">
        <f t="shared" si="40"/>
        <v>#N/A</v>
      </c>
      <c r="AG838" s="3" t="str">
        <f t="shared" si="41"/>
        <v/>
      </c>
    </row>
    <row r="839" spans="1:33" x14ac:dyDescent="0.25">
      <c r="A839" s="7"/>
      <c r="B839" s="8"/>
      <c r="C839" s="3"/>
      <c r="D839" s="3"/>
      <c r="E839" s="3" t="e">
        <f>VLOOKUP(D839,VIAJES!$D:$E,2,FALSE)</f>
        <v>#N/A</v>
      </c>
      <c r="F839" s="9" t="e">
        <f>VLOOKUP(D839,VIAJES!$D:$F,3,FALSE)</f>
        <v>#N/A</v>
      </c>
      <c r="G839" s="9" t="e">
        <f>VLOOKUP(D839,VIAJES!$D:$G,4,FALSE)</f>
        <v>#N/A</v>
      </c>
      <c r="H839" s="3" t="e">
        <f>VLOOKUP(D839,VIAJES!$D:$H,5,FALSE)</f>
        <v>#N/A</v>
      </c>
      <c r="S839" s="3">
        <f>IFERROR(INDEX(EVENTOS!$D:$D,MATCH(SCORE!S$2&amp;" "&amp;SCORE!$D839,EVENTOS!$F:$F,0)),0)</f>
        <v>0</v>
      </c>
      <c r="T839" s="3">
        <f>IFERROR(INDEX(EVENTOS!$D:$D,MATCH(SCORE!T$2&amp;" "&amp;SCORE!$D839,EVENTOS!$F:$F,0)),0)</f>
        <v>0</v>
      </c>
      <c r="U839" s="3">
        <f>IFERROR(INDEX(EVENTOS!$D:$D,MATCH(SCORE!U$2&amp;" "&amp;SCORE!$D839,EVENTOS!$F:$F,0)),0)</f>
        <v>0</v>
      </c>
      <c r="V839" s="3">
        <f>IFERROR(INDEX(EVENTOS!$D:$D,MATCH(SCORE!V$2&amp;" "&amp;SCORE!$D839,EVENTOS!$F:$F,0)),0)</f>
        <v>0</v>
      </c>
      <c r="W839" s="3">
        <f>IFERROR(INDEX(EVENTOS!$D:$D,MATCH(SCORE!W$2&amp;" "&amp;SCORE!$D839,EVENTOS!$F:$F,0)),0)</f>
        <v>0</v>
      </c>
      <c r="X839" s="3">
        <f>IFERROR(INDEX(EVENTOS!$D:$D,MATCH(SCORE!X$2&amp;" "&amp;SCORE!$D839,EVENTOS!$F:$F,0)),0)</f>
        <v>0</v>
      </c>
      <c r="Y839" s="3">
        <f>SUMIFS(EVENTOS!$D:$D, EVENTOS!$B:$B, D839, EVENTOS!$E:$E, "*GirAlto*")</f>
        <v>0</v>
      </c>
      <c r="Z839" s="3">
        <f>SUMIFS(EVENTOS!$D:$D, EVENTOS!$B:$B, D839, EVENTOS!$E:$E, "*GirMed*")</f>
        <v>0</v>
      </c>
      <c r="AA839" s="3">
        <f>SUMIFS(EVENTOS!$D:$D, EVENTOS!$B:$B, D839, EVENTOS!$E:$E, "*GirBajo*")</f>
        <v>0</v>
      </c>
      <c r="AB839" s="3">
        <f>IFERROR(INDEX(EVENTOS!$D:$D,MATCH(SCORE!AB$2&amp;" "&amp;SCORE!$D839,EVENTOS!$F:$F,0)),0)</f>
        <v>0</v>
      </c>
      <c r="AC839" s="3">
        <f>IFERROR(INDEX(EVENTOS!$D:$D,MATCH(SCORE!AC$2&amp;" "&amp;SCORE!$D839,EVENTOS!$F:$F,0)),0)</f>
        <v>0</v>
      </c>
      <c r="AD839" s="3">
        <f>IFERROR(INDEX(EVENTOS!$D:$D,MATCH(SCORE!AD$2&amp;" "&amp;SCORE!$D839,EVENTOS!$F:$F,0)),0)</f>
        <v>0</v>
      </c>
      <c r="AE839" s="3">
        <f t="shared" si="39"/>
        <v>0</v>
      </c>
      <c r="AF839" s="10" t="e">
        <f t="shared" si="40"/>
        <v>#N/A</v>
      </c>
      <c r="AG839" s="3" t="str">
        <f t="shared" si="41"/>
        <v/>
      </c>
    </row>
    <row r="840" spans="1:33" x14ac:dyDescent="0.25">
      <c r="A840" s="7"/>
      <c r="B840" s="8"/>
      <c r="C840" s="3"/>
      <c r="D840" s="3"/>
      <c r="E840" s="3" t="e">
        <f>VLOOKUP(D840,VIAJES!$D:$E,2,FALSE)</f>
        <v>#N/A</v>
      </c>
      <c r="F840" s="9" t="e">
        <f>VLOOKUP(D840,VIAJES!$D:$F,3,FALSE)</f>
        <v>#N/A</v>
      </c>
      <c r="G840" s="9" t="e">
        <f>VLOOKUP(D840,VIAJES!$D:$G,4,FALSE)</f>
        <v>#N/A</v>
      </c>
      <c r="H840" s="3" t="e">
        <f>VLOOKUP(D840,VIAJES!$D:$H,5,FALSE)</f>
        <v>#N/A</v>
      </c>
      <c r="S840" s="3">
        <f>IFERROR(INDEX(EVENTOS!$D:$D,MATCH(SCORE!S$2&amp;" "&amp;SCORE!$D840,EVENTOS!$F:$F,0)),0)</f>
        <v>0</v>
      </c>
      <c r="T840" s="3">
        <f>IFERROR(INDEX(EVENTOS!$D:$D,MATCH(SCORE!T$2&amp;" "&amp;SCORE!$D840,EVENTOS!$F:$F,0)),0)</f>
        <v>0</v>
      </c>
      <c r="U840" s="3">
        <f>IFERROR(INDEX(EVENTOS!$D:$D,MATCH(SCORE!U$2&amp;" "&amp;SCORE!$D840,EVENTOS!$F:$F,0)),0)</f>
        <v>0</v>
      </c>
      <c r="V840" s="3">
        <f>IFERROR(INDEX(EVENTOS!$D:$D,MATCH(SCORE!V$2&amp;" "&amp;SCORE!$D840,EVENTOS!$F:$F,0)),0)</f>
        <v>0</v>
      </c>
      <c r="W840" s="3">
        <f>IFERROR(INDEX(EVENTOS!$D:$D,MATCH(SCORE!W$2&amp;" "&amp;SCORE!$D840,EVENTOS!$F:$F,0)),0)</f>
        <v>0</v>
      </c>
      <c r="X840" s="3">
        <f>IFERROR(INDEX(EVENTOS!$D:$D,MATCH(SCORE!X$2&amp;" "&amp;SCORE!$D840,EVENTOS!$F:$F,0)),0)</f>
        <v>0</v>
      </c>
      <c r="Y840" s="3">
        <f>SUMIFS(EVENTOS!$D:$D, EVENTOS!$B:$B, D840, EVENTOS!$E:$E, "*GirAlto*")</f>
        <v>0</v>
      </c>
      <c r="Z840" s="3">
        <f>SUMIFS(EVENTOS!$D:$D, EVENTOS!$B:$B, D840, EVENTOS!$E:$E, "*GirMed*")</f>
        <v>0</v>
      </c>
      <c r="AA840" s="3">
        <f>SUMIFS(EVENTOS!$D:$D, EVENTOS!$B:$B, D840, EVENTOS!$E:$E, "*GirBajo*")</f>
        <v>0</v>
      </c>
      <c r="AB840" s="3">
        <f>IFERROR(INDEX(EVENTOS!$D:$D,MATCH(SCORE!AB$2&amp;" "&amp;SCORE!$D840,EVENTOS!$F:$F,0)),0)</f>
        <v>0</v>
      </c>
      <c r="AC840" s="3">
        <f>IFERROR(INDEX(EVENTOS!$D:$D,MATCH(SCORE!AC$2&amp;" "&amp;SCORE!$D840,EVENTOS!$F:$F,0)),0)</f>
        <v>0</v>
      </c>
      <c r="AD840" s="3">
        <f>IFERROR(INDEX(EVENTOS!$D:$D,MATCH(SCORE!AD$2&amp;" "&amp;SCORE!$D840,EVENTOS!$F:$F,0)),0)</f>
        <v>0</v>
      </c>
      <c r="AE840" s="3">
        <f t="shared" si="39"/>
        <v>0</v>
      </c>
      <c r="AF840" s="10" t="e">
        <f t="shared" si="40"/>
        <v>#N/A</v>
      </c>
      <c r="AG840" s="3" t="str">
        <f t="shared" si="41"/>
        <v/>
      </c>
    </row>
    <row r="841" spans="1:33" x14ac:dyDescent="0.25">
      <c r="A841" s="7"/>
      <c r="B841" s="8"/>
      <c r="C841" s="3"/>
      <c r="D841" s="3"/>
      <c r="E841" s="3" t="e">
        <f>VLOOKUP(D841,VIAJES!$D:$E,2,FALSE)</f>
        <v>#N/A</v>
      </c>
      <c r="F841" s="9" t="e">
        <f>VLOOKUP(D841,VIAJES!$D:$F,3,FALSE)</f>
        <v>#N/A</v>
      </c>
      <c r="G841" s="9" t="e">
        <f>VLOOKUP(D841,VIAJES!$D:$G,4,FALSE)</f>
        <v>#N/A</v>
      </c>
      <c r="H841" s="3" t="e">
        <f>VLOOKUP(D841,VIAJES!$D:$H,5,FALSE)</f>
        <v>#N/A</v>
      </c>
      <c r="S841" s="3">
        <f>IFERROR(INDEX(EVENTOS!$D:$D,MATCH(SCORE!S$2&amp;" "&amp;SCORE!$D841,EVENTOS!$F:$F,0)),0)</f>
        <v>0</v>
      </c>
      <c r="T841" s="3">
        <f>IFERROR(INDEX(EVENTOS!$D:$D,MATCH(SCORE!T$2&amp;" "&amp;SCORE!$D841,EVENTOS!$F:$F,0)),0)</f>
        <v>0</v>
      </c>
      <c r="U841" s="3">
        <f>IFERROR(INDEX(EVENTOS!$D:$D,MATCH(SCORE!U$2&amp;" "&amp;SCORE!$D841,EVENTOS!$F:$F,0)),0)</f>
        <v>0</v>
      </c>
      <c r="V841" s="3">
        <f>IFERROR(INDEX(EVENTOS!$D:$D,MATCH(SCORE!V$2&amp;" "&amp;SCORE!$D841,EVENTOS!$F:$F,0)),0)</f>
        <v>0</v>
      </c>
      <c r="W841" s="3">
        <f>IFERROR(INDEX(EVENTOS!$D:$D,MATCH(SCORE!W$2&amp;" "&amp;SCORE!$D841,EVENTOS!$F:$F,0)),0)</f>
        <v>0</v>
      </c>
      <c r="X841" s="3">
        <f>IFERROR(INDEX(EVENTOS!$D:$D,MATCH(SCORE!X$2&amp;" "&amp;SCORE!$D841,EVENTOS!$F:$F,0)),0)</f>
        <v>0</v>
      </c>
      <c r="Y841" s="3">
        <f>SUMIFS(EVENTOS!$D:$D, EVENTOS!$B:$B, D841, EVENTOS!$E:$E, "*GirAlto*")</f>
        <v>0</v>
      </c>
      <c r="Z841" s="3">
        <f>SUMIFS(EVENTOS!$D:$D, EVENTOS!$B:$B, D841, EVENTOS!$E:$E, "*GirMed*")</f>
        <v>0</v>
      </c>
      <c r="AA841" s="3">
        <f>SUMIFS(EVENTOS!$D:$D, EVENTOS!$B:$B, D841, EVENTOS!$E:$E, "*GirBajo*")</f>
        <v>0</v>
      </c>
      <c r="AB841" s="3">
        <f>IFERROR(INDEX(EVENTOS!$D:$D,MATCH(SCORE!AB$2&amp;" "&amp;SCORE!$D841,EVENTOS!$F:$F,0)),0)</f>
        <v>0</v>
      </c>
      <c r="AC841" s="3">
        <f>IFERROR(INDEX(EVENTOS!$D:$D,MATCH(SCORE!AC$2&amp;" "&amp;SCORE!$D841,EVENTOS!$F:$F,0)),0)</f>
        <v>0</v>
      </c>
      <c r="AD841" s="3">
        <f>IFERROR(INDEX(EVENTOS!$D:$D,MATCH(SCORE!AD$2&amp;" "&amp;SCORE!$D841,EVENTOS!$F:$F,0)),0)</f>
        <v>0</v>
      </c>
      <c r="AE841" s="3">
        <f t="shared" si="39"/>
        <v>0</v>
      </c>
      <c r="AF841" s="10" t="e">
        <f t="shared" si="40"/>
        <v>#N/A</v>
      </c>
      <c r="AG841" s="3" t="str">
        <f t="shared" si="41"/>
        <v/>
      </c>
    </row>
    <row r="842" spans="1:33" x14ac:dyDescent="0.25">
      <c r="A842" s="7"/>
      <c r="B842" s="8"/>
      <c r="C842" s="3"/>
      <c r="D842" s="3"/>
      <c r="E842" s="3" t="e">
        <f>VLOOKUP(D842,VIAJES!$D:$E,2,FALSE)</f>
        <v>#N/A</v>
      </c>
      <c r="F842" s="9" t="e">
        <f>VLOOKUP(D842,VIAJES!$D:$F,3,FALSE)</f>
        <v>#N/A</v>
      </c>
      <c r="G842" s="9" t="e">
        <f>VLOOKUP(D842,VIAJES!$D:$G,4,FALSE)</f>
        <v>#N/A</v>
      </c>
      <c r="H842" s="3" t="e">
        <f>VLOOKUP(D842,VIAJES!$D:$H,5,FALSE)</f>
        <v>#N/A</v>
      </c>
      <c r="S842" s="3">
        <f>IFERROR(INDEX(EVENTOS!$D:$D,MATCH(SCORE!S$2&amp;" "&amp;SCORE!$D842,EVENTOS!$F:$F,0)),0)</f>
        <v>0</v>
      </c>
      <c r="T842" s="3">
        <f>IFERROR(INDEX(EVENTOS!$D:$D,MATCH(SCORE!T$2&amp;" "&amp;SCORE!$D842,EVENTOS!$F:$F,0)),0)</f>
        <v>0</v>
      </c>
      <c r="U842" s="3">
        <f>IFERROR(INDEX(EVENTOS!$D:$D,MATCH(SCORE!U$2&amp;" "&amp;SCORE!$D842,EVENTOS!$F:$F,0)),0)</f>
        <v>0</v>
      </c>
      <c r="V842" s="3">
        <f>IFERROR(INDEX(EVENTOS!$D:$D,MATCH(SCORE!V$2&amp;" "&amp;SCORE!$D842,EVENTOS!$F:$F,0)),0)</f>
        <v>0</v>
      </c>
      <c r="W842" s="3">
        <f>IFERROR(INDEX(EVENTOS!$D:$D,MATCH(SCORE!W$2&amp;" "&amp;SCORE!$D842,EVENTOS!$F:$F,0)),0)</f>
        <v>0</v>
      </c>
      <c r="X842" s="3">
        <f>IFERROR(INDEX(EVENTOS!$D:$D,MATCH(SCORE!X$2&amp;" "&amp;SCORE!$D842,EVENTOS!$F:$F,0)),0)</f>
        <v>0</v>
      </c>
      <c r="Y842" s="3">
        <f>SUMIFS(EVENTOS!$D:$D, EVENTOS!$B:$B, D842, EVENTOS!$E:$E, "*GirAlto*")</f>
        <v>0</v>
      </c>
      <c r="Z842" s="3">
        <f>SUMIFS(EVENTOS!$D:$D, EVENTOS!$B:$B, D842, EVENTOS!$E:$E, "*GirMed*")</f>
        <v>0</v>
      </c>
      <c r="AA842" s="3">
        <f>SUMIFS(EVENTOS!$D:$D, EVENTOS!$B:$B, D842, EVENTOS!$E:$E, "*GirBajo*")</f>
        <v>0</v>
      </c>
      <c r="AB842" s="3">
        <f>IFERROR(INDEX(EVENTOS!$D:$D,MATCH(SCORE!AB$2&amp;" "&amp;SCORE!$D842,EVENTOS!$F:$F,0)),0)</f>
        <v>0</v>
      </c>
      <c r="AC842" s="3">
        <f>IFERROR(INDEX(EVENTOS!$D:$D,MATCH(SCORE!AC$2&amp;" "&amp;SCORE!$D842,EVENTOS!$F:$F,0)),0)</f>
        <v>0</v>
      </c>
      <c r="AD842" s="3">
        <f>IFERROR(INDEX(EVENTOS!$D:$D,MATCH(SCORE!AD$2&amp;" "&amp;SCORE!$D842,EVENTOS!$F:$F,0)),0)</f>
        <v>0</v>
      </c>
      <c r="AE842" s="3">
        <f t="shared" si="39"/>
        <v>0</v>
      </c>
      <c r="AF842" s="10" t="e">
        <f t="shared" si="40"/>
        <v>#N/A</v>
      </c>
      <c r="AG842" s="3" t="str">
        <f t="shared" si="41"/>
        <v/>
      </c>
    </row>
    <row r="843" spans="1:33" x14ac:dyDescent="0.25">
      <c r="A843" s="7"/>
      <c r="B843" s="8"/>
      <c r="C843" s="3"/>
      <c r="D843" s="3"/>
      <c r="E843" s="3" t="e">
        <f>VLOOKUP(D843,VIAJES!$D:$E,2,FALSE)</f>
        <v>#N/A</v>
      </c>
      <c r="F843" s="9" t="e">
        <f>VLOOKUP(D843,VIAJES!$D:$F,3,FALSE)</f>
        <v>#N/A</v>
      </c>
      <c r="G843" s="9" t="e">
        <f>VLOOKUP(D843,VIAJES!$D:$G,4,FALSE)</f>
        <v>#N/A</v>
      </c>
      <c r="H843" s="3" t="e">
        <f>VLOOKUP(D843,VIAJES!$D:$H,5,FALSE)</f>
        <v>#N/A</v>
      </c>
      <c r="S843" s="3">
        <f>IFERROR(INDEX(EVENTOS!$D:$D,MATCH(SCORE!S$2&amp;" "&amp;SCORE!$D843,EVENTOS!$F:$F,0)),0)</f>
        <v>0</v>
      </c>
      <c r="T843" s="3">
        <f>IFERROR(INDEX(EVENTOS!$D:$D,MATCH(SCORE!T$2&amp;" "&amp;SCORE!$D843,EVENTOS!$F:$F,0)),0)</f>
        <v>0</v>
      </c>
      <c r="U843" s="3">
        <f>IFERROR(INDEX(EVENTOS!$D:$D,MATCH(SCORE!U$2&amp;" "&amp;SCORE!$D843,EVENTOS!$F:$F,0)),0)</f>
        <v>0</v>
      </c>
      <c r="V843" s="3">
        <f>IFERROR(INDEX(EVENTOS!$D:$D,MATCH(SCORE!V$2&amp;" "&amp;SCORE!$D843,EVENTOS!$F:$F,0)),0)</f>
        <v>0</v>
      </c>
      <c r="W843" s="3">
        <f>IFERROR(INDEX(EVENTOS!$D:$D,MATCH(SCORE!W$2&amp;" "&amp;SCORE!$D843,EVENTOS!$F:$F,0)),0)</f>
        <v>0</v>
      </c>
      <c r="X843" s="3">
        <f>IFERROR(INDEX(EVENTOS!$D:$D,MATCH(SCORE!X$2&amp;" "&amp;SCORE!$D843,EVENTOS!$F:$F,0)),0)</f>
        <v>0</v>
      </c>
      <c r="Y843" s="3">
        <f>SUMIFS(EVENTOS!$D:$D, EVENTOS!$B:$B, D843, EVENTOS!$E:$E, "*GirAlto*")</f>
        <v>0</v>
      </c>
      <c r="Z843" s="3">
        <f>SUMIFS(EVENTOS!$D:$D, EVENTOS!$B:$B, D843, EVENTOS!$E:$E, "*GirMed*")</f>
        <v>0</v>
      </c>
      <c r="AA843" s="3">
        <f>SUMIFS(EVENTOS!$D:$D, EVENTOS!$B:$B, D843, EVENTOS!$E:$E, "*GirBajo*")</f>
        <v>0</v>
      </c>
      <c r="AB843" s="3">
        <f>IFERROR(INDEX(EVENTOS!$D:$D,MATCH(SCORE!AB$2&amp;" "&amp;SCORE!$D843,EVENTOS!$F:$F,0)),0)</f>
        <v>0</v>
      </c>
      <c r="AC843" s="3">
        <f>IFERROR(INDEX(EVENTOS!$D:$D,MATCH(SCORE!AC$2&amp;" "&amp;SCORE!$D843,EVENTOS!$F:$F,0)),0)</f>
        <v>0</v>
      </c>
      <c r="AD843" s="3">
        <f>IFERROR(INDEX(EVENTOS!$D:$D,MATCH(SCORE!AD$2&amp;" "&amp;SCORE!$D843,EVENTOS!$F:$F,0)),0)</f>
        <v>0</v>
      </c>
      <c r="AE843" s="3">
        <f t="shared" si="39"/>
        <v>0</v>
      </c>
      <c r="AF843" s="10" t="e">
        <f t="shared" si="40"/>
        <v>#N/A</v>
      </c>
      <c r="AG843" s="3" t="str">
        <f t="shared" si="41"/>
        <v/>
      </c>
    </row>
    <row r="844" spans="1:33" x14ac:dyDescent="0.25">
      <c r="A844" s="7"/>
      <c r="B844" s="8"/>
      <c r="C844" s="3"/>
      <c r="D844" s="3"/>
      <c r="E844" s="3" t="e">
        <f>VLOOKUP(D844,VIAJES!$D:$E,2,FALSE)</f>
        <v>#N/A</v>
      </c>
      <c r="F844" s="9" t="e">
        <f>VLOOKUP(D844,VIAJES!$D:$F,3,FALSE)</f>
        <v>#N/A</v>
      </c>
      <c r="G844" s="9" t="e">
        <f>VLOOKUP(D844,VIAJES!$D:$G,4,FALSE)</f>
        <v>#N/A</v>
      </c>
      <c r="H844" s="3" t="e">
        <f>VLOOKUP(D844,VIAJES!$D:$H,5,FALSE)</f>
        <v>#N/A</v>
      </c>
      <c r="S844" s="3">
        <f>IFERROR(INDEX(EVENTOS!$D:$D,MATCH(SCORE!S$2&amp;" "&amp;SCORE!$D844,EVENTOS!$F:$F,0)),0)</f>
        <v>0</v>
      </c>
      <c r="T844" s="3">
        <f>IFERROR(INDEX(EVENTOS!$D:$D,MATCH(SCORE!T$2&amp;" "&amp;SCORE!$D844,EVENTOS!$F:$F,0)),0)</f>
        <v>0</v>
      </c>
      <c r="U844" s="3">
        <f>IFERROR(INDEX(EVENTOS!$D:$D,MATCH(SCORE!U$2&amp;" "&amp;SCORE!$D844,EVENTOS!$F:$F,0)),0)</f>
        <v>0</v>
      </c>
      <c r="V844" s="3">
        <f>IFERROR(INDEX(EVENTOS!$D:$D,MATCH(SCORE!V$2&amp;" "&amp;SCORE!$D844,EVENTOS!$F:$F,0)),0)</f>
        <v>0</v>
      </c>
      <c r="W844" s="3">
        <f>IFERROR(INDEX(EVENTOS!$D:$D,MATCH(SCORE!W$2&amp;" "&amp;SCORE!$D844,EVENTOS!$F:$F,0)),0)</f>
        <v>0</v>
      </c>
      <c r="X844" s="3">
        <f>IFERROR(INDEX(EVENTOS!$D:$D,MATCH(SCORE!X$2&amp;" "&amp;SCORE!$D844,EVENTOS!$F:$F,0)),0)</f>
        <v>0</v>
      </c>
      <c r="Y844" s="3">
        <f>SUMIFS(EVENTOS!$D:$D, EVENTOS!$B:$B, D844, EVENTOS!$E:$E, "*GirAlto*")</f>
        <v>0</v>
      </c>
      <c r="Z844" s="3">
        <f>SUMIFS(EVENTOS!$D:$D, EVENTOS!$B:$B, D844, EVENTOS!$E:$E, "*GirMed*")</f>
        <v>0</v>
      </c>
      <c r="AA844" s="3">
        <f>SUMIFS(EVENTOS!$D:$D, EVENTOS!$B:$B, D844, EVENTOS!$E:$E, "*GirBajo*")</f>
        <v>0</v>
      </c>
      <c r="AB844" s="3">
        <f>IFERROR(INDEX(EVENTOS!$D:$D,MATCH(SCORE!AB$2&amp;" "&amp;SCORE!$D844,EVENTOS!$F:$F,0)),0)</f>
        <v>0</v>
      </c>
      <c r="AC844" s="3">
        <f>IFERROR(INDEX(EVENTOS!$D:$D,MATCH(SCORE!AC$2&amp;" "&amp;SCORE!$D844,EVENTOS!$F:$F,0)),0)</f>
        <v>0</v>
      </c>
      <c r="AD844" s="3">
        <f>IFERROR(INDEX(EVENTOS!$D:$D,MATCH(SCORE!AD$2&amp;" "&amp;SCORE!$D844,EVENTOS!$F:$F,0)),0)</f>
        <v>0</v>
      </c>
      <c r="AE844" s="3">
        <f t="shared" si="39"/>
        <v>0</v>
      </c>
      <c r="AF844" s="10" t="e">
        <f t="shared" si="40"/>
        <v>#N/A</v>
      </c>
      <c r="AG844" s="3" t="str">
        <f t="shared" si="41"/>
        <v/>
      </c>
    </row>
    <row r="845" spans="1:33" x14ac:dyDescent="0.25">
      <c r="A845" s="7"/>
      <c r="B845" s="8"/>
      <c r="C845" s="3"/>
      <c r="D845" s="3"/>
      <c r="E845" s="3" t="e">
        <f>VLOOKUP(D845,VIAJES!$D:$E,2,FALSE)</f>
        <v>#N/A</v>
      </c>
      <c r="F845" s="9" t="e">
        <f>VLOOKUP(D845,VIAJES!$D:$F,3,FALSE)</f>
        <v>#N/A</v>
      </c>
      <c r="G845" s="9" t="e">
        <f>VLOOKUP(D845,VIAJES!$D:$G,4,FALSE)</f>
        <v>#N/A</v>
      </c>
      <c r="H845" s="3" t="e">
        <f>VLOOKUP(D845,VIAJES!$D:$H,5,FALSE)</f>
        <v>#N/A</v>
      </c>
      <c r="S845" s="3">
        <f>IFERROR(INDEX(EVENTOS!$D:$D,MATCH(SCORE!S$2&amp;" "&amp;SCORE!$D845,EVENTOS!$F:$F,0)),0)</f>
        <v>0</v>
      </c>
      <c r="T845" s="3">
        <f>IFERROR(INDEX(EVENTOS!$D:$D,MATCH(SCORE!T$2&amp;" "&amp;SCORE!$D845,EVENTOS!$F:$F,0)),0)</f>
        <v>0</v>
      </c>
      <c r="U845" s="3">
        <f>IFERROR(INDEX(EVENTOS!$D:$D,MATCH(SCORE!U$2&amp;" "&amp;SCORE!$D845,EVENTOS!$F:$F,0)),0)</f>
        <v>0</v>
      </c>
      <c r="V845" s="3">
        <f>IFERROR(INDEX(EVENTOS!$D:$D,MATCH(SCORE!V$2&amp;" "&amp;SCORE!$D845,EVENTOS!$F:$F,0)),0)</f>
        <v>0</v>
      </c>
      <c r="W845" s="3">
        <f>IFERROR(INDEX(EVENTOS!$D:$D,MATCH(SCORE!W$2&amp;" "&amp;SCORE!$D845,EVENTOS!$F:$F,0)),0)</f>
        <v>0</v>
      </c>
      <c r="X845" s="3">
        <f>IFERROR(INDEX(EVENTOS!$D:$D,MATCH(SCORE!X$2&amp;" "&amp;SCORE!$D845,EVENTOS!$F:$F,0)),0)</f>
        <v>0</v>
      </c>
      <c r="Y845" s="3">
        <f>SUMIFS(EVENTOS!$D:$D, EVENTOS!$B:$B, D845, EVENTOS!$E:$E, "*GirAlto*")</f>
        <v>0</v>
      </c>
      <c r="Z845" s="3">
        <f>SUMIFS(EVENTOS!$D:$D, EVENTOS!$B:$B, D845, EVENTOS!$E:$E, "*GirMed*")</f>
        <v>0</v>
      </c>
      <c r="AA845" s="3">
        <f>SUMIFS(EVENTOS!$D:$D, EVENTOS!$B:$B, D845, EVENTOS!$E:$E, "*GirBajo*")</f>
        <v>0</v>
      </c>
      <c r="AB845" s="3">
        <f>IFERROR(INDEX(EVENTOS!$D:$D,MATCH(SCORE!AB$2&amp;" "&amp;SCORE!$D845,EVENTOS!$F:$F,0)),0)</f>
        <v>0</v>
      </c>
      <c r="AC845" s="3">
        <f>IFERROR(INDEX(EVENTOS!$D:$D,MATCH(SCORE!AC$2&amp;" "&amp;SCORE!$D845,EVENTOS!$F:$F,0)),0)</f>
        <v>0</v>
      </c>
      <c r="AD845" s="3">
        <f>IFERROR(INDEX(EVENTOS!$D:$D,MATCH(SCORE!AD$2&amp;" "&amp;SCORE!$D845,EVENTOS!$F:$F,0)),0)</f>
        <v>0</v>
      </c>
      <c r="AE845" s="3">
        <f t="shared" si="39"/>
        <v>0</v>
      </c>
      <c r="AF845" s="10" t="e">
        <f t="shared" si="40"/>
        <v>#N/A</v>
      </c>
      <c r="AG845" s="3" t="str">
        <f t="shared" si="41"/>
        <v/>
      </c>
    </row>
    <row r="846" spans="1:33" x14ac:dyDescent="0.25">
      <c r="A846" s="7"/>
      <c r="B846" s="8"/>
      <c r="C846" s="3"/>
      <c r="D846" s="3"/>
      <c r="E846" s="3" t="e">
        <f>VLOOKUP(D846,VIAJES!$D:$E,2,FALSE)</f>
        <v>#N/A</v>
      </c>
      <c r="F846" s="9" t="e">
        <f>VLOOKUP(D846,VIAJES!$D:$F,3,FALSE)</f>
        <v>#N/A</v>
      </c>
      <c r="G846" s="9" t="e">
        <f>VLOOKUP(D846,VIAJES!$D:$G,4,FALSE)</f>
        <v>#N/A</v>
      </c>
      <c r="H846" s="3" t="e">
        <f>VLOOKUP(D846,VIAJES!$D:$H,5,FALSE)</f>
        <v>#N/A</v>
      </c>
      <c r="S846" s="3">
        <f>IFERROR(INDEX(EVENTOS!$D:$D,MATCH(SCORE!S$2&amp;" "&amp;SCORE!$D846,EVENTOS!$F:$F,0)),0)</f>
        <v>0</v>
      </c>
      <c r="T846" s="3">
        <f>IFERROR(INDEX(EVENTOS!$D:$D,MATCH(SCORE!T$2&amp;" "&amp;SCORE!$D846,EVENTOS!$F:$F,0)),0)</f>
        <v>0</v>
      </c>
      <c r="U846" s="3">
        <f>IFERROR(INDEX(EVENTOS!$D:$D,MATCH(SCORE!U$2&amp;" "&amp;SCORE!$D846,EVENTOS!$F:$F,0)),0)</f>
        <v>0</v>
      </c>
      <c r="V846" s="3">
        <f>IFERROR(INDEX(EVENTOS!$D:$D,MATCH(SCORE!V$2&amp;" "&amp;SCORE!$D846,EVENTOS!$F:$F,0)),0)</f>
        <v>0</v>
      </c>
      <c r="W846" s="3">
        <f>IFERROR(INDEX(EVENTOS!$D:$D,MATCH(SCORE!W$2&amp;" "&amp;SCORE!$D846,EVENTOS!$F:$F,0)),0)</f>
        <v>0</v>
      </c>
      <c r="X846" s="3">
        <f>IFERROR(INDEX(EVENTOS!$D:$D,MATCH(SCORE!X$2&amp;" "&amp;SCORE!$D846,EVENTOS!$F:$F,0)),0)</f>
        <v>0</v>
      </c>
      <c r="Y846" s="3">
        <f>SUMIFS(EVENTOS!$D:$D, EVENTOS!$B:$B, D846, EVENTOS!$E:$E, "*GirAlto*")</f>
        <v>0</v>
      </c>
      <c r="Z846" s="3">
        <f>SUMIFS(EVENTOS!$D:$D, EVENTOS!$B:$B, D846, EVENTOS!$E:$E, "*GirMed*")</f>
        <v>0</v>
      </c>
      <c r="AA846" s="3">
        <f>SUMIFS(EVENTOS!$D:$D, EVENTOS!$B:$B, D846, EVENTOS!$E:$E, "*GirBajo*")</f>
        <v>0</v>
      </c>
      <c r="AB846" s="3">
        <f>IFERROR(INDEX(EVENTOS!$D:$D,MATCH(SCORE!AB$2&amp;" "&amp;SCORE!$D846,EVENTOS!$F:$F,0)),0)</f>
        <v>0</v>
      </c>
      <c r="AC846" s="3">
        <f>IFERROR(INDEX(EVENTOS!$D:$D,MATCH(SCORE!AC$2&amp;" "&amp;SCORE!$D846,EVENTOS!$F:$F,0)),0)</f>
        <v>0</v>
      </c>
      <c r="AD846" s="3">
        <f>IFERROR(INDEX(EVENTOS!$D:$D,MATCH(SCORE!AD$2&amp;" "&amp;SCORE!$D846,EVENTOS!$F:$F,0)),0)</f>
        <v>0</v>
      </c>
      <c r="AE846" s="3">
        <f t="shared" si="39"/>
        <v>0</v>
      </c>
      <c r="AF846" s="10" t="e">
        <f t="shared" si="40"/>
        <v>#N/A</v>
      </c>
      <c r="AG846" s="3" t="str">
        <f t="shared" si="41"/>
        <v/>
      </c>
    </row>
    <row r="847" spans="1:33" x14ac:dyDescent="0.25">
      <c r="A847" s="7"/>
      <c r="B847" s="8"/>
      <c r="C847" s="3"/>
      <c r="D847" s="3"/>
      <c r="E847" s="3" t="e">
        <f>VLOOKUP(D847,VIAJES!$D:$E,2,FALSE)</f>
        <v>#N/A</v>
      </c>
      <c r="F847" s="9" t="e">
        <f>VLOOKUP(D847,VIAJES!$D:$F,3,FALSE)</f>
        <v>#N/A</v>
      </c>
      <c r="G847" s="9" t="e">
        <f>VLOOKUP(D847,VIAJES!$D:$G,4,FALSE)</f>
        <v>#N/A</v>
      </c>
      <c r="H847" s="3" t="e">
        <f>VLOOKUP(D847,VIAJES!$D:$H,5,FALSE)</f>
        <v>#N/A</v>
      </c>
      <c r="S847" s="3">
        <f>IFERROR(INDEX(EVENTOS!$D:$D,MATCH(SCORE!S$2&amp;" "&amp;SCORE!$D847,EVENTOS!$F:$F,0)),0)</f>
        <v>0</v>
      </c>
      <c r="T847" s="3">
        <f>IFERROR(INDEX(EVENTOS!$D:$D,MATCH(SCORE!T$2&amp;" "&amp;SCORE!$D847,EVENTOS!$F:$F,0)),0)</f>
        <v>0</v>
      </c>
      <c r="U847" s="3">
        <f>IFERROR(INDEX(EVENTOS!$D:$D,MATCH(SCORE!U$2&amp;" "&amp;SCORE!$D847,EVENTOS!$F:$F,0)),0)</f>
        <v>0</v>
      </c>
      <c r="V847" s="3">
        <f>IFERROR(INDEX(EVENTOS!$D:$D,MATCH(SCORE!V$2&amp;" "&amp;SCORE!$D847,EVENTOS!$F:$F,0)),0)</f>
        <v>0</v>
      </c>
      <c r="W847" s="3">
        <f>IFERROR(INDEX(EVENTOS!$D:$D,MATCH(SCORE!W$2&amp;" "&amp;SCORE!$D847,EVENTOS!$F:$F,0)),0)</f>
        <v>0</v>
      </c>
      <c r="X847" s="3">
        <f>IFERROR(INDEX(EVENTOS!$D:$D,MATCH(SCORE!X$2&amp;" "&amp;SCORE!$D847,EVENTOS!$F:$F,0)),0)</f>
        <v>0</v>
      </c>
      <c r="Y847" s="3">
        <f>SUMIFS(EVENTOS!$D:$D, EVENTOS!$B:$B, D847, EVENTOS!$E:$E, "*GirAlto*")</f>
        <v>0</v>
      </c>
      <c r="Z847" s="3">
        <f>SUMIFS(EVENTOS!$D:$D, EVENTOS!$B:$B, D847, EVENTOS!$E:$E, "*GirMed*")</f>
        <v>0</v>
      </c>
      <c r="AA847" s="3">
        <f>SUMIFS(EVENTOS!$D:$D, EVENTOS!$B:$B, D847, EVENTOS!$E:$E, "*GirBajo*")</f>
        <v>0</v>
      </c>
      <c r="AB847" s="3">
        <f>IFERROR(INDEX(EVENTOS!$D:$D,MATCH(SCORE!AB$2&amp;" "&amp;SCORE!$D847,EVENTOS!$F:$F,0)),0)</f>
        <v>0</v>
      </c>
      <c r="AC847" s="3">
        <f>IFERROR(INDEX(EVENTOS!$D:$D,MATCH(SCORE!AC$2&amp;" "&amp;SCORE!$D847,EVENTOS!$F:$F,0)),0)</f>
        <v>0</v>
      </c>
      <c r="AD847" s="3">
        <f>IFERROR(INDEX(EVENTOS!$D:$D,MATCH(SCORE!AD$2&amp;" "&amp;SCORE!$D847,EVENTOS!$F:$F,0)),0)</f>
        <v>0</v>
      </c>
      <c r="AE847" s="3">
        <f t="shared" si="39"/>
        <v>0</v>
      </c>
      <c r="AF847" s="10" t="e">
        <f t="shared" si="40"/>
        <v>#N/A</v>
      </c>
      <c r="AG847" s="3" t="str">
        <f t="shared" si="41"/>
        <v/>
      </c>
    </row>
    <row r="848" spans="1:33" x14ac:dyDescent="0.25">
      <c r="A848" s="7"/>
      <c r="B848" s="8"/>
      <c r="C848" s="3"/>
      <c r="D848" s="3"/>
      <c r="E848" s="3" t="e">
        <f>VLOOKUP(D848,VIAJES!$D:$E,2,FALSE)</f>
        <v>#N/A</v>
      </c>
      <c r="F848" s="9" t="e">
        <f>VLOOKUP(D848,VIAJES!$D:$F,3,FALSE)</f>
        <v>#N/A</v>
      </c>
      <c r="G848" s="9" t="e">
        <f>VLOOKUP(D848,VIAJES!$D:$G,4,FALSE)</f>
        <v>#N/A</v>
      </c>
      <c r="H848" s="3" t="e">
        <f>VLOOKUP(D848,VIAJES!$D:$H,5,FALSE)</f>
        <v>#N/A</v>
      </c>
      <c r="S848" s="3">
        <f>IFERROR(INDEX(EVENTOS!$D:$D,MATCH(SCORE!S$2&amp;" "&amp;SCORE!$D848,EVENTOS!$F:$F,0)),0)</f>
        <v>0</v>
      </c>
      <c r="T848" s="3">
        <f>IFERROR(INDEX(EVENTOS!$D:$D,MATCH(SCORE!T$2&amp;" "&amp;SCORE!$D848,EVENTOS!$F:$F,0)),0)</f>
        <v>0</v>
      </c>
      <c r="U848" s="3">
        <f>IFERROR(INDEX(EVENTOS!$D:$D,MATCH(SCORE!U$2&amp;" "&amp;SCORE!$D848,EVENTOS!$F:$F,0)),0)</f>
        <v>0</v>
      </c>
      <c r="V848" s="3">
        <f>IFERROR(INDEX(EVENTOS!$D:$D,MATCH(SCORE!V$2&amp;" "&amp;SCORE!$D848,EVENTOS!$F:$F,0)),0)</f>
        <v>0</v>
      </c>
      <c r="W848" s="3">
        <f>IFERROR(INDEX(EVENTOS!$D:$D,MATCH(SCORE!W$2&amp;" "&amp;SCORE!$D848,EVENTOS!$F:$F,0)),0)</f>
        <v>0</v>
      </c>
      <c r="X848" s="3">
        <f>IFERROR(INDEX(EVENTOS!$D:$D,MATCH(SCORE!X$2&amp;" "&amp;SCORE!$D848,EVENTOS!$F:$F,0)),0)</f>
        <v>0</v>
      </c>
      <c r="Y848" s="3">
        <f>SUMIFS(EVENTOS!$D:$D, EVENTOS!$B:$B, D848, EVENTOS!$E:$E, "*GirAlto*")</f>
        <v>0</v>
      </c>
      <c r="Z848" s="3">
        <f>SUMIFS(EVENTOS!$D:$D, EVENTOS!$B:$B, D848, EVENTOS!$E:$E, "*GirMed*")</f>
        <v>0</v>
      </c>
      <c r="AA848" s="3">
        <f>SUMIFS(EVENTOS!$D:$D, EVENTOS!$B:$B, D848, EVENTOS!$E:$E, "*GirBajo*")</f>
        <v>0</v>
      </c>
      <c r="AB848" s="3">
        <f>IFERROR(INDEX(EVENTOS!$D:$D,MATCH(SCORE!AB$2&amp;" "&amp;SCORE!$D848,EVENTOS!$F:$F,0)),0)</f>
        <v>0</v>
      </c>
      <c r="AC848" s="3">
        <f>IFERROR(INDEX(EVENTOS!$D:$D,MATCH(SCORE!AC$2&amp;" "&amp;SCORE!$D848,EVENTOS!$F:$F,0)),0)</f>
        <v>0</v>
      </c>
      <c r="AD848" s="3">
        <f>IFERROR(INDEX(EVENTOS!$D:$D,MATCH(SCORE!AD$2&amp;" "&amp;SCORE!$D848,EVENTOS!$F:$F,0)),0)</f>
        <v>0</v>
      </c>
      <c r="AE848" s="3">
        <f t="shared" si="39"/>
        <v>0</v>
      </c>
      <c r="AF848" s="10" t="e">
        <f t="shared" si="40"/>
        <v>#N/A</v>
      </c>
      <c r="AG848" s="3" t="str">
        <f t="shared" si="41"/>
        <v/>
      </c>
    </row>
    <row r="849" spans="1:33" x14ac:dyDescent="0.25">
      <c r="A849" s="7"/>
      <c r="B849" s="8"/>
      <c r="C849" s="3"/>
      <c r="D849" s="3"/>
      <c r="E849" s="3" t="e">
        <f>VLOOKUP(D849,VIAJES!$D:$E,2,FALSE)</f>
        <v>#N/A</v>
      </c>
      <c r="F849" s="9" t="e">
        <f>VLOOKUP(D849,VIAJES!$D:$F,3,FALSE)</f>
        <v>#N/A</v>
      </c>
      <c r="G849" s="9" t="e">
        <f>VLOOKUP(D849,VIAJES!$D:$G,4,FALSE)</f>
        <v>#N/A</v>
      </c>
      <c r="H849" s="3" t="e">
        <f>VLOOKUP(D849,VIAJES!$D:$H,5,FALSE)</f>
        <v>#N/A</v>
      </c>
      <c r="S849" s="3">
        <f>IFERROR(INDEX(EVENTOS!$D:$D,MATCH(SCORE!S$2&amp;" "&amp;SCORE!$D849,EVENTOS!$F:$F,0)),0)</f>
        <v>0</v>
      </c>
      <c r="T849" s="3">
        <f>IFERROR(INDEX(EVENTOS!$D:$D,MATCH(SCORE!T$2&amp;" "&amp;SCORE!$D849,EVENTOS!$F:$F,0)),0)</f>
        <v>0</v>
      </c>
      <c r="U849" s="3">
        <f>IFERROR(INDEX(EVENTOS!$D:$D,MATCH(SCORE!U$2&amp;" "&amp;SCORE!$D849,EVENTOS!$F:$F,0)),0)</f>
        <v>0</v>
      </c>
      <c r="V849" s="3">
        <f>IFERROR(INDEX(EVENTOS!$D:$D,MATCH(SCORE!V$2&amp;" "&amp;SCORE!$D849,EVENTOS!$F:$F,0)),0)</f>
        <v>0</v>
      </c>
      <c r="W849" s="3">
        <f>IFERROR(INDEX(EVENTOS!$D:$D,MATCH(SCORE!W$2&amp;" "&amp;SCORE!$D849,EVENTOS!$F:$F,0)),0)</f>
        <v>0</v>
      </c>
      <c r="X849" s="3">
        <f>IFERROR(INDEX(EVENTOS!$D:$D,MATCH(SCORE!X$2&amp;" "&amp;SCORE!$D849,EVENTOS!$F:$F,0)),0)</f>
        <v>0</v>
      </c>
      <c r="Y849" s="3">
        <f>SUMIFS(EVENTOS!$D:$D, EVENTOS!$B:$B, D849, EVENTOS!$E:$E, "*GirAlto*")</f>
        <v>0</v>
      </c>
      <c r="Z849" s="3">
        <f>SUMIFS(EVENTOS!$D:$D, EVENTOS!$B:$B, D849, EVENTOS!$E:$E, "*GirMed*")</f>
        <v>0</v>
      </c>
      <c r="AA849" s="3">
        <f>SUMIFS(EVENTOS!$D:$D, EVENTOS!$B:$B, D849, EVENTOS!$E:$E, "*GirBajo*")</f>
        <v>0</v>
      </c>
      <c r="AB849" s="3">
        <f>IFERROR(INDEX(EVENTOS!$D:$D,MATCH(SCORE!AB$2&amp;" "&amp;SCORE!$D849,EVENTOS!$F:$F,0)),0)</f>
        <v>0</v>
      </c>
      <c r="AC849" s="3">
        <f>IFERROR(INDEX(EVENTOS!$D:$D,MATCH(SCORE!AC$2&amp;" "&amp;SCORE!$D849,EVENTOS!$F:$F,0)),0)</f>
        <v>0</v>
      </c>
      <c r="AD849" s="3">
        <f>IFERROR(INDEX(EVENTOS!$D:$D,MATCH(SCORE!AD$2&amp;" "&amp;SCORE!$D849,EVENTOS!$F:$F,0)),0)</f>
        <v>0</v>
      </c>
      <c r="AE849" s="3">
        <f t="shared" si="39"/>
        <v>0</v>
      </c>
      <c r="AF849" s="10" t="e">
        <f t="shared" si="40"/>
        <v>#N/A</v>
      </c>
      <c r="AG849" s="3" t="str">
        <f t="shared" si="41"/>
        <v/>
      </c>
    </row>
    <row r="850" spans="1:33" x14ac:dyDescent="0.25">
      <c r="A850" s="7"/>
      <c r="B850" s="8"/>
      <c r="C850" s="3"/>
      <c r="D850" s="3"/>
      <c r="E850" s="3" t="e">
        <f>VLOOKUP(D850,VIAJES!$D:$E,2,FALSE)</f>
        <v>#N/A</v>
      </c>
      <c r="F850" s="9" t="e">
        <f>VLOOKUP(D850,VIAJES!$D:$F,3,FALSE)</f>
        <v>#N/A</v>
      </c>
      <c r="G850" s="9" t="e">
        <f>VLOOKUP(D850,VIAJES!$D:$G,4,FALSE)</f>
        <v>#N/A</v>
      </c>
      <c r="H850" s="3" t="e">
        <f>VLOOKUP(D850,VIAJES!$D:$H,5,FALSE)</f>
        <v>#N/A</v>
      </c>
      <c r="S850" s="3">
        <f>IFERROR(INDEX(EVENTOS!$D:$D,MATCH(SCORE!S$2&amp;" "&amp;SCORE!$D850,EVENTOS!$F:$F,0)),0)</f>
        <v>0</v>
      </c>
      <c r="T850" s="3">
        <f>IFERROR(INDEX(EVENTOS!$D:$D,MATCH(SCORE!T$2&amp;" "&amp;SCORE!$D850,EVENTOS!$F:$F,0)),0)</f>
        <v>0</v>
      </c>
      <c r="U850" s="3">
        <f>IFERROR(INDEX(EVENTOS!$D:$D,MATCH(SCORE!U$2&amp;" "&amp;SCORE!$D850,EVENTOS!$F:$F,0)),0)</f>
        <v>0</v>
      </c>
      <c r="V850" s="3">
        <f>IFERROR(INDEX(EVENTOS!$D:$D,MATCH(SCORE!V$2&amp;" "&amp;SCORE!$D850,EVENTOS!$F:$F,0)),0)</f>
        <v>0</v>
      </c>
      <c r="W850" s="3">
        <f>IFERROR(INDEX(EVENTOS!$D:$D,MATCH(SCORE!W$2&amp;" "&amp;SCORE!$D850,EVENTOS!$F:$F,0)),0)</f>
        <v>0</v>
      </c>
      <c r="X850" s="3">
        <f>IFERROR(INDEX(EVENTOS!$D:$D,MATCH(SCORE!X$2&amp;" "&amp;SCORE!$D850,EVENTOS!$F:$F,0)),0)</f>
        <v>0</v>
      </c>
      <c r="Y850" s="3">
        <f>SUMIFS(EVENTOS!$D:$D, EVENTOS!$B:$B, D850, EVENTOS!$E:$E, "*GirAlto*")</f>
        <v>0</v>
      </c>
      <c r="Z850" s="3">
        <f>SUMIFS(EVENTOS!$D:$D, EVENTOS!$B:$B, D850, EVENTOS!$E:$E, "*GirMed*")</f>
        <v>0</v>
      </c>
      <c r="AA850" s="3">
        <f>SUMIFS(EVENTOS!$D:$D, EVENTOS!$B:$B, D850, EVENTOS!$E:$E, "*GirBajo*")</f>
        <v>0</v>
      </c>
      <c r="AB850" s="3">
        <f>IFERROR(INDEX(EVENTOS!$D:$D,MATCH(SCORE!AB$2&amp;" "&amp;SCORE!$D850,EVENTOS!$F:$F,0)),0)</f>
        <v>0</v>
      </c>
      <c r="AC850" s="3">
        <f>IFERROR(INDEX(EVENTOS!$D:$D,MATCH(SCORE!AC$2&amp;" "&amp;SCORE!$D850,EVENTOS!$F:$F,0)),0)</f>
        <v>0</v>
      </c>
      <c r="AD850" s="3">
        <f>IFERROR(INDEX(EVENTOS!$D:$D,MATCH(SCORE!AD$2&amp;" "&amp;SCORE!$D850,EVENTOS!$F:$F,0)),0)</f>
        <v>0</v>
      </c>
      <c r="AE850" s="3">
        <f t="shared" si="39"/>
        <v>0</v>
      </c>
      <c r="AF850" s="10" t="e">
        <f t="shared" si="40"/>
        <v>#N/A</v>
      </c>
      <c r="AG850" s="3" t="str">
        <f t="shared" si="41"/>
        <v/>
      </c>
    </row>
    <row r="851" spans="1:33" x14ac:dyDescent="0.25">
      <c r="A851" s="7"/>
      <c r="B851" s="8"/>
      <c r="C851" s="3"/>
      <c r="D851" s="3"/>
      <c r="E851" s="3" t="e">
        <f>VLOOKUP(D851,VIAJES!$D:$E,2,FALSE)</f>
        <v>#N/A</v>
      </c>
      <c r="F851" s="9" t="e">
        <f>VLOOKUP(D851,VIAJES!$D:$F,3,FALSE)</f>
        <v>#N/A</v>
      </c>
      <c r="G851" s="9" t="e">
        <f>VLOOKUP(D851,VIAJES!$D:$G,4,FALSE)</f>
        <v>#N/A</v>
      </c>
      <c r="H851" s="3" t="e">
        <f>VLOOKUP(D851,VIAJES!$D:$H,5,FALSE)</f>
        <v>#N/A</v>
      </c>
      <c r="S851" s="3">
        <f>IFERROR(INDEX(EVENTOS!$D:$D,MATCH(SCORE!S$2&amp;" "&amp;SCORE!$D851,EVENTOS!$F:$F,0)),0)</f>
        <v>0</v>
      </c>
      <c r="T851" s="3">
        <f>IFERROR(INDEX(EVENTOS!$D:$D,MATCH(SCORE!T$2&amp;" "&amp;SCORE!$D851,EVENTOS!$F:$F,0)),0)</f>
        <v>0</v>
      </c>
      <c r="U851" s="3">
        <f>IFERROR(INDEX(EVENTOS!$D:$D,MATCH(SCORE!U$2&amp;" "&amp;SCORE!$D851,EVENTOS!$F:$F,0)),0)</f>
        <v>0</v>
      </c>
      <c r="V851" s="3">
        <f>IFERROR(INDEX(EVENTOS!$D:$D,MATCH(SCORE!V$2&amp;" "&amp;SCORE!$D851,EVENTOS!$F:$F,0)),0)</f>
        <v>0</v>
      </c>
      <c r="W851" s="3">
        <f>IFERROR(INDEX(EVENTOS!$D:$D,MATCH(SCORE!W$2&amp;" "&amp;SCORE!$D851,EVENTOS!$F:$F,0)),0)</f>
        <v>0</v>
      </c>
      <c r="X851" s="3">
        <f>IFERROR(INDEX(EVENTOS!$D:$D,MATCH(SCORE!X$2&amp;" "&amp;SCORE!$D851,EVENTOS!$F:$F,0)),0)</f>
        <v>0</v>
      </c>
      <c r="Y851" s="3">
        <f>SUMIFS(EVENTOS!$D:$D, EVENTOS!$B:$B, D851, EVENTOS!$E:$E, "*GirAlto*")</f>
        <v>0</v>
      </c>
      <c r="Z851" s="3">
        <f>SUMIFS(EVENTOS!$D:$D, EVENTOS!$B:$B, D851, EVENTOS!$E:$E, "*GirMed*")</f>
        <v>0</v>
      </c>
      <c r="AA851" s="3">
        <f>SUMIFS(EVENTOS!$D:$D, EVENTOS!$B:$B, D851, EVENTOS!$E:$E, "*GirBajo*")</f>
        <v>0</v>
      </c>
      <c r="AB851" s="3">
        <f>IFERROR(INDEX(EVENTOS!$D:$D,MATCH(SCORE!AB$2&amp;" "&amp;SCORE!$D851,EVENTOS!$F:$F,0)),0)</f>
        <v>0</v>
      </c>
      <c r="AC851" s="3">
        <f>IFERROR(INDEX(EVENTOS!$D:$D,MATCH(SCORE!AC$2&amp;" "&amp;SCORE!$D851,EVENTOS!$F:$F,0)),0)</f>
        <v>0</v>
      </c>
      <c r="AD851" s="3">
        <f>IFERROR(INDEX(EVENTOS!$D:$D,MATCH(SCORE!AD$2&amp;" "&amp;SCORE!$D851,EVENTOS!$F:$F,0)),0)</f>
        <v>0</v>
      </c>
      <c r="AE851" s="3">
        <f t="shared" si="39"/>
        <v>0</v>
      </c>
      <c r="AF851" s="10" t="e">
        <f t="shared" si="40"/>
        <v>#N/A</v>
      </c>
      <c r="AG851" s="3" t="str">
        <f t="shared" si="41"/>
        <v/>
      </c>
    </row>
    <row r="852" spans="1:33" x14ac:dyDescent="0.25">
      <c r="A852" s="7"/>
      <c r="B852" s="8"/>
      <c r="C852" s="3"/>
      <c r="D852" s="3"/>
      <c r="E852" s="3" t="e">
        <f>VLOOKUP(D852,VIAJES!$D:$E,2,FALSE)</f>
        <v>#N/A</v>
      </c>
      <c r="F852" s="9" t="e">
        <f>VLOOKUP(D852,VIAJES!$D:$F,3,FALSE)</f>
        <v>#N/A</v>
      </c>
      <c r="G852" s="9" t="e">
        <f>VLOOKUP(D852,VIAJES!$D:$G,4,FALSE)</f>
        <v>#N/A</v>
      </c>
      <c r="H852" s="3" t="e">
        <f>VLOOKUP(D852,VIAJES!$D:$H,5,FALSE)</f>
        <v>#N/A</v>
      </c>
      <c r="S852" s="3">
        <f>IFERROR(INDEX(EVENTOS!$D:$D,MATCH(SCORE!S$2&amp;" "&amp;SCORE!$D852,EVENTOS!$F:$F,0)),0)</f>
        <v>0</v>
      </c>
      <c r="T852" s="3">
        <f>IFERROR(INDEX(EVENTOS!$D:$D,MATCH(SCORE!T$2&amp;" "&amp;SCORE!$D852,EVENTOS!$F:$F,0)),0)</f>
        <v>0</v>
      </c>
      <c r="U852" s="3">
        <f>IFERROR(INDEX(EVENTOS!$D:$D,MATCH(SCORE!U$2&amp;" "&amp;SCORE!$D852,EVENTOS!$F:$F,0)),0)</f>
        <v>0</v>
      </c>
      <c r="V852" s="3">
        <f>IFERROR(INDEX(EVENTOS!$D:$D,MATCH(SCORE!V$2&amp;" "&amp;SCORE!$D852,EVENTOS!$F:$F,0)),0)</f>
        <v>0</v>
      </c>
      <c r="W852" s="3">
        <f>IFERROR(INDEX(EVENTOS!$D:$D,MATCH(SCORE!W$2&amp;" "&amp;SCORE!$D852,EVENTOS!$F:$F,0)),0)</f>
        <v>0</v>
      </c>
      <c r="X852" s="3">
        <f>IFERROR(INDEX(EVENTOS!$D:$D,MATCH(SCORE!X$2&amp;" "&amp;SCORE!$D852,EVENTOS!$F:$F,0)),0)</f>
        <v>0</v>
      </c>
      <c r="Y852" s="3">
        <f>SUMIFS(EVENTOS!$D:$D, EVENTOS!$B:$B, D852, EVENTOS!$E:$E, "*GirAlto*")</f>
        <v>0</v>
      </c>
      <c r="Z852" s="3">
        <f>SUMIFS(EVENTOS!$D:$D, EVENTOS!$B:$B, D852, EVENTOS!$E:$E, "*GirMed*")</f>
        <v>0</v>
      </c>
      <c r="AA852" s="3">
        <f>SUMIFS(EVENTOS!$D:$D, EVENTOS!$B:$B, D852, EVENTOS!$E:$E, "*GirBajo*")</f>
        <v>0</v>
      </c>
      <c r="AB852" s="3">
        <f>IFERROR(INDEX(EVENTOS!$D:$D,MATCH(SCORE!AB$2&amp;" "&amp;SCORE!$D852,EVENTOS!$F:$F,0)),0)</f>
        <v>0</v>
      </c>
      <c r="AC852" s="3">
        <f>IFERROR(INDEX(EVENTOS!$D:$D,MATCH(SCORE!AC$2&amp;" "&amp;SCORE!$D852,EVENTOS!$F:$F,0)),0)</f>
        <v>0</v>
      </c>
      <c r="AD852" s="3">
        <f>IFERROR(INDEX(EVENTOS!$D:$D,MATCH(SCORE!AD$2&amp;" "&amp;SCORE!$D852,EVENTOS!$F:$F,0)),0)</f>
        <v>0</v>
      </c>
      <c r="AE852" s="3">
        <f t="shared" si="39"/>
        <v>0</v>
      </c>
      <c r="AF852" s="10" t="e">
        <f t="shared" si="40"/>
        <v>#N/A</v>
      </c>
      <c r="AG852" s="3" t="str">
        <f t="shared" si="41"/>
        <v/>
      </c>
    </row>
    <row r="853" spans="1:33" x14ac:dyDescent="0.25">
      <c r="A853" s="7"/>
      <c r="B853" s="8"/>
      <c r="C853" s="3"/>
      <c r="D853" s="3"/>
      <c r="E853" s="3" t="e">
        <f>VLOOKUP(D853,VIAJES!$D:$E,2,FALSE)</f>
        <v>#N/A</v>
      </c>
      <c r="F853" s="9" t="e">
        <f>VLOOKUP(D853,VIAJES!$D:$F,3,FALSE)</f>
        <v>#N/A</v>
      </c>
      <c r="G853" s="9" t="e">
        <f>VLOOKUP(D853,VIAJES!$D:$G,4,FALSE)</f>
        <v>#N/A</v>
      </c>
      <c r="H853" s="3" t="e">
        <f>VLOOKUP(D853,VIAJES!$D:$H,5,FALSE)</f>
        <v>#N/A</v>
      </c>
      <c r="S853" s="3">
        <f>IFERROR(INDEX(EVENTOS!$D:$D,MATCH(SCORE!S$2&amp;" "&amp;SCORE!$D853,EVENTOS!$F:$F,0)),0)</f>
        <v>0</v>
      </c>
      <c r="T853" s="3">
        <f>IFERROR(INDEX(EVENTOS!$D:$D,MATCH(SCORE!T$2&amp;" "&amp;SCORE!$D853,EVENTOS!$F:$F,0)),0)</f>
        <v>0</v>
      </c>
      <c r="U853" s="3">
        <f>IFERROR(INDEX(EVENTOS!$D:$D,MATCH(SCORE!U$2&amp;" "&amp;SCORE!$D853,EVENTOS!$F:$F,0)),0)</f>
        <v>0</v>
      </c>
      <c r="V853" s="3">
        <f>IFERROR(INDEX(EVENTOS!$D:$D,MATCH(SCORE!V$2&amp;" "&amp;SCORE!$D853,EVENTOS!$F:$F,0)),0)</f>
        <v>0</v>
      </c>
      <c r="W853" s="3">
        <f>IFERROR(INDEX(EVENTOS!$D:$D,MATCH(SCORE!W$2&amp;" "&amp;SCORE!$D853,EVENTOS!$F:$F,0)),0)</f>
        <v>0</v>
      </c>
      <c r="X853" s="3">
        <f>IFERROR(INDEX(EVENTOS!$D:$D,MATCH(SCORE!X$2&amp;" "&amp;SCORE!$D853,EVENTOS!$F:$F,0)),0)</f>
        <v>0</v>
      </c>
      <c r="Y853" s="3">
        <f>SUMIFS(EVENTOS!$D:$D, EVENTOS!$B:$B, D853, EVENTOS!$E:$E, "*GirAlto*")</f>
        <v>0</v>
      </c>
      <c r="Z853" s="3">
        <f>SUMIFS(EVENTOS!$D:$D, EVENTOS!$B:$B, D853, EVENTOS!$E:$E, "*GirMed*")</f>
        <v>0</v>
      </c>
      <c r="AA853" s="3">
        <f>SUMIFS(EVENTOS!$D:$D, EVENTOS!$B:$B, D853, EVENTOS!$E:$E, "*GirBajo*")</f>
        <v>0</v>
      </c>
      <c r="AB853" s="3">
        <f>IFERROR(INDEX(EVENTOS!$D:$D,MATCH(SCORE!AB$2&amp;" "&amp;SCORE!$D853,EVENTOS!$F:$F,0)),0)</f>
        <v>0</v>
      </c>
      <c r="AC853" s="3">
        <f>IFERROR(INDEX(EVENTOS!$D:$D,MATCH(SCORE!AC$2&amp;" "&amp;SCORE!$D853,EVENTOS!$F:$F,0)),0)</f>
        <v>0</v>
      </c>
      <c r="AD853" s="3">
        <f>IFERROR(INDEX(EVENTOS!$D:$D,MATCH(SCORE!AD$2&amp;" "&amp;SCORE!$D853,EVENTOS!$F:$F,0)),0)</f>
        <v>0</v>
      </c>
      <c r="AE853" s="3">
        <f t="shared" si="39"/>
        <v>0</v>
      </c>
      <c r="AF853" s="10" t="e">
        <f t="shared" si="40"/>
        <v>#N/A</v>
      </c>
      <c r="AG853" s="3" t="str">
        <f t="shared" si="41"/>
        <v/>
      </c>
    </row>
    <row r="854" spans="1:33" x14ac:dyDescent="0.25">
      <c r="A854" s="7"/>
      <c r="B854" s="8"/>
      <c r="C854" s="3"/>
      <c r="D854" s="3"/>
      <c r="E854" s="3" t="e">
        <f>VLOOKUP(D854,VIAJES!$D:$E,2,FALSE)</f>
        <v>#N/A</v>
      </c>
      <c r="F854" s="9" t="e">
        <f>VLOOKUP(D854,VIAJES!$D:$F,3,FALSE)</f>
        <v>#N/A</v>
      </c>
      <c r="G854" s="9" t="e">
        <f>VLOOKUP(D854,VIAJES!$D:$G,4,FALSE)</f>
        <v>#N/A</v>
      </c>
      <c r="H854" s="3" t="e">
        <f>VLOOKUP(D854,VIAJES!$D:$H,5,FALSE)</f>
        <v>#N/A</v>
      </c>
      <c r="S854" s="3">
        <f>IFERROR(INDEX(EVENTOS!$D:$D,MATCH(SCORE!S$2&amp;" "&amp;SCORE!$D854,EVENTOS!$F:$F,0)),0)</f>
        <v>0</v>
      </c>
      <c r="T854" s="3">
        <f>IFERROR(INDEX(EVENTOS!$D:$D,MATCH(SCORE!T$2&amp;" "&amp;SCORE!$D854,EVENTOS!$F:$F,0)),0)</f>
        <v>0</v>
      </c>
      <c r="U854" s="3">
        <f>IFERROR(INDEX(EVENTOS!$D:$D,MATCH(SCORE!U$2&amp;" "&amp;SCORE!$D854,EVENTOS!$F:$F,0)),0)</f>
        <v>0</v>
      </c>
      <c r="V854" s="3">
        <f>IFERROR(INDEX(EVENTOS!$D:$D,MATCH(SCORE!V$2&amp;" "&amp;SCORE!$D854,EVENTOS!$F:$F,0)),0)</f>
        <v>0</v>
      </c>
      <c r="W854" s="3">
        <f>IFERROR(INDEX(EVENTOS!$D:$D,MATCH(SCORE!W$2&amp;" "&amp;SCORE!$D854,EVENTOS!$F:$F,0)),0)</f>
        <v>0</v>
      </c>
      <c r="X854" s="3">
        <f>IFERROR(INDEX(EVENTOS!$D:$D,MATCH(SCORE!X$2&amp;" "&amp;SCORE!$D854,EVENTOS!$F:$F,0)),0)</f>
        <v>0</v>
      </c>
      <c r="Y854" s="3">
        <f>SUMIFS(EVENTOS!$D:$D, EVENTOS!$B:$B, D854, EVENTOS!$E:$E, "*GirAlto*")</f>
        <v>0</v>
      </c>
      <c r="Z854" s="3">
        <f>SUMIFS(EVENTOS!$D:$D, EVENTOS!$B:$B, D854, EVENTOS!$E:$E, "*GirMed*")</f>
        <v>0</v>
      </c>
      <c r="AA854" s="3">
        <f>SUMIFS(EVENTOS!$D:$D, EVENTOS!$B:$B, D854, EVENTOS!$E:$E, "*GirBajo*")</f>
        <v>0</v>
      </c>
      <c r="AB854" s="3">
        <f>IFERROR(INDEX(EVENTOS!$D:$D,MATCH(SCORE!AB$2&amp;" "&amp;SCORE!$D854,EVENTOS!$F:$F,0)),0)</f>
        <v>0</v>
      </c>
      <c r="AC854" s="3">
        <f>IFERROR(INDEX(EVENTOS!$D:$D,MATCH(SCORE!AC$2&amp;" "&amp;SCORE!$D854,EVENTOS!$F:$F,0)),0)</f>
        <v>0</v>
      </c>
      <c r="AD854" s="3">
        <f>IFERROR(INDEX(EVENTOS!$D:$D,MATCH(SCORE!AD$2&amp;" "&amp;SCORE!$D854,EVENTOS!$F:$F,0)),0)</f>
        <v>0</v>
      </c>
      <c r="AE854" s="3">
        <f t="shared" si="39"/>
        <v>0</v>
      </c>
      <c r="AF854" s="10" t="e">
        <f t="shared" si="40"/>
        <v>#N/A</v>
      </c>
      <c r="AG854" s="3" t="str">
        <f t="shared" si="41"/>
        <v/>
      </c>
    </row>
    <row r="855" spans="1:33" x14ac:dyDescent="0.25">
      <c r="A855" s="7"/>
      <c r="B855" s="8"/>
      <c r="C855" s="3"/>
      <c r="D855" s="3"/>
      <c r="E855" s="3" t="e">
        <f>VLOOKUP(D855,VIAJES!$D:$E,2,FALSE)</f>
        <v>#N/A</v>
      </c>
      <c r="F855" s="9" t="e">
        <f>VLOOKUP(D855,VIAJES!$D:$F,3,FALSE)</f>
        <v>#N/A</v>
      </c>
      <c r="G855" s="9" t="e">
        <f>VLOOKUP(D855,VIAJES!$D:$G,4,FALSE)</f>
        <v>#N/A</v>
      </c>
      <c r="H855" s="3" t="e">
        <f>VLOOKUP(D855,VIAJES!$D:$H,5,FALSE)</f>
        <v>#N/A</v>
      </c>
      <c r="S855" s="3">
        <f>IFERROR(INDEX(EVENTOS!$D:$D,MATCH(SCORE!S$2&amp;" "&amp;SCORE!$D855,EVENTOS!$F:$F,0)),0)</f>
        <v>0</v>
      </c>
      <c r="T855" s="3">
        <f>IFERROR(INDEX(EVENTOS!$D:$D,MATCH(SCORE!T$2&amp;" "&amp;SCORE!$D855,EVENTOS!$F:$F,0)),0)</f>
        <v>0</v>
      </c>
      <c r="U855" s="3">
        <f>IFERROR(INDEX(EVENTOS!$D:$D,MATCH(SCORE!U$2&amp;" "&amp;SCORE!$D855,EVENTOS!$F:$F,0)),0)</f>
        <v>0</v>
      </c>
      <c r="V855" s="3">
        <f>IFERROR(INDEX(EVENTOS!$D:$D,MATCH(SCORE!V$2&amp;" "&amp;SCORE!$D855,EVENTOS!$F:$F,0)),0)</f>
        <v>0</v>
      </c>
      <c r="W855" s="3">
        <f>IFERROR(INDEX(EVENTOS!$D:$D,MATCH(SCORE!W$2&amp;" "&amp;SCORE!$D855,EVENTOS!$F:$F,0)),0)</f>
        <v>0</v>
      </c>
      <c r="X855" s="3">
        <f>IFERROR(INDEX(EVENTOS!$D:$D,MATCH(SCORE!X$2&amp;" "&amp;SCORE!$D855,EVENTOS!$F:$F,0)),0)</f>
        <v>0</v>
      </c>
      <c r="Y855" s="3">
        <f>SUMIFS(EVENTOS!$D:$D, EVENTOS!$B:$B, D855, EVENTOS!$E:$E, "*GirAlto*")</f>
        <v>0</v>
      </c>
      <c r="Z855" s="3">
        <f>SUMIFS(EVENTOS!$D:$D, EVENTOS!$B:$B, D855, EVENTOS!$E:$E, "*GirMed*")</f>
        <v>0</v>
      </c>
      <c r="AA855" s="3">
        <f>SUMIFS(EVENTOS!$D:$D, EVENTOS!$B:$B, D855, EVENTOS!$E:$E, "*GirBajo*")</f>
        <v>0</v>
      </c>
      <c r="AB855" s="3">
        <f>IFERROR(INDEX(EVENTOS!$D:$D,MATCH(SCORE!AB$2&amp;" "&amp;SCORE!$D855,EVENTOS!$F:$F,0)),0)</f>
        <v>0</v>
      </c>
      <c r="AC855" s="3">
        <f>IFERROR(INDEX(EVENTOS!$D:$D,MATCH(SCORE!AC$2&amp;" "&amp;SCORE!$D855,EVENTOS!$F:$F,0)),0)</f>
        <v>0</v>
      </c>
      <c r="AD855" s="3">
        <f>IFERROR(INDEX(EVENTOS!$D:$D,MATCH(SCORE!AD$2&amp;" "&amp;SCORE!$D855,EVENTOS!$F:$F,0)),0)</f>
        <v>0</v>
      </c>
      <c r="AE855" s="3">
        <f t="shared" si="39"/>
        <v>0</v>
      </c>
      <c r="AF855" s="10" t="e">
        <f t="shared" si="40"/>
        <v>#N/A</v>
      </c>
      <c r="AG855" s="3" t="str">
        <f t="shared" si="41"/>
        <v/>
      </c>
    </row>
    <row r="856" spans="1:33" x14ac:dyDescent="0.25">
      <c r="A856" s="7"/>
      <c r="B856" s="8"/>
      <c r="C856" s="3"/>
      <c r="D856" s="3"/>
      <c r="E856" s="3" t="e">
        <f>VLOOKUP(D856,VIAJES!$D:$E,2,FALSE)</f>
        <v>#N/A</v>
      </c>
      <c r="F856" s="9" t="e">
        <f>VLOOKUP(D856,VIAJES!$D:$F,3,FALSE)</f>
        <v>#N/A</v>
      </c>
      <c r="G856" s="9" t="e">
        <f>VLOOKUP(D856,VIAJES!$D:$G,4,FALSE)</f>
        <v>#N/A</v>
      </c>
      <c r="H856" s="3" t="e">
        <f>VLOOKUP(D856,VIAJES!$D:$H,5,FALSE)</f>
        <v>#N/A</v>
      </c>
      <c r="S856" s="3">
        <f>IFERROR(INDEX(EVENTOS!$D:$D,MATCH(SCORE!S$2&amp;" "&amp;SCORE!$D856,EVENTOS!$F:$F,0)),0)</f>
        <v>0</v>
      </c>
      <c r="T856" s="3">
        <f>IFERROR(INDEX(EVENTOS!$D:$D,MATCH(SCORE!T$2&amp;" "&amp;SCORE!$D856,EVENTOS!$F:$F,0)),0)</f>
        <v>0</v>
      </c>
      <c r="U856" s="3">
        <f>IFERROR(INDEX(EVENTOS!$D:$D,MATCH(SCORE!U$2&amp;" "&amp;SCORE!$D856,EVENTOS!$F:$F,0)),0)</f>
        <v>0</v>
      </c>
      <c r="V856" s="3">
        <f>IFERROR(INDEX(EVENTOS!$D:$D,MATCH(SCORE!V$2&amp;" "&amp;SCORE!$D856,EVENTOS!$F:$F,0)),0)</f>
        <v>0</v>
      </c>
      <c r="W856" s="3">
        <f>IFERROR(INDEX(EVENTOS!$D:$D,MATCH(SCORE!W$2&amp;" "&amp;SCORE!$D856,EVENTOS!$F:$F,0)),0)</f>
        <v>0</v>
      </c>
      <c r="X856" s="3">
        <f>IFERROR(INDEX(EVENTOS!$D:$D,MATCH(SCORE!X$2&amp;" "&amp;SCORE!$D856,EVENTOS!$F:$F,0)),0)</f>
        <v>0</v>
      </c>
      <c r="Y856" s="3">
        <f>SUMIFS(EVENTOS!$D:$D, EVENTOS!$B:$B, D856, EVENTOS!$E:$E, "*GirAlto*")</f>
        <v>0</v>
      </c>
      <c r="Z856" s="3">
        <f>SUMIFS(EVENTOS!$D:$D, EVENTOS!$B:$B, D856, EVENTOS!$E:$E, "*GirMed*")</f>
        <v>0</v>
      </c>
      <c r="AA856" s="3">
        <f>SUMIFS(EVENTOS!$D:$D, EVENTOS!$B:$B, D856, EVENTOS!$E:$E, "*GirBajo*")</f>
        <v>0</v>
      </c>
      <c r="AB856" s="3">
        <f>IFERROR(INDEX(EVENTOS!$D:$D,MATCH(SCORE!AB$2&amp;" "&amp;SCORE!$D856,EVENTOS!$F:$F,0)),0)</f>
        <v>0</v>
      </c>
      <c r="AC856" s="3">
        <f>IFERROR(INDEX(EVENTOS!$D:$D,MATCH(SCORE!AC$2&amp;" "&amp;SCORE!$D856,EVENTOS!$F:$F,0)),0)</f>
        <v>0</v>
      </c>
      <c r="AD856" s="3">
        <f>IFERROR(INDEX(EVENTOS!$D:$D,MATCH(SCORE!AD$2&amp;" "&amp;SCORE!$D856,EVENTOS!$F:$F,0)),0)</f>
        <v>0</v>
      </c>
      <c r="AE856" s="3">
        <f t="shared" si="39"/>
        <v>0</v>
      </c>
      <c r="AF856" s="10" t="e">
        <f t="shared" si="40"/>
        <v>#N/A</v>
      </c>
      <c r="AG856" s="3" t="str">
        <f t="shared" si="41"/>
        <v/>
      </c>
    </row>
    <row r="857" spans="1:33" x14ac:dyDescent="0.25">
      <c r="A857" s="7"/>
      <c r="B857" s="8"/>
      <c r="C857" s="3"/>
      <c r="D857" s="3"/>
      <c r="E857" s="3" t="e">
        <f>VLOOKUP(D857,VIAJES!$D:$E,2,FALSE)</f>
        <v>#N/A</v>
      </c>
      <c r="F857" s="9" t="e">
        <f>VLOOKUP(D857,VIAJES!$D:$F,3,FALSE)</f>
        <v>#N/A</v>
      </c>
      <c r="G857" s="9" t="e">
        <f>VLOOKUP(D857,VIAJES!$D:$G,4,FALSE)</f>
        <v>#N/A</v>
      </c>
      <c r="H857" s="3" t="e">
        <f>VLOOKUP(D857,VIAJES!$D:$H,5,FALSE)</f>
        <v>#N/A</v>
      </c>
      <c r="S857" s="3">
        <f>IFERROR(INDEX(EVENTOS!$D:$D,MATCH(SCORE!S$2&amp;" "&amp;SCORE!$D857,EVENTOS!$F:$F,0)),0)</f>
        <v>0</v>
      </c>
      <c r="T857" s="3">
        <f>IFERROR(INDEX(EVENTOS!$D:$D,MATCH(SCORE!T$2&amp;" "&amp;SCORE!$D857,EVENTOS!$F:$F,0)),0)</f>
        <v>0</v>
      </c>
      <c r="U857" s="3">
        <f>IFERROR(INDEX(EVENTOS!$D:$D,MATCH(SCORE!U$2&amp;" "&amp;SCORE!$D857,EVENTOS!$F:$F,0)),0)</f>
        <v>0</v>
      </c>
      <c r="V857" s="3">
        <f>IFERROR(INDEX(EVENTOS!$D:$D,MATCH(SCORE!V$2&amp;" "&amp;SCORE!$D857,EVENTOS!$F:$F,0)),0)</f>
        <v>0</v>
      </c>
      <c r="W857" s="3">
        <f>IFERROR(INDEX(EVENTOS!$D:$D,MATCH(SCORE!W$2&amp;" "&amp;SCORE!$D857,EVENTOS!$F:$F,0)),0)</f>
        <v>0</v>
      </c>
      <c r="X857" s="3">
        <f>IFERROR(INDEX(EVENTOS!$D:$D,MATCH(SCORE!X$2&amp;" "&amp;SCORE!$D857,EVENTOS!$F:$F,0)),0)</f>
        <v>0</v>
      </c>
      <c r="Y857" s="3">
        <f>SUMIFS(EVENTOS!$D:$D, EVENTOS!$B:$B, D857, EVENTOS!$E:$E, "*GirAlto*")</f>
        <v>0</v>
      </c>
      <c r="Z857" s="3">
        <f>SUMIFS(EVENTOS!$D:$D, EVENTOS!$B:$B, D857, EVENTOS!$E:$E, "*GirMed*")</f>
        <v>0</v>
      </c>
      <c r="AA857" s="3">
        <f>SUMIFS(EVENTOS!$D:$D, EVENTOS!$B:$B, D857, EVENTOS!$E:$E, "*GirBajo*")</f>
        <v>0</v>
      </c>
      <c r="AB857" s="3">
        <f>IFERROR(INDEX(EVENTOS!$D:$D,MATCH(SCORE!AB$2&amp;" "&amp;SCORE!$D857,EVENTOS!$F:$F,0)),0)</f>
        <v>0</v>
      </c>
      <c r="AC857" s="3">
        <f>IFERROR(INDEX(EVENTOS!$D:$D,MATCH(SCORE!AC$2&amp;" "&amp;SCORE!$D857,EVENTOS!$F:$F,0)),0)</f>
        <v>0</v>
      </c>
      <c r="AD857" s="3">
        <f>IFERROR(INDEX(EVENTOS!$D:$D,MATCH(SCORE!AD$2&amp;" "&amp;SCORE!$D857,EVENTOS!$F:$F,0)),0)</f>
        <v>0</v>
      </c>
      <c r="AE857" s="3">
        <f t="shared" si="39"/>
        <v>0</v>
      </c>
      <c r="AF857" s="10" t="e">
        <f t="shared" si="40"/>
        <v>#N/A</v>
      </c>
      <c r="AG857" s="3" t="str">
        <f t="shared" si="41"/>
        <v/>
      </c>
    </row>
    <row r="858" spans="1:33" x14ac:dyDescent="0.25">
      <c r="A858" s="7"/>
      <c r="B858" s="8"/>
      <c r="C858" s="3"/>
      <c r="D858" s="3"/>
      <c r="E858" s="3" t="e">
        <f>VLOOKUP(D858,VIAJES!$D:$E,2,FALSE)</f>
        <v>#N/A</v>
      </c>
      <c r="F858" s="9" t="e">
        <f>VLOOKUP(D858,VIAJES!$D:$F,3,FALSE)</f>
        <v>#N/A</v>
      </c>
      <c r="G858" s="9" t="e">
        <f>VLOOKUP(D858,VIAJES!$D:$G,4,FALSE)</f>
        <v>#N/A</v>
      </c>
      <c r="H858" s="3" t="e">
        <f>VLOOKUP(D858,VIAJES!$D:$H,5,FALSE)</f>
        <v>#N/A</v>
      </c>
      <c r="S858" s="3">
        <f>IFERROR(INDEX(EVENTOS!$D:$D,MATCH(SCORE!S$2&amp;" "&amp;SCORE!$D858,EVENTOS!$F:$F,0)),0)</f>
        <v>0</v>
      </c>
      <c r="T858" s="3">
        <f>IFERROR(INDEX(EVENTOS!$D:$D,MATCH(SCORE!T$2&amp;" "&amp;SCORE!$D858,EVENTOS!$F:$F,0)),0)</f>
        <v>0</v>
      </c>
      <c r="U858" s="3">
        <f>IFERROR(INDEX(EVENTOS!$D:$D,MATCH(SCORE!U$2&amp;" "&amp;SCORE!$D858,EVENTOS!$F:$F,0)),0)</f>
        <v>0</v>
      </c>
      <c r="V858" s="3">
        <f>IFERROR(INDEX(EVENTOS!$D:$D,MATCH(SCORE!V$2&amp;" "&amp;SCORE!$D858,EVENTOS!$F:$F,0)),0)</f>
        <v>0</v>
      </c>
      <c r="W858" s="3">
        <f>IFERROR(INDEX(EVENTOS!$D:$D,MATCH(SCORE!W$2&amp;" "&amp;SCORE!$D858,EVENTOS!$F:$F,0)),0)</f>
        <v>0</v>
      </c>
      <c r="X858" s="3">
        <f>IFERROR(INDEX(EVENTOS!$D:$D,MATCH(SCORE!X$2&amp;" "&amp;SCORE!$D858,EVENTOS!$F:$F,0)),0)</f>
        <v>0</v>
      </c>
      <c r="Y858" s="3">
        <f>SUMIFS(EVENTOS!$D:$D, EVENTOS!$B:$B, D858, EVENTOS!$E:$E, "*GirAlto*")</f>
        <v>0</v>
      </c>
      <c r="Z858" s="3">
        <f>SUMIFS(EVENTOS!$D:$D, EVENTOS!$B:$B, D858, EVENTOS!$E:$E, "*GirMed*")</f>
        <v>0</v>
      </c>
      <c r="AA858" s="3">
        <f>SUMIFS(EVENTOS!$D:$D, EVENTOS!$B:$B, D858, EVENTOS!$E:$E, "*GirBajo*")</f>
        <v>0</v>
      </c>
      <c r="AB858" s="3">
        <f>IFERROR(INDEX(EVENTOS!$D:$D,MATCH(SCORE!AB$2&amp;" "&amp;SCORE!$D858,EVENTOS!$F:$F,0)),0)</f>
        <v>0</v>
      </c>
      <c r="AC858" s="3">
        <f>IFERROR(INDEX(EVENTOS!$D:$D,MATCH(SCORE!AC$2&amp;" "&amp;SCORE!$D858,EVENTOS!$F:$F,0)),0)</f>
        <v>0</v>
      </c>
      <c r="AD858" s="3">
        <f>IFERROR(INDEX(EVENTOS!$D:$D,MATCH(SCORE!AD$2&amp;" "&amp;SCORE!$D858,EVENTOS!$F:$F,0)),0)</f>
        <v>0</v>
      </c>
      <c r="AE858" s="3">
        <f t="shared" si="39"/>
        <v>0</v>
      </c>
      <c r="AF858" s="10" t="e">
        <f t="shared" si="40"/>
        <v>#N/A</v>
      </c>
      <c r="AG858" s="3" t="str">
        <f t="shared" si="41"/>
        <v/>
      </c>
    </row>
    <row r="859" spans="1:33" x14ac:dyDescent="0.25">
      <c r="A859" s="7"/>
      <c r="B859" s="8"/>
      <c r="C859" s="3"/>
      <c r="D859" s="3"/>
      <c r="E859" s="3" t="e">
        <f>VLOOKUP(D859,VIAJES!$D:$E,2,FALSE)</f>
        <v>#N/A</v>
      </c>
      <c r="F859" s="9" t="e">
        <f>VLOOKUP(D859,VIAJES!$D:$F,3,FALSE)</f>
        <v>#N/A</v>
      </c>
      <c r="G859" s="9" t="e">
        <f>VLOOKUP(D859,VIAJES!$D:$G,4,FALSE)</f>
        <v>#N/A</v>
      </c>
      <c r="H859" s="3" t="e">
        <f>VLOOKUP(D859,VIAJES!$D:$H,5,FALSE)</f>
        <v>#N/A</v>
      </c>
      <c r="S859" s="3">
        <f>IFERROR(INDEX(EVENTOS!$D:$D,MATCH(SCORE!S$2&amp;" "&amp;SCORE!$D859,EVENTOS!$F:$F,0)),0)</f>
        <v>0</v>
      </c>
      <c r="T859" s="3">
        <f>IFERROR(INDEX(EVENTOS!$D:$D,MATCH(SCORE!T$2&amp;" "&amp;SCORE!$D859,EVENTOS!$F:$F,0)),0)</f>
        <v>0</v>
      </c>
      <c r="U859" s="3">
        <f>IFERROR(INDEX(EVENTOS!$D:$D,MATCH(SCORE!U$2&amp;" "&amp;SCORE!$D859,EVENTOS!$F:$F,0)),0)</f>
        <v>0</v>
      </c>
      <c r="V859" s="3">
        <f>IFERROR(INDEX(EVENTOS!$D:$D,MATCH(SCORE!V$2&amp;" "&amp;SCORE!$D859,EVENTOS!$F:$F,0)),0)</f>
        <v>0</v>
      </c>
      <c r="W859" s="3">
        <f>IFERROR(INDEX(EVENTOS!$D:$D,MATCH(SCORE!W$2&amp;" "&amp;SCORE!$D859,EVENTOS!$F:$F,0)),0)</f>
        <v>0</v>
      </c>
      <c r="X859" s="3">
        <f>IFERROR(INDEX(EVENTOS!$D:$D,MATCH(SCORE!X$2&amp;" "&amp;SCORE!$D859,EVENTOS!$F:$F,0)),0)</f>
        <v>0</v>
      </c>
      <c r="Y859" s="3">
        <f>SUMIFS(EVENTOS!$D:$D, EVENTOS!$B:$B, D859, EVENTOS!$E:$E, "*GirAlto*")</f>
        <v>0</v>
      </c>
      <c r="Z859" s="3">
        <f>SUMIFS(EVENTOS!$D:$D, EVENTOS!$B:$B, D859, EVENTOS!$E:$E, "*GirMed*")</f>
        <v>0</v>
      </c>
      <c r="AA859" s="3">
        <f>SUMIFS(EVENTOS!$D:$D, EVENTOS!$B:$B, D859, EVENTOS!$E:$E, "*GirBajo*")</f>
        <v>0</v>
      </c>
      <c r="AB859" s="3">
        <f>IFERROR(INDEX(EVENTOS!$D:$D,MATCH(SCORE!AB$2&amp;" "&amp;SCORE!$D859,EVENTOS!$F:$F,0)),0)</f>
        <v>0</v>
      </c>
      <c r="AC859" s="3">
        <f>IFERROR(INDEX(EVENTOS!$D:$D,MATCH(SCORE!AC$2&amp;" "&amp;SCORE!$D859,EVENTOS!$F:$F,0)),0)</f>
        <v>0</v>
      </c>
      <c r="AD859" s="3">
        <f>IFERROR(INDEX(EVENTOS!$D:$D,MATCH(SCORE!AD$2&amp;" "&amp;SCORE!$D859,EVENTOS!$F:$F,0)),0)</f>
        <v>0</v>
      </c>
      <c r="AE859" s="3">
        <f t="shared" si="39"/>
        <v>0</v>
      </c>
      <c r="AF859" s="10" t="e">
        <f t="shared" si="40"/>
        <v>#N/A</v>
      </c>
      <c r="AG859" s="3" t="str">
        <f t="shared" si="41"/>
        <v/>
      </c>
    </row>
    <row r="860" spans="1:33" x14ac:dyDescent="0.25">
      <c r="A860" s="7"/>
      <c r="B860" s="8"/>
      <c r="C860" s="3"/>
      <c r="D860" s="3"/>
      <c r="E860" s="3" t="e">
        <f>VLOOKUP(D860,VIAJES!$D:$E,2,FALSE)</f>
        <v>#N/A</v>
      </c>
      <c r="F860" s="9" t="e">
        <f>VLOOKUP(D860,VIAJES!$D:$F,3,FALSE)</f>
        <v>#N/A</v>
      </c>
      <c r="G860" s="9" t="e">
        <f>VLOOKUP(D860,VIAJES!$D:$G,4,FALSE)</f>
        <v>#N/A</v>
      </c>
      <c r="H860" s="3" t="e">
        <f>VLOOKUP(D860,VIAJES!$D:$H,5,FALSE)</f>
        <v>#N/A</v>
      </c>
      <c r="S860" s="3">
        <f>IFERROR(INDEX(EVENTOS!$D:$D,MATCH(SCORE!S$2&amp;" "&amp;SCORE!$D860,EVENTOS!$F:$F,0)),0)</f>
        <v>0</v>
      </c>
      <c r="T860" s="3">
        <f>IFERROR(INDEX(EVENTOS!$D:$D,MATCH(SCORE!T$2&amp;" "&amp;SCORE!$D860,EVENTOS!$F:$F,0)),0)</f>
        <v>0</v>
      </c>
      <c r="U860" s="3">
        <f>IFERROR(INDEX(EVENTOS!$D:$D,MATCH(SCORE!U$2&amp;" "&amp;SCORE!$D860,EVENTOS!$F:$F,0)),0)</f>
        <v>0</v>
      </c>
      <c r="V860" s="3">
        <f>IFERROR(INDEX(EVENTOS!$D:$D,MATCH(SCORE!V$2&amp;" "&amp;SCORE!$D860,EVENTOS!$F:$F,0)),0)</f>
        <v>0</v>
      </c>
      <c r="W860" s="3">
        <f>IFERROR(INDEX(EVENTOS!$D:$D,MATCH(SCORE!W$2&amp;" "&amp;SCORE!$D860,EVENTOS!$F:$F,0)),0)</f>
        <v>0</v>
      </c>
      <c r="X860" s="3">
        <f>IFERROR(INDEX(EVENTOS!$D:$D,MATCH(SCORE!X$2&amp;" "&amp;SCORE!$D860,EVENTOS!$F:$F,0)),0)</f>
        <v>0</v>
      </c>
      <c r="Y860" s="3">
        <f>SUMIFS(EVENTOS!$D:$D, EVENTOS!$B:$B, D860, EVENTOS!$E:$E, "*GirAlto*")</f>
        <v>0</v>
      </c>
      <c r="Z860" s="3">
        <f>SUMIFS(EVENTOS!$D:$D, EVENTOS!$B:$B, D860, EVENTOS!$E:$E, "*GirMed*")</f>
        <v>0</v>
      </c>
      <c r="AA860" s="3">
        <f>SUMIFS(EVENTOS!$D:$D, EVENTOS!$B:$B, D860, EVENTOS!$E:$E, "*GirBajo*")</f>
        <v>0</v>
      </c>
      <c r="AB860" s="3">
        <f>IFERROR(INDEX(EVENTOS!$D:$D,MATCH(SCORE!AB$2&amp;" "&amp;SCORE!$D860,EVENTOS!$F:$F,0)),0)</f>
        <v>0</v>
      </c>
      <c r="AC860" s="3">
        <f>IFERROR(INDEX(EVENTOS!$D:$D,MATCH(SCORE!AC$2&amp;" "&amp;SCORE!$D860,EVENTOS!$F:$F,0)),0)</f>
        <v>0</v>
      </c>
      <c r="AD860" s="3">
        <f>IFERROR(INDEX(EVENTOS!$D:$D,MATCH(SCORE!AD$2&amp;" "&amp;SCORE!$D860,EVENTOS!$F:$F,0)),0)</f>
        <v>0</v>
      </c>
      <c r="AE860" s="3">
        <f t="shared" si="39"/>
        <v>0</v>
      </c>
      <c r="AF860" s="10" t="e">
        <f t="shared" si="40"/>
        <v>#N/A</v>
      </c>
      <c r="AG860" s="3" t="str">
        <f t="shared" si="41"/>
        <v/>
      </c>
    </row>
    <row r="861" spans="1:33" x14ac:dyDescent="0.25">
      <c r="A861" s="7"/>
      <c r="B861" s="8"/>
      <c r="C861" s="3"/>
      <c r="D861" s="3"/>
      <c r="E861" s="3" t="e">
        <f>VLOOKUP(D861,VIAJES!$D:$E,2,FALSE)</f>
        <v>#N/A</v>
      </c>
      <c r="F861" s="9" t="e">
        <f>VLOOKUP(D861,VIAJES!$D:$F,3,FALSE)</f>
        <v>#N/A</v>
      </c>
      <c r="G861" s="9" t="e">
        <f>VLOOKUP(D861,VIAJES!$D:$G,4,FALSE)</f>
        <v>#N/A</v>
      </c>
      <c r="H861" s="3" t="e">
        <f>VLOOKUP(D861,VIAJES!$D:$H,5,FALSE)</f>
        <v>#N/A</v>
      </c>
      <c r="S861" s="3">
        <f>IFERROR(INDEX(EVENTOS!$D:$D,MATCH(SCORE!S$2&amp;" "&amp;SCORE!$D861,EVENTOS!$F:$F,0)),0)</f>
        <v>0</v>
      </c>
      <c r="T861" s="3">
        <f>IFERROR(INDEX(EVENTOS!$D:$D,MATCH(SCORE!T$2&amp;" "&amp;SCORE!$D861,EVENTOS!$F:$F,0)),0)</f>
        <v>0</v>
      </c>
      <c r="U861" s="3">
        <f>IFERROR(INDEX(EVENTOS!$D:$D,MATCH(SCORE!U$2&amp;" "&amp;SCORE!$D861,EVENTOS!$F:$F,0)),0)</f>
        <v>0</v>
      </c>
      <c r="V861" s="3">
        <f>IFERROR(INDEX(EVENTOS!$D:$D,MATCH(SCORE!V$2&amp;" "&amp;SCORE!$D861,EVENTOS!$F:$F,0)),0)</f>
        <v>0</v>
      </c>
      <c r="W861" s="3">
        <f>IFERROR(INDEX(EVENTOS!$D:$D,MATCH(SCORE!W$2&amp;" "&amp;SCORE!$D861,EVENTOS!$F:$F,0)),0)</f>
        <v>0</v>
      </c>
      <c r="X861" s="3">
        <f>IFERROR(INDEX(EVENTOS!$D:$D,MATCH(SCORE!X$2&amp;" "&amp;SCORE!$D861,EVENTOS!$F:$F,0)),0)</f>
        <v>0</v>
      </c>
      <c r="Y861" s="3">
        <f>SUMIFS(EVENTOS!$D:$D, EVENTOS!$B:$B, D861, EVENTOS!$E:$E, "*GirAlto*")</f>
        <v>0</v>
      </c>
      <c r="Z861" s="3">
        <f>SUMIFS(EVENTOS!$D:$D, EVENTOS!$B:$B, D861, EVENTOS!$E:$E, "*GirMed*")</f>
        <v>0</v>
      </c>
      <c r="AA861" s="3">
        <f>SUMIFS(EVENTOS!$D:$D, EVENTOS!$B:$B, D861, EVENTOS!$E:$E, "*GirBajo*")</f>
        <v>0</v>
      </c>
      <c r="AB861" s="3">
        <f>IFERROR(INDEX(EVENTOS!$D:$D,MATCH(SCORE!AB$2&amp;" "&amp;SCORE!$D861,EVENTOS!$F:$F,0)),0)</f>
        <v>0</v>
      </c>
      <c r="AC861" s="3">
        <f>IFERROR(INDEX(EVENTOS!$D:$D,MATCH(SCORE!AC$2&amp;" "&amp;SCORE!$D861,EVENTOS!$F:$F,0)),0)</f>
        <v>0</v>
      </c>
      <c r="AD861" s="3">
        <f>IFERROR(INDEX(EVENTOS!$D:$D,MATCH(SCORE!AD$2&amp;" "&amp;SCORE!$D861,EVENTOS!$F:$F,0)),0)</f>
        <v>0</v>
      </c>
      <c r="AE861" s="3">
        <f t="shared" si="39"/>
        <v>0</v>
      </c>
      <c r="AF861" s="10" t="e">
        <f t="shared" si="40"/>
        <v>#N/A</v>
      </c>
      <c r="AG861" s="3" t="str">
        <f t="shared" si="41"/>
        <v/>
      </c>
    </row>
    <row r="862" spans="1:33" x14ac:dyDescent="0.25">
      <c r="A862" s="7"/>
      <c r="B862" s="8"/>
      <c r="C862" s="3"/>
      <c r="D862" s="3"/>
      <c r="E862" s="3" t="e">
        <f>VLOOKUP(D862,VIAJES!$D:$E,2,FALSE)</f>
        <v>#N/A</v>
      </c>
      <c r="F862" s="9" t="e">
        <f>VLOOKUP(D862,VIAJES!$D:$F,3,FALSE)</f>
        <v>#N/A</v>
      </c>
      <c r="G862" s="9" t="e">
        <f>VLOOKUP(D862,VIAJES!$D:$G,4,FALSE)</f>
        <v>#N/A</v>
      </c>
      <c r="H862" s="3" t="e">
        <f>VLOOKUP(D862,VIAJES!$D:$H,5,FALSE)</f>
        <v>#N/A</v>
      </c>
      <c r="S862" s="3">
        <f>IFERROR(INDEX(EVENTOS!$D:$D,MATCH(SCORE!S$2&amp;" "&amp;SCORE!$D862,EVENTOS!$F:$F,0)),0)</f>
        <v>0</v>
      </c>
      <c r="T862" s="3">
        <f>IFERROR(INDEX(EVENTOS!$D:$D,MATCH(SCORE!T$2&amp;" "&amp;SCORE!$D862,EVENTOS!$F:$F,0)),0)</f>
        <v>0</v>
      </c>
      <c r="U862" s="3">
        <f>IFERROR(INDEX(EVENTOS!$D:$D,MATCH(SCORE!U$2&amp;" "&amp;SCORE!$D862,EVENTOS!$F:$F,0)),0)</f>
        <v>0</v>
      </c>
      <c r="V862" s="3">
        <f>IFERROR(INDEX(EVENTOS!$D:$D,MATCH(SCORE!V$2&amp;" "&amp;SCORE!$D862,EVENTOS!$F:$F,0)),0)</f>
        <v>0</v>
      </c>
      <c r="W862" s="3">
        <f>IFERROR(INDEX(EVENTOS!$D:$D,MATCH(SCORE!W$2&amp;" "&amp;SCORE!$D862,EVENTOS!$F:$F,0)),0)</f>
        <v>0</v>
      </c>
      <c r="X862" s="3">
        <f>IFERROR(INDEX(EVENTOS!$D:$D,MATCH(SCORE!X$2&amp;" "&amp;SCORE!$D862,EVENTOS!$F:$F,0)),0)</f>
        <v>0</v>
      </c>
      <c r="Y862" s="3">
        <f>SUMIFS(EVENTOS!$D:$D, EVENTOS!$B:$B, D862, EVENTOS!$E:$E, "*GirAlto*")</f>
        <v>0</v>
      </c>
      <c r="Z862" s="3">
        <f>SUMIFS(EVENTOS!$D:$D, EVENTOS!$B:$B, D862, EVENTOS!$E:$E, "*GirMed*")</f>
        <v>0</v>
      </c>
      <c r="AA862" s="3">
        <f>SUMIFS(EVENTOS!$D:$D, EVENTOS!$B:$B, D862, EVENTOS!$E:$E, "*GirBajo*")</f>
        <v>0</v>
      </c>
      <c r="AB862" s="3">
        <f>IFERROR(INDEX(EVENTOS!$D:$D,MATCH(SCORE!AB$2&amp;" "&amp;SCORE!$D862,EVENTOS!$F:$F,0)),0)</f>
        <v>0</v>
      </c>
      <c r="AC862" s="3">
        <f>IFERROR(INDEX(EVENTOS!$D:$D,MATCH(SCORE!AC$2&amp;" "&amp;SCORE!$D862,EVENTOS!$F:$F,0)),0)</f>
        <v>0</v>
      </c>
      <c r="AD862" s="3">
        <f>IFERROR(INDEX(EVENTOS!$D:$D,MATCH(SCORE!AD$2&amp;" "&amp;SCORE!$D862,EVENTOS!$F:$F,0)),0)</f>
        <v>0</v>
      </c>
      <c r="AE862" s="3">
        <f t="shared" si="39"/>
        <v>0</v>
      </c>
      <c r="AF862" s="10" t="e">
        <f t="shared" si="40"/>
        <v>#N/A</v>
      </c>
      <c r="AG862" s="3" t="str">
        <f t="shared" si="41"/>
        <v/>
      </c>
    </row>
    <row r="863" spans="1:33" x14ac:dyDescent="0.25">
      <c r="A863" s="7"/>
      <c r="B863" s="8"/>
      <c r="C863" s="3"/>
      <c r="D863" s="3"/>
      <c r="E863" s="3" t="e">
        <f>VLOOKUP(D863,VIAJES!$D:$E,2,FALSE)</f>
        <v>#N/A</v>
      </c>
      <c r="F863" s="9" t="e">
        <f>VLOOKUP(D863,VIAJES!$D:$F,3,FALSE)</f>
        <v>#N/A</v>
      </c>
      <c r="G863" s="9" t="e">
        <f>VLOOKUP(D863,VIAJES!$D:$G,4,FALSE)</f>
        <v>#N/A</v>
      </c>
      <c r="H863" s="3" t="e">
        <f>VLOOKUP(D863,VIAJES!$D:$H,5,FALSE)</f>
        <v>#N/A</v>
      </c>
      <c r="S863" s="3">
        <f>IFERROR(INDEX(EVENTOS!$D:$D,MATCH(SCORE!S$2&amp;" "&amp;SCORE!$D863,EVENTOS!$F:$F,0)),0)</f>
        <v>0</v>
      </c>
      <c r="T863" s="3">
        <f>IFERROR(INDEX(EVENTOS!$D:$D,MATCH(SCORE!T$2&amp;" "&amp;SCORE!$D863,EVENTOS!$F:$F,0)),0)</f>
        <v>0</v>
      </c>
      <c r="U863" s="3">
        <f>IFERROR(INDEX(EVENTOS!$D:$D,MATCH(SCORE!U$2&amp;" "&amp;SCORE!$D863,EVENTOS!$F:$F,0)),0)</f>
        <v>0</v>
      </c>
      <c r="V863" s="3">
        <f>IFERROR(INDEX(EVENTOS!$D:$D,MATCH(SCORE!V$2&amp;" "&amp;SCORE!$D863,EVENTOS!$F:$F,0)),0)</f>
        <v>0</v>
      </c>
      <c r="W863" s="3">
        <f>IFERROR(INDEX(EVENTOS!$D:$D,MATCH(SCORE!W$2&amp;" "&amp;SCORE!$D863,EVENTOS!$F:$F,0)),0)</f>
        <v>0</v>
      </c>
      <c r="X863" s="3">
        <f>IFERROR(INDEX(EVENTOS!$D:$D,MATCH(SCORE!X$2&amp;" "&amp;SCORE!$D863,EVENTOS!$F:$F,0)),0)</f>
        <v>0</v>
      </c>
      <c r="Y863" s="3">
        <f>SUMIFS(EVENTOS!$D:$D, EVENTOS!$B:$B, D863, EVENTOS!$E:$E, "*GirAlto*")</f>
        <v>0</v>
      </c>
      <c r="Z863" s="3">
        <f>SUMIFS(EVENTOS!$D:$D, EVENTOS!$B:$B, D863, EVENTOS!$E:$E, "*GirMed*")</f>
        <v>0</v>
      </c>
      <c r="AA863" s="3">
        <f>SUMIFS(EVENTOS!$D:$D, EVENTOS!$B:$B, D863, EVENTOS!$E:$E, "*GirBajo*")</f>
        <v>0</v>
      </c>
      <c r="AB863" s="3">
        <f>IFERROR(INDEX(EVENTOS!$D:$D,MATCH(SCORE!AB$2&amp;" "&amp;SCORE!$D863,EVENTOS!$F:$F,0)),0)</f>
        <v>0</v>
      </c>
      <c r="AC863" s="3">
        <f>IFERROR(INDEX(EVENTOS!$D:$D,MATCH(SCORE!AC$2&amp;" "&amp;SCORE!$D863,EVENTOS!$F:$F,0)),0)</f>
        <v>0</v>
      </c>
      <c r="AD863" s="3">
        <f>IFERROR(INDEX(EVENTOS!$D:$D,MATCH(SCORE!AD$2&amp;" "&amp;SCORE!$D863,EVENTOS!$F:$F,0)),0)</f>
        <v>0</v>
      </c>
      <c r="AE863" s="3">
        <f t="shared" si="39"/>
        <v>0</v>
      </c>
      <c r="AF863" s="10" t="e">
        <f t="shared" si="40"/>
        <v>#N/A</v>
      </c>
      <c r="AG863" s="3" t="str">
        <f t="shared" si="41"/>
        <v/>
      </c>
    </row>
    <row r="864" spans="1:33" x14ac:dyDescent="0.25">
      <c r="A864" s="7"/>
      <c r="B864" s="8"/>
      <c r="C864" s="3"/>
      <c r="D864" s="3"/>
      <c r="E864" s="3" t="e">
        <f>VLOOKUP(D864,VIAJES!$D:$E,2,FALSE)</f>
        <v>#N/A</v>
      </c>
      <c r="F864" s="9" t="e">
        <f>VLOOKUP(D864,VIAJES!$D:$F,3,FALSE)</f>
        <v>#N/A</v>
      </c>
      <c r="G864" s="9" t="e">
        <f>VLOOKUP(D864,VIAJES!$D:$G,4,FALSE)</f>
        <v>#N/A</v>
      </c>
      <c r="H864" s="3" t="e">
        <f>VLOOKUP(D864,VIAJES!$D:$H,5,FALSE)</f>
        <v>#N/A</v>
      </c>
      <c r="S864" s="3">
        <f>IFERROR(INDEX(EVENTOS!$D:$D,MATCH(SCORE!S$2&amp;" "&amp;SCORE!$D864,EVENTOS!$F:$F,0)),0)</f>
        <v>0</v>
      </c>
      <c r="T864" s="3">
        <f>IFERROR(INDEX(EVENTOS!$D:$D,MATCH(SCORE!T$2&amp;" "&amp;SCORE!$D864,EVENTOS!$F:$F,0)),0)</f>
        <v>0</v>
      </c>
      <c r="U864" s="3">
        <f>IFERROR(INDEX(EVENTOS!$D:$D,MATCH(SCORE!U$2&amp;" "&amp;SCORE!$D864,EVENTOS!$F:$F,0)),0)</f>
        <v>0</v>
      </c>
      <c r="V864" s="3">
        <f>IFERROR(INDEX(EVENTOS!$D:$D,MATCH(SCORE!V$2&amp;" "&amp;SCORE!$D864,EVENTOS!$F:$F,0)),0)</f>
        <v>0</v>
      </c>
      <c r="W864" s="3">
        <f>IFERROR(INDEX(EVENTOS!$D:$D,MATCH(SCORE!W$2&amp;" "&amp;SCORE!$D864,EVENTOS!$F:$F,0)),0)</f>
        <v>0</v>
      </c>
      <c r="X864" s="3">
        <f>IFERROR(INDEX(EVENTOS!$D:$D,MATCH(SCORE!X$2&amp;" "&amp;SCORE!$D864,EVENTOS!$F:$F,0)),0)</f>
        <v>0</v>
      </c>
      <c r="Y864" s="3">
        <f>SUMIFS(EVENTOS!$D:$D, EVENTOS!$B:$B, D864, EVENTOS!$E:$E, "*GirAlto*")</f>
        <v>0</v>
      </c>
      <c r="Z864" s="3">
        <f>SUMIFS(EVENTOS!$D:$D, EVENTOS!$B:$B, D864, EVENTOS!$E:$E, "*GirMed*")</f>
        <v>0</v>
      </c>
      <c r="AA864" s="3">
        <f>SUMIFS(EVENTOS!$D:$D, EVENTOS!$B:$B, D864, EVENTOS!$E:$E, "*GirBajo*")</f>
        <v>0</v>
      </c>
      <c r="AB864" s="3">
        <f>IFERROR(INDEX(EVENTOS!$D:$D,MATCH(SCORE!AB$2&amp;" "&amp;SCORE!$D864,EVENTOS!$F:$F,0)),0)</f>
        <v>0</v>
      </c>
      <c r="AC864" s="3">
        <f>IFERROR(INDEX(EVENTOS!$D:$D,MATCH(SCORE!AC$2&amp;" "&amp;SCORE!$D864,EVENTOS!$F:$F,0)),0)</f>
        <v>0</v>
      </c>
      <c r="AD864" s="3">
        <f>IFERROR(INDEX(EVENTOS!$D:$D,MATCH(SCORE!AD$2&amp;" "&amp;SCORE!$D864,EVENTOS!$F:$F,0)),0)</f>
        <v>0</v>
      </c>
      <c r="AE864" s="3">
        <f t="shared" si="39"/>
        <v>0</v>
      </c>
      <c r="AF864" s="10" t="e">
        <f t="shared" si="40"/>
        <v>#N/A</v>
      </c>
      <c r="AG864" s="3" t="str">
        <f t="shared" si="41"/>
        <v/>
      </c>
    </row>
    <row r="865" spans="1:33" x14ac:dyDescent="0.25">
      <c r="A865" s="7"/>
      <c r="B865" s="8"/>
      <c r="C865" s="3"/>
      <c r="D865" s="3"/>
      <c r="E865" s="3" t="e">
        <f>VLOOKUP(D865,VIAJES!$D:$E,2,FALSE)</f>
        <v>#N/A</v>
      </c>
      <c r="F865" s="9" t="e">
        <f>VLOOKUP(D865,VIAJES!$D:$F,3,FALSE)</f>
        <v>#N/A</v>
      </c>
      <c r="G865" s="9" t="e">
        <f>VLOOKUP(D865,VIAJES!$D:$G,4,FALSE)</f>
        <v>#N/A</v>
      </c>
      <c r="H865" s="3" t="e">
        <f>VLOOKUP(D865,VIAJES!$D:$H,5,FALSE)</f>
        <v>#N/A</v>
      </c>
      <c r="S865" s="3">
        <f>IFERROR(INDEX(EVENTOS!$D:$D,MATCH(SCORE!S$2&amp;" "&amp;SCORE!$D865,EVENTOS!$F:$F,0)),0)</f>
        <v>0</v>
      </c>
      <c r="T865" s="3">
        <f>IFERROR(INDEX(EVENTOS!$D:$D,MATCH(SCORE!T$2&amp;" "&amp;SCORE!$D865,EVENTOS!$F:$F,0)),0)</f>
        <v>0</v>
      </c>
      <c r="U865" s="3">
        <f>IFERROR(INDEX(EVENTOS!$D:$D,MATCH(SCORE!U$2&amp;" "&amp;SCORE!$D865,EVENTOS!$F:$F,0)),0)</f>
        <v>0</v>
      </c>
      <c r="V865" s="3">
        <f>IFERROR(INDEX(EVENTOS!$D:$D,MATCH(SCORE!V$2&amp;" "&amp;SCORE!$D865,EVENTOS!$F:$F,0)),0)</f>
        <v>0</v>
      </c>
      <c r="W865" s="3">
        <f>IFERROR(INDEX(EVENTOS!$D:$D,MATCH(SCORE!W$2&amp;" "&amp;SCORE!$D865,EVENTOS!$F:$F,0)),0)</f>
        <v>0</v>
      </c>
      <c r="X865" s="3">
        <f>IFERROR(INDEX(EVENTOS!$D:$D,MATCH(SCORE!X$2&amp;" "&amp;SCORE!$D865,EVENTOS!$F:$F,0)),0)</f>
        <v>0</v>
      </c>
      <c r="Y865" s="3">
        <f>SUMIFS(EVENTOS!$D:$D, EVENTOS!$B:$B, D865, EVENTOS!$E:$E, "*GirAlto*")</f>
        <v>0</v>
      </c>
      <c r="Z865" s="3">
        <f>SUMIFS(EVENTOS!$D:$D, EVENTOS!$B:$B, D865, EVENTOS!$E:$E, "*GirMed*")</f>
        <v>0</v>
      </c>
      <c r="AA865" s="3">
        <f>SUMIFS(EVENTOS!$D:$D, EVENTOS!$B:$B, D865, EVENTOS!$E:$E, "*GirBajo*")</f>
        <v>0</v>
      </c>
      <c r="AB865" s="3">
        <f>IFERROR(INDEX(EVENTOS!$D:$D,MATCH(SCORE!AB$2&amp;" "&amp;SCORE!$D865,EVENTOS!$F:$F,0)),0)</f>
        <v>0</v>
      </c>
      <c r="AC865" s="3">
        <f>IFERROR(INDEX(EVENTOS!$D:$D,MATCH(SCORE!AC$2&amp;" "&amp;SCORE!$D865,EVENTOS!$F:$F,0)),0)</f>
        <v>0</v>
      </c>
      <c r="AD865" s="3">
        <f>IFERROR(INDEX(EVENTOS!$D:$D,MATCH(SCORE!AD$2&amp;" "&amp;SCORE!$D865,EVENTOS!$F:$F,0)),0)</f>
        <v>0</v>
      </c>
      <c r="AE865" s="3">
        <f t="shared" si="39"/>
        <v>0</v>
      </c>
      <c r="AF865" s="10" t="e">
        <f t="shared" si="40"/>
        <v>#N/A</v>
      </c>
      <c r="AG865" s="3" t="str">
        <f t="shared" si="41"/>
        <v/>
      </c>
    </row>
    <row r="866" spans="1:33" x14ac:dyDescent="0.25">
      <c r="A866" s="7"/>
      <c r="B866" s="8"/>
      <c r="C866" s="3"/>
      <c r="D866" s="3"/>
      <c r="E866" s="3" t="e">
        <f>VLOOKUP(D866,VIAJES!$D:$E,2,FALSE)</f>
        <v>#N/A</v>
      </c>
      <c r="F866" s="9" t="e">
        <f>VLOOKUP(D866,VIAJES!$D:$F,3,FALSE)</f>
        <v>#N/A</v>
      </c>
      <c r="G866" s="9" t="e">
        <f>VLOOKUP(D866,VIAJES!$D:$G,4,FALSE)</f>
        <v>#N/A</v>
      </c>
      <c r="H866" s="3" t="e">
        <f>VLOOKUP(D866,VIAJES!$D:$H,5,FALSE)</f>
        <v>#N/A</v>
      </c>
      <c r="S866" s="3">
        <f>IFERROR(INDEX(EVENTOS!$D:$D,MATCH(SCORE!S$2&amp;" "&amp;SCORE!$D866,EVENTOS!$F:$F,0)),0)</f>
        <v>0</v>
      </c>
      <c r="T866" s="3">
        <f>IFERROR(INDEX(EVENTOS!$D:$D,MATCH(SCORE!T$2&amp;" "&amp;SCORE!$D866,EVENTOS!$F:$F,0)),0)</f>
        <v>0</v>
      </c>
      <c r="U866" s="3">
        <f>IFERROR(INDEX(EVENTOS!$D:$D,MATCH(SCORE!U$2&amp;" "&amp;SCORE!$D866,EVENTOS!$F:$F,0)),0)</f>
        <v>0</v>
      </c>
      <c r="V866" s="3">
        <f>IFERROR(INDEX(EVENTOS!$D:$D,MATCH(SCORE!V$2&amp;" "&amp;SCORE!$D866,EVENTOS!$F:$F,0)),0)</f>
        <v>0</v>
      </c>
      <c r="W866" s="3">
        <f>IFERROR(INDEX(EVENTOS!$D:$D,MATCH(SCORE!W$2&amp;" "&amp;SCORE!$D866,EVENTOS!$F:$F,0)),0)</f>
        <v>0</v>
      </c>
      <c r="X866" s="3">
        <f>IFERROR(INDEX(EVENTOS!$D:$D,MATCH(SCORE!X$2&amp;" "&amp;SCORE!$D866,EVENTOS!$F:$F,0)),0)</f>
        <v>0</v>
      </c>
      <c r="Y866" s="3">
        <f>SUMIFS(EVENTOS!$D:$D, EVENTOS!$B:$B, D866, EVENTOS!$E:$E, "*GirAlto*")</f>
        <v>0</v>
      </c>
      <c r="Z866" s="3">
        <f>SUMIFS(EVENTOS!$D:$D, EVENTOS!$B:$B, D866, EVENTOS!$E:$E, "*GirMed*")</f>
        <v>0</v>
      </c>
      <c r="AA866" s="3">
        <f>SUMIFS(EVENTOS!$D:$D, EVENTOS!$B:$B, D866, EVENTOS!$E:$E, "*GirBajo*")</f>
        <v>0</v>
      </c>
      <c r="AB866" s="3">
        <f>IFERROR(INDEX(EVENTOS!$D:$D,MATCH(SCORE!AB$2&amp;" "&amp;SCORE!$D866,EVENTOS!$F:$F,0)),0)</f>
        <v>0</v>
      </c>
      <c r="AC866" s="3">
        <f>IFERROR(INDEX(EVENTOS!$D:$D,MATCH(SCORE!AC$2&amp;" "&amp;SCORE!$D866,EVENTOS!$F:$F,0)),0)</f>
        <v>0</v>
      </c>
      <c r="AD866" s="3">
        <f>IFERROR(INDEX(EVENTOS!$D:$D,MATCH(SCORE!AD$2&amp;" "&amp;SCORE!$D866,EVENTOS!$F:$F,0)),0)</f>
        <v>0</v>
      </c>
      <c r="AE866" s="3">
        <f t="shared" si="39"/>
        <v>0</v>
      </c>
      <c r="AF866" s="10" t="e">
        <f t="shared" si="40"/>
        <v>#N/A</v>
      </c>
      <c r="AG866" s="3" t="str">
        <f t="shared" si="41"/>
        <v/>
      </c>
    </row>
    <row r="867" spans="1:33" x14ac:dyDescent="0.25">
      <c r="A867" s="7"/>
      <c r="B867" s="8"/>
      <c r="C867" s="3"/>
      <c r="D867" s="3"/>
      <c r="E867" s="3" t="e">
        <f>VLOOKUP(D867,VIAJES!$D:$E,2,FALSE)</f>
        <v>#N/A</v>
      </c>
      <c r="F867" s="9" t="e">
        <f>VLOOKUP(D867,VIAJES!$D:$F,3,FALSE)</f>
        <v>#N/A</v>
      </c>
      <c r="G867" s="9" t="e">
        <f>VLOOKUP(D867,VIAJES!$D:$G,4,FALSE)</f>
        <v>#N/A</v>
      </c>
      <c r="H867" s="3" t="e">
        <f>VLOOKUP(D867,VIAJES!$D:$H,5,FALSE)</f>
        <v>#N/A</v>
      </c>
      <c r="S867" s="3">
        <f>IFERROR(INDEX(EVENTOS!$D:$D,MATCH(SCORE!S$2&amp;" "&amp;SCORE!$D867,EVENTOS!$F:$F,0)),0)</f>
        <v>0</v>
      </c>
      <c r="T867" s="3">
        <f>IFERROR(INDEX(EVENTOS!$D:$D,MATCH(SCORE!T$2&amp;" "&amp;SCORE!$D867,EVENTOS!$F:$F,0)),0)</f>
        <v>0</v>
      </c>
      <c r="U867" s="3">
        <f>IFERROR(INDEX(EVENTOS!$D:$D,MATCH(SCORE!U$2&amp;" "&amp;SCORE!$D867,EVENTOS!$F:$F,0)),0)</f>
        <v>0</v>
      </c>
      <c r="V867" s="3">
        <f>IFERROR(INDEX(EVENTOS!$D:$D,MATCH(SCORE!V$2&amp;" "&amp;SCORE!$D867,EVENTOS!$F:$F,0)),0)</f>
        <v>0</v>
      </c>
      <c r="W867" s="3">
        <f>IFERROR(INDEX(EVENTOS!$D:$D,MATCH(SCORE!W$2&amp;" "&amp;SCORE!$D867,EVENTOS!$F:$F,0)),0)</f>
        <v>0</v>
      </c>
      <c r="X867" s="3">
        <f>IFERROR(INDEX(EVENTOS!$D:$D,MATCH(SCORE!X$2&amp;" "&amp;SCORE!$D867,EVENTOS!$F:$F,0)),0)</f>
        <v>0</v>
      </c>
      <c r="Y867" s="3">
        <f>SUMIFS(EVENTOS!$D:$D, EVENTOS!$B:$B, D867, EVENTOS!$E:$E, "*GirAlto*")</f>
        <v>0</v>
      </c>
      <c r="Z867" s="3">
        <f>SUMIFS(EVENTOS!$D:$D, EVENTOS!$B:$B, D867, EVENTOS!$E:$E, "*GirMed*")</f>
        <v>0</v>
      </c>
      <c r="AA867" s="3">
        <f>SUMIFS(EVENTOS!$D:$D, EVENTOS!$B:$B, D867, EVENTOS!$E:$E, "*GirBajo*")</f>
        <v>0</v>
      </c>
      <c r="AB867" s="3">
        <f>IFERROR(INDEX(EVENTOS!$D:$D,MATCH(SCORE!AB$2&amp;" "&amp;SCORE!$D867,EVENTOS!$F:$F,0)),0)</f>
        <v>0</v>
      </c>
      <c r="AC867" s="3">
        <f>IFERROR(INDEX(EVENTOS!$D:$D,MATCH(SCORE!AC$2&amp;" "&amp;SCORE!$D867,EVENTOS!$F:$F,0)),0)</f>
        <v>0</v>
      </c>
      <c r="AD867" s="3">
        <f>IFERROR(INDEX(EVENTOS!$D:$D,MATCH(SCORE!AD$2&amp;" "&amp;SCORE!$D867,EVENTOS!$F:$F,0)),0)</f>
        <v>0</v>
      </c>
      <c r="AE867" s="3">
        <f t="shared" si="39"/>
        <v>0</v>
      </c>
      <c r="AF867" s="10" t="e">
        <f t="shared" si="40"/>
        <v>#N/A</v>
      </c>
      <c r="AG867" s="3" t="str">
        <f t="shared" si="41"/>
        <v/>
      </c>
    </row>
    <row r="868" spans="1:33" x14ac:dyDescent="0.25">
      <c r="A868" s="7"/>
      <c r="B868" s="8"/>
      <c r="C868" s="3"/>
      <c r="D868" s="3"/>
      <c r="E868" s="3" t="e">
        <f>VLOOKUP(D868,VIAJES!$D:$E,2,FALSE)</f>
        <v>#N/A</v>
      </c>
      <c r="F868" s="9" t="e">
        <f>VLOOKUP(D868,VIAJES!$D:$F,3,FALSE)</f>
        <v>#N/A</v>
      </c>
      <c r="G868" s="9" t="e">
        <f>VLOOKUP(D868,VIAJES!$D:$G,4,FALSE)</f>
        <v>#N/A</v>
      </c>
      <c r="H868" s="3" t="e">
        <f>VLOOKUP(D868,VIAJES!$D:$H,5,FALSE)</f>
        <v>#N/A</v>
      </c>
      <c r="S868" s="3">
        <f>IFERROR(INDEX(EVENTOS!$D:$D,MATCH(SCORE!S$2&amp;" "&amp;SCORE!$D868,EVENTOS!$F:$F,0)),0)</f>
        <v>0</v>
      </c>
      <c r="T868" s="3">
        <f>IFERROR(INDEX(EVENTOS!$D:$D,MATCH(SCORE!T$2&amp;" "&amp;SCORE!$D868,EVENTOS!$F:$F,0)),0)</f>
        <v>0</v>
      </c>
      <c r="U868" s="3">
        <f>IFERROR(INDEX(EVENTOS!$D:$D,MATCH(SCORE!U$2&amp;" "&amp;SCORE!$D868,EVENTOS!$F:$F,0)),0)</f>
        <v>0</v>
      </c>
      <c r="V868" s="3">
        <f>IFERROR(INDEX(EVENTOS!$D:$D,MATCH(SCORE!V$2&amp;" "&amp;SCORE!$D868,EVENTOS!$F:$F,0)),0)</f>
        <v>0</v>
      </c>
      <c r="W868" s="3">
        <f>IFERROR(INDEX(EVENTOS!$D:$D,MATCH(SCORE!W$2&amp;" "&amp;SCORE!$D868,EVENTOS!$F:$F,0)),0)</f>
        <v>0</v>
      </c>
      <c r="X868" s="3">
        <f>IFERROR(INDEX(EVENTOS!$D:$D,MATCH(SCORE!X$2&amp;" "&amp;SCORE!$D868,EVENTOS!$F:$F,0)),0)</f>
        <v>0</v>
      </c>
      <c r="Y868" s="3">
        <f>SUMIFS(EVENTOS!$D:$D, EVENTOS!$B:$B, D868, EVENTOS!$E:$E, "*GirAlto*")</f>
        <v>0</v>
      </c>
      <c r="Z868" s="3">
        <f>SUMIFS(EVENTOS!$D:$D, EVENTOS!$B:$B, D868, EVENTOS!$E:$E, "*GirMed*")</f>
        <v>0</v>
      </c>
      <c r="AA868" s="3">
        <f>SUMIFS(EVENTOS!$D:$D, EVENTOS!$B:$B, D868, EVENTOS!$E:$E, "*GirBajo*")</f>
        <v>0</v>
      </c>
      <c r="AB868" s="3">
        <f>IFERROR(INDEX(EVENTOS!$D:$D,MATCH(SCORE!AB$2&amp;" "&amp;SCORE!$D868,EVENTOS!$F:$F,0)),0)</f>
        <v>0</v>
      </c>
      <c r="AC868" s="3">
        <f>IFERROR(INDEX(EVENTOS!$D:$D,MATCH(SCORE!AC$2&amp;" "&amp;SCORE!$D868,EVENTOS!$F:$F,0)),0)</f>
        <v>0</v>
      </c>
      <c r="AD868" s="3">
        <f>IFERROR(INDEX(EVENTOS!$D:$D,MATCH(SCORE!AD$2&amp;" "&amp;SCORE!$D868,EVENTOS!$F:$F,0)),0)</f>
        <v>0</v>
      </c>
      <c r="AE868" s="3">
        <f t="shared" si="39"/>
        <v>0</v>
      </c>
      <c r="AF868" s="10" t="e">
        <f t="shared" si="40"/>
        <v>#N/A</v>
      </c>
      <c r="AG868" s="3" t="str">
        <f t="shared" si="41"/>
        <v/>
      </c>
    </row>
    <row r="869" spans="1:33" x14ac:dyDescent="0.25">
      <c r="A869" s="7"/>
      <c r="B869" s="8"/>
      <c r="C869" s="3"/>
      <c r="D869" s="3"/>
      <c r="E869" s="3" t="e">
        <f>VLOOKUP(D869,VIAJES!$D:$E,2,FALSE)</f>
        <v>#N/A</v>
      </c>
      <c r="F869" s="9" t="e">
        <f>VLOOKUP(D869,VIAJES!$D:$F,3,FALSE)</f>
        <v>#N/A</v>
      </c>
      <c r="G869" s="9" t="e">
        <f>VLOOKUP(D869,VIAJES!$D:$G,4,FALSE)</f>
        <v>#N/A</v>
      </c>
      <c r="H869" s="3" t="e">
        <f>VLOOKUP(D869,VIAJES!$D:$H,5,FALSE)</f>
        <v>#N/A</v>
      </c>
      <c r="S869" s="3">
        <f>IFERROR(INDEX(EVENTOS!$D:$D,MATCH(SCORE!S$2&amp;" "&amp;SCORE!$D869,EVENTOS!$F:$F,0)),0)</f>
        <v>0</v>
      </c>
      <c r="T869" s="3">
        <f>IFERROR(INDEX(EVENTOS!$D:$D,MATCH(SCORE!T$2&amp;" "&amp;SCORE!$D869,EVENTOS!$F:$F,0)),0)</f>
        <v>0</v>
      </c>
      <c r="U869" s="3">
        <f>IFERROR(INDEX(EVENTOS!$D:$D,MATCH(SCORE!U$2&amp;" "&amp;SCORE!$D869,EVENTOS!$F:$F,0)),0)</f>
        <v>0</v>
      </c>
      <c r="V869" s="3">
        <f>IFERROR(INDEX(EVENTOS!$D:$D,MATCH(SCORE!V$2&amp;" "&amp;SCORE!$D869,EVENTOS!$F:$F,0)),0)</f>
        <v>0</v>
      </c>
      <c r="W869" s="3">
        <f>IFERROR(INDEX(EVENTOS!$D:$D,MATCH(SCORE!W$2&amp;" "&amp;SCORE!$D869,EVENTOS!$F:$F,0)),0)</f>
        <v>0</v>
      </c>
      <c r="X869" s="3">
        <f>IFERROR(INDEX(EVENTOS!$D:$D,MATCH(SCORE!X$2&amp;" "&amp;SCORE!$D869,EVENTOS!$F:$F,0)),0)</f>
        <v>0</v>
      </c>
      <c r="Y869" s="3">
        <f>SUMIFS(EVENTOS!$D:$D, EVENTOS!$B:$B, D869, EVENTOS!$E:$E, "*GirAlto*")</f>
        <v>0</v>
      </c>
      <c r="Z869" s="3">
        <f>SUMIFS(EVENTOS!$D:$D, EVENTOS!$B:$B, D869, EVENTOS!$E:$E, "*GirMed*")</f>
        <v>0</v>
      </c>
      <c r="AA869" s="3">
        <f>SUMIFS(EVENTOS!$D:$D, EVENTOS!$B:$B, D869, EVENTOS!$E:$E, "*GirBajo*")</f>
        <v>0</v>
      </c>
      <c r="AB869" s="3">
        <f>IFERROR(INDEX(EVENTOS!$D:$D,MATCH(SCORE!AB$2&amp;" "&amp;SCORE!$D869,EVENTOS!$F:$F,0)),0)</f>
        <v>0</v>
      </c>
      <c r="AC869" s="3">
        <f>IFERROR(INDEX(EVENTOS!$D:$D,MATCH(SCORE!AC$2&amp;" "&amp;SCORE!$D869,EVENTOS!$F:$F,0)),0)</f>
        <v>0</v>
      </c>
      <c r="AD869" s="3">
        <f>IFERROR(INDEX(EVENTOS!$D:$D,MATCH(SCORE!AD$2&amp;" "&amp;SCORE!$D869,EVENTOS!$F:$F,0)),0)</f>
        <v>0</v>
      </c>
      <c r="AE869" s="3">
        <f t="shared" si="39"/>
        <v>0</v>
      </c>
      <c r="AF869" s="10" t="e">
        <f t="shared" si="40"/>
        <v>#N/A</v>
      </c>
      <c r="AG869" s="3" t="str">
        <f t="shared" si="41"/>
        <v/>
      </c>
    </row>
    <row r="870" spans="1:33" x14ac:dyDescent="0.25">
      <c r="A870" s="7"/>
      <c r="B870" s="8"/>
      <c r="C870" s="3"/>
      <c r="D870" s="3"/>
      <c r="E870" s="3" t="e">
        <f>VLOOKUP(D870,VIAJES!$D:$E,2,FALSE)</f>
        <v>#N/A</v>
      </c>
      <c r="F870" s="9" t="e">
        <f>VLOOKUP(D870,VIAJES!$D:$F,3,FALSE)</f>
        <v>#N/A</v>
      </c>
      <c r="G870" s="9" t="e">
        <f>VLOOKUP(D870,VIAJES!$D:$G,4,FALSE)</f>
        <v>#N/A</v>
      </c>
      <c r="H870" s="3" t="e">
        <f>VLOOKUP(D870,VIAJES!$D:$H,5,FALSE)</f>
        <v>#N/A</v>
      </c>
      <c r="S870" s="3">
        <f>IFERROR(INDEX(EVENTOS!$D:$D,MATCH(SCORE!S$2&amp;" "&amp;SCORE!$D870,EVENTOS!$F:$F,0)),0)</f>
        <v>0</v>
      </c>
      <c r="T870" s="3">
        <f>IFERROR(INDEX(EVENTOS!$D:$D,MATCH(SCORE!T$2&amp;" "&amp;SCORE!$D870,EVENTOS!$F:$F,0)),0)</f>
        <v>0</v>
      </c>
      <c r="U870" s="3">
        <f>IFERROR(INDEX(EVENTOS!$D:$D,MATCH(SCORE!U$2&amp;" "&amp;SCORE!$D870,EVENTOS!$F:$F,0)),0)</f>
        <v>0</v>
      </c>
      <c r="V870" s="3">
        <f>IFERROR(INDEX(EVENTOS!$D:$D,MATCH(SCORE!V$2&amp;" "&amp;SCORE!$D870,EVENTOS!$F:$F,0)),0)</f>
        <v>0</v>
      </c>
      <c r="W870" s="3">
        <f>IFERROR(INDEX(EVENTOS!$D:$D,MATCH(SCORE!W$2&amp;" "&amp;SCORE!$D870,EVENTOS!$F:$F,0)),0)</f>
        <v>0</v>
      </c>
      <c r="X870" s="3">
        <f>IFERROR(INDEX(EVENTOS!$D:$D,MATCH(SCORE!X$2&amp;" "&amp;SCORE!$D870,EVENTOS!$F:$F,0)),0)</f>
        <v>0</v>
      </c>
      <c r="Y870" s="3">
        <f>SUMIFS(EVENTOS!$D:$D, EVENTOS!$B:$B, D870, EVENTOS!$E:$E, "*GirAlto*")</f>
        <v>0</v>
      </c>
      <c r="Z870" s="3">
        <f>SUMIFS(EVENTOS!$D:$D, EVENTOS!$B:$B, D870, EVENTOS!$E:$E, "*GirMed*")</f>
        <v>0</v>
      </c>
      <c r="AA870" s="3">
        <f>SUMIFS(EVENTOS!$D:$D, EVENTOS!$B:$B, D870, EVENTOS!$E:$E, "*GirBajo*")</f>
        <v>0</v>
      </c>
      <c r="AB870" s="3">
        <f>IFERROR(INDEX(EVENTOS!$D:$D,MATCH(SCORE!AB$2&amp;" "&amp;SCORE!$D870,EVENTOS!$F:$F,0)),0)</f>
        <v>0</v>
      </c>
      <c r="AC870" s="3">
        <f>IFERROR(INDEX(EVENTOS!$D:$D,MATCH(SCORE!AC$2&amp;" "&amp;SCORE!$D870,EVENTOS!$F:$F,0)),0)</f>
        <v>0</v>
      </c>
      <c r="AD870" s="3">
        <f>IFERROR(INDEX(EVENTOS!$D:$D,MATCH(SCORE!AD$2&amp;" "&amp;SCORE!$D870,EVENTOS!$F:$F,0)),0)</f>
        <v>0</v>
      </c>
      <c r="AE870" s="3">
        <f t="shared" si="39"/>
        <v>0</v>
      </c>
      <c r="AF870" s="10" t="e">
        <f t="shared" si="40"/>
        <v>#N/A</v>
      </c>
      <c r="AG870" s="3" t="str">
        <f t="shared" si="41"/>
        <v/>
      </c>
    </row>
    <row r="871" spans="1:33" x14ac:dyDescent="0.25">
      <c r="A871" s="7"/>
      <c r="B871" s="8"/>
      <c r="C871" s="3"/>
      <c r="D871" s="3"/>
      <c r="E871" s="3" t="e">
        <f>VLOOKUP(D871,VIAJES!$D:$E,2,FALSE)</f>
        <v>#N/A</v>
      </c>
      <c r="F871" s="9" t="e">
        <f>VLOOKUP(D871,VIAJES!$D:$F,3,FALSE)</f>
        <v>#N/A</v>
      </c>
      <c r="G871" s="9" t="e">
        <f>VLOOKUP(D871,VIAJES!$D:$G,4,FALSE)</f>
        <v>#N/A</v>
      </c>
      <c r="H871" s="3" t="e">
        <f>VLOOKUP(D871,VIAJES!$D:$H,5,FALSE)</f>
        <v>#N/A</v>
      </c>
      <c r="S871" s="3">
        <f>IFERROR(INDEX(EVENTOS!$D:$D,MATCH(SCORE!S$2&amp;" "&amp;SCORE!$D871,EVENTOS!$F:$F,0)),0)</f>
        <v>0</v>
      </c>
      <c r="T871" s="3">
        <f>IFERROR(INDEX(EVENTOS!$D:$D,MATCH(SCORE!T$2&amp;" "&amp;SCORE!$D871,EVENTOS!$F:$F,0)),0)</f>
        <v>0</v>
      </c>
      <c r="U871" s="3">
        <f>IFERROR(INDEX(EVENTOS!$D:$D,MATCH(SCORE!U$2&amp;" "&amp;SCORE!$D871,EVENTOS!$F:$F,0)),0)</f>
        <v>0</v>
      </c>
      <c r="V871" s="3">
        <f>IFERROR(INDEX(EVENTOS!$D:$D,MATCH(SCORE!V$2&amp;" "&amp;SCORE!$D871,EVENTOS!$F:$F,0)),0)</f>
        <v>0</v>
      </c>
      <c r="W871" s="3">
        <f>IFERROR(INDEX(EVENTOS!$D:$D,MATCH(SCORE!W$2&amp;" "&amp;SCORE!$D871,EVENTOS!$F:$F,0)),0)</f>
        <v>0</v>
      </c>
      <c r="X871" s="3">
        <f>IFERROR(INDEX(EVENTOS!$D:$D,MATCH(SCORE!X$2&amp;" "&amp;SCORE!$D871,EVENTOS!$F:$F,0)),0)</f>
        <v>0</v>
      </c>
      <c r="Y871" s="3">
        <f>SUMIFS(EVENTOS!$D:$D, EVENTOS!$B:$B, D871, EVENTOS!$E:$E, "*GirAlto*")</f>
        <v>0</v>
      </c>
      <c r="Z871" s="3">
        <f>SUMIFS(EVENTOS!$D:$D, EVENTOS!$B:$B, D871, EVENTOS!$E:$E, "*GirMed*")</f>
        <v>0</v>
      </c>
      <c r="AA871" s="3">
        <f>SUMIFS(EVENTOS!$D:$D, EVENTOS!$B:$B, D871, EVENTOS!$E:$E, "*GirBajo*")</f>
        <v>0</v>
      </c>
      <c r="AB871" s="3">
        <f>IFERROR(INDEX(EVENTOS!$D:$D,MATCH(SCORE!AB$2&amp;" "&amp;SCORE!$D871,EVENTOS!$F:$F,0)),0)</f>
        <v>0</v>
      </c>
      <c r="AC871" s="3">
        <f>IFERROR(INDEX(EVENTOS!$D:$D,MATCH(SCORE!AC$2&amp;" "&amp;SCORE!$D871,EVENTOS!$F:$F,0)),0)</f>
        <v>0</v>
      </c>
      <c r="AD871" s="3">
        <f>IFERROR(INDEX(EVENTOS!$D:$D,MATCH(SCORE!AD$2&amp;" "&amp;SCORE!$D871,EVENTOS!$F:$F,0)),0)</f>
        <v>0</v>
      </c>
      <c r="AE871" s="3">
        <f t="shared" si="39"/>
        <v>0</v>
      </c>
      <c r="AF871" s="10" t="e">
        <f t="shared" si="40"/>
        <v>#N/A</v>
      </c>
      <c r="AG871" s="3" t="str">
        <f t="shared" si="41"/>
        <v/>
      </c>
    </row>
    <row r="872" spans="1:33" x14ac:dyDescent="0.25">
      <c r="A872" s="7"/>
      <c r="B872" s="8"/>
      <c r="C872" s="3"/>
      <c r="D872" s="3"/>
      <c r="E872" s="3" t="e">
        <f>VLOOKUP(D872,VIAJES!$D:$E,2,FALSE)</f>
        <v>#N/A</v>
      </c>
      <c r="F872" s="9" t="e">
        <f>VLOOKUP(D872,VIAJES!$D:$F,3,FALSE)</f>
        <v>#N/A</v>
      </c>
      <c r="G872" s="9" t="e">
        <f>VLOOKUP(D872,VIAJES!$D:$G,4,FALSE)</f>
        <v>#N/A</v>
      </c>
      <c r="H872" s="3" t="e">
        <f>VLOOKUP(D872,VIAJES!$D:$H,5,FALSE)</f>
        <v>#N/A</v>
      </c>
      <c r="S872" s="3">
        <f>IFERROR(INDEX(EVENTOS!$D:$D,MATCH(SCORE!S$2&amp;" "&amp;SCORE!$D872,EVENTOS!$F:$F,0)),0)</f>
        <v>0</v>
      </c>
      <c r="T872" s="3">
        <f>IFERROR(INDEX(EVENTOS!$D:$D,MATCH(SCORE!T$2&amp;" "&amp;SCORE!$D872,EVENTOS!$F:$F,0)),0)</f>
        <v>0</v>
      </c>
      <c r="U872" s="3">
        <f>IFERROR(INDEX(EVENTOS!$D:$D,MATCH(SCORE!U$2&amp;" "&amp;SCORE!$D872,EVENTOS!$F:$F,0)),0)</f>
        <v>0</v>
      </c>
      <c r="V872" s="3">
        <f>IFERROR(INDEX(EVENTOS!$D:$D,MATCH(SCORE!V$2&amp;" "&amp;SCORE!$D872,EVENTOS!$F:$F,0)),0)</f>
        <v>0</v>
      </c>
      <c r="W872" s="3">
        <f>IFERROR(INDEX(EVENTOS!$D:$D,MATCH(SCORE!W$2&amp;" "&amp;SCORE!$D872,EVENTOS!$F:$F,0)),0)</f>
        <v>0</v>
      </c>
      <c r="X872" s="3">
        <f>IFERROR(INDEX(EVENTOS!$D:$D,MATCH(SCORE!X$2&amp;" "&amp;SCORE!$D872,EVENTOS!$F:$F,0)),0)</f>
        <v>0</v>
      </c>
      <c r="Y872" s="3">
        <f>SUMIFS(EVENTOS!$D:$D, EVENTOS!$B:$B, D872, EVENTOS!$E:$E, "*GirAlto*")</f>
        <v>0</v>
      </c>
      <c r="Z872" s="3">
        <f>SUMIFS(EVENTOS!$D:$D, EVENTOS!$B:$B, D872, EVENTOS!$E:$E, "*GirMed*")</f>
        <v>0</v>
      </c>
      <c r="AA872" s="3">
        <f>SUMIFS(EVENTOS!$D:$D, EVENTOS!$B:$B, D872, EVENTOS!$E:$E, "*GirBajo*")</f>
        <v>0</v>
      </c>
      <c r="AB872" s="3">
        <f>IFERROR(INDEX(EVENTOS!$D:$D,MATCH(SCORE!AB$2&amp;" "&amp;SCORE!$D872,EVENTOS!$F:$F,0)),0)</f>
        <v>0</v>
      </c>
      <c r="AC872" s="3">
        <f>IFERROR(INDEX(EVENTOS!$D:$D,MATCH(SCORE!AC$2&amp;" "&amp;SCORE!$D872,EVENTOS!$F:$F,0)),0)</f>
        <v>0</v>
      </c>
      <c r="AD872" s="3">
        <f>IFERROR(INDEX(EVENTOS!$D:$D,MATCH(SCORE!AD$2&amp;" "&amp;SCORE!$D872,EVENTOS!$F:$F,0)),0)</f>
        <v>0</v>
      </c>
      <c r="AE872" s="3">
        <f t="shared" si="39"/>
        <v>0</v>
      </c>
      <c r="AF872" s="10" t="e">
        <f t="shared" si="40"/>
        <v>#N/A</v>
      </c>
      <c r="AG872" s="3" t="str">
        <f t="shared" si="41"/>
        <v/>
      </c>
    </row>
    <row r="873" spans="1:33" x14ac:dyDescent="0.25">
      <c r="A873" s="7"/>
      <c r="B873" s="8"/>
      <c r="C873" s="3"/>
      <c r="D873" s="3"/>
      <c r="E873" s="3" t="e">
        <f>VLOOKUP(D873,VIAJES!$D:$E,2,FALSE)</f>
        <v>#N/A</v>
      </c>
      <c r="F873" s="9" t="e">
        <f>VLOOKUP(D873,VIAJES!$D:$F,3,FALSE)</f>
        <v>#N/A</v>
      </c>
      <c r="G873" s="9" t="e">
        <f>VLOOKUP(D873,VIAJES!$D:$G,4,FALSE)</f>
        <v>#N/A</v>
      </c>
      <c r="H873" s="3" t="e">
        <f>VLOOKUP(D873,VIAJES!$D:$H,5,FALSE)</f>
        <v>#N/A</v>
      </c>
      <c r="S873" s="3">
        <f>IFERROR(INDEX(EVENTOS!$D:$D,MATCH(SCORE!S$2&amp;" "&amp;SCORE!$D873,EVENTOS!$F:$F,0)),0)</f>
        <v>0</v>
      </c>
      <c r="T873" s="3">
        <f>IFERROR(INDEX(EVENTOS!$D:$D,MATCH(SCORE!T$2&amp;" "&amp;SCORE!$D873,EVENTOS!$F:$F,0)),0)</f>
        <v>0</v>
      </c>
      <c r="U873" s="3">
        <f>IFERROR(INDEX(EVENTOS!$D:$D,MATCH(SCORE!U$2&amp;" "&amp;SCORE!$D873,EVENTOS!$F:$F,0)),0)</f>
        <v>0</v>
      </c>
      <c r="V873" s="3">
        <f>IFERROR(INDEX(EVENTOS!$D:$D,MATCH(SCORE!V$2&amp;" "&amp;SCORE!$D873,EVENTOS!$F:$F,0)),0)</f>
        <v>0</v>
      </c>
      <c r="W873" s="3">
        <f>IFERROR(INDEX(EVENTOS!$D:$D,MATCH(SCORE!W$2&amp;" "&amp;SCORE!$D873,EVENTOS!$F:$F,0)),0)</f>
        <v>0</v>
      </c>
      <c r="X873" s="3">
        <f>IFERROR(INDEX(EVENTOS!$D:$D,MATCH(SCORE!X$2&amp;" "&amp;SCORE!$D873,EVENTOS!$F:$F,0)),0)</f>
        <v>0</v>
      </c>
      <c r="Y873" s="3">
        <f>SUMIFS(EVENTOS!$D:$D, EVENTOS!$B:$B, D873, EVENTOS!$E:$E, "*GirAlto*")</f>
        <v>0</v>
      </c>
      <c r="Z873" s="3">
        <f>SUMIFS(EVENTOS!$D:$D, EVENTOS!$B:$B, D873, EVENTOS!$E:$E, "*GirMed*")</f>
        <v>0</v>
      </c>
      <c r="AA873" s="3">
        <f>SUMIFS(EVENTOS!$D:$D, EVENTOS!$B:$B, D873, EVENTOS!$E:$E, "*GirBajo*")</f>
        <v>0</v>
      </c>
      <c r="AB873" s="3">
        <f>IFERROR(INDEX(EVENTOS!$D:$D,MATCH(SCORE!AB$2&amp;" "&amp;SCORE!$D873,EVENTOS!$F:$F,0)),0)</f>
        <v>0</v>
      </c>
      <c r="AC873" s="3">
        <f>IFERROR(INDEX(EVENTOS!$D:$D,MATCH(SCORE!AC$2&amp;" "&amp;SCORE!$D873,EVENTOS!$F:$F,0)),0)</f>
        <v>0</v>
      </c>
      <c r="AD873" s="3">
        <f>IFERROR(INDEX(EVENTOS!$D:$D,MATCH(SCORE!AD$2&amp;" "&amp;SCORE!$D873,EVENTOS!$F:$F,0)),0)</f>
        <v>0</v>
      </c>
      <c r="AE873" s="3">
        <f t="shared" si="39"/>
        <v>0</v>
      </c>
      <c r="AF873" s="10" t="e">
        <f t="shared" si="40"/>
        <v>#N/A</v>
      </c>
      <c r="AG873" s="3" t="str">
        <f t="shared" si="41"/>
        <v/>
      </c>
    </row>
    <row r="874" spans="1:33" x14ac:dyDescent="0.25">
      <c r="A874" s="7"/>
      <c r="B874" s="8"/>
      <c r="C874" s="3"/>
      <c r="D874" s="3"/>
      <c r="E874" s="3" t="e">
        <f>VLOOKUP(D874,VIAJES!$D:$E,2,FALSE)</f>
        <v>#N/A</v>
      </c>
      <c r="F874" s="9" t="e">
        <f>VLOOKUP(D874,VIAJES!$D:$F,3,FALSE)</f>
        <v>#N/A</v>
      </c>
      <c r="G874" s="9" t="e">
        <f>VLOOKUP(D874,VIAJES!$D:$G,4,FALSE)</f>
        <v>#N/A</v>
      </c>
      <c r="H874" s="3" t="e">
        <f>VLOOKUP(D874,VIAJES!$D:$H,5,FALSE)</f>
        <v>#N/A</v>
      </c>
      <c r="S874" s="3">
        <f>IFERROR(INDEX(EVENTOS!$D:$D,MATCH(SCORE!S$2&amp;" "&amp;SCORE!$D874,EVENTOS!$F:$F,0)),0)</f>
        <v>0</v>
      </c>
      <c r="T874" s="3">
        <f>IFERROR(INDEX(EVENTOS!$D:$D,MATCH(SCORE!T$2&amp;" "&amp;SCORE!$D874,EVENTOS!$F:$F,0)),0)</f>
        <v>0</v>
      </c>
      <c r="U874" s="3">
        <f>IFERROR(INDEX(EVENTOS!$D:$D,MATCH(SCORE!U$2&amp;" "&amp;SCORE!$D874,EVENTOS!$F:$F,0)),0)</f>
        <v>0</v>
      </c>
      <c r="V874" s="3">
        <f>IFERROR(INDEX(EVENTOS!$D:$D,MATCH(SCORE!V$2&amp;" "&amp;SCORE!$D874,EVENTOS!$F:$F,0)),0)</f>
        <v>0</v>
      </c>
      <c r="W874" s="3">
        <f>IFERROR(INDEX(EVENTOS!$D:$D,MATCH(SCORE!W$2&amp;" "&amp;SCORE!$D874,EVENTOS!$F:$F,0)),0)</f>
        <v>0</v>
      </c>
      <c r="X874" s="3">
        <f>IFERROR(INDEX(EVENTOS!$D:$D,MATCH(SCORE!X$2&amp;" "&amp;SCORE!$D874,EVENTOS!$F:$F,0)),0)</f>
        <v>0</v>
      </c>
      <c r="Y874" s="3">
        <f>SUMIFS(EVENTOS!$D:$D, EVENTOS!$B:$B, D874, EVENTOS!$E:$E, "*GirAlto*")</f>
        <v>0</v>
      </c>
      <c r="Z874" s="3">
        <f>SUMIFS(EVENTOS!$D:$D, EVENTOS!$B:$B, D874, EVENTOS!$E:$E, "*GirMed*")</f>
        <v>0</v>
      </c>
      <c r="AA874" s="3">
        <f>SUMIFS(EVENTOS!$D:$D, EVENTOS!$B:$B, D874, EVENTOS!$E:$E, "*GirBajo*")</f>
        <v>0</v>
      </c>
      <c r="AB874" s="3">
        <f>IFERROR(INDEX(EVENTOS!$D:$D,MATCH(SCORE!AB$2&amp;" "&amp;SCORE!$D874,EVENTOS!$F:$F,0)),0)</f>
        <v>0</v>
      </c>
      <c r="AC874" s="3">
        <f>IFERROR(INDEX(EVENTOS!$D:$D,MATCH(SCORE!AC$2&amp;" "&amp;SCORE!$D874,EVENTOS!$F:$F,0)),0)</f>
        <v>0</v>
      </c>
      <c r="AD874" s="3">
        <f>IFERROR(INDEX(EVENTOS!$D:$D,MATCH(SCORE!AD$2&amp;" "&amp;SCORE!$D874,EVENTOS!$F:$F,0)),0)</f>
        <v>0</v>
      </c>
      <c r="AE874" s="3">
        <f t="shared" si="39"/>
        <v>0</v>
      </c>
      <c r="AF874" s="10" t="e">
        <f t="shared" si="40"/>
        <v>#N/A</v>
      </c>
      <c r="AG874" s="3" t="str">
        <f t="shared" si="41"/>
        <v/>
      </c>
    </row>
    <row r="875" spans="1:33" x14ac:dyDescent="0.25">
      <c r="A875" s="7"/>
      <c r="B875" s="8"/>
      <c r="C875" s="3"/>
      <c r="D875" s="3"/>
      <c r="E875" s="3" t="e">
        <f>VLOOKUP(D875,VIAJES!$D:$E,2,FALSE)</f>
        <v>#N/A</v>
      </c>
      <c r="F875" s="9" t="e">
        <f>VLOOKUP(D875,VIAJES!$D:$F,3,FALSE)</f>
        <v>#N/A</v>
      </c>
      <c r="G875" s="9" t="e">
        <f>VLOOKUP(D875,VIAJES!$D:$G,4,FALSE)</f>
        <v>#N/A</v>
      </c>
      <c r="H875" s="3" t="e">
        <f>VLOOKUP(D875,VIAJES!$D:$H,5,FALSE)</f>
        <v>#N/A</v>
      </c>
      <c r="S875" s="3">
        <f>IFERROR(INDEX(EVENTOS!$D:$D,MATCH(SCORE!S$2&amp;" "&amp;SCORE!$D875,EVENTOS!$F:$F,0)),0)</f>
        <v>0</v>
      </c>
      <c r="T875" s="3">
        <f>IFERROR(INDEX(EVENTOS!$D:$D,MATCH(SCORE!T$2&amp;" "&amp;SCORE!$D875,EVENTOS!$F:$F,0)),0)</f>
        <v>0</v>
      </c>
      <c r="U875" s="3">
        <f>IFERROR(INDEX(EVENTOS!$D:$D,MATCH(SCORE!U$2&amp;" "&amp;SCORE!$D875,EVENTOS!$F:$F,0)),0)</f>
        <v>0</v>
      </c>
      <c r="V875" s="3">
        <f>IFERROR(INDEX(EVENTOS!$D:$D,MATCH(SCORE!V$2&amp;" "&amp;SCORE!$D875,EVENTOS!$F:$F,0)),0)</f>
        <v>0</v>
      </c>
      <c r="W875" s="3">
        <f>IFERROR(INDEX(EVENTOS!$D:$D,MATCH(SCORE!W$2&amp;" "&amp;SCORE!$D875,EVENTOS!$F:$F,0)),0)</f>
        <v>0</v>
      </c>
      <c r="X875" s="3">
        <f>IFERROR(INDEX(EVENTOS!$D:$D,MATCH(SCORE!X$2&amp;" "&amp;SCORE!$D875,EVENTOS!$F:$F,0)),0)</f>
        <v>0</v>
      </c>
      <c r="Y875" s="3">
        <f>SUMIFS(EVENTOS!$D:$D, EVENTOS!$B:$B, D875, EVENTOS!$E:$E, "*GirAlto*")</f>
        <v>0</v>
      </c>
      <c r="Z875" s="3">
        <f>SUMIFS(EVENTOS!$D:$D, EVENTOS!$B:$B, D875, EVENTOS!$E:$E, "*GirMed*")</f>
        <v>0</v>
      </c>
      <c r="AA875" s="3">
        <f>SUMIFS(EVENTOS!$D:$D, EVENTOS!$B:$B, D875, EVENTOS!$E:$E, "*GirBajo*")</f>
        <v>0</v>
      </c>
      <c r="AB875" s="3">
        <f>IFERROR(INDEX(EVENTOS!$D:$D,MATCH(SCORE!AB$2&amp;" "&amp;SCORE!$D875,EVENTOS!$F:$F,0)),0)</f>
        <v>0</v>
      </c>
      <c r="AC875" s="3">
        <f>IFERROR(INDEX(EVENTOS!$D:$D,MATCH(SCORE!AC$2&amp;" "&amp;SCORE!$D875,EVENTOS!$F:$F,0)),0)</f>
        <v>0</v>
      </c>
      <c r="AD875" s="3">
        <f>IFERROR(INDEX(EVENTOS!$D:$D,MATCH(SCORE!AD$2&amp;" "&amp;SCORE!$D875,EVENTOS!$F:$F,0)),0)</f>
        <v>0</v>
      </c>
      <c r="AE875" s="3">
        <f t="shared" si="39"/>
        <v>0</v>
      </c>
      <c r="AF875" s="10" t="e">
        <f t="shared" si="40"/>
        <v>#N/A</v>
      </c>
      <c r="AG875" s="3" t="str">
        <f t="shared" si="41"/>
        <v/>
      </c>
    </row>
    <row r="876" spans="1:33" x14ac:dyDescent="0.25">
      <c r="A876" s="7"/>
      <c r="B876" s="8"/>
      <c r="C876" s="3"/>
      <c r="D876" s="3"/>
      <c r="E876" s="3" t="e">
        <f>VLOOKUP(D876,VIAJES!$D:$E,2,FALSE)</f>
        <v>#N/A</v>
      </c>
      <c r="F876" s="9" t="e">
        <f>VLOOKUP(D876,VIAJES!$D:$F,3,FALSE)</f>
        <v>#N/A</v>
      </c>
      <c r="G876" s="9" t="e">
        <f>VLOOKUP(D876,VIAJES!$D:$G,4,FALSE)</f>
        <v>#N/A</v>
      </c>
      <c r="H876" s="3" t="e">
        <f>VLOOKUP(D876,VIAJES!$D:$H,5,FALSE)</f>
        <v>#N/A</v>
      </c>
      <c r="S876" s="3">
        <f>IFERROR(INDEX(EVENTOS!$D:$D,MATCH(SCORE!S$2&amp;" "&amp;SCORE!$D876,EVENTOS!$F:$F,0)),0)</f>
        <v>0</v>
      </c>
      <c r="T876" s="3">
        <f>IFERROR(INDEX(EVENTOS!$D:$D,MATCH(SCORE!T$2&amp;" "&amp;SCORE!$D876,EVENTOS!$F:$F,0)),0)</f>
        <v>0</v>
      </c>
      <c r="U876" s="3">
        <f>IFERROR(INDEX(EVENTOS!$D:$D,MATCH(SCORE!U$2&amp;" "&amp;SCORE!$D876,EVENTOS!$F:$F,0)),0)</f>
        <v>0</v>
      </c>
      <c r="V876" s="3">
        <f>IFERROR(INDEX(EVENTOS!$D:$D,MATCH(SCORE!V$2&amp;" "&amp;SCORE!$D876,EVENTOS!$F:$F,0)),0)</f>
        <v>0</v>
      </c>
      <c r="W876" s="3">
        <f>IFERROR(INDEX(EVENTOS!$D:$D,MATCH(SCORE!W$2&amp;" "&amp;SCORE!$D876,EVENTOS!$F:$F,0)),0)</f>
        <v>0</v>
      </c>
      <c r="X876" s="3">
        <f>IFERROR(INDEX(EVENTOS!$D:$D,MATCH(SCORE!X$2&amp;" "&amp;SCORE!$D876,EVENTOS!$F:$F,0)),0)</f>
        <v>0</v>
      </c>
      <c r="Y876" s="3">
        <f>SUMIFS(EVENTOS!$D:$D, EVENTOS!$B:$B, D876, EVENTOS!$E:$E, "*GirAlto*")</f>
        <v>0</v>
      </c>
      <c r="Z876" s="3">
        <f>SUMIFS(EVENTOS!$D:$D, EVENTOS!$B:$B, D876, EVENTOS!$E:$E, "*GirMed*")</f>
        <v>0</v>
      </c>
      <c r="AA876" s="3">
        <f>SUMIFS(EVENTOS!$D:$D, EVENTOS!$B:$B, D876, EVENTOS!$E:$E, "*GirBajo*")</f>
        <v>0</v>
      </c>
      <c r="AB876" s="3">
        <f>IFERROR(INDEX(EVENTOS!$D:$D,MATCH(SCORE!AB$2&amp;" "&amp;SCORE!$D876,EVENTOS!$F:$F,0)),0)</f>
        <v>0</v>
      </c>
      <c r="AC876" s="3">
        <f>IFERROR(INDEX(EVENTOS!$D:$D,MATCH(SCORE!AC$2&amp;" "&amp;SCORE!$D876,EVENTOS!$F:$F,0)),0)</f>
        <v>0</v>
      </c>
      <c r="AD876" s="3">
        <f>IFERROR(INDEX(EVENTOS!$D:$D,MATCH(SCORE!AD$2&amp;" "&amp;SCORE!$D876,EVENTOS!$F:$F,0)),0)</f>
        <v>0</v>
      </c>
      <c r="AE876" s="3">
        <f t="shared" si="39"/>
        <v>0</v>
      </c>
      <c r="AF876" s="10" t="e">
        <f t="shared" si="40"/>
        <v>#N/A</v>
      </c>
      <c r="AG876" s="3" t="str">
        <f t="shared" si="41"/>
        <v/>
      </c>
    </row>
    <row r="877" spans="1:33" x14ac:dyDescent="0.25">
      <c r="A877" s="7"/>
      <c r="B877" s="8"/>
      <c r="C877" s="3"/>
      <c r="D877" s="3"/>
      <c r="E877" s="3" t="e">
        <f>VLOOKUP(D877,VIAJES!$D:$E,2,FALSE)</f>
        <v>#N/A</v>
      </c>
      <c r="F877" s="9" t="e">
        <f>VLOOKUP(D877,VIAJES!$D:$F,3,FALSE)</f>
        <v>#N/A</v>
      </c>
      <c r="G877" s="9" t="e">
        <f>VLOOKUP(D877,VIAJES!$D:$G,4,FALSE)</f>
        <v>#N/A</v>
      </c>
      <c r="H877" s="3" t="e">
        <f>VLOOKUP(D877,VIAJES!$D:$H,5,FALSE)</f>
        <v>#N/A</v>
      </c>
      <c r="S877" s="3">
        <f>IFERROR(INDEX(EVENTOS!$D:$D,MATCH(SCORE!S$2&amp;" "&amp;SCORE!$D877,EVENTOS!$F:$F,0)),0)</f>
        <v>0</v>
      </c>
      <c r="T877" s="3">
        <f>IFERROR(INDEX(EVENTOS!$D:$D,MATCH(SCORE!T$2&amp;" "&amp;SCORE!$D877,EVENTOS!$F:$F,0)),0)</f>
        <v>0</v>
      </c>
      <c r="U877" s="3">
        <f>IFERROR(INDEX(EVENTOS!$D:$D,MATCH(SCORE!U$2&amp;" "&amp;SCORE!$D877,EVENTOS!$F:$F,0)),0)</f>
        <v>0</v>
      </c>
      <c r="V877" s="3">
        <f>IFERROR(INDEX(EVENTOS!$D:$D,MATCH(SCORE!V$2&amp;" "&amp;SCORE!$D877,EVENTOS!$F:$F,0)),0)</f>
        <v>0</v>
      </c>
      <c r="W877" s="3">
        <f>IFERROR(INDEX(EVENTOS!$D:$D,MATCH(SCORE!W$2&amp;" "&amp;SCORE!$D877,EVENTOS!$F:$F,0)),0)</f>
        <v>0</v>
      </c>
      <c r="X877" s="3">
        <f>IFERROR(INDEX(EVENTOS!$D:$D,MATCH(SCORE!X$2&amp;" "&amp;SCORE!$D877,EVENTOS!$F:$F,0)),0)</f>
        <v>0</v>
      </c>
      <c r="Y877" s="3">
        <f>SUMIFS(EVENTOS!$D:$D, EVENTOS!$B:$B, D877, EVENTOS!$E:$E, "*GirAlto*")</f>
        <v>0</v>
      </c>
      <c r="Z877" s="3">
        <f>SUMIFS(EVENTOS!$D:$D, EVENTOS!$B:$B, D877, EVENTOS!$E:$E, "*GirMed*")</f>
        <v>0</v>
      </c>
      <c r="AA877" s="3">
        <f>SUMIFS(EVENTOS!$D:$D, EVENTOS!$B:$B, D877, EVENTOS!$E:$E, "*GirBajo*")</f>
        <v>0</v>
      </c>
      <c r="AB877" s="3">
        <f>IFERROR(INDEX(EVENTOS!$D:$D,MATCH(SCORE!AB$2&amp;" "&amp;SCORE!$D877,EVENTOS!$F:$F,0)),0)</f>
        <v>0</v>
      </c>
      <c r="AC877" s="3">
        <f>IFERROR(INDEX(EVENTOS!$D:$D,MATCH(SCORE!AC$2&amp;" "&amp;SCORE!$D877,EVENTOS!$F:$F,0)),0)</f>
        <v>0</v>
      </c>
      <c r="AD877" s="3">
        <f>IFERROR(INDEX(EVENTOS!$D:$D,MATCH(SCORE!AD$2&amp;" "&amp;SCORE!$D877,EVENTOS!$F:$F,0)),0)</f>
        <v>0</v>
      </c>
      <c r="AE877" s="3">
        <f t="shared" si="39"/>
        <v>0</v>
      </c>
      <c r="AF877" s="10" t="e">
        <f t="shared" si="40"/>
        <v>#N/A</v>
      </c>
      <c r="AG877" s="3" t="str">
        <f t="shared" si="41"/>
        <v/>
      </c>
    </row>
    <row r="878" spans="1:33" x14ac:dyDescent="0.25">
      <c r="A878" s="7"/>
      <c r="B878" s="8"/>
      <c r="C878" s="3"/>
      <c r="D878" s="3"/>
      <c r="E878" s="3" t="e">
        <f>VLOOKUP(D878,VIAJES!$D:$E,2,FALSE)</f>
        <v>#N/A</v>
      </c>
      <c r="F878" s="9" t="e">
        <f>VLOOKUP(D878,VIAJES!$D:$F,3,FALSE)</f>
        <v>#N/A</v>
      </c>
      <c r="G878" s="9" t="e">
        <f>VLOOKUP(D878,VIAJES!$D:$G,4,FALSE)</f>
        <v>#N/A</v>
      </c>
      <c r="H878" s="3" t="e">
        <f>VLOOKUP(D878,VIAJES!$D:$H,5,FALSE)</f>
        <v>#N/A</v>
      </c>
      <c r="S878" s="3">
        <f>IFERROR(INDEX(EVENTOS!$D:$D,MATCH(SCORE!S$2&amp;" "&amp;SCORE!$D878,EVENTOS!$F:$F,0)),0)</f>
        <v>0</v>
      </c>
      <c r="T878" s="3">
        <f>IFERROR(INDEX(EVENTOS!$D:$D,MATCH(SCORE!T$2&amp;" "&amp;SCORE!$D878,EVENTOS!$F:$F,0)),0)</f>
        <v>0</v>
      </c>
      <c r="U878" s="3">
        <f>IFERROR(INDEX(EVENTOS!$D:$D,MATCH(SCORE!U$2&amp;" "&amp;SCORE!$D878,EVENTOS!$F:$F,0)),0)</f>
        <v>0</v>
      </c>
      <c r="V878" s="3">
        <f>IFERROR(INDEX(EVENTOS!$D:$D,MATCH(SCORE!V$2&amp;" "&amp;SCORE!$D878,EVENTOS!$F:$F,0)),0)</f>
        <v>0</v>
      </c>
      <c r="W878" s="3">
        <f>IFERROR(INDEX(EVENTOS!$D:$D,MATCH(SCORE!W$2&amp;" "&amp;SCORE!$D878,EVENTOS!$F:$F,0)),0)</f>
        <v>0</v>
      </c>
      <c r="X878" s="3">
        <f>IFERROR(INDEX(EVENTOS!$D:$D,MATCH(SCORE!X$2&amp;" "&amp;SCORE!$D878,EVENTOS!$F:$F,0)),0)</f>
        <v>0</v>
      </c>
      <c r="Y878" s="3">
        <f>SUMIFS(EVENTOS!$D:$D, EVENTOS!$B:$B, D878, EVENTOS!$E:$E, "*GirAlto*")</f>
        <v>0</v>
      </c>
      <c r="Z878" s="3">
        <f>SUMIFS(EVENTOS!$D:$D, EVENTOS!$B:$B, D878, EVENTOS!$E:$E, "*GirMed*")</f>
        <v>0</v>
      </c>
      <c r="AA878" s="3">
        <f>SUMIFS(EVENTOS!$D:$D, EVENTOS!$B:$B, D878, EVENTOS!$E:$E, "*GirBajo*")</f>
        <v>0</v>
      </c>
      <c r="AB878" s="3">
        <f>IFERROR(INDEX(EVENTOS!$D:$D,MATCH(SCORE!AB$2&amp;" "&amp;SCORE!$D878,EVENTOS!$F:$F,0)),0)</f>
        <v>0</v>
      </c>
      <c r="AC878" s="3">
        <f>IFERROR(INDEX(EVENTOS!$D:$D,MATCH(SCORE!AC$2&amp;" "&amp;SCORE!$D878,EVENTOS!$F:$F,0)),0)</f>
        <v>0</v>
      </c>
      <c r="AD878" s="3">
        <f>IFERROR(INDEX(EVENTOS!$D:$D,MATCH(SCORE!AD$2&amp;" "&amp;SCORE!$D878,EVENTOS!$F:$F,0)),0)</f>
        <v>0</v>
      </c>
      <c r="AE878" s="3">
        <f t="shared" si="39"/>
        <v>0</v>
      </c>
      <c r="AF878" s="10" t="e">
        <f t="shared" si="40"/>
        <v>#N/A</v>
      </c>
      <c r="AG878" s="3" t="str">
        <f t="shared" si="41"/>
        <v/>
      </c>
    </row>
    <row r="879" spans="1:33" x14ac:dyDescent="0.25">
      <c r="A879" s="7"/>
      <c r="B879" s="8"/>
      <c r="C879" s="3"/>
      <c r="D879" s="3"/>
      <c r="E879" s="3" t="e">
        <f>VLOOKUP(D879,VIAJES!$D:$E,2,FALSE)</f>
        <v>#N/A</v>
      </c>
      <c r="F879" s="9" t="e">
        <f>VLOOKUP(D879,VIAJES!$D:$F,3,FALSE)</f>
        <v>#N/A</v>
      </c>
      <c r="G879" s="9" t="e">
        <f>VLOOKUP(D879,VIAJES!$D:$G,4,FALSE)</f>
        <v>#N/A</v>
      </c>
      <c r="H879" s="3" t="e">
        <f>VLOOKUP(D879,VIAJES!$D:$H,5,FALSE)</f>
        <v>#N/A</v>
      </c>
      <c r="S879" s="3">
        <f>IFERROR(INDEX(EVENTOS!$D:$D,MATCH(SCORE!S$2&amp;" "&amp;SCORE!$D879,EVENTOS!$F:$F,0)),0)</f>
        <v>0</v>
      </c>
      <c r="T879" s="3">
        <f>IFERROR(INDEX(EVENTOS!$D:$D,MATCH(SCORE!T$2&amp;" "&amp;SCORE!$D879,EVENTOS!$F:$F,0)),0)</f>
        <v>0</v>
      </c>
      <c r="U879" s="3">
        <f>IFERROR(INDEX(EVENTOS!$D:$D,MATCH(SCORE!U$2&amp;" "&amp;SCORE!$D879,EVENTOS!$F:$F,0)),0)</f>
        <v>0</v>
      </c>
      <c r="V879" s="3">
        <f>IFERROR(INDEX(EVENTOS!$D:$D,MATCH(SCORE!V$2&amp;" "&amp;SCORE!$D879,EVENTOS!$F:$F,0)),0)</f>
        <v>0</v>
      </c>
      <c r="W879" s="3">
        <f>IFERROR(INDEX(EVENTOS!$D:$D,MATCH(SCORE!W$2&amp;" "&amp;SCORE!$D879,EVENTOS!$F:$F,0)),0)</f>
        <v>0</v>
      </c>
      <c r="X879" s="3">
        <f>IFERROR(INDEX(EVENTOS!$D:$D,MATCH(SCORE!X$2&amp;" "&amp;SCORE!$D879,EVENTOS!$F:$F,0)),0)</f>
        <v>0</v>
      </c>
      <c r="Y879" s="3">
        <f>SUMIFS(EVENTOS!$D:$D, EVENTOS!$B:$B, D879, EVENTOS!$E:$E, "*GirAlto*")</f>
        <v>0</v>
      </c>
      <c r="Z879" s="3">
        <f>SUMIFS(EVENTOS!$D:$D, EVENTOS!$B:$B, D879, EVENTOS!$E:$E, "*GirMed*")</f>
        <v>0</v>
      </c>
      <c r="AA879" s="3">
        <f>SUMIFS(EVENTOS!$D:$D, EVENTOS!$B:$B, D879, EVENTOS!$E:$E, "*GirBajo*")</f>
        <v>0</v>
      </c>
      <c r="AB879" s="3">
        <f>IFERROR(INDEX(EVENTOS!$D:$D,MATCH(SCORE!AB$2&amp;" "&amp;SCORE!$D879,EVENTOS!$F:$F,0)),0)</f>
        <v>0</v>
      </c>
      <c r="AC879" s="3">
        <f>IFERROR(INDEX(EVENTOS!$D:$D,MATCH(SCORE!AC$2&amp;" "&amp;SCORE!$D879,EVENTOS!$F:$F,0)),0)</f>
        <v>0</v>
      </c>
      <c r="AD879" s="3">
        <f>IFERROR(INDEX(EVENTOS!$D:$D,MATCH(SCORE!AD$2&amp;" "&amp;SCORE!$D879,EVENTOS!$F:$F,0)),0)</f>
        <v>0</v>
      </c>
      <c r="AE879" s="3">
        <f t="shared" si="39"/>
        <v>0</v>
      </c>
      <c r="AF879" s="10" t="e">
        <f t="shared" si="40"/>
        <v>#N/A</v>
      </c>
      <c r="AG879" s="3" t="str">
        <f t="shared" si="41"/>
        <v/>
      </c>
    </row>
    <row r="880" spans="1:33" x14ac:dyDescent="0.25">
      <c r="A880" s="7"/>
      <c r="B880" s="8"/>
      <c r="C880" s="3"/>
      <c r="D880" s="3"/>
      <c r="E880" s="3" t="e">
        <f>VLOOKUP(D880,VIAJES!$D:$E,2,FALSE)</f>
        <v>#N/A</v>
      </c>
      <c r="F880" s="9" t="e">
        <f>VLOOKUP(D880,VIAJES!$D:$F,3,FALSE)</f>
        <v>#N/A</v>
      </c>
      <c r="G880" s="9" t="e">
        <f>VLOOKUP(D880,VIAJES!$D:$G,4,FALSE)</f>
        <v>#N/A</v>
      </c>
      <c r="H880" s="3" t="e">
        <f>VLOOKUP(D880,VIAJES!$D:$H,5,FALSE)</f>
        <v>#N/A</v>
      </c>
      <c r="S880" s="3">
        <f>IFERROR(INDEX(EVENTOS!$D:$D,MATCH(SCORE!S$2&amp;" "&amp;SCORE!$D880,EVENTOS!$F:$F,0)),0)</f>
        <v>0</v>
      </c>
      <c r="T880" s="3">
        <f>IFERROR(INDEX(EVENTOS!$D:$D,MATCH(SCORE!T$2&amp;" "&amp;SCORE!$D880,EVENTOS!$F:$F,0)),0)</f>
        <v>0</v>
      </c>
      <c r="U880" s="3">
        <f>IFERROR(INDEX(EVENTOS!$D:$D,MATCH(SCORE!U$2&amp;" "&amp;SCORE!$D880,EVENTOS!$F:$F,0)),0)</f>
        <v>0</v>
      </c>
      <c r="V880" s="3">
        <f>IFERROR(INDEX(EVENTOS!$D:$D,MATCH(SCORE!V$2&amp;" "&amp;SCORE!$D880,EVENTOS!$F:$F,0)),0)</f>
        <v>0</v>
      </c>
      <c r="W880" s="3">
        <f>IFERROR(INDEX(EVENTOS!$D:$D,MATCH(SCORE!W$2&amp;" "&amp;SCORE!$D880,EVENTOS!$F:$F,0)),0)</f>
        <v>0</v>
      </c>
      <c r="X880" s="3">
        <f>IFERROR(INDEX(EVENTOS!$D:$D,MATCH(SCORE!X$2&amp;" "&amp;SCORE!$D880,EVENTOS!$F:$F,0)),0)</f>
        <v>0</v>
      </c>
      <c r="Y880" s="3">
        <f>SUMIFS(EVENTOS!$D:$D, EVENTOS!$B:$B, D880, EVENTOS!$E:$E, "*GirAlto*")</f>
        <v>0</v>
      </c>
      <c r="Z880" s="3">
        <f>SUMIFS(EVENTOS!$D:$D, EVENTOS!$B:$B, D880, EVENTOS!$E:$E, "*GirMed*")</f>
        <v>0</v>
      </c>
      <c r="AA880" s="3">
        <f>SUMIFS(EVENTOS!$D:$D, EVENTOS!$B:$B, D880, EVENTOS!$E:$E, "*GirBajo*")</f>
        <v>0</v>
      </c>
      <c r="AB880" s="3">
        <f>IFERROR(INDEX(EVENTOS!$D:$D,MATCH(SCORE!AB$2&amp;" "&amp;SCORE!$D880,EVENTOS!$F:$F,0)),0)</f>
        <v>0</v>
      </c>
      <c r="AC880" s="3">
        <f>IFERROR(INDEX(EVENTOS!$D:$D,MATCH(SCORE!AC$2&amp;" "&amp;SCORE!$D880,EVENTOS!$F:$F,0)),0)</f>
        <v>0</v>
      </c>
      <c r="AD880" s="3">
        <f>IFERROR(INDEX(EVENTOS!$D:$D,MATCH(SCORE!AD$2&amp;" "&amp;SCORE!$D880,EVENTOS!$F:$F,0)),0)</f>
        <v>0</v>
      </c>
      <c r="AE880" s="3">
        <f t="shared" si="39"/>
        <v>0</v>
      </c>
      <c r="AF880" s="10" t="e">
        <f t="shared" si="40"/>
        <v>#N/A</v>
      </c>
      <c r="AG880" s="3" t="str">
        <f t="shared" si="41"/>
        <v/>
      </c>
    </row>
    <row r="881" spans="1:33" x14ac:dyDescent="0.25">
      <c r="A881" s="7"/>
      <c r="B881" s="8"/>
      <c r="C881" s="3"/>
      <c r="D881" s="3"/>
      <c r="E881" s="3" t="e">
        <f>VLOOKUP(D881,VIAJES!$D:$E,2,FALSE)</f>
        <v>#N/A</v>
      </c>
      <c r="F881" s="9" t="e">
        <f>VLOOKUP(D881,VIAJES!$D:$F,3,FALSE)</f>
        <v>#N/A</v>
      </c>
      <c r="G881" s="9" t="e">
        <f>VLOOKUP(D881,VIAJES!$D:$G,4,FALSE)</f>
        <v>#N/A</v>
      </c>
      <c r="H881" s="3" t="e">
        <f>VLOOKUP(D881,VIAJES!$D:$H,5,FALSE)</f>
        <v>#N/A</v>
      </c>
      <c r="S881" s="3">
        <f>IFERROR(INDEX(EVENTOS!$D:$D,MATCH(SCORE!S$2&amp;" "&amp;SCORE!$D881,EVENTOS!$F:$F,0)),0)</f>
        <v>0</v>
      </c>
      <c r="T881" s="3">
        <f>IFERROR(INDEX(EVENTOS!$D:$D,MATCH(SCORE!T$2&amp;" "&amp;SCORE!$D881,EVENTOS!$F:$F,0)),0)</f>
        <v>0</v>
      </c>
      <c r="U881" s="3">
        <f>IFERROR(INDEX(EVENTOS!$D:$D,MATCH(SCORE!U$2&amp;" "&amp;SCORE!$D881,EVENTOS!$F:$F,0)),0)</f>
        <v>0</v>
      </c>
      <c r="V881" s="3">
        <f>IFERROR(INDEX(EVENTOS!$D:$D,MATCH(SCORE!V$2&amp;" "&amp;SCORE!$D881,EVENTOS!$F:$F,0)),0)</f>
        <v>0</v>
      </c>
      <c r="W881" s="3">
        <f>IFERROR(INDEX(EVENTOS!$D:$D,MATCH(SCORE!W$2&amp;" "&amp;SCORE!$D881,EVENTOS!$F:$F,0)),0)</f>
        <v>0</v>
      </c>
      <c r="X881" s="3">
        <f>IFERROR(INDEX(EVENTOS!$D:$D,MATCH(SCORE!X$2&amp;" "&amp;SCORE!$D881,EVENTOS!$F:$F,0)),0)</f>
        <v>0</v>
      </c>
      <c r="Y881" s="3">
        <f>SUMIFS(EVENTOS!$D:$D, EVENTOS!$B:$B, D881, EVENTOS!$E:$E, "*GirAlto*")</f>
        <v>0</v>
      </c>
      <c r="Z881" s="3">
        <f>SUMIFS(EVENTOS!$D:$D, EVENTOS!$B:$B, D881, EVENTOS!$E:$E, "*GirMed*")</f>
        <v>0</v>
      </c>
      <c r="AA881" s="3">
        <f>SUMIFS(EVENTOS!$D:$D, EVENTOS!$B:$B, D881, EVENTOS!$E:$E, "*GirBajo*")</f>
        <v>0</v>
      </c>
      <c r="AB881" s="3">
        <f>IFERROR(INDEX(EVENTOS!$D:$D,MATCH(SCORE!AB$2&amp;" "&amp;SCORE!$D881,EVENTOS!$F:$F,0)),0)</f>
        <v>0</v>
      </c>
      <c r="AC881" s="3">
        <f>IFERROR(INDEX(EVENTOS!$D:$D,MATCH(SCORE!AC$2&amp;" "&amp;SCORE!$D881,EVENTOS!$F:$F,0)),0)</f>
        <v>0</v>
      </c>
      <c r="AD881" s="3">
        <f>IFERROR(INDEX(EVENTOS!$D:$D,MATCH(SCORE!AD$2&amp;" "&amp;SCORE!$D881,EVENTOS!$F:$F,0)),0)</f>
        <v>0</v>
      </c>
      <c r="AE881" s="3">
        <f t="shared" si="39"/>
        <v>0</v>
      </c>
      <c r="AF881" s="10" t="e">
        <f t="shared" si="40"/>
        <v>#N/A</v>
      </c>
      <c r="AG881" s="3" t="str">
        <f t="shared" si="41"/>
        <v/>
      </c>
    </row>
    <row r="882" spans="1:33" x14ac:dyDescent="0.25">
      <c r="A882" s="7"/>
      <c r="B882" s="8"/>
      <c r="C882" s="3"/>
      <c r="D882" s="3"/>
      <c r="E882" s="3" t="e">
        <f>VLOOKUP(D882,VIAJES!$D:$E,2,FALSE)</f>
        <v>#N/A</v>
      </c>
      <c r="F882" s="9" t="e">
        <f>VLOOKUP(D882,VIAJES!$D:$F,3,FALSE)</f>
        <v>#N/A</v>
      </c>
      <c r="G882" s="9" t="e">
        <f>VLOOKUP(D882,VIAJES!$D:$G,4,FALSE)</f>
        <v>#N/A</v>
      </c>
      <c r="H882" s="3" t="e">
        <f>VLOOKUP(D882,VIAJES!$D:$H,5,FALSE)</f>
        <v>#N/A</v>
      </c>
      <c r="S882" s="3">
        <f>IFERROR(INDEX(EVENTOS!$D:$D,MATCH(SCORE!S$2&amp;" "&amp;SCORE!$D882,EVENTOS!$F:$F,0)),0)</f>
        <v>0</v>
      </c>
      <c r="T882" s="3">
        <f>IFERROR(INDEX(EVENTOS!$D:$D,MATCH(SCORE!T$2&amp;" "&amp;SCORE!$D882,EVENTOS!$F:$F,0)),0)</f>
        <v>0</v>
      </c>
      <c r="U882" s="3">
        <f>IFERROR(INDEX(EVENTOS!$D:$D,MATCH(SCORE!U$2&amp;" "&amp;SCORE!$D882,EVENTOS!$F:$F,0)),0)</f>
        <v>0</v>
      </c>
      <c r="V882" s="3">
        <f>IFERROR(INDEX(EVENTOS!$D:$D,MATCH(SCORE!V$2&amp;" "&amp;SCORE!$D882,EVENTOS!$F:$F,0)),0)</f>
        <v>0</v>
      </c>
      <c r="W882" s="3">
        <f>IFERROR(INDEX(EVENTOS!$D:$D,MATCH(SCORE!W$2&amp;" "&amp;SCORE!$D882,EVENTOS!$F:$F,0)),0)</f>
        <v>0</v>
      </c>
      <c r="X882" s="3">
        <f>IFERROR(INDEX(EVENTOS!$D:$D,MATCH(SCORE!X$2&amp;" "&amp;SCORE!$D882,EVENTOS!$F:$F,0)),0)</f>
        <v>0</v>
      </c>
      <c r="Y882" s="3">
        <f>SUMIFS(EVENTOS!$D:$D, EVENTOS!$B:$B, D882, EVENTOS!$E:$E, "*GirAlto*")</f>
        <v>0</v>
      </c>
      <c r="Z882" s="3">
        <f>SUMIFS(EVENTOS!$D:$D, EVENTOS!$B:$B, D882, EVENTOS!$E:$E, "*GirMed*")</f>
        <v>0</v>
      </c>
      <c r="AA882" s="3">
        <f>SUMIFS(EVENTOS!$D:$D, EVENTOS!$B:$B, D882, EVENTOS!$E:$E, "*GirBajo*")</f>
        <v>0</v>
      </c>
      <c r="AB882" s="3">
        <f>IFERROR(INDEX(EVENTOS!$D:$D,MATCH(SCORE!AB$2&amp;" "&amp;SCORE!$D882,EVENTOS!$F:$F,0)),0)</f>
        <v>0</v>
      </c>
      <c r="AC882" s="3">
        <f>IFERROR(INDEX(EVENTOS!$D:$D,MATCH(SCORE!AC$2&amp;" "&amp;SCORE!$D882,EVENTOS!$F:$F,0)),0)</f>
        <v>0</v>
      </c>
      <c r="AD882" s="3">
        <f>IFERROR(INDEX(EVENTOS!$D:$D,MATCH(SCORE!AD$2&amp;" "&amp;SCORE!$D882,EVENTOS!$F:$F,0)),0)</f>
        <v>0</v>
      </c>
      <c r="AE882" s="3">
        <f t="shared" si="39"/>
        <v>0</v>
      </c>
      <c r="AF882" s="10" t="e">
        <f t="shared" si="40"/>
        <v>#N/A</v>
      </c>
      <c r="AG882" s="3" t="str">
        <f t="shared" si="41"/>
        <v/>
      </c>
    </row>
    <row r="883" spans="1:33" x14ac:dyDescent="0.25">
      <c r="A883" s="7"/>
      <c r="B883" s="8"/>
      <c r="C883" s="3"/>
      <c r="D883" s="3"/>
      <c r="E883" s="3" t="e">
        <f>VLOOKUP(D883,VIAJES!$D:$E,2,FALSE)</f>
        <v>#N/A</v>
      </c>
      <c r="F883" s="9" t="e">
        <f>VLOOKUP(D883,VIAJES!$D:$F,3,FALSE)</f>
        <v>#N/A</v>
      </c>
      <c r="G883" s="9" t="e">
        <f>VLOOKUP(D883,VIAJES!$D:$G,4,FALSE)</f>
        <v>#N/A</v>
      </c>
      <c r="H883" s="3" t="e">
        <f>VLOOKUP(D883,VIAJES!$D:$H,5,FALSE)</f>
        <v>#N/A</v>
      </c>
      <c r="S883" s="3">
        <f>IFERROR(INDEX(EVENTOS!$D:$D,MATCH(SCORE!S$2&amp;" "&amp;SCORE!$D883,EVENTOS!$F:$F,0)),0)</f>
        <v>0</v>
      </c>
      <c r="T883" s="3">
        <f>IFERROR(INDEX(EVENTOS!$D:$D,MATCH(SCORE!T$2&amp;" "&amp;SCORE!$D883,EVENTOS!$F:$F,0)),0)</f>
        <v>0</v>
      </c>
      <c r="U883" s="3">
        <f>IFERROR(INDEX(EVENTOS!$D:$D,MATCH(SCORE!U$2&amp;" "&amp;SCORE!$D883,EVENTOS!$F:$F,0)),0)</f>
        <v>0</v>
      </c>
      <c r="V883" s="3">
        <f>IFERROR(INDEX(EVENTOS!$D:$D,MATCH(SCORE!V$2&amp;" "&amp;SCORE!$D883,EVENTOS!$F:$F,0)),0)</f>
        <v>0</v>
      </c>
      <c r="W883" s="3">
        <f>IFERROR(INDEX(EVENTOS!$D:$D,MATCH(SCORE!W$2&amp;" "&amp;SCORE!$D883,EVENTOS!$F:$F,0)),0)</f>
        <v>0</v>
      </c>
      <c r="X883" s="3">
        <f>IFERROR(INDEX(EVENTOS!$D:$D,MATCH(SCORE!X$2&amp;" "&amp;SCORE!$D883,EVENTOS!$F:$F,0)),0)</f>
        <v>0</v>
      </c>
      <c r="Y883" s="3">
        <f>SUMIFS(EVENTOS!$D:$D, EVENTOS!$B:$B, D883, EVENTOS!$E:$E, "*GirAlto*")</f>
        <v>0</v>
      </c>
      <c r="Z883" s="3">
        <f>SUMIFS(EVENTOS!$D:$D, EVENTOS!$B:$B, D883, EVENTOS!$E:$E, "*GirMed*")</f>
        <v>0</v>
      </c>
      <c r="AA883" s="3">
        <f>SUMIFS(EVENTOS!$D:$D, EVENTOS!$B:$B, D883, EVENTOS!$E:$E, "*GirBajo*")</f>
        <v>0</v>
      </c>
      <c r="AB883" s="3">
        <f>IFERROR(INDEX(EVENTOS!$D:$D,MATCH(SCORE!AB$2&amp;" "&amp;SCORE!$D883,EVENTOS!$F:$F,0)),0)</f>
        <v>0</v>
      </c>
      <c r="AC883" s="3">
        <f>IFERROR(INDEX(EVENTOS!$D:$D,MATCH(SCORE!AC$2&amp;" "&amp;SCORE!$D883,EVENTOS!$F:$F,0)),0)</f>
        <v>0</v>
      </c>
      <c r="AD883" s="3">
        <f>IFERROR(INDEX(EVENTOS!$D:$D,MATCH(SCORE!AD$2&amp;" "&amp;SCORE!$D883,EVENTOS!$F:$F,0)),0)</f>
        <v>0</v>
      </c>
      <c r="AE883" s="3">
        <f t="shared" si="39"/>
        <v>0</v>
      </c>
      <c r="AF883" s="10" t="e">
        <f t="shared" si="40"/>
        <v>#N/A</v>
      </c>
      <c r="AG883" s="3" t="str">
        <f t="shared" si="41"/>
        <v/>
      </c>
    </row>
    <row r="884" spans="1:33" x14ac:dyDescent="0.25">
      <c r="A884" s="7"/>
      <c r="B884" s="8"/>
      <c r="C884" s="3"/>
      <c r="D884" s="3"/>
      <c r="E884" s="3" t="e">
        <f>VLOOKUP(D884,VIAJES!$D:$E,2,FALSE)</f>
        <v>#N/A</v>
      </c>
      <c r="F884" s="9" t="e">
        <f>VLOOKUP(D884,VIAJES!$D:$F,3,FALSE)</f>
        <v>#N/A</v>
      </c>
      <c r="G884" s="9" t="e">
        <f>VLOOKUP(D884,VIAJES!$D:$G,4,FALSE)</f>
        <v>#N/A</v>
      </c>
      <c r="H884" s="3" t="e">
        <f>VLOOKUP(D884,VIAJES!$D:$H,5,FALSE)</f>
        <v>#N/A</v>
      </c>
      <c r="S884" s="3">
        <f>IFERROR(INDEX(EVENTOS!$D:$D,MATCH(SCORE!S$2&amp;" "&amp;SCORE!$D884,EVENTOS!$F:$F,0)),0)</f>
        <v>0</v>
      </c>
      <c r="T884" s="3">
        <f>IFERROR(INDEX(EVENTOS!$D:$D,MATCH(SCORE!T$2&amp;" "&amp;SCORE!$D884,EVENTOS!$F:$F,0)),0)</f>
        <v>0</v>
      </c>
      <c r="U884" s="3">
        <f>IFERROR(INDEX(EVENTOS!$D:$D,MATCH(SCORE!U$2&amp;" "&amp;SCORE!$D884,EVENTOS!$F:$F,0)),0)</f>
        <v>0</v>
      </c>
      <c r="V884" s="3">
        <f>IFERROR(INDEX(EVENTOS!$D:$D,MATCH(SCORE!V$2&amp;" "&amp;SCORE!$D884,EVENTOS!$F:$F,0)),0)</f>
        <v>0</v>
      </c>
      <c r="W884" s="3">
        <f>IFERROR(INDEX(EVENTOS!$D:$D,MATCH(SCORE!W$2&amp;" "&amp;SCORE!$D884,EVENTOS!$F:$F,0)),0)</f>
        <v>0</v>
      </c>
      <c r="X884" s="3">
        <f>IFERROR(INDEX(EVENTOS!$D:$D,MATCH(SCORE!X$2&amp;" "&amp;SCORE!$D884,EVENTOS!$F:$F,0)),0)</f>
        <v>0</v>
      </c>
      <c r="Y884" s="3">
        <f>SUMIFS(EVENTOS!$D:$D, EVENTOS!$B:$B, D884, EVENTOS!$E:$E, "*GirAlto*")</f>
        <v>0</v>
      </c>
      <c r="Z884" s="3">
        <f>SUMIFS(EVENTOS!$D:$D, EVENTOS!$B:$B, D884, EVENTOS!$E:$E, "*GirMed*")</f>
        <v>0</v>
      </c>
      <c r="AA884" s="3">
        <f>SUMIFS(EVENTOS!$D:$D, EVENTOS!$B:$B, D884, EVENTOS!$E:$E, "*GirBajo*")</f>
        <v>0</v>
      </c>
      <c r="AB884" s="3">
        <f>IFERROR(INDEX(EVENTOS!$D:$D,MATCH(SCORE!AB$2&amp;" "&amp;SCORE!$D884,EVENTOS!$F:$F,0)),0)</f>
        <v>0</v>
      </c>
      <c r="AC884" s="3">
        <f>IFERROR(INDEX(EVENTOS!$D:$D,MATCH(SCORE!AC$2&amp;" "&amp;SCORE!$D884,EVENTOS!$F:$F,0)),0)</f>
        <v>0</v>
      </c>
      <c r="AD884" s="3">
        <f>IFERROR(INDEX(EVENTOS!$D:$D,MATCH(SCORE!AD$2&amp;" "&amp;SCORE!$D884,EVENTOS!$F:$F,0)),0)</f>
        <v>0</v>
      </c>
      <c r="AE884" s="3">
        <f t="shared" si="39"/>
        <v>0</v>
      </c>
      <c r="AF884" s="10" t="e">
        <f t="shared" si="40"/>
        <v>#N/A</v>
      </c>
      <c r="AG884" s="3" t="str">
        <f t="shared" si="41"/>
        <v/>
      </c>
    </row>
    <row r="885" spans="1:33" x14ac:dyDescent="0.25">
      <c r="A885" s="7"/>
      <c r="B885" s="8"/>
      <c r="C885" s="3"/>
      <c r="D885" s="3"/>
      <c r="E885" s="3" t="e">
        <f>VLOOKUP(D885,VIAJES!$D:$E,2,FALSE)</f>
        <v>#N/A</v>
      </c>
      <c r="F885" s="9" t="e">
        <f>VLOOKUP(D885,VIAJES!$D:$F,3,FALSE)</f>
        <v>#N/A</v>
      </c>
      <c r="G885" s="9" t="e">
        <f>VLOOKUP(D885,VIAJES!$D:$G,4,FALSE)</f>
        <v>#N/A</v>
      </c>
      <c r="H885" s="3" t="e">
        <f>VLOOKUP(D885,VIAJES!$D:$H,5,FALSE)</f>
        <v>#N/A</v>
      </c>
      <c r="S885" s="3">
        <f>IFERROR(INDEX(EVENTOS!$D:$D,MATCH(SCORE!S$2&amp;" "&amp;SCORE!$D885,EVENTOS!$F:$F,0)),0)</f>
        <v>0</v>
      </c>
      <c r="T885" s="3">
        <f>IFERROR(INDEX(EVENTOS!$D:$D,MATCH(SCORE!T$2&amp;" "&amp;SCORE!$D885,EVENTOS!$F:$F,0)),0)</f>
        <v>0</v>
      </c>
      <c r="U885" s="3">
        <f>IFERROR(INDEX(EVENTOS!$D:$D,MATCH(SCORE!U$2&amp;" "&amp;SCORE!$D885,EVENTOS!$F:$F,0)),0)</f>
        <v>0</v>
      </c>
      <c r="V885" s="3">
        <f>IFERROR(INDEX(EVENTOS!$D:$D,MATCH(SCORE!V$2&amp;" "&amp;SCORE!$D885,EVENTOS!$F:$F,0)),0)</f>
        <v>0</v>
      </c>
      <c r="W885" s="3">
        <f>IFERROR(INDEX(EVENTOS!$D:$D,MATCH(SCORE!W$2&amp;" "&amp;SCORE!$D885,EVENTOS!$F:$F,0)),0)</f>
        <v>0</v>
      </c>
      <c r="X885" s="3">
        <f>IFERROR(INDEX(EVENTOS!$D:$D,MATCH(SCORE!X$2&amp;" "&amp;SCORE!$D885,EVENTOS!$F:$F,0)),0)</f>
        <v>0</v>
      </c>
      <c r="Y885" s="3">
        <f>SUMIFS(EVENTOS!$D:$D, EVENTOS!$B:$B, D885, EVENTOS!$E:$E, "*GirAlto*")</f>
        <v>0</v>
      </c>
      <c r="Z885" s="3">
        <f>SUMIFS(EVENTOS!$D:$D, EVENTOS!$B:$B, D885, EVENTOS!$E:$E, "*GirMed*")</f>
        <v>0</v>
      </c>
      <c r="AA885" s="3">
        <f>SUMIFS(EVENTOS!$D:$D, EVENTOS!$B:$B, D885, EVENTOS!$E:$E, "*GirBajo*")</f>
        <v>0</v>
      </c>
      <c r="AB885" s="3">
        <f>IFERROR(INDEX(EVENTOS!$D:$D,MATCH(SCORE!AB$2&amp;" "&amp;SCORE!$D885,EVENTOS!$F:$F,0)),0)</f>
        <v>0</v>
      </c>
      <c r="AC885" s="3">
        <f>IFERROR(INDEX(EVENTOS!$D:$D,MATCH(SCORE!AC$2&amp;" "&amp;SCORE!$D885,EVENTOS!$F:$F,0)),0)</f>
        <v>0</v>
      </c>
      <c r="AD885" s="3">
        <f>IFERROR(INDEX(EVENTOS!$D:$D,MATCH(SCORE!AD$2&amp;" "&amp;SCORE!$D885,EVENTOS!$F:$F,0)),0)</f>
        <v>0</v>
      </c>
      <c r="AE885" s="3">
        <f t="shared" si="39"/>
        <v>0</v>
      </c>
      <c r="AF885" s="10" t="e">
        <f t="shared" si="40"/>
        <v>#N/A</v>
      </c>
      <c r="AG885" s="3" t="str">
        <f t="shared" si="41"/>
        <v/>
      </c>
    </row>
    <row r="886" spans="1:33" x14ac:dyDescent="0.25">
      <c r="A886" s="7"/>
      <c r="B886" s="8"/>
      <c r="C886" s="3"/>
      <c r="D886" s="3"/>
      <c r="E886" s="3" t="e">
        <f>VLOOKUP(D886,VIAJES!$D:$E,2,FALSE)</f>
        <v>#N/A</v>
      </c>
      <c r="F886" s="9" t="e">
        <f>VLOOKUP(D886,VIAJES!$D:$F,3,FALSE)</f>
        <v>#N/A</v>
      </c>
      <c r="G886" s="9" t="e">
        <f>VLOOKUP(D886,VIAJES!$D:$G,4,FALSE)</f>
        <v>#N/A</v>
      </c>
      <c r="H886" s="3" t="e">
        <f>VLOOKUP(D886,VIAJES!$D:$H,5,FALSE)</f>
        <v>#N/A</v>
      </c>
      <c r="S886" s="3">
        <f>IFERROR(INDEX(EVENTOS!$D:$D,MATCH(SCORE!S$2&amp;" "&amp;SCORE!$D886,EVENTOS!$F:$F,0)),0)</f>
        <v>0</v>
      </c>
      <c r="T886" s="3">
        <f>IFERROR(INDEX(EVENTOS!$D:$D,MATCH(SCORE!T$2&amp;" "&amp;SCORE!$D886,EVENTOS!$F:$F,0)),0)</f>
        <v>0</v>
      </c>
      <c r="U886" s="3">
        <f>IFERROR(INDEX(EVENTOS!$D:$D,MATCH(SCORE!U$2&amp;" "&amp;SCORE!$D886,EVENTOS!$F:$F,0)),0)</f>
        <v>0</v>
      </c>
      <c r="V886" s="3">
        <f>IFERROR(INDEX(EVENTOS!$D:$D,MATCH(SCORE!V$2&amp;" "&amp;SCORE!$D886,EVENTOS!$F:$F,0)),0)</f>
        <v>0</v>
      </c>
      <c r="W886" s="3">
        <f>IFERROR(INDEX(EVENTOS!$D:$D,MATCH(SCORE!W$2&amp;" "&amp;SCORE!$D886,EVENTOS!$F:$F,0)),0)</f>
        <v>0</v>
      </c>
      <c r="X886" s="3">
        <f>IFERROR(INDEX(EVENTOS!$D:$D,MATCH(SCORE!X$2&amp;" "&amp;SCORE!$D886,EVENTOS!$F:$F,0)),0)</f>
        <v>0</v>
      </c>
      <c r="Y886" s="3">
        <f>SUMIFS(EVENTOS!$D:$D, EVENTOS!$B:$B, D886, EVENTOS!$E:$E, "*GirAlto*")</f>
        <v>0</v>
      </c>
      <c r="Z886" s="3">
        <f>SUMIFS(EVENTOS!$D:$D, EVENTOS!$B:$B, D886, EVENTOS!$E:$E, "*GirMed*")</f>
        <v>0</v>
      </c>
      <c r="AA886" s="3">
        <f>SUMIFS(EVENTOS!$D:$D, EVENTOS!$B:$B, D886, EVENTOS!$E:$E, "*GirBajo*")</f>
        <v>0</v>
      </c>
      <c r="AB886" s="3">
        <f>IFERROR(INDEX(EVENTOS!$D:$D,MATCH(SCORE!AB$2&amp;" "&amp;SCORE!$D886,EVENTOS!$F:$F,0)),0)</f>
        <v>0</v>
      </c>
      <c r="AC886" s="3">
        <f>IFERROR(INDEX(EVENTOS!$D:$D,MATCH(SCORE!AC$2&amp;" "&amp;SCORE!$D886,EVENTOS!$F:$F,0)),0)</f>
        <v>0</v>
      </c>
      <c r="AD886" s="3">
        <f>IFERROR(INDEX(EVENTOS!$D:$D,MATCH(SCORE!AD$2&amp;" "&amp;SCORE!$D886,EVENTOS!$F:$F,0)),0)</f>
        <v>0</v>
      </c>
      <c r="AE886" s="3">
        <f t="shared" si="39"/>
        <v>0</v>
      </c>
      <c r="AF886" s="10" t="e">
        <f t="shared" si="40"/>
        <v>#N/A</v>
      </c>
      <c r="AG886" s="3" t="str">
        <f t="shared" si="41"/>
        <v/>
      </c>
    </row>
    <row r="887" spans="1:33" x14ac:dyDescent="0.25">
      <c r="A887" s="7"/>
      <c r="B887" s="8"/>
      <c r="C887" s="3"/>
      <c r="D887" s="3"/>
      <c r="E887" s="3" t="e">
        <f>VLOOKUP(D887,VIAJES!$D:$E,2,FALSE)</f>
        <v>#N/A</v>
      </c>
      <c r="F887" s="9" t="e">
        <f>VLOOKUP(D887,VIAJES!$D:$F,3,FALSE)</f>
        <v>#N/A</v>
      </c>
      <c r="G887" s="9" t="e">
        <f>VLOOKUP(D887,VIAJES!$D:$G,4,FALSE)</f>
        <v>#N/A</v>
      </c>
      <c r="H887" s="3" t="e">
        <f>VLOOKUP(D887,VIAJES!$D:$H,5,FALSE)</f>
        <v>#N/A</v>
      </c>
      <c r="S887" s="3">
        <f>IFERROR(INDEX(EVENTOS!$D:$D,MATCH(SCORE!S$2&amp;" "&amp;SCORE!$D887,EVENTOS!$F:$F,0)),0)</f>
        <v>0</v>
      </c>
      <c r="T887" s="3">
        <f>IFERROR(INDEX(EVENTOS!$D:$D,MATCH(SCORE!T$2&amp;" "&amp;SCORE!$D887,EVENTOS!$F:$F,0)),0)</f>
        <v>0</v>
      </c>
      <c r="U887" s="3">
        <f>IFERROR(INDEX(EVENTOS!$D:$D,MATCH(SCORE!U$2&amp;" "&amp;SCORE!$D887,EVENTOS!$F:$F,0)),0)</f>
        <v>0</v>
      </c>
      <c r="V887" s="3">
        <f>IFERROR(INDEX(EVENTOS!$D:$D,MATCH(SCORE!V$2&amp;" "&amp;SCORE!$D887,EVENTOS!$F:$F,0)),0)</f>
        <v>0</v>
      </c>
      <c r="W887" s="3">
        <f>IFERROR(INDEX(EVENTOS!$D:$D,MATCH(SCORE!W$2&amp;" "&amp;SCORE!$D887,EVENTOS!$F:$F,0)),0)</f>
        <v>0</v>
      </c>
      <c r="X887" s="3">
        <f>IFERROR(INDEX(EVENTOS!$D:$D,MATCH(SCORE!X$2&amp;" "&amp;SCORE!$D887,EVENTOS!$F:$F,0)),0)</f>
        <v>0</v>
      </c>
      <c r="Y887" s="3">
        <f>SUMIFS(EVENTOS!$D:$D, EVENTOS!$B:$B, D887, EVENTOS!$E:$E, "*GirAlto*")</f>
        <v>0</v>
      </c>
      <c r="Z887" s="3">
        <f>SUMIFS(EVENTOS!$D:$D, EVENTOS!$B:$B, D887, EVENTOS!$E:$E, "*GirMed*")</f>
        <v>0</v>
      </c>
      <c r="AA887" s="3">
        <f>SUMIFS(EVENTOS!$D:$D, EVENTOS!$B:$B, D887, EVENTOS!$E:$E, "*GirBajo*")</f>
        <v>0</v>
      </c>
      <c r="AB887" s="3">
        <f>IFERROR(INDEX(EVENTOS!$D:$D,MATCH(SCORE!AB$2&amp;" "&amp;SCORE!$D887,EVENTOS!$F:$F,0)),0)</f>
        <v>0</v>
      </c>
      <c r="AC887" s="3">
        <f>IFERROR(INDEX(EVENTOS!$D:$D,MATCH(SCORE!AC$2&amp;" "&amp;SCORE!$D887,EVENTOS!$F:$F,0)),0)</f>
        <v>0</v>
      </c>
      <c r="AD887" s="3">
        <f>IFERROR(INDEX(EVENTOS!$D:$D,MATCH(SCORE!AD$2&amp;" "&amp;SCORE!$D887,EVENTOS!$F:$F,0)),0)</f>
        <v>0</v>
      </c>
      <c r="AE887" s="3">
        <f t="shared" si="39"/>
        <v>0</v>
      </c>
      <c r="AF887" s="10" t="e">
        <f t="shared" si="40"/>
        <v>#N/A</v>
      </c>
      <c r="AG887" s="3" t="str">
        <f t="shared" si="41"/>
        <v/>
      </c>
    </row>
    <row r="888" spans="1:33" x14ac:dyDescent="0.25">
      <c r="A888" s="7"/>
      <c r="B888" s="8"/>
      <c r="C888" s="3"/>
      <c r="D888" s="3"/>
      <c r="E888" s="3" t="e">
        <f>VLOOKUP(D888,VIAJES!$D:$E,2,FALSE)</f>
        <v>#N/A</v>
      </c>
      <c r="F888" s="9" t="e">
        <f>VLOOKUP(D888,VIAJES!$D:$F,3,FALSE)</f>
        <v>#N/A</v>
      </c>
      <c r="G888" s="9" t="e">
        <f>VLOOKUP(D888,VIAJES!$D:$G,4,FALSE)</f>
        <v>#N/A</v>
      </c>
      <c r="H888" s="3" t="e">
        <f>VLOOKUP(D888,VIAJES!$D:$H,5,FALSE)</f>
        <v>#N/A</v>
      </c>
      <c r="S888" s="3">
        <f>IFERROR(INDEX(EVENTOS!$D:$D,MATCH(SCORE!S$2&amp;" "&amp;SCORE!$D888,EVENTOS!$F:$F,0)),0)</f>
        <v>0</v>
      </c>
      <c r="T888" s="3">
        <f>IFERROR(INDEX(EVENTOS!$D:$D,MATCH(SCORE!T$2&amp;" "&amp;SCORE!$D888,EVENTOS!$F:$F,0)),0)</f>
        <v>0</v>
      </c>
      <c r="U888" s="3">
        <f>IFERROR(INDEX(EVENTOS!$D:$D,MATCH(SCORE!U$2&amp;" "&amp;SCORE!$D888,EVENTOS!$F:$F,0)),0)</f>
        <v>0</v>
      </c>
      <c r="V888" s="3">
        <f>IFERROR(INDEX(EVENTOS!$D:$D,MATCH(SCORE!V$2&amp;" "&amp;SCORE!$D888,EVENTOS!$F:$F,0)),0)</f>
        <v>0</v>
      </c>
      <c r="W888" s="3">
        <f>IFERROR(INDEX(EVENTOS!$D:$D,MATCH(SCORE!W$2&amp;" "&amp;SCORE!$D888,EVENTOS!$F:$F,0)),0)</f>
        <v>0</v>
      </c>
      <c r="X888" s="3">
        <f>IFERROR(INDEX(EVENTOS!$D:$D,MATCH(SCORE!X$2&amp;" "&amp;SCORE!$D888,EVENTOS!$F:$F,0)),0)</f>
        <v>0</v>
      </c>
      <c r="Y888" s="3">
        <f>SUMIFS(EVENTOS!$D:$D, EVENTOS!$B:$B, D888, EVENTOS!$E:$E, "*GirAlto*")</f>
        <v>0</v>
      </c>
      <c r="Z888" s="3">
        <f>SUMIFS(EVENTOS!$D:$D, EVENTOS!$B:$B, D888, EVENTOS!$E:$E, "*GirMed*")</f>
        <v>0</v>
      </c>
      <c r="AA888" s="3">
        <f>SUMIFS(EVENTOS!$D:$D, EVENTOS!$B:$B, D888, EVENTOS!$E:$E, "*GirBajo*")</f>
        <v>0</v>
      </c>
      <c r="AB888" s="3">
        <f>IFERROR(INDEX(EVENTOS!$D:$D,MATCH(SCORE!AB$2&amp;" "&amp;SCORE!$D888,EVENTOS!$F:$F,0)),0)</f>
        <v>0</v>
      </c>
      <c r="AC888" s="3">
        <f>IFERROR(INDEX(EVENTOS!$D:$D,MATCH(SCORE!AC$2&amp;" "&amp;SCORE!$D888,EVENTOS!$F:$F,0)),0)</f>
        <v>0</v>
      </c>
      <c r="AD888" s="3">
        <f>IFERROR(INDEX(EVENTOS!$D:$D,MATCH(SCORE!AD$2&amp;" "&amp;SCORE!$D888,EVENTOS!$F:$F,0)),0)</f>
        <v>0</v>
      </c>
      <c r="AE888" s="3">
        <f t="shared" si="39"/>
        <v>0</v>
      </c>
      <c r="AF888" s="10" t="e">
        <f t="shared" si="40"/>
        <v>#N/A</v>
      </c>
      <c r="AG888" s="3" t="str">
        <f t="shared" si="41"/>
        <v/>
      </c>
    </row>
    <row r="889" spans="1:33" x14ac:dyDescent="0.25">
      <c r="A889" s="7"/>
      <c r="B889" s="8"/>
      <c r="C889" s="3"/>
      <c r="D889" s="3"/>
      <c r="E889" s="3" t="e">
        <f>VLOOKUP(D889,VIAJES!$D:$E,2,FALSE)</f>
        <v>#N/A</v>
      </c>
      <c r="F889" s="9" t="e">
        <f>VLOOKUP(D889,VIAJES!$D:$F,3,FALSE)</f>
        <v>#N/A</v>
      </c>
      <c r="G889" s="9" t="e">
        <f>VLOOKUP(D889,VIAJES!$D:$G,4,FALSE)</f>
        <v>#N/A</v>
      </c>
      <c r="H889" s="3" t="e">
        <f>VLOOKUP(D889,VIAJES!$D:$H,5,FALSE)</f>
        <v>#N/A</v>
      </c>
      <c r="S889" s="3">
        <f>IFERROR(INDEX(EVENTOS!$D:$D,MATCH(SCORE!S$2&amp;" "&amp;SCORE!$D889,EVENTOS!$F:$F,0)),0)</f>
        <v>0</v>
      </c>
      <c r="T889" s="3">
        <f>IFERROR(INDEX(EVENTOS!$D:$D,MATCH(SCORE!T$2&amp;" "&amp;SCORE!$D889,EVENTOS!$F:$F,0)),0)</f>
        <v>0</v>
      </c>
      <c r="U889" s="3">
        <f>IFERROR(INDEX(EVENTOS!$D:$D,MATCH(SCORE!U$2&amp;" "&amp;SCORE!$D889,EVENTOS!$F:$F,0)),0)</f>
        <v>0</v>
      </c>
      <c r="V889" s="3">
        <f>IFERROR(INDEX(EVENTOS!$D:$D,MATCH(SCORE!V$2&amp;" "&amp;SCORE!$D889,EVENTOS!$F:$F,0)),0)</f>
        <v>0</v>
      </c>
      <c r="W889" s="3">
        <f>IFERROR(INDEX(EVENTOS!$D:$D,MATCH(SCORE!W$2&amp;" "&amp;SCORE!$D889,EVENTOS!$F:$F,0)),0)</f>
        <v>0</v>
      </c>
      <c r="X889" s="3">
        <f>IFERROR(INDEX(EVENTOS!$D:$D,MATCH(SCORE!X$2&amp;" "&amp;SCORE!$D889,EVENTOS!$F:$F,0)),0)</f>
        <v>0</v>
      </c>
      <c r="Y889" s="3">
        <f>SUMIFS(EVENTOS!$D:$D, EVENTOS!$B:$B, D889, EVENTOS!$E:$E, "*GirAlto*")</f>
        <v>0</v>
      </c>
      <c r="Z889" s="3">
        <f>SUMIFS(EVENTOS!$D:$D, EVENTOS!$B:$B, D889, EVENTOS!$E:$E, "*GirMed*")</f>
        <v>0</v>
      </c>
      <c r="AA889" s="3">
        <f>SUMIFS(EVENTOS!$D:$D, EVENTOS!$B:$B, D889, EVENTOS!$E:$E, "*GirBajo*")</f>
        <v>0</v>
      </c>
      <c r="AB889" s="3">
        <f>IFERROR(INDEX(EVENTOS!$D:$D,MATCH(SCORE!AB$2&amp;" "&amp;SCORE!$D889,EVENTOS!$F:$F,0)),0)</f>
        <v>0</v>
      </c>
      <c r="AC889" s="3">
        <f>IFERROR(INDEX(EVENTOS!$D:$D,MATCH(SCORE!AC$2&amp;" "&amp;SCORE!$D889,EVENTOS!$F:$F,0)),0)</f>
        <v>0</v>
      </c>
      <c r="AD889" s="3">
        <f>IFERROR(INDEX(EVENTOS!$D:$D,MATCH(SCORE!AD$2&amp;" "&amp;SCORE!$D889,EVENTOS!$F:$F,0)),0)</f>
        <v>0</v>
      </c>
      <c r="AE889" s="3">
        <f t="shared" si="39"/>
        <v>0</v>
      </c>
      <c r="AF889" s="10" t="e">
        <f t="shared" si="40"/>
        <v>#N/A</v>
      </c>
      <c r="AG889" s="3" t="str">
        <f t="shared" si="41"/>
        <v/>
      </c>
    </row>
    <row r="890" spans="1:33" x14ac:dyDescent="0.25">
      <c r="A890" s="7"/>
      <c r="B890" s="8"/>
      <c r="C890" s="3"/>
      <c r="D890" s="3"/>
      <c r="E890" s="3" t="e">
        <f>VLOOKUP(D890,VIAJES!$D:$E,2,FALSE)</f>
        <v>#N/A</v>
      </c>
      <c r="F890" s="9" t="e">
        <f>VLOOKUP(D890,VIAJES!$D:$F,3,FALSE)</f>
        <v>#N/A</v>
      </c>
      <c r="G890" s="9" t="e">
        <f>VLOOKUP(D890,VIAJES!$D:$G,4,FALSE)</f>
        <v>#N/A</v>
      </c>
      <c r="H890" s="3" t="e">
        <f>VLOOKUP(D890,VIAJES!$D:$H,5,FALSE)</f>
        <v>#N/A</v>
      </c>
      <c r="S890" s="3">
        <f>IFERROR(INDEX(EVENTOS!$D:$D,MATCH(SCORE!S$2&amp;" "&amp;SCORE!$D890,EVENTOS!$F:$F,0)),0)</f>
        <v>0</v>
      </c>
      <c r="T890" s="3">
        <f>IFERROR(INDEX(EVENTOS!$D:$D,MATCH(SCORE!T$2&amp;" "&amp;SCORE!$D890,EVENTOS!$F:$F,0)),0)</f>
        <v>0</v>
      </c>
      <c r="U890" s="3">
        <f>IFERROR(INDEX(EVENTOS!$D:$D,MATCH(SCORE!U$2&amp;" "&amp;SCORE!$D890,EVENTOS!$F:$F,0)),0)</f>
        <v>0</v>
      </c>
      <c r="V890" s="3">
        <f>IFERROR(INDEX(EVENTOS!$D:$D,MATCH(SCORE!V$2&amp;" "&amp;SCORE!$D890,EVENTOS!$F:$F,0)),0)</f>
        <v>0</v>
      </c>
      <c r="W890" s="3">
        <f>IFERROR(INDEX(EVENTOS!$D:$D,MATCH(SCORE!W$2&amp;" "&amp;SCORE!$D890,EVENTOS!$F:$F,0)),0)</f>
        <v>0</v>
      </c>
      <c r="X890" s="3">
        <f>IFERROR(INDEX(EVENTOS!$D:$D,MATCH(SCORE!X$2&amp;" "&amp;SCORE!$D890,EVENTOS!$F:$F,0)),0)</f>
        <v>0</v>
      </c>
      <c r="Y890" s="3">
        <f>SUMIFS(EVENTOS!$D:$D, EVENTOS!$B:$B, D890, EVENTOS!$E:$E, "*GirAlto*")</f>
        <v>0</v>
      </c>
      <c r="Z890" s="3">
        <f>SUMIFS(EVENTOS!$D:$D, EVENTOS!$B:$B, D890, EVENTOS!$E:$E, "*GirMed*")</f>
        <v>0</v>
      </c>
      <c r="AA890" s="3">
        <f>SUMIFS(EVENTOS!$D:$D, EVENTOS!$B:$B, D890, EVENTOS!$E:$E, "*GirBajo*")</f>
        <v>0</v>
      </c>
      <c r="AB890" s="3">
        <f>IFERROR(INDEX(EVENTOS!$D:$D,MATCH(SCORE!AB$2&amp;" "&amp;SCORE!$D890,EVENTOS!$F:$F,0)),0)</f>
        <v>0</v>
      </c>
      <c r="AC890" s="3">
        <f>IFERROR(INDEX(EVENTOS!$D:$D,MATCH(SCORE!AC$2&amp;" "&amp;SCORE!$D890,EVENTOS!$F:$F,0)),0)</f>
        <v>0</v>
      </c>
      <c r="AD890" s="3">
        <f>IFERROR(INDEX(EVENTOS!$D:$D,MATCH(SCORE!AD$2&amp;" "&amp;SCORE!$D890,EVENTOS!$F:$F,0)),0)</f>
        <v>0</v>
      </c>
      <c r="AE890" s="3">
        <f t="shared" si="39"/>
        <v>0</v>
      </c>
      <c r="AF890" s="10" t="e">
        <f t="shared" si="40"/>
        <v>#N/A</v>
      </c>
      <c r="AG890" s="3" t="str">
        <f t="shared" si="41"/>
        <v/>
      </c>
    </row>
    <row r="891" spans="1:33" x14ac:dyDescent="0.25">
      <c r="A891" s="7"/>
      <c r="B891" s="8"/>
      <c r="C891" s="3"/>
      <c r="D891" s="3"/>
      <c r="E891" s="3" t="e">
        <f>VLOOKUP(D891,VIAJES!$D:$E,2,FALSE)</f>
        <v>#N/A</v>
      </c>
      <c r="F891" s="9" t="e">
        <f>VLOOKUP(D891,VIAJES!$D:$F,3,FALSE)</f>
        <v>#N/A</v>
      </c>
      <c r="G891" s="9" t="e">
        <f>VLOOKUP(D891,VIAJES!$D:$G,4,FALSE)</f>
        <v>#N/A</v>
      </c>
      <c r="H891" s="3" t="e">
        <f>VLOOKUP(D891,VIAJES!$D:$H,5,FALSE)</f>
        <v>#N/A</v>
      </c>
      <c r="S891" s="3">
        <f>IFERROR(INDEX(EVENTOS!$D:$D,MATCH(SCORE!S$2&amp;" "&amp;SCORE!$D891,EVENTOS!$F:$F,0)),0)</f>
        <v>0</v>
      </c>
      <c r="T891" s="3">
        <f>IFERROR(INDEX(EVENTOS!$D:$D,MATCH(SCORE!T$2&amp;" "&amp;SCORE!$D891,EVENTOS!$F:$F,0)),0)</f>
        <v>0</v>
      </c>
      <c r="U891" s="3">
        <f>IFERROR(INDEX(EVENTOS!$D:$D,MATCH(SCORE!U$2&amp;" "&amp;SCORE!$D891,EVENTOS!$F:$F,0)),0)</f>
        <v>0</v>
      </c>
      <c r="V891" s="3">
        <f>IFERROR(INDEX(EVENTOS!$D:$D,MATCH(SCORE!V$2&amp;" "&amp;SCORE!$D891,EVENTOS!$F:$F,0)),0)</f>
        <v>0</v>
      </c>
      <c r="W891" s="3">
        <f>IFERROR(INDEX(EVENTOS!$D:$D,MATCH(SCORE!W$2&amp;" "&amp;SCORE!$D891,EVENTOS!$F:$F,0)),0)</f>
        <v>0</v>
      </c>
      <c r="X891" s="3">
        <f>IFERROR(INDEX(EVENTOS!$D:$D,MATCH(SCORE!X$2&amp;" "&amp;SCORE!$D891,EVENTOS!$F:$F,0)),0)</f>
        <v>0</v>
      </c>
      <c r="Y891" s="3">
        <f>SUMIFS(EVENTOS!$D:$D, EVENTOS!$B:$B, D891, EVENTOS!$E:$E, "*GirAlto*")</f>
        <v>0</v>
      </c>
      <c r="Z891" s="3">
        <f>SUMIFS(EVENTOS!$D:$D, EVENTOS!$B:$B, D891, EVENTOS!$E:$E, "*GirMed*")</f>
        <v>0</v>
      </c>
      <c r="AA891" s="3">
        <f>SUMIFS(EVENTOS!$D:$D, EVENTOS!$B:$B, D891, EVENTOS!$E:$E, "*GirBajo*")</f>
        <v>0</v>
      </c>
      <c r="AB891" s="3">
        <f>IFERROR(INDEX(EVENTOS!$D:$D,MATCH(SCORE!AB$2&amp;" "&amp;SCORE!$D891,EVENTOS!$F:$F,0)),0)</f>
        <v>0</v>
      </c>
      <c r="AC891" s="3">
        <f>IFERROR(INDEX(EVENTOS!$D:$D,MATCH(SCORE!AC$2&amp;" "&amp;SCORE!$D891,EVENTOS!$F:$F,0)),0)</f>
        <v>0</v>
      </c>
      <c r="AD891" s="3">
        <f>IFERROR(INDEX(EVENTOS!$D:$D,MATCH(SCORE!AD$2&amp;" "&amp;SCORE!$D891,EVENTOS!$F:$F,0)),0)</f>
        <v>0</v>
      </c>
      <c r="AE891" s="3">
        <f t="shared" si="39"/>
        <v>0</v>
      </c>
      <c r="AF891" s="10" t="e">
        <f t="shared" si="40"/>
        <v>#N/A</v>
      </c>
      <c r="AG891" s="3" t="str">
        <f t="shared" si="41"/>
        <v/>
      </c>
    </row>
    <row r="892" spans="1:33" x14ac:dyDescent="0.25">
      <c r="A892" s="7"/>
      <c r="B892" s="8"/>
      <c r="C892" s="3"/>
      <c r="D892" s="3"/>
      <c r="E892" s="3" t="e">
        <f>VLOOKUP(D892,VIAJES!$D:$E,2,FALSE)</f>
        <v>#N/A</v>
      </c>
      <c r="F892" s="9" t="e">
        <f>VLOOKUP(D892,VIAJES!$D:$F,3,FALSE)</f>
        <v>#N/A</v>
      </c>
      <c r="G892" s="9" t="e">
        <f>VLOOKUP(D892,VIAJES!$D:$G,4,FALSE)</f>
        <v>#N/A</v>
      </c>
      <c r="H892" s="3" t="e">
        <f>VLOOKUP(D892,VIAJES!$D:$H,5,FALSE)</f>
        <v>#N/A</v>
      </c>
      <c r="S892" s="3">
        <f>IFERROR(INDEX(EVENTOS!$D:$D,MATCH(SCORE!S$2&amp;" "&amp;SCORE!$D892,EVENTOS!$F:$F,0)),0)</f>
        <v>0</v>
      </c>
      <c r="T892" s="3">
        <f>IFERROR(INDEX(EVENTOS!$D:$D,MATCH(SCORE!T$2&amp;" "&amp;SCORE!$D892,EVENTOS!$F:$F,0)),0)</f>
        <v>0</v>
      </c>
      <c r="U892" s="3">
        <f>IFERROR(INDEX(EVENTOS!$D:$D,MATCH(SCORE!U$2&amp;" "&amp;SCORE!$D892,EVENTOS!$F:$F,0)),0)</f>
        <v>0</v>
      </c>
      <c r="V892" s="3">
        <f>IFERROR(INDEX(EVENTOS!$D:$D,MATCH(SCORE!V$2&amp;" "&amp;SCORE!$D892,EVENTOS!$F:$F,0)),0)</f>
        <v>0</v>
      </c>
      <c r="W892" s="3">
        <f>IFERROR(INDEX(EVENTOS!$D:$D,MATCH(SCORE!W$2&amp;" "&amp;SCORE!$D892,EVENTOS!$F:$F,0)),0)</f>
        <v>0</v>
      </c>
      <c r="X892" s="3">
        <f>IFERROR(INDEX(EVENTOS!$D:$D,MATCH(SCORE!X$2&amp;" "&amp;SCORE!$D892,EVENTOS!$F:$F,0)),0)</f>
        <v>0</v>
      </c>
      <c r="Y892" s="3">
        <f>SUMIFS(EVENTOS!$D:$D, EVENTOS!$B:$B, D892, EVENTOS!$E:$E, "*GirAlto*")</f>
        <v>0</v>
      </c>
      <c r="Z892" s="3">
        <f>SUMIFS(EVENTOS!$D:$D, EVENTOS!$B:$B, D892, EVENTOS!$E:$E, "*GirMed*")</f>
        <v>0</v>
      </c>
      <c r="AA892" s="3">
        <f>SUMIFS(EVENTOS!$D:$D, EVENTOS!$B:$B, D892, EVENTOS!$E:$E, "*GirBajo*")</f>
        <v>0</v>
      </c>
      <c r="AB892" s="3">
        <f>IFERROR(INDEX(EVENTOS!$D:$D,MATCH(SCORE!AB$2&amp;" "&amp;SCORE!$D892,EVENTOS!$F:$F,0)),0)</f>
        <v>0</v>
      </c>
      <c r="AC892" s="3">
        <f>IFERROR(INDEX(EVENTOS!$D:$D,MATCH(SCORE!AC$2&amp;" "&amp;SCORE!$D892,EVENTOS!$F:$F,0)),0)</f>
        <v>0</v>
      </c>
      <c r="AD892" s="3">
        <f>IFERROR(INDEX(EVENTOS!$D:$D,MATCH(SCORE!AD$2&amp;" "&amp;SCORE!$D892,EVENTOS!$F:$F,0)),0)</f>
        <v>0</v>
      </c>
      <c r="AE892" s="3">
        <f t="shared" si="39"/>
        <v>0</v>
      </c>
      <c r="AF892" s="10" t="e">
        <f t="shared" si="40"/>
        <v>#N/A</v>
      </c>
      <c r="AG892" s="3" t="str">
        <f t="shared" si="41"/>
        <v/>
      </c>
    </row>
    <row r="893" spans="1:33" x14ac:dyDescent="0.25">
      <c r="A893" s="7"/>
      <c r="B893" s="8"/>
      <c r="C893" s="3"/>
      <c r="D893" s="3"/>
      <c r="E893" s="3" t="e">
        <f>VLOOKUP(D893,VIAJES!$D:$E,2,FALSE)</f>
        <v>#N/A</v>
      </c>
      <c r="F893" s="9" t="e">
        <f>VLOOKUP(D893,VIAJES!$D:$F,3,FALSE)</f>
        <v>#N/A</v>
      </c>
      <c r="G893" s="9" t="e">
        <f>VLOOKUP(D893,VIAJES!$D:$G,4,FALSE)</f>
        <v>#N/A</v>
      </c>
      <c r="H893" s="3" t="e">
        <f>VLOOKUP(D893,VIAJES!$D:$H,5,FALSE)</f>
        <v>#N/A</v>
      </c>
      <c r="S893" s="3">
        <f>IFERROR(INDEX(EVENTOS!$D:$D,MATCH(SCORE!S$2&amp;" "&amp;SCORE!$D893,EVENTOS!$F:$F,0)),0)</f>
        <v>0</v>
      </c>
      <c r="T893" s="3">
        <f>IFERROR(INDEX(EVENTOS!$D:$D,MATCH(SCORE!T$2&amp;" "&amp;SCORE!$D893,EVENTOS!$F:$F,0)),0)</f>
        <v>0</v>
      </c>
      <c r="U893" s="3">
        <f>IFERROR(INDEX(EVENTOS!$D:$D,MATCH(SCORE!U$2&amp;" "&amp;SCORE!$D893,EVENTOS!$F:$F,0)),0)</f>
        <v>0</v>
      </c>
      <c r="V893" s="3">
        <f>IFERROR(INDEX(EVENTOS!$D:$D,MATCH(SCORE!V$2&amp;" "&amp;SCORE!$D893,EVENTOS!$F:$F,0)),0)</f>
        <v>0</v>
      </c>
      <c r="W893" s="3">
        <f>IFERROR(INDEX(EVENTOS!$D:$D,MATCH(SCORE!W$2&amp;" "&amp;SCORE!$D893,EVENTOS!$F:$F,0)),0)</f>
        <v>0</v>
      </c>
      <c r="X893" s="3">
        <f>IFERROR(INDEX(EVENTOS!$D:$D,MATCH(SCORE!X$2&amp;" "&amp;SCORE!$D893,EVENTOS!$F:$F,0)),0)</f>
        <v>0</v>
      </c>
      <c r="Y893" s="3">
        <f>SUMIFS(EVENTOS!$D:$D, EVENTOS!$B:$B, D893, EVENTOS!$E:$E, "*GirAlto*")</f>
        <v>0</v>
      </c>
      <c r="Z893" s="3">
        <f>SUMIFS(EVENTOS!$D:$D, EVENTOS!$B:$B, D893, EVENTOS!$E:$E, "*GirMed*")</f>
        <v>0</v>
      </c>
      <c r="AA893" s="3">
        <f>SUMIFS(EVENTOS!$D:$D, EVENTOS!$B:$B, D893, EVENTOS!$E:$E, "*GirBajo*")</f>
        <v>0</v>
      </c>
      <c r="AB893" s="3">
        <f>IFERROR(INDEX(EVENTOS!$D:$D,MATCH(SCORE!AB$2&amp;" "&amp;SCORE!$D893,EVENTOS!$F:$F,0)),0)</f>
        <v>0</v>
      </c>
      <c r="AC893" s="3">
        <f>IFERROR(INDEX(EVENTOS!$D:$D,MATCH(SCORE!AC$2&amp;" "&amp;SCORE!$D893,EVENTOS!$F:$F,0)),0)</f>
        <v>0</v>
      </c>
      <c r="AD893" s="3">
        <f>IFERROR(INDEX(EVENTOS!$D:$D,MATCH(SCORE!AD$2&amp;" "&amp;SCORE!$D893,EVENTOS!$F:$F,0)),0)</f>
        <v>0</v>
      </c>
      <c r="AE893" s="3">
        <f t="shared" si="39"/>
        <v>0</v>
      </c>
      <c r="AF893" s="10" t="e">
        <f t="shared" si="40"/>
        <v>#N/A</v>
      </c>
      <c r="AG893" s="3" t="str">
        <f t="shared" si="41"/>
        <v/>
      </c>
    </row>
    <row r="894" spans="1:33" x14ac:dyDescent="0.25">
      <c r="A894" s="7"/>
      <c r="B894" s="8"/>
      <c r="C894" s="3"/>
      <c r="D894" s="3"/>
      <c r="E894" s="3" t="e">
        <f>VLOOKUP(D894,VIAJES!$D:$E,2,FALSE)</f>
        <v>#N/A</v>
      </c>
      <c r="F894" s="9" t="e">
        <f>VLOOKUP(D894,VIAJES!$D:$F,3,FALSE)</f>
        <v>#N/A</v>
      </c>
      <c r="G894" s="9" t="e">
        <f>VLOOKUP(D894,VIAJES!$D:$G,4,FALSE)</f>
        <v>#N/A</v>
      </c>
      <c r="H894" s="3" t="e">
        <f>VLOOKUP(D894,VIAJES!$D:$H,5,FALSE)</f>
        <v>#N/A</v>
      </c>
      <c r="S894" s="3">
        <f>IFERROR(INDEX(EVENTOS!$D:$D,MATCH(SCORE!S$2&amp;" "&amp;SCORE!$D894,EVENTOS!$F:$F,0)),0)</f>
        <v>0</v>
      </c>
      <c r="T894" s="3">
        <f>IFERROR(INDEX(EVENTOS!$D:$D,MATCH(SCORE!T$2&amp;" "&amp;SCORE!$D894,EVENTOS!$F:$F,0)),0)</f>
        <v>0</v>
      </c>
      <c r="U894" s="3">
        <f>IFERROR(INDEX(EVENTOS!$D:$D,MATCH(SCORE!U$2&amp;" "&amp;SCORE!$D894,EVENTOS!$F:$F,0)),0)</f>
        <v>0</v>
      </c>
      <c r="V894" s="3">
        <f>IFERROR(INDEX(EVENTOS!$D:$D,MATCH(SCORE!V$2&amp;" "&amp;SCORE!$D894,EVENTOS!$F:$F,0)),0)</f>
        <v>0</v>
      </c>
      <c r="W894" s="3">
        <f>IFERROR(INDEX(EVENTOS!$D:$D,MATCH(SCORE!W$2&amp;" "&amp;SCORE!$D894,EVENTOS!$F:$F,0)),0)</f>
        <v>0</v>
      </c>
      <c r="X894" s="3">
        <f>IFERROR(INDEX(EVENTOS!$D:$D,MATCH(SCORE!X$2&amp;" "&amp;SCORE!$D894,EVENTOS!$F:$F,0)),0)</f>
        <v>0</v>
      </c>
      <c r="Y894" s="3">
        <f>SUMIFS(EVENTOS!$D:$D, EVENTOS!$B:$B, D894, EVENTOS!$E:$E, "*GirAlto*")</f>
        <v>0</v>
      </c>
      <c r="Z894" s="3">
        <f>SUMIFS(EVENTOS!$D:$D, EVENTOS!$B:$B, D894, EVENTOS!$E:$E, "*GirMed*")</f>
        <v>0</v>
      </c>
      <c r="AA894" s="3">
        <f>SUMIFS(EVENTOS!$D:$D, EVENTOS!$B:$B, D894, EVENTOS!$E:$E, "*GirBajo*")</f>
        <v>0</v>
      </c>
      <c r="AB894" s="3">
        <f>IFERROR(INDEX(EVENTOS!$D:$D,MATCH(SCORE!AB$2&amp;" "&amp;SCORE!$D894,EVENTOS!$F:$F,0)),0)</f>
        <v>0</v>
      </c>
      <c r="AC894" s="3">
        <f>IFERROR(INDEX(EVENTOS!$D:$D,MATCH(SCORE!AC$2&amp;" "&amp;SCORE!$D894,EVENTOS!$F:$F,0)),0)</f>
        <v>0</v>
      </c>
      <c r="AD894" s="3">
        <f>IFERROR(INDEX(EVENTOS!$D:$D,MATCH(SCORE!AD$2&amp;" "&amp;SCORE!$D894,EVENTOS!$F:$F,0)),0)</f>
        <v>0</v>
      </c>
      <c r="AE894" s="3">
        <f t="shared" si="39"/>
        <v>0</v>
      </c>
      <c r="AF894" s="10" t="e">
        <f t="shared" si="40"/>
        <v>#N/A</v>
      </c>
      <c r="AG894" s="3" t="str">
        <f t="shared" si="41"/>
        <v/>
      </c>
    </row>
    <row r="895" spans="1:33" x14ac:dyDescent="0.25">
      <c r="A895" s="7"/>
      <c r="B895" s="8"/>
      <c r="C895" s="3"/>
      <c r="D895" s="3"/>
      <c r="E895" s="3" t="e">
        <f>VLOOKUP(D895,VIAJES!$D:$E,2,FALSE)</f>
        <v>#N/A</v>
      </c>
      <c r="F895" s="9" t="e">
        <f>VLOOKUP(D895,VIAJES!$D:$F,3,FALSE)</f>
        <v>#N/A</v>
      </c>
      <c r="G895" s="9" t="e">
        <f>VLOOKUP(D895,VIAJES!$D:$G,4,FALSE)</f>
        <v>#N/A</v>
      </c>
      <c r="H895" s="3" t="e">
        <f>VLOOKUP(D895,VIAJES!$D:$H,5,FALSE)</f>
        <v>#N/A</v>
      </c>
      <c r="S895" s="3">
        <f>IFERROR(INDEX(EVENTOS!$D:$D,MATCH(SCORE!S$2&amp;" "&amp;SCORE!$D895,EVENTOS!$F:$F,0)),0)</f>
        <v>0</v>
      </c>
      <c r="T895" s="3">
        <f>IFERROR(INDEX(EVENTOS!$D:$D,MATCH(SCORE!T$2&amp;" "&amp;SCORE!$D895,EVENTOS!$F:$F,0)),0)</f>
        <v>0</v>
      </c>
      <c r="U895" s="3">
        <f>IFERROR(INDEX(EVENTOS!$D:$D,MATCH(SCORE!U$2&amp;" "&amp;SCORE!$D895,EVENTOS!$F:$F,0)),0)</f>
        <v>0</v>
      </c>
      <c r="V895" s="3">
        <f>IFERROR(INDEX(EVENTOS!$D:$D,MATCH(SCORE!V$2&amp;" "&amp;SCORE!$D895,EVENTOS!$F:$F,0)),0)</f>
        <v>0</v>
      </c>
      <c r="W895" s="3">
        <f>IFERROR(INDEX(EVENTOS!$D:$D,MATCH(SCORE!W$2&amp;" "&amp;SCORE!$D895,EVENTOS!$F:$F,0)),0)</f>
        <v>0</v>
      </c>
      <c r="X895" s="3">
        <f>IFERROR(INDEX(EVENTOS!$D:$D,MATCH(SCORE!X$2&amp;" "&amp;SCORE!$D895,EVENTOS!$F:$F,0)),0)</f>
        <v>0</v>
      </c>
      <c r="Y895" s="3">
        <f>SUMIFS(EVENTOS!$D:$D, EVENTOS!$B:$B, D895, EVENTOS!$E:$E, "*GirAlto*")</f>
        <v>0</v>
      </c>
      <c r="Z895" s="3">
        <f>SUMIFS(EVENTOS!$D:$D, EVENTOS!$B:$B, D895, EVENTOS!$E:$E, "*GirMed*")</f>
        <v>0</v>
      </c>
      <c r="AA895" s="3">
        <f>SUMIFS(EVENTOS!$D:$D, EVENTOS!$B:$B, D895, EVENTOS!$E:$E, "*GirBajo*")</f>
        <v>0</v>
      </c>
      <c r="AB895" s="3">
        <f>IFERROR(INDEX(EVENTOS!$D:$D,MATCH(SCORE!AB$2&amp;" "&amp;SCORE!$D895,EVENTOS!$F:$F,0)),0)</f>
        <v>0</v>
      </c>
      <c r="AC895" s="3">
        <f>IFERROR(INDEX(EVENTOS!$D:$D,MATCH(SCORE!AC$2&amp;" "&amp;SCORE!$D895,EVENTOS!$F:$F,0)),0)</f>
        <v>0</v>
      </c>
      <c r="AD895" s="3">
        <f>IFERROR(INDEX(EVENTOS!$D:$D,MATCH(SCORE!AD$2&amp;" "&amp;SCORE!$D895,EVENTOS!$F:$F,0)),0)</f>
        <v>0</v>
      </c>
      <c r="AE895" s="3">
        <f t="shared" si="39"/>
        <v>0</v>
      </c>
      <c r="AF895" s="10" t="e">
        <f t="shared" si="40"/>
        <v>#N/A</v>
      </c>
      <c r="AG895" s="3" t="str">
        <f t="shared" si="41"/>
        <v/>
      </c>
    </row>
    <row r="896" spans="1:33" x14ac:dyDescent="0.25">
      <c r="A896" s="7"/>
      <c r="B896" s="8"/>
      <c r="C896" s="3"/>
      <c r="D896" s="3"/>
      <c r="E896" s="3" t="e">
        <f>VLOOKUP(D896,VIAJES!$D:$E,2,FALSE)</f>
        <v>#N/A</v>
      </c>
      <c r="F896" s="9" t="e">
        <f>VLOOKUP(D896,VIAJES!$D:$F,3,FALSE)</f>
        <v>#N/A</v>
      </c>
      <c r="G896" s="9" t="e">
        <f>VLOOKUP(D896,VIAJES!$D:$G,4,FALSE)</f>
        <v>#N/A</v>
      </c>
      <c r="H896" s="3" t="e">
        <f>VLOOKUP(D896,VIAJES!$D:$H,5,FALSE)</f>
        <v>#N/A</v>
      </c>
      <c r="S896" s="3">
        <f>IFERROR(INDEX(EVENTOS!$D:$D,MATCH(SCORE!S$2&amp;" "&amp;SCORE!$D896,EVENTOS!$F:$F,0)),0)</f>
        <v>0</v>
      </c>
      <c r="T896" s="3">
        <f>IFERROR(INDEX(EVENTOS!$D:$D,MATCH(SCORE!T$2&amp;" "&amp;SCORE!$D896,EVENTOS!$F:$F,0)),0)</f>
        <v>0</v>
      </c>
      <c r="U896" s="3">
        <f>IFERROR(INDEX(EVENTOS!$D:$D,MATCH(SCORE!U$2&amp;" "&amp;SCORE!$D896,EVENTOS!$F:$F,0)),0)</f>
        <v>0</v>
      </c>
      <c r="V896" s="3">
        <f>IFERROR(INDEX(EVENTOS!$D:$D,MATCH(SCORE!V$2&amp;" "&amp;SCORE!$D896,EVENTOS!$F:$F,0)),0)</f>
        <v>0</v>
      </c>
      <c r="W896" s="3">
        <f>IFERROR(INDEX(EVENTOS!$D:$D,MATCH(SCORE!W$2&amp;" "&amp;SCORE!$D896,EVENTOS!$F:$F,0)),0)</f>
        <v>0</v>
      </c>
      <c r="X896" s="3">
        <f>IFERROR(INDEX(EVENTOS!$D:$D,MATCH(SCORE!X$2&amp;" "&amp;SCORE!$D896,EVENTOS!$F:$F,0)),0)</f>
        <v>0</v>
      </c>
      <c r="Y896" s="3">
        <f>SUMIFS(EVENTOS!$D:$D, EVENTOS!$B:$B, D896, EVENTOS!$E:$E, "*GirAlto*")</f>
        <v>0</v>
      </c>
      <c r="Z896" s="3">
        <f>SUMIFS(EVENTOS!$D:$D, EVENTOS!$B:$B, D896, EVENTOS!$E:$E, "*GirMed*")</f>
        <v>0</v>
      </c>
      <c r="AA896" s="3">
        <f>SUMIFS(EVENTOS!$D:$D, EVENTOS!$B:$B, D896, EVENTOS!$E:$E, "*GirBajo*")</f>
        <v>0</v>
      </c>
      <c r="AB896" s="3">
        <f>IFERROR(INDEX(EVENTOS!$D:$D,MATCH(SCORE!AB$2&amp;" "&amp;SCORE!$D896,EVENTOS!$F:$F,0)),0)</f>
        <v>0</v>
      </c>
      <c r="AC896" s="3">
        <f>IFERROR(INDEX(EVENTOS!$D:$D,MATCH(SCORE!AC$2&amp;" "&amp;SCORE!$D896,EVENTOS!$F:$F,0)),0)</f>
        <v>0</v>
      </c>
      <c r="AD896" s="3">
        <f>IFERROR(INDEX(EVENTOS!$D:$D,MATCH(SCORE!AD$2&amp;" "&amp;SCORE!$D896,EVENTOS!$F:$F,0)),0)</f>
        <v>0</v>
      </c>
      <c r="AE896" s="3">
        <f t="shared" si="39"/>
        <v>0</v>
      </c>
      <c r="AF896" s="10" t="e">
        <f t="shared" si="40"/>
        <v>#N/A</v>
      </c>
      <c r="AG896" s="3" t="str">
        <f t="shared" si="41"/>
        <v/>
      </c>
    </row>
    <row r="897" spans="1:33" x14ac:dyDescent="0.25">
      <c r="A897" s="7"/>
      <c r="B897" s="8"/>
      <c r="C897" s="3"/>
      <c r="D897" s="3"/>
      <c r="E897" s="3" t="e">
        <f>VLOOKUP(D897,VIAJES!$D:$E,2,FALSE)</f>
        <v>#N/A</v>
      </c>
      <c r="F897" s="9" t="e">
        <f>VLOOKUP(D897,VIAJES!$D:$F,3,FALSE)</f>
        <v>#N/A</v>
      </c>
      <c r="G897" s="9" t="e">
        <f>VLOOKUP(D897,VIAJES!$D:$G,4,FALSE)</f>
        <v>#N/A</v>
      </c>
      <c r="H897" s="3" t="e">
        <f>VLOOKUP(D897,VIAJES!$D:$H,5,FALSE)</f>
        <v>#N/A</v>
      </c>
      <c r="S897" s="3">
        <f>IFERROR(INDEX(EVENTOS!$D:$D,MATCH(SCORE!S$2&amp;" "&amp;SCORE!$D897,EVENTOS!$F:$F,0)),0)</f>
        <v>0</v>
      </c>
      <c r="T897" s="3">
        <f>IFERROR(INDEX(EVENTOS!$D:$D,MATCH(SCORE!T$2&amp;" "&amp;SCORE!$D897,EVENTOS!$F:$F,0)),0)</f>
        <v>0</v>
      </c>
      <c r="U897" s="3">
        <f>IFERROR(INDEX(EVENTOS!$D:$D,MATCH(SCORE!U$2&amp;" "&amp;SCORE!$D897,EVENTOS!$F:$F,0)),0)</f>
        <v>0</v>
      </c>
      <c r="V897" s="3">
        <f>IFERROR(INDEX(EVENTOS!$D:$D,MATCH(SCORE!V$2&amp;" "&amp;SCORE!$D897,EVENTOS!$F:$F,0)),0)</f>
        <v>0</v>
      </c>
      <c r="W897" s="3">
        <f>IFERROR(INDEX(EVENTOS!$D:$D,MATCH(SCORE!W$2&amp;" "&amp;SCORE!$D897,EVENTOS!$F:$F,0)),0)</f>
        <v>0</v>
      </c>
      <c r="X897" s="3">
        <f>IFERROR(INDEX(EVENTOS!$D:$D,MATCH(SCORE!X$2&amp;" "&amp;SCORE!$D897,EVENTOS!$F:$F,0)),0)</f>
        <v>0</v>
      </c>
      <c r="Y897" s="3">
        <f>SUMIFS(EVENTOS!$D:$D, EVENTOS!$B:$B, D897, EVENTOS!$E:$E, "*GirAlto*")</f>
        <v>0</v>
      </c>
      <c r="Z897" s="3">
        <f>SUMIFS(EVENTOS!$D:$D, EVENTOS!$B:$B, D897, EVENTOS!$E:$E, "*GirMed*")</f>
        <v>0</v>
      </c>
      <c r="AA897" s="3">
        <f>SUMIFS(EVENTOS!$D:$D, EVENTOS!$B:$B, D897, EVENTOS!$E:$E, "*GirBajo*")</f>
        <v>0</v>
      </c>
      <c r="AB897" s="3">
        <f>IFERROR(INDEX(EVENTOS!$D:$D,MATCH(SCORE!AB$2&amp;" "&amp;SCORE!$D897,EVENTOS!$F:$F,0)),0)</f>
        <v>0</v>
      </c>
      <c r="AC897" s="3">
        <f>IFERROR(INDEX(EVENTOS!$D:$D,MATCH(SCORE!AC$2&amp;" "&amp;SCORE!$D897,EVENTOS!$F:$F,0)),0)</f>
        <v>0</v>
      </c>
      <c r="AD897" s="3">
        <f>IFERROR(INDEX(EVENTOS!$D:$D,MATCH(SCORE!AD$2&amp;" "&amp;SCORE!$D897,EVENTOS!$F:$F,0)),0)</f>
        <v>0</v>
      </c>
      <c r="AE897" s="3">
        <f t="shared" si="39"/>
        <v>0</v>
      </c>
      <c r="AF897" s="10" t="e">
        <f t="shared" si="40"/>
        <v>#N/A</v>
      </c>
      <c r="AG897" s="3" t="str">
        <f t="shared" si="41"/>
        <v/>
      </c>
    </row>
    <row r="898" spans="1:33" x14ac:dyDescent="0.25">
      <c r="A898" s="7"/>
      <c r="B898" s="8"/>
      <c r="C898" s="3"/>
      <c r="D898" s="3"/>
      <c r="E898" s="3" t="e">
        <f>VLOOKUP(D898,VIAJES!$D:$E,2,FALSE)</f>
        <v>#N/A</v>
      </c>
      <c r="F898" s="9" t="e">
        <f>VLOOKUP(D898,VIAJES!$D:$F,3,FALSE)</f>
        <v>#N/A</v>
      </c>
      <c r="G898" s="9" t="e">
        <f>VLOOKUP(D898,VIAJES!$D:$G,4,FALSE)</f>
        <v>#N/A</v>
      </c>
      <c r="H898" s="3" t="e">
        <f>VLOOKUP(D898,VIAJES!$D:$H,5,FALSE)</f>
        <v>#N/A</v>
      </c>
      <c r="S898" s="3">
        <f>IFERROR(INDEX(EVENTOS!$D:$D,MATCH(SCORE!S$2&amp;" "&amp;SCORE!$D898,EVENTOS!$F:$F,0)),0)</f>
        <v>0</v>
      </c>
      <c r="T898" s="3">
        <f>IFERROR(INDEX(EVENTOS!$D:$D,MATCH(SCORE!T$2&amp;" "&amp;SCORE!$D898,EVENTOS!$F:$F,0)),0)</f>
        <v>0</v>
      </c>
      <c r="U898" s="3">
        <f>IFERROR(INDEX(EVENTOS!$D:$D,MATCH(SCORE!U$2&amp;" "&amp;SCORE!$D898,EVENTOS!$F:$F,0)),0)</f>
        <v>0</v>
      </c>
      <c r="V898" s="3">
        <f>IFERROR(INDEX(EVENTOS!$D:$D,MATCH(SCORE!V$2&amp;" "&amp;SCORE!$D898,EVENTOS!$F:$F,0)),0)</f>
        <v>0</v>
      </c>
      <c r="W898" s="3">
        <f>IFERROR(INDEX(EVENTOS!$D:$D,MATCH(SCORE!W$2&amp;" "&amp;SCORE!$D898,EVENTOS!$F:$F,0)),0)</f>
        <v>0</v>
      </c>
      <c r="X898" s="3">
        <f>IFERROR(INDEX(EVENTOS!$D:$D,MATCH(SCORE!X$2&amp;" "&amp;SCORE!$D898,EVENTOS!$F:$F,0)),0)</f>
        <v>0</v>
      </c>
      <c r="Y898" s="3">
        <f>SUMIFS(EVENTOS!$D:$D, EVENTOS!$B:$B, D898, EVENTOS!$E:$E, "*GirAlto*")</f>
        <v>0</v>
      </c>
      <c r="Z898" s="3">
        <f>SUMIFS(EVENTOS!$D:$D, EVENTOS!$B:$B, D898, EVENTOS!$E:$E, "*GirMed*")</f>
        <v>0</v>
      </c>
      <c r="AA898" s="3">
        <f>SUMIFS(EVENTOS!$D:$D, EVENTOS!$B:$B, D898, EVENTOS!$E:$E, "*GirBajo*")</f>
        <v>0</v>
      </c>
      <c r="AB898" s="3">
        <f>IFERROR(INDEX(EVENTOS!$D:$D,MATCH(SCORE!AB$2&amp;" "&amp;SCORE!$D898,EVENTOS!$F:$F,0)),0)</f>
        <v>0</v>
      </c>
      <c r="AC898" s="3">
        <f>IFERROR(INDEX(EVENTOS!$D:$D,MATCH(SCORE!AC$2&amp;" "&amp;SCORE!$D898,EVENTOS!$F:$F,0)),0)</f>
        <v>0</v>
      </c>
      <c r="AD898" s="3">
        <f>IFERROR(INDEX(EVENTOS!$D:$D,MATCH(SCORE!AD$2&amp;" "&amp;SCORE!$D898,EVENTOS!$F:$F,0)),0)</f>
        <v>0</v>
      </c>
      <c r="AE898" s="3">
        <f t="shared" si="39"/>
        <v>0</v>
      </c>
      <c r="AF898" s="10" t="e">
        <f t="shared" si="40"/>
        <v>#N/A</v>
      </c>
      <c r="AG898" s="3" t="str">
        <f t="shared" si="41"/>
        <v/>
      </c>
    </row>
    <row r="899" spans="1:33" x14ac:dyDescent="0.25">
      <c r="A899" s="7"/>
      <c r="B899" s="8"/>
      <c r="C899" s="3"/>
      <c r="D899" s="3"/>
      <c r="E899" s="3" t="e">
        <f>VLOOKUP(D899,VIAJES!$D:$E,2,FALSE)</f>
        <v>#N/A</v>
      </c>
      <c r="F899" s="9" t="e">
        <f>VLOOKUP(D899,VIAJES!$D:$F,3,FALSE)</f>
        <v>#N/A</v>
      </c>
      <c r="G899" s="9" t="e">
        <f>VLOOKUP(D899,VIAJES!$D:$G,4,FALSE)</f>
        <v>#N/A</v>
      </c>
      <c r="H899" s="3" t="e">
        <f>VLOOKUP(D899,VIAJES!$D:$H,5,FALSE)</f>
        <v>#N/A</v>
      </c>
      <c r="S899" s="3">
        <f>IFERROR(INDEX(EVENTOS!$D:$D,MATCH(SCORE!S$2&amp;" "&amp;SCORE!$D899,EVENTOS!$F:$F,0)),0)</f>
        <v>0</v>
      </c>
      <c r="T899" s="3">
        <f>IFERROR(INDEX(EVENTOS!$D:$D,MATCH(SCORE!T$2&amp;" "&amp;SCORE!$D899,EVENTOS!$F:$F,0)),0)</f>
        <v>0</v>
      </c>
      <c r="U899" s="3">
        <f>IFERROR(INDEX(EVENTOS!$D:$D,MATCH(SCORE!U$2&amp;" "&amp;SCORE!$D899,EVENTOS!$F:$F,0)),0)</f>
        <v>0</v>
      </c>
      <c r="V899" s="3">
        <f>IFERROR(INDEX(EVENTOS!$D:$D,MATCH(SCORE!V$2&amp;" "&amp;SCORE!$D899,EVENTOS!$F:$F,0)),0)</f>
        <v>0</v>
      </c>
      <c r="W899" s="3">
        <f>IFERROR(INDEX(EVENTOS!$D:$D,MATCH(SCORE!W$2&amp;" "&amp;SCORE!$D899,EVENTOS!$F:$F,0)),0)</f>
        <v>0</v>
      </c>
      <c r="X899" s="3">
        <f>IFERROR(INDEX(EVENTOS!$D:$D,MATCH(SCORE!X$2&amp;" "&amp;SCORE!$D899,EVENTOS!$F:$F,0)),0)</f>
        <v>0</v>
      </c>
      <c r="Y899" s="3">
        <f>SUMIFS(EVENTOS!$D:$D, EVENTOS!$B:$B, D899, EVENTOS!$E:$E, "*GirAlto*")</f>
        <v>0</v>
      </c>
      <c r="Z899" s="3">
        <f>SUMIFS(EVENTOS!$D:$D, EVENTOS!$B:$B, D899, EVENTOS!$E:$E, "*GirMed*")</f>
        <v>0</v>
      </c>
      <c r="AA899" s="3">
        <f>SUMIFS(EVENTOS!$D:$D, EVENTOS!$B:$B, D899, EVENTOS!$E:$E, "*GirBajo*")</f>
        <v>0</v>
      </c>
      <c r="AB899" s="3">
        <f>IFERROR(INDEX(EVENTOS!$D:$D,MATCH(SCORE!AB$2&amp;" "&amp;SCORE!$D899,EVENTOS!$F:$F,0)),0)</f>
        <v>0</v>
      </c>
      <c r="AC899" s="3">
        <f>IFERROR(INDEX(EVENTOS!$D:$D,MATCH(SCORE!AC$2&amp;" "&amp;SCORE!$D899,EVENTOS!$F:$F,0)),0)</f>
        <v>0</v>
      </c>
      <c r="AD899" s="3">
        <f>IFERROR(INDEX(EVENTOS!$D:$D,MATCH(SCORE!AD$2&amp;" "&amp;SCORE!$D899,EVENTOS!$F:$F,0)),0)</f>
        <v>0</v>
      </c>
      <c r="AE899" s="3">
        <f t="shared" ref="AE899:AE962" si="42">((S899+V899+Y899+AB899)*50)+((T899+W899+Z899+AC899)*25)+((U899+X899+AA899+AD899)*5)</f>
        <v>0</v>
      </c>
      <c r="AF899" s="10" t="e">
        <f t="shared" ref="AF899:AF962" si="43">AE899/(G899*24)*100</f>
        <v>#N/A</v>
      </c>
      <c r="AG899" s="3" t="str">
        <f t="shared" ref="AG899:AG962" si="44">IF(D899&lt;&gt;"",IF(AF899&gt;=30000,5,ROUNDDOWN((((5-95)*(AF899-0))/(30000-0))+95,0)),"")</f>
        <v/>
      </c>
    </row>
    <row r="900" spans="1:33" x14ac:dyDescent="0.25">
      <c r="A900" s="7"/>
      <c r="B900" s="8"/>
      <c r="C900" s="3"/>
      <c r="D900" s="3"/>
      <c r="E900" s="3" t="e">
        <f>VLOOKUP(D900,VIAJES!$D:$E,2,FALSE)</f>
        <v>#N/A</v>
      </c>
      <c r="F900" s="9" t="e">
        <f>VLOOKUP(D900,VIAJES!$D:$F,3,FALSE)</f>
        <v>#N/A</v>
      </c>
      <c r="G900" s="9" t="e">
        <f>VLOOKUP(D900,VIAJES!$D:$G,4,FALSE)</f>
        <v>#N/A</v>
      </c>
      <c r="H900" s="3" t="e">
        <f>VLOOKUP(D900,VIAJES!$D:$H,5,FALSE)</f>
        <v>#N/A</v>
      </c>
      <c r="S900" s="3">
        <f>IFERROR(INDEX(EVENTOS!$D:$D,MATCH(SCORE!S$2&amp;" "&amp;SCORE!$D900,EVENTOS!$F:$F,0)),0)</f>
        <v>0</v>
      </c>
      <c r="T900" s="3">
        <f>IFERROR(INDEX(EVENTOS!$D:$D,MATCH(SCORE!T$2&amp;" "&amp;SCORE!$D900,EVENTOS!$F:$F,0)),0)</f>
        <v>0</v>
      </c>
      <c r="U900" s="3">
        <f>IFERROR(INDEX(EVENTOS!$D:$D,MATCH(SCORE!U$2&amp;" "&amp;SCORE!$D900,EVENTOS!$F:$F,0)),0)</f>
        <v>0</v>
      </c>
      <c r="V900" s="3">
        <f>IFERROR(INDEX(EVENTOS!$D:$D,MATCH(SCORE!V$2&amp;" "&amp;SCORE!$D900,EVENTOS!$F:$F,0)),0)</f>
        <v>0</v>
      </c>
      <c r="W900" s="3">
        <f>IFERROR(INDEX(EVENTOS!$D:$D,MATCH(SCORE!W$2&amp;" "&amp;SCORE!$D900,EVENTOS!$F:$F,0)),0)</f>
        <v>0</v>
      </c>
      <c r="X900" s="3">
        <f>IFERROR(INDEX(EVENTOS!$D:$D,MATCH(SCORE!X$2&amp;" "&amp;SCORE!$D900,EVENTOS!$F:$F,0)),0)</f>
        <v>0</v>
      </c>
      <c r="Y900" s="3">
        <f>SUMIFS(EVENTOS!$D:$D, EVENTOS!$B:$B, D900, EVENTOS!$E:$E, "*GirAlto*")</f>
        <v>0</v>
      </c>
      <c r="Z900" s="3">
        <f>SUMIFS(EVENTOS!$D:$D, EVENTOS!$B:$B, D900, EVENTOS!$E:$E, "*GirMed*")</f>
        <v>0</v>
      </c>
      <c r="AA900" s="3">
        <f>SUMIFS(EVENTOS!$D:$D, EVENTOS!$B:$B, D900, EVENTOS!$E:$E, "*GirBajo*")</f>
        <v>0</v>
      </c>
      <c r="AB900" s="3">
        <f>IFERROR(INDEX(EVENTOS!$D:$D,MATCH(SCORE!AB$2&amp;" "&amp;SCORE!$D900,EVENTOS!$F:$F,0)),0)</f>
        <v>0</v>
      </c>
      <c r="AC900" s="3">
        <f>IFERROR(INDEX(EVENTOS!$D:$D,MATCH(SCORE!AC$2&amp;" "&amp;SCORE!$D900,EVENTOS!$F:$F,0)),0)</f>
        <v>0</v>
      </c>
      <c r="AD900" s="3">
        <f>IFERROR(INDEX(EVENTOS!$D:$D,MATCH(SCORE!AD$2&amp;" "&amp;SCORE!$D900,EVENTOS!$F:$F,0)),0)</f>
        <v>0</v>
      </c>
      <c r="AE900" s="3">
        <f t="shared" si="42"/>
        <v>0</v>
      </c>
      <c r="AF900" s="10" t="e">
        <f t="shared" si="43"/>
        <v>#N/A</v>
      </c>
      <c r="AG900" s="3" t="str">
        <f t="shared" si="44"/>
        <v/>
      </c>
    </row>
    <row r="901" spans="1:33" x14ac:dyDescent="0.25">
      <c r="A901" s="7"/>
      <c r="B901" s="8"/>
      <c r="C901" s="3"/>
      <c r="D901" s="3"/>
      <c r="E901" s="3" t="e">
        <f>VLOOKUP(D901,VIAJES!$D:$E,2,FALSE)</f>
        <v>#N/A</v>
      </c>
      <c r="F901" s="9" t="e">
        <f>VLOOKUP(D901,VIAJES!$D:$F,3,FALSE)</f>
        <v>#N/A</v>
      </c>
      <c r="G901" s="9" t="e">
        <f>VLOOKUP(D901,VIAJES!$D:$G,4,FALSE)</f>
        <v>#N/A</v>
      </c>
      <c r="H901" s="3" t="e">
        <f>VLOOKUP(D901,VIAJES!$D:$H,5,FALSE)</f>
        <v>#N/A</v>
      </c>
      <c r="S901" s="3">
        <f>IFERROR(INDEX(EVENTOS!$D:$D,MATCH(SCORE!S$2&amp;" "&amp;SCORE!$D901,EVENTOS!$F:$F,0)),0)</f>
        <v>0</v>
      </c>
      <c r="T901" s="3">
        <f>IFERROR(INDEX(EVENTOS!$D:$D,MATCH(SCORE!T$2&amp;" "&amp;SCORE!$D901,EVENTOS!$F:$F,0)),0)</f>
        <v>0</v>
      </c>
      <c r="U901" s="3">
        <f>IFERROR(INDEX(EVENTOS!$D:$D,MATCH(SCORE!U$2&amp;" "&amp;SCORE!$D901,EVENTOS!$F:$F,0)),0)</f>
        <v>0</v>
      </c>
      <c r="V901" s="3">
        <f>IFERROR(INDEX(EVENTOS!$D:$D,MATCH(SCORE!V$2&amp;" "&amp;SCORE!$D901,EVENTOS!$F:$F,0)),0)</f>
        <v>0</v>
      </c>
      <c r="W901" s="3">
        <f>IFERROR(INDEX(EVENTOS!$D:$D,MATCH(SCORE!W$2&amp;" "&amp;SCORE!$D901,EVENTOS!$F:$F,0)),0)</f>
        <v>0</v>
      </c>
      <c r="X901" s="3">
        <f>IFERROR(INDEX(EVENTOS!$D:$D,MATCH(SCORE!X$2&amp;" "&amp;SCORE!$D901,EVENTOS!$F:$F,0)),0)</f>
        <v>0</v>
      </c>
      <c r="Y901" s="3">
        <f>SUMIFS(EVENTOS!$D:$D, EVENTOS!$B:$B, D901, EVENTOS!$E:$E, "*GirAlto*")</f>
        <v>0</v>
      </c>
      <c r="Z901" s="3">
        <f>SUMIFS(EVENTOS!$D:$D, EVENTOS!$B:$B, D901, EVENTOS!$E:$E, "*GirMed*")</f>
        <v>0</v>
      </c>
      <c r="AA901" s="3">
        <f>SUMIFS(EVENTOS!$D:$D, EVENTOS!$B:$B, D901, EVENTOS!$E:$E, "*GirBajo*")</f>
        <v>0</v>
      </c>
      <c r="AB901" s="3">
        <f>IFERROR(INDEX(EVENTOS!$D:$D,MATCH(SCORE!AB$2&amp;" "&amp;SCORE!$D901,EVENTOS!$F:$F,0)),0)</f>
        <v>0</v>
      </c>
      <c r="AC901" s="3">
        <f>IFERROR(INDEX(EVENTOS!$D:$D,MATCH(SCORE!AC$2&amp;" "&amp;SCORE!$D901,EVENTOS!$F:$F,0)),0)</f>
        <v>0</v>
      </c>
      <c r="AD901" s="3">
        <f>IFERROR(INDEX(EVENTOS!$D:$D,MATCH(SCORE!AD$2&amp;" "&amp;SCORE!$D901,EVENTOS!$F:$F,0)),0)</f>
        <v>0</v>
      </c>
      <c r="AE901" s="3">
        <f t="shared" si="42"/>
        <v>0</v>
      </c>
      <c r="AF901" s="10" t="e">
        <f t="shared" si="43"/>
        <v>#N/A</v>
      </c>
      <c r="AG901" s="3" t="str">
        <f t="shared" si="44"/>
        <v/>
      </c>
    </row>
    <row r="902" spans="1:33" x14ac:dyDescent="0.25">
      <c r="A902" s="7"/>
      <c r="B902" s="8"/>
      <c r="C902" s="3"/>
      <c r="D902" s="3"/>
      <c r="E902" s="3" t="e">
        <f>VLOOKUP(D902,VIAJES!$D:$E,2,FALSE)</f>
        <v>#N/A</v>
      </c>
      <c r="F902" s="9" t="e">
        <f>VLOOKUP(D902,VIAJES!$D:$F,3,FALSE)</f>
        <v>#N/A</v>
      </c>
      <c r="G902" s="9" t="e">
        <f>VLOOKUP(D902,VIAJES!$D:$G,4,FALSE)</f>
        <v>#N/A</v>
      </c>
      <c r="H902" s="3" t="e">
        <f>VLOOKUP(D902,VIAJES!$D:$H,5,FALSE)</f>
        <v>#N/A</v>
      </c>
      <c r="S902" s="3">
        <f>IFERROR(INDEX(EVENTOS!$D:$D,MATCH(SCORE!S$2&amp;" "&amp;SCORE!$D902,EVENTOS!$F:$F,0)),0)</f>
        <v>0</v>
      </c>
      <c r="T902" s="3">
        <f>IFERROR(INDEX(EVENTOS!$D:$D,MATCH(SCORE!T$2&amp;" "&amp;SCORE!$D902,EVENTOS!$F:$F,0)),0)</f>
        <v>0</v>
      </c>
      <c r="U902" s="3">
        <f>IFERROR(INDEX(EVENTOS!$D:$D,MATCH(SCORE!U$2&amp;" "&amp;SCORE!$D902,EVENTOS!$F:$F,0)),0)</f>
        <v>0</v>
      </c>
      <c r="V902" s="3">
        <f>IFERROR(INDEX(EVENTOS!$D:$D,MATCH(SCORE!V$2&amp;" "&amp;SCORE!$D902,EVENTOS!$F:$F,0)),0)</f>
        <v>0</v>
      </c>
      <c r="W902" s="3">
        <f>IFERROR(INDEX(EVENTOS!$D:$D,MATCH(SCORE!W$2&amp;" "&amp;SCORE!$D902,EVENTOS!$F:$F,0)),0)</f>
        <v>0</v>
      </c>
      <c r="X902" s="3">
        <f>IFERROR(INDEX(EVENTOS!$D:$D,MATCH(SCORE!X$2&amp;" "&amp;SCORE!$D902,EVENTOS!$F:$F,0)),0)</f>
        <v>0</v>
      </c>
      <c r="Y902" s="3">
        <f>SUMIFS(EVENTOS!$D:$D, EVENTOS!$B:$B, D902, EVENTOS!$E:$E, "*GirAlto*")</f>
        <v>0</v>
      </c>
      <c r="Z902" s="3">
        <f>SUMIFS(EVENTOS!$D:$D, EVENTOS!$B:$B, D902, EVENTOS!$E:$E, "*GirMed*")</f>
        <v>0</v>
      </c>
      <c r="AA902" s="3">
        <f>SUMIFS(EVENTOS!$D:$D, EVENTOS!$B:$B, D902, EVENTOS!$E:$E, "*GirBajo*")</f>
        <v>0</v>
      </c>
      <c r="AB902" s="3">
        <f>IFERROR(INDEX(EVENTOS!$D:$D,MATCH(SCORE!AB$2&amp;" "&amp;SCORE!$D902,EVENTOS!$F:$F,0)),0)</f>
        <v>0</v>
      </c>
      <c r="AC902" s="3">
        <f>IFERROR(INDEX(EVENTOS!$D:$D,MATCH(SCORE!AC$2&amp;" "&amp;SCORE!$D902,EVENTOS!$F:$F,0)),0)</f>
        <v>0</v>
      </c>
      <c r="AD902" s="3">
        <f>IFERROR(INDEX(EVENTOS!$D:$D,MATCH(SCORE!AD$2&amp;" "&amp;SCORE!$D902,EVENTOS!$F:$F,0)),0)</f>
        <v>0</v>
      </c>
      <c r="AE902" s="3">
        <f t="shared" si="42"/>
        <v>0</v>
      </c>
      <c r="AF902" s="10" t="e">
        <f t="shared" si="43"/>
        <v>#N/A</v>
      </c>
      <c r="AG902" s="3" t="str">
        <f t="shared" si="44"/>
        <v/>
      </c>
    </row>
    <row r="903" spans="1:33" x14ac:dyDescent="0.25">
      <c r="A903" s="7"/>
      <c r="B903" s="8"/>
      <c r="C903" s="3"/>
      <c r="D903" s="3"/>
      <c r="E903" s="3" t="e">
        <f>VLOOKUP(D903,VIAJES!$D:$E,2,FALSE)</f>
        <v>#N/A</v>
      </c>
      <c r="F903" s="9" t="e">
        <f>VLOOKUP(D903,VIAJES!$D:$F,3,FALSE)</f>
        <v>#N/A</v>
      </c>
      <c r="G903" s="9" t="e">
        <f>VLOOKUP(D903,VIAJES!$D:$G,4,FALSE)</f>
        <v>#N/A</v>
      </c>
      <c r="H903" s="3" t="e">
        <f>VLOOKUP(D903,VIAJES!$D:$H,5,FALSE)</f>
        <v>#N/A</v>
      </c>
      <c r="S903" s="3">
        <f>IFERROR(INDEX(EVENTOS!$D:$D,MATCH(SCORE!S$2&amp;" "&amp;SCORE!$D903,EVENTOS!$F:$F,0)),0)</f>
        <v>0</v>
      </c>
      <c r="T903" s="3">
        <f>IFERROR(INDEX(EVENTOS!$D:$D,MATCH(SCORE!T$2&amp;" "&amp;SCORE!$D903,EVENTOS!$F:$F,0)),0)</f>
        <v>0</v>
      </c>
      <c r="U903" s="3">
        <f>IFERROR(INDEX(EVENTOS!$D:$D,MATCH(SCORE!U$2&amp;" "&amp;SCORE!$D903,EVENTOS!$F:$F,0)),0)</f>
        <v>0</v>
      </c>
      <c r="V903" s="3">
        <f>IFERROR(INDEX(EVENTOS!$D:$D,MATCH(SCORE!V$2&amp;" "&amp;SCORE!$D903,EVENTOS!$F:$F,0)),0)</f>
        <v>0</v>
      </c>
      <c r="W903" s="3">
        <f>IFERROR(INDEX(EVENTOS!$D:$D,MATCH(SCORE!W$2&amp;" "&amp;SCORE!$D903,EVENTOS!$F:$F,0)),0)</f>
        <v>0</v>
      </c>
      <c r="X903" s="3">
        <f>IFERROR(INDEX(EVENTOS!$D:$D,MATCH(SCORE!X$2&amp;" "&amp;SCORE!$D903,EVENTOS!$F:$F,0)),0)</f>
        <v>0</v>
      </c>
      <c r="Y903" s="3">
        <f>SUMIFS(EVENTOS!$D:$D, EVENTOS!$B:$B, D903, EVENTOS!$E:$E, "*GirAlto*")</f>
        <v>0</v>
      </c>
      <c r="Z903" s="3">
        <f>SUMIFS(EVENTOS!$D:$D, EVENTOS!$B:$B, D903, EVENTOS!$E:$E, "*GirMed*")</f>
        <v>0</v>
      </c>
      <c r="AA903" s="3">
        <f>SUMIFS(EVENTOS!$D:$D, EVENTOS!$B:$B, D903, EVENTOS!$E:$E, "*GirBajo*")</f>
        <v>0</v>
      </c>
      <c r="AB903" s="3">
        <f>IFERROR(INDEX(EVENTOS!$D:$D,MATCH(SCORE!AB$2&amp;" "&amp;SCORE!$D903,EVENTOS!$F:$F,0)),0)</f>
        <v>0</v>
      </c>
      <c r="AC903" s="3">
        <f>IFERROR(INDEX(EVENTOS!$D:$D,MATCH(SCORE!AC$2&amp;" "&amp;SCORE!$D903,EVENTOS!$F:$F,0)),0)</f>
        <v>0</v>
      </c>
      <c r="AD903" s="3">
        <f>IFERROR(INDEX(EVENTOS!$D:$D,MATCH(SCORE!AD$2&amp;" "&amp;SCORE!$D903,EVENTOS!$F:$F,0)),0)</f>
        <v>0</v>
      </c>
      <c r="AE903" s="3">
        <f t="shared" si="42"/>
        <v>0</v>
      </c>
      <c r="AF903" s="10" t="e">
        <f t="shared" si="43"/>
        <v>#N/A</v>
      </c>
      <c r="AG903" s="3" t="str">
        <f t="shared" si="44"/>
        <v/>
      </c>
    </row>
    <row r="904" spans="1:33" x14ac:dyDescent="0.25">
      <c r="A904" s="7"/>
      <c r="B904" s="8"/>
      <c r="C904" s="3"/>
      <c r="D904" s="3"/>
      <c r="E904" s="3" t="e">
        <f>VLOOKUP(D904,VIAJES!$D:$E,2,FALSE)</f>
        <v>#N/A</v>
      </c>
      <c r="F904" s="9" t="e">
        <f>VLOOKUP(D904,VIAJES!$D:$F,3,FALSE)</f>
        <v>#N/A</v>
      </c>
      <c r="G904" s="9" t="e">
        <f>VLOOKUP(D904,VIAJES!$D:$G,4,FALSE)</f>
        <v>#N/A</v>
      </c>
      <c r="H904" s="3" t="e">
        <f>VLOOKUP(D904,VIAJES!$D:$H,5,FALSE)</f>
        <v>#N/A</v>
      </c>
      <c r="S904" s="3">
        <f>IFERROR(INDEX(EVENTOS!$D:$D,MATCH(SCORE!S$2&amp;" "&amp;SCORE!$D904,EVENTOS!$F:$F,0)),0)</f>
        <v>0</v>
      </c>
      <c r="T904" s="3">
        <f>IFERROR(INDEX(EVENTOS!$D:$D,MATCH(SCORE!T$2&amp;" "&amp;SCORE!$D904,EVENTOS!$F:$F,0)),0)</f>
        <v>0</v>
      </c>
      <c r="U904" s="3">
        <f>IFERROR(INDEX(EVENTOS!$D:$D,MATCH(SCORE!U$2&amp;" "&amp;SCORE!$D904,EVENTOS!$F:$F,0)),0)</f>
        <v>0</v>
      </c>
      <c r="V904" s="3">
        <f>IFERROR(INDEX(EVENTOS!$D:$D,MATCH(SCORE!V$2&amp;" "&amp;SCORE!$D904,EVENTOS!$F:$F,0)),0)</f>
        <v>0</v>
      </c>
      <c r="W904" s="3">
        <f>IFERROR(INDEX(EVENTOS!$D:$D,MATCH(SCORE!W$2&amp;" "&amp;SCORE!$D904,EVENTOS!$F:$F,0)),0)</f>
        <v>0</v>
      </c>
      <c r="X904" s="3">
        <f>IFERROR(INDEX(EVENTOS!$D:$D,MATCH(SCORE!X$2&amp;" "&amp;SCORE!$D904,EVENTOS!$F:$F,0)),0)</f>
        <v>0</v>
      </c>
      <c r="Y904" s="3">
        <f>SUMIFS(EVENTOS!$D:$D, EVENTOS!$B:$B, D904, EVENTOS!$E:$E, "*GirAlto*")</f>
        <v>0</v>
      </c>
      <c r="Z904" s="3">
        <f>SUMIFS(EVENTOS!$D:$D, EVENTOS!$B:$B, D904, EVENTOS!$E:$E, "*GirMed*")</f>
        <v>0</v>
      </c>
      <c r="AA904" s="3">
        <f>SUMIFS(EVENTOS!$D:$D, EVENTOS!$B:$B, D904, EVENTOS!$E:$E, "*GirBajo*")</f>
        <v>0</v>
      </c>
      <c r="AB904" s="3">
        <f>IFERROR(INDEX(EVENTOS!$D:$D,MATCH(SCORE!AB$2&amp;" "&amp;SCORE!$D904,EVENTOS!$F:$F,0)),0)</f>
        <v>0</v>
      </c>
      <c r="AC904" s="3">
        <f>IFERROR(INDEX(EVENTOS!$D:$D,MATCH(SCORE!AC$2&amp;" "&amp;SCORE!$D904,EVENTOS!$F:$F,0)),0)</f>
        <v>0</v>
      </c>
      <c r="AD904" s="3">
        <f>IFERROR(INDEX(EVENTOS!$D:$D,MATCH(SCORE!AD$2&amp;" "&amp;SCORE!$D904,EVENTOS!$F:$F,0)),0)</f>
        <v>0</v>
      </c>
      <c r="AE904" s="3">
        <f t="shared" si="42"/>
        <v>0</v>
      </c>
      <c r="AF904" s="10" t="e">
        <f t="shared" si="43"/>
        <v>#N/A</v>
      </c>
      <c r="AG904" s="3" t="str">
        <f t="shared" si="44"/>
        <v/>
      </c>
    </row>
    <row r="905" spans="1:33" x14ac:dyDescent="0.25">
      <c r="A905" s="7"/>
      <c r="B905" s="8"/>
      <c r="C905" s="3"/>
      <c r="D905" s="3"/>
      <c r="E905" s="3" t="e">
        <f>VLOOKUP(D905,VIAJES!$D:$E,2,FALSE)</f>
        <v>#N/A</v>
      </c>
      <c r="F905" s="9" t="e">
        <f>VLOOKUP(D905,VIAJES!$D:$F,3,FALSE)</f>
        <v>#N/A</v>
      </c>
      <c r="G905" s="9" t="e">
        <f>VLOOKUP(D905,VIAJES!$D:$G,4,FALSE)</f>
        <v>#N/A</v>
      </c>
      <c r="H905" s="3" t="e">
        <f>VLOOKUP(D905,VIAJES!$D:$H,5,FALSE)</f>
        <v>#N/A</v>
      </c>
      <c r="S905" s="3">
        <f>IFERROR(INDEX(EVENTOS!$D:$D,MATCH(SCORE!S$2&amp;" "&amp;SCORE!$D905,EVENTOS!$F:$F,0)),0)</f>
        <v>0</v>
      </c>
      <c r="T905" s="3">
        <f>IFERROR(INDEX(EVENTOS!$D:$D,MATCH(SCORE!T$2&amp;" "&amp;SCORE!$D905,EVENTOS!$F:$F,0)),0)</f>
        <v>0</v>
      </c>
      <c r="U905" s="3">
        <f>IFERROR(INDEX(EVENTOS!$D:$D,MATCH(SCORE!U$2&amp;" "&amp;SCORE!$D905,EVENTOS!$F:$F,0)),0)</f>
        <v>0</v>
      </c>
      <c r="V905" s="3">
        <f>IFERROR(INDEX(EVENTOS!$D:$D,MATCH(SCORE!V$2&amp;" "&amp;SCORE!$D905,EVENTOS!$F:$F,0)),0)</f>
        <v>0</v>
      </c>
      <c r="W905" s="3">
        <f>IFERROR(INDEX(EVENTOS!$D:$D,MATCH(SCORE!W$2&amp;" "&amp;SCORE!$D905,EVENTOS!$F:$F,0)),0)</f>
        <v>0</v>
      </c>
      <c r="X905" s="3">
        <f>IFERROR(INDEX(EVENTOS!$D:$D,MATCH(SCORE!X$2&amp;" "&amp;SCORE!$D905,EVENTOS!$F:$F,0)),0)</f>
        <v>0</v>
      </c>
      <c r="Y905" s="3">
        <f>SUMIFS(EVENTOS!$D:$D, EVENTOS!$B:$B, D905, EVENTOS!$E:$E, "*GirAlto*")</f>
        <v>0</v>
      </c>
      <c r="Z905" s="3">
        <f>SUMIFS(EVENTOS!$D:$D, EVENTOS!$B:$B, D905, EVENTOS!$E:$E, "*GirMed*")</f>
        <v>0</v>
      </c>
      <c r="AA905" s="3">
        <f>SUMIFS(EVENTOS!$D:$D, EVENTOS!$B:$B, D905, EVENTOS!$E:$E, "*GirBajo*")</f>
        <v>0</v>
      </c>
      <c r="AB905" s="3">
        <f>IFERROR(INDEX(EVENTOS!$D:$D,MATCH(SCORE!AB$2&amp;" "&amp;SCORE!$D905,EVENTOS!$F:$F,0)),0)</f>
        <v>0</v>
      </c>
      <c r="AC905" s="3">
        <f>IFERROR(INDEX(EVENTOS!$D:$D,MATCH(SCORE!AC$2&amp;" "&amp;SCORE!$D905,EVENTOS!$F:$F,0)),0)</f>
        <v>0</v>
      </c>
      <c r="AD905" s="3">
        <f>IFERROR(INDEX(EVENTOS!$D:$D,MATCH(SCORE!AD$2&amp;" "&amp;SCORE!$D905,EVENTOS!$F:$F,0)),0)</f>
        <v>0</v>
      </c>
      <c r="AE905" s="3">
        <f t="shared" si="42"/>
        <v>0</v>
      </c>
      <c r="AF905" s="10" t="e">
        <f t="shared" si="43"/>
        <v>#N/A</v>
      </c>
      <c r="AG905" s="3" t="str">
        <f t="shared" si="44"/>
        <v/>
      </c>
    </row>
    <row r="906" spans="1:33" x14ac:dyDescent="0.25">
      <c r="A906" s="7"/>
      <c r="B906" s="8"/>
      <c r="C906" s="3"/>
      <c r="D906" s="3"/>
      <c r="E906" s="3" t="e">
        <f>VLOOKUP(D906,VIAJES!$D:$E,2,FALSE)</f>
        <v>#N/A</v>
      </c>
      <c r="F906" s="9" t="e">
        <f>VLOOKUP(D906,VIAJES!$D:$F,3,FALSE)</f>
        <v>#N/A</v>
      </c>
      <c r="G906" s="9" t="e">
        <f>VLOOKUP(D906,VIAJES!$D:$G,4,FALSE)</f>
        <v>#N/A</v>
      </c>
      <c r="H906" s="3" t="e">
        <f>VLOOKUP(D906,VIAJES!$D:$H,5,FALSE)</f>
        <v>#N/A</v>
      </c>
      <c r="S906" s="3">
        <f>IFERROR(INDEX(EVENTOS!$D:$D,MATCH(SCORE!S$2&amp;" "&amp;SCORE!$D906,EVENTOS!$F:$F,0)),0)</f>
        <v>0</v>
      </c>
      <c r="T906" s="3">
        <f>IFERROR(INDEX(EVENTOS!$D:$D,MATCH(SCORE!T$2&amp;" "&amp;SCORE!$D906,EVENTOS!$F:$F,0)),0)</f>
        <v>0</v>
      </c>
      <c r="U906" s="3">
        <f>IFERROR(INDEX(EVENTOS!$D:$D,MATCH(SCORE!U$2&amp;" "&amp;SCORE!$D906,EVENTOS!$F:$F,0)),0)</f>
        <v>0</v>
      </c>
      <c r="V906" s="3">
        <f>IFERROR(INDEX(EVENTOS!$D:$D,MATCH(SCORE!V$2&amp;" "&amp;SCORE!$D906,EVENTOS!$F:$F,0)),0)</f>
        <v>0</v>
      </c>
      <c r="W906" s="3">
        <f>IFERROR(INDEX(EVENTOS!$D:$D,MATCH(SCORE!W$2&amp;" "&amp;SCORE!$D906,EVENTOS!$F:$F,0)),0)</f>
        <v>0</v>
      </c>
      <c r="X906" s="3">
        <f>IFERROR(INDEX(EVENTOS!$D:$D,MATCH(SCORE!X$2&amp;" "&amp;SCORE!$D906,EVENTOS!$F:$F,0)),0)</f>
        <v>0</v>
      </c>
      <c r="Y906" s="3">
        <f>SUMIFS(EVENTOS!$D:$D, EVENTOS!$B:$B, D906, EVENTOS!$E:$E, "*GirAlto*")</f>
        <v>0</v>
      </c>
      <c r="Z906" s="3">
        <f>SUMIFS(EVENTOS!$D:$D, EVENTOS!$B:$B, D906, EVENTOS!$E:$E, "*GirMed*")</f>
        <v>0</v>
      </c>
      <c r="AA906" s="3">
        <f>SUMIFS(EVENTOS!$D:$D, EVENTOS!$B:$B, D906, EVENTOS!$E:$E, "*GirBajo*")</f>
        <v>0</v>
      </c>
      <c r="AB906" s="3">
        <f>IFERROR(INDEX(EVENTOS!$D:$D,MATCH(SCORE!AB$2&amp;" "&amp;SCORE!$D906,EVENTOS!$F:$F,0)),0)</f>
        <v>0</v>
      </c>
      <c r="AC906" s="3">
        <f>IFERROR(INDEX(EVENTOS!$D:$D,MATCH(SCORE!AC$2&amp;" "&amp;SCORE!$D906,EVENTOS!$F:$F,0)),0)</f>
        <v>0</v>
      </c>
      <c r="AD906" s="3">
        <f>IFERROR(INDEX(EVENTOS!$D:$D,MATCH(SCORE!AD$2&amp;" "&amp;SCORE!$D906,EVENTOS!$F:$F,0)),0)</f>
        <v>0</v>
      </c>
      <c r="AE906" s="3">
        <f t="shared" si="42"/>
        <v>0</v>
      </c>
      <c r="AF906" s="10" t="e">
        <f t="shared" si="43"/>
        <v>#N/A</v>
      </c>
      <c r="AG906" s="3" t="str">
        <f t="shared" si="44"/>
        <v/>
      </c>
    </row>
    <row r="907" spans="1:33" x14ac:dyDescent="0.25">
      <c r="A907" s="7"/>
      <c r="B907" s="8"/>
      <c r="C907" s="3"/>
      <c r="D907" s="3"/>
      <c r="E907" s="3" t="e">
        <f>VLOOKUP(D907,VIAJES!$D:$E,2,FALSE)</f>
        <v>#N/A</v>
      </c>
      <c r="F907" s="9" t="e">
        <f>VLOOKUP(D907,VIAJES!$D:$F,3,FALSE)</f>
        <v>#N/A</v>
      </c>
      <c r="G907" s="9" t="e">
        <f>VLOOKUP(D907,VIAJES!$D:$G,4,FALSE)</f>
        <v>#N/A</v>
      </c>
      <c r="H907" s="3" t="e">
        <f>VLOOKUP(D907,VIAJES!$D:$H,5,FALSE)</f>
        <v>#N/A</v>
      </c>
      <c r="S907" s="3">
        <f>IFERROR(INDEX(EVENTOS!$D:$D,MATCH(SCORE!S$2&amp;" "&amp;SCORE!$D907,EVENTOS!$F:$F,0)),0)</f>
        <v>0</v>
      </c>
      <c r="T907" s="3">
        <f>IFERROR(INDEX(EVENTOS!$D:$D,MATCH(SCORE!T$2&amp;" "&amp;SCORE!$D907,EVENTOS!$F:$F,0)),0)</f>
        <v>0</v>
      </c>
      <c r="U907" s="3">
        <f>IFERROR(INDEX(EVENTOS!$D:$D,MATCH(SCORE!U$2&amp;" "&amp;SCORE!$D907,EVENTOS!$F:$F,0)),0)</f>
        <v>0</v>
      </c>
      <c r="V907" s="3">
        <f>IFERROR(INDEX(EVENTOS!$D:$D,MATCH(SCORE!V$2&amp;" "&amp;SCORE!$D907,EVENTOS!$F:$F,0)),0)</f>
        <v>0</v>
      </c>
      <c r="W907" s="3">
        <f>IFERROR(INDEX(EVENTOS!$D:$D,MATCH(SCORE!W$2&amp;" "&amp;SCORE!$D907,EVENTOS!$F:$F,0)),0)</f>
        <v>0</v>
      </c>
      <c r="X907" s="3">
        <f>IFERROR(INDEX(EVENTOS!$D:$D,MATCH(SCORE!X$2&amp;" "&amp;SCORE!$D907,EVENTOS!$F:$F,0)),0)</f>
        <v>0</v>
      </c>
      <c r="Y907" s="3">
        <f>SUMIFS(EVENTOS!$D:$D, EVENTOS!$B:$B, D907, EVENTOS!$E:$E, "*GirAlto*")</f>
        <v>0</v>
      </c>
      <c r="Z907" s="3">
        <f>SUMIFS(EVENTOS!$D:$D, EVENTOS!$B:$B, D907, EVENTOS!$E:$E, "*GirMed*")</f>
        <v>0</v>
      </c>
      <c r="AA907" s="3">
        <f>SUMIFS(EVENTOS!$D:$D, EVENTOS!$B:$B, D907, EVENTOS!$E:$E, "*GirBajo*")</f>
        <v>0</v>
      </c>
      <c r="AB907" s="3">
        <f>IFERROR(INDEX(EVENTOS!$D:$D,MATCH(SCORE!AB$2&amp;" "&amp;SCORE!$D907,EVENTOS!$F:$F,0)),0)</f>
        <v>0</v>
      </c>
      <c r="AC907" s="3">
        <f>IFERROR(INDEX(EVENTOS!$D:$D,MATCH(SCORE!AC$2&amp;" "&amp;SCORE!$D907,EVENTOS!$F:$F,0)),0)</f>
        <v>0</v>
      </c>
      <c r="AD907" s="3">
        <f>IFERROR(INDEX(EVENTOS!$D:$D,MATCH(SCORE!AD$2&amp;" "&amp;SCORE!$D907,EVENTOS!$F:$F,0)),0)</f>
        <v>0</v>
      </c>
      <c r="AE907" s="3">
        <f t="shared" si="42"/>
        <v>0</v>
      </c>
      <c r="AF907" s="10" t="e">
        <f t="shared" si="43"/>
        <v>#N/A</v>
      </c>
      <c r="AG907" s="3" t="str">
        <f t="shared" si="44"/>
        <v/>
      </c>
    </row>
    <row r="908" spans="1:33" x14ac:dyDescent="0.25">
      <c r="A908" s="7"/>
      <c r="B908" s="8"/>
      <c r="C908" s="3"/>
      <c r="D908" s="3"/>
      <c r="E908" s="3" t="e">
        <f>VLOOKUP(D908,VIAJES!$D:$E,2,FALSE)</f>
        <v>#N/A</v>
      </c>
      <c r="F908" s="9" t="e">
        <f>VLOOKUP(D908,VIAJES!$D:$F,3,FALSE)</f>
        <v>#N/A</v>
      </c>
      <c r="G908" s="9" t="e">
        <f>VLOOKUP(D908,VIAJES!$D:$G,4,FALSE)</f>
        <v>#N/A</v>
      </c>
      <c r="H908" s="3" t="e">
        <f>VLOOKUP(D908,VIAJES!$D:$H,5,FALSE)</f>
        <v>#N/A</v>
      </c>
      <c r="S908" s="3">
        <f>IFERROR(INDEX(EVENTOS!$D:$D,MATCH(SCORE!S$2&amp;" "&amp;SCORE!$D908,EVENTOS!$F:$F,0)),0)</f>
        <v>0</v>
      </c>
      <c r="T908" s="3">
        <f>IFERROR(INDEX(EVENTOS!$D:$D,MATCH(SCORE!T$2&amp;" "&amp;SCORE!$D908,EVENTOS!$F:$F,0)),0)</f>
        <v>0</v>
      </c>
      <c r="U908" s="3">
        <f>IFERROR(INDEX(EVENTOS!$D:$D,MATCH(SCORE!U$2&amp;" "&amp;SCORE!$D908,EVENTOS!$F:$F,0)),0)</f>
        <v>0</v>
      </c>
      <c r="V908" s="3">
        <f>IFERROR(INDEX(EVENTOS!$D:$D,MATCH(SCORE!V$2&amp;" "&amp;SCORE!$D908,EVENTOS!$F:$F,0)),0)</f>
        <v>0</v>
      </c>
      <c r="W908" s="3">
        <f>IFERROR(INDEX(EVENTOS!$D:$D,MATCH(SCORE!W$2&amp;" "&amp;SCORE!$D908,EVENTOS!$F:$F,0)),0)</f>
        <v>0</v>
      </c>
      <c r="X908" s="3">
        <f>IFERROR(INDEX(EVENTOS!$D:$D,MATCH(SCORE!X$2&amp;" "&amp;SCORE!$D908,EVENTOS!$F:$F,0)),0)</f>
        <v>0</v>
      </c>
      <c r="Y908" s="3">
        <f>SUMIFS(EVENTOS!$D:$D, EVENTOS!$B:$B, D908, EVENTOS!$E:$E, "*GirAlto*")</f>
        <v>0</v>
      </c>
      <c r="Z908" s="3">
        <f>SUMIFS(EVENTOS!$D:$D, EVENTOS!$B:$B, D908, EVENTOS!$E:$E, "*GirMed*")</f>
        <v>0</v>
      </c>
      <c r="AA908" s="3">
        <f>SUMIFS(EVENTOS!$D:$D, EVENTOS!$B:$B, D908, EVENTOS!$E:$E, "*GirBajo*")</f>
        <v>0</v>
      </c>
      <c r="AB908" s="3">
        <f>IFERROR(INDEX(EVENTOS!$D:$D,MATCH(SCORE!AB$2&amp;" "&amp;SCORE!$D908,EVENTOS!$F:$F,0)),0)</f>
        <v>0</v>
      </c>
      <c r="AC908" s="3">
        <f>IFERROR(INDEX(EVENTOS!$D:$D,MATCH(SCORE!AC$2&amp;" "&amp;SCORE!$D908,EVENTOS!$F:$F,0)),0)</f>
        <v>0</v>
      </c>
      <c r="AD908" s="3">
        <f>IFERROR(INDEX(EVENTOS!$D:$D,MATCH(SCORE!AD$2&amp;" "&amp;SCORE!$D908,EVENTOS!$F:$F,0)),0)</f>
        <v>0</v>
      </c>
      <c r="AE908" s="3">
        <f t="shared" si="42"/>
        <v>0</v>
      </c>
      <c r="AF908" s="10" t="e">
        <f t="shared" si="43"/>
        <v>#N/A</v>
      </c>
      <c r="AG908" s="3" t="str">
        <f t="shared" si="44"/>
        <v/>
      </c>
    </row>
    <row r="909" spans="1:33" x14ac:dyDescent="0.25">
      <c r="A909" s="7"/>
      <c r="B909" s="8"/>
      <c r="C909" s="3"/>
      <c r="D909" s="3"/>
      <c r="E909" s="3" t="e">
        <f>VLOOKUP(D909,VIAJES!$D:$E,2,FALSE)</f>
        <v>#N/A</v>
      </c>
      <c r="F909" s="9" t="e">
        <f>VLOOKUP(D909,VIAJES!$D:$F,3,FALSE)</f>
        <v>#N/A</v>
      </c>
      <c r="G909" s="9" t="e">
        <f>VLOOKUP(D909,VIAJES!$D:$G,4,FALSE)</f>
        <v>#N/A</v>
      </c>
      <c r="H909" s="3" t="e">
        <f>VLOOKUP(D909,VIAJES!$D:$H,5,FALSE)</f>
        <v>#N/A</v>
      </c>
      <c r="S909" s="3">
        <f>IFERROR(INDEX(EVENTOS!$D:$D,MATCH(SCORE!S$2&amp;" "&amp;SCORE!$D909,EVENTOS!$F:$F,0)),0)</f>
        <v>0</v>
      </c>
      <c r="T909" s="3">
        <f>IFERROR(INDEX(EVENTOS!$D:$D,MATCH(SCORE!T$2&amp;" "&amp;SCORE!$D909,EVENTOS!$F:$F,0)),0)</f>
        <v>0</v>
      </c>
      <c r="U909" s="3">
        <f>IFERROR(INDEX(EVENTOS!$D:$D,MATCH(SCORE!U$2&amp;" "&amp;SCORE!$D909,EVENTOS!$F:$F,0)),0)</f>
        <v>0</v>
      </c>
      <c r="V909" s="3">
        <f>IFERROR(INDEX(EVENTOS!$D:$D,MATCH(SCORE!V$2&amp;" "&amp;SCORE!$D909,EVENTOS!$F:$F,0)),0)</f>
        <v>0</v>
      </c>
      <c r="W909" s="3">
        <f>IFERROR(INDEX(EVENTOS!$D:$D,MATCH(SCORE!W$2&amp;" "&amp;SCORE!$D909,EVENTOS!$F:$F,0)),0)</f>
        <v>0</v>
      </c>
      <c r="X909" s="3">
        <f>IFERROR(INDEX(EVENTOS!$D:$D,MATCH(SCORE!X$2&amp;" "&amp;SCORE!$D909,EVENTOS!$F:$F,0)),0)</f>
        <v>0</v>
      </c>
      <c r="Y909" s="3">
        <f>SUMIFS(EVENTOS!$D:$D, EVENTOS!$B:$B, D909, EVENTOS!$E:$E, "*GirAlto*")</f>
        <v>0</v>
      </c>
      <c r="Z909" s="3">
        <f>SUMIFS(EVENTOS!$D:$D, EVENTOS!$B:$B, D909, EVENTOS!$E:$E, "*GirMed*")</f>
        <v>0</v>
      </c>
      <c r="AA909" s="3">
        <f>SUMIFS(EVENTOS!$D:$D, EVENTOS!$B:$B, D909, EVENTOS!$E:$E, "*GirBajo*")</f>
        <v>0</v>
      </c>
      <c r="AB909" s="3">
        <f>IFERROR(INDEX(EVENTOS!$D:$D,MATCH(SCORE!AB$2&amp;" "&amp;SCORE!$D909,EVENTOS!$F:$F,0)),0)</f>
        <v>0</v>
      </c>
      <c r="AC909" s="3">
        <f>IFERROR(INDEX(EVENTOS!$D:$D,MATCH(SCORE!AC$2&amp;" "&amp;SCORE!$D909,EVENTOS!$F:$F,0)),0)</f>
        <v>0</v>
      </c>
      <c r="AD909" s="3">
        <f>IFERROR(INDEX(EVENTOS!$D:$D,MATCH(SCORE!AD$2&amp;" "&amp;SCORE!$D909,EVENTOS!$F:$F,0)),0)</f>
        <v>0</v>
      </c>
      <c r="AE909" s="3">
        <f t="shared" si="42"/>
        <v>0</v>
      </c>
      <c r="AF909" s="10" t="e">
        <f t="shared" si="43"/>
        <v>#N/A</v>
      </c>
      <c r="AG909" s="3" t="str">
        <f t="shared" si="44"/>
        <v/>
      </c>
    </row>
    <row r="910" spans="1:33" x14ac:dyDescent="0.25">
      <c r="A910" s="7"/>
      <c r="B910" s="8"/>
      <c r="C910" s="3"/>
      <c r="D910" s="3"/>
      <c r="E910" s="3" t="e">
        <f>VLOOKUP(D910,VIAJES!$D:$E,2,FALSE)</f>
        <v>#N/A</v>
      </c>
      <c r="F910" s="9" t="e">
        <f>VLOOKUP(D910,VIAJES!$D:$F,3,FALSE)</f>
        <v>#N/A</v>
      </c>
      <c r="G910" s="9" t="e">
        <f>VLOOKUP(D910,VIAJES!$D:$G,4,FALSE)</f>
        <v>#N/A</v>
      </c>
      <c r="H910" s="3" t="e">
        <f>VLOOKUP(D910,VIAJES!$D:$H,5,FALSE)</f>
        <v>#N/A</v>
      </c>
      <c r="S910" s="3">
        <f>IFERROR(INDEX(EVENTOS!$D:$D,MATCH(SCORE!S$2&amp;" "&amp;SCORE!$D910,EVENTOS!$F:$F,0)),0)</f>
        <v>0</v>
      </c>
      <c r="T910" s="3">
        <f>IFERROR(INDEX(EVENTOS!$D:$D,MATCH(SCORE!T$2&amp;" "&amp;SCORE!$D910,EVENTOS!$F:$F,0)),0)</f>
        <v>0</v>
      </c>
      <c r="U910" s="3">
        <f>IFERROR(INDEX(EVENTOS!$D:$D,MATCH(SCORE!U$2&amp;" "&amp;SCORE!$D910,EVENTOS!$F:$F,0)),0)</f>
        <v>0</v>
      </c>
      <c r="V910" s="3">
        <f>IFERROR(INDEX(EVENTOS!$D:$D,MATCH(SCORE!V$2&amp;" "&amp;SCORE!$D910,EVENTOS!$F:$F,0)),0)</f>
        <v>0</v>
      </c>
      <c r="W910" s="3">
        <f>IFERROR(INDEX(EVENTOS!$D:$D,MATCH(SCORE!W$2&amp;" "&amp;SCORE!$D910,EVENTOS!$F:$F,0)),0)</f>
        <v>0</v>
      </c>
      <c r="X910" s="3">
        <f>IFERROR(INDEX(EVENTOS!$D:$D,MATCH(SCORE!X$2&amp;" "&amp;SCORE!$D910,EVENTOS!$F:$F,0)),0)</f>
        <v>0</v>
      </c>
      <c r="Y910" s="3">
        <f>SUMIFS(EVENTOS!$D:$D, EVENTOS!$B:$B, D910, EVENTOS!$E:$E, "*GirAlto*")</f>
        <v>0</v>
      </c>
      <c r="Z910" s="3">
        <f>SUMIFS(EVENTOS!$D:$D, EVENTOS!$B:$B, D910, EVENTOS!$E:$E, "*GirMed*")</f>
        <v>0</v>
      </c>
      <c r="AA910" s="3">
        <f>SUMIFS(EVENTOS!$D:$D, EVENTOS!$B:$B, D910, EVENTOS!$E:$E, "*GirBajo*")</f>
        <v>0</v>
      </c>
      <c r="AB910" s="3">
        <f>IFERROR(INDEX(EVENTOS!$D:$D,MATCH(SCORE!AB$2&amp;" "&amp;SCORE!$D910,EVENTOS!$F:$F,0)),0)</f>
        <v>0</v>
      </c>
      <c r="AC910" s="3">
        <f>IFERROR(INDEX(EVENTOS!$D:$D,MATCH(SCORE!AC$2&amp;" "&amp;SCORE!$D910,EVENTOS!$F:$F,0)),0)</f>
        <v>0</v>
      </c>
      <c r="AD910" s="3">
        <f>IFERROR(INDEX(EVENTOS!$D:$D,MATCH(SCORE!AD$2&amp;" "&amp;SCORE!$D910,EVENTOS!$F:$F,0)),0)</f>
        <v>0</v>
      </c>
      <c r="AE910" s="3">
        <f t="shared" si="42"/>
        <v>0</v>
      </c>
      <c r="AF910" s="10" t="e">
        <f t="shared" si="43"/>
        <v>#N/A</v>
      </c>
      <c r="AG910" s="3" t="str">
        <f t="shared" si="44"/>
        <v/>
      </c>
    </row>
    <row r="911" spans="1:33" x14ac:dyDescent="0.25">
      <c r="A911" s="7"/>
      <c r="B911" s="8"/>
      <c r="C911" s="3"/>
      <c r="D911" s="3"/>
      <c r="E911" s="3" t="e">
        <f>VLOOKUP(D911,VIAJES!$D:$E,2,FALSE)</f>
        <v>#N/A</v>
      </c>
      <c r="F911" s="9" t="e">
        <f>VLOOKUP(D911,VIAJES!$D:$F,3,FALSE)</f>
        <v>#N/A</v>
      </c>
      <c r="G911" s="9" t="e">
        <f>VLOOKUP(D911,VIAJES!$D:$G,4,FALSE)</f>
        <v>#N/A</v>
      </c>
      <c r="H911" s="3" t="e">
        <f>VLOOKUP(D911,VIAJES!$D:$H,5,FALSE)</f>
        <v>#N/A</v>
      </c>
      <c r="S911" s="3">
        <f>IFERROR(INDEX(EVENTOS!$D:$D,MATCH(SCORE!S$2&amp;" "&amp;SCORE!$D911,EVENTOS!$F:$F,0)),0)</f>
        <v>0</v>
      </c>
      <c r="T911" s="3">
        <f>IFERROR(INDEX(EVENTOS!$D:$D,MATCH(SCORE!T$2&amp;" "&amp;SCORE!$D911,EVENTOS!$F:$F,0)),0)</f>
        <v>0</v>
      </c>
      <c r="U911" s="3">
        <f>IFERROR(INDEX(EVENTOS!$D:$D,MATCH(SCORE!U$2&amp;" "&amp;SCORE!$D911,EVENTOS!$F:$F,0)),0)</f>
        <v>0</v>
      </c>
      <c r="V911" s="3">
        <f>IFERROR(INDEX(EVENTOS!$D:$D,MATCH(SCORE!V$2&amp;" "&amp;SCORE!$D911,EVENTOS!$F:$F,0)),0)</f>
        <v>0</v>
      </c>
      <c r="W911" s="3">
        <f>IFERROR(INDEX(EVENTOS!$D:$D,MATCH(SCORE!W$2&amp;" "&amp;SCORE!$D911,EVENTOS!$F:$F,0)),0)</f>
        <v>0</v>
      </c>
      <c r="X911" s="3">
        <f>IFERROR(INDEX(EVENTOS!$D:$D,MATCH(SCORE!X$2&amp;" "&amp;SCORE!$D911,EVENTOS!$F:$F,0)),0)</f>
        <v>0</v>
      </c>
      <c r="Y911" s="3">
        <f>SUMIFS(EVENTOS!$D:$D, EVENTOS!$B:$B, D911, EVENTOS!$E:$E, "*GirAlto*")</f>
        <v>0</v>
      </c>
      <c r="Z911" s="3">
        <f>SUMIFS(EVENTOS!$D:$D, EVENTOS!$B:$B, D911, EVENTOS!$E:$E, "*GirMed*")</f>
        <v>0</v>
      </c>
      <c r="AA911" s="3">
        <f>SUMIFS(EVENTOS!$D:$D, EVENTOS!$B:$B, D911, EVENTOS!$E:$E, "*GirBajo*")</f>
        <v>0</v>
      </c>
      <c r="AB911" s="3">
        <f>IFERROR(INDEX(EVENTOS!$D:$D,MATCH(SCORE!AB$2&amp;" "&amp;SCORE!$D911,EVENTOS!$F:$F,0)),0)</f>
        <v>0</v>
      </c>
      <c r="AC911" s="3">
        <f>IFERROR(INDEX(EVENTOS!$D:$D,MATCH(SCORE!AC$2&amp;" "&amp;SCORE!$D911,EVENTOS!$F:$F,0)),0)</f>
        <v>0</v>
      </c>
      <c r="AD911" s="3">
        <f>IFERROR(INDEX(EVENTOS!$D:$D,MATCH(SCORE!AD$2&amp;" "&amp;SCORE!$D911,EVENTOS!$F:$F,0)),0)</f>
        <v>0</v>
      </c>
      <c r="AE911" s="3">
        <f t="shared" si="42"/>
        <v>0</v>
      </c>
      <c r="AF911" s="10" t="e">
        <f t="shared" si="43"/>
        <v>#N/A</v>
      </c>
      <c r="AG911" s="3" t="str">
        <f t="shared" si="44"/>
        <v/>
      </c>
    </row>
    <row r="912" spans="1:33" x14ac:dyDescent="0.25">
      <c r="A912" s="7"/>
      <c r="B912" s="8"/>
      <c r="C912" s="3"/>
      <c r="D912" s="3"/>
      <c r="E912" s="3" t="e">
        <f>VLOOKUP(D912,VIAJES!$D:$E,2,FALSE)</f>
        <v>#N/A</v>
      </c>
      <c r="F912" s="9" t="e">
        <f>VLOOKUP(D912,VIAJES!$D:$F,3,FALSE)</f>
        <v>#N/A</v>
      </c>
      <c r="G912" s="9" t="e">
        <f>VLOOKUP(D912,VIAJES!$D:$G,4,FALSE)</f>
        <v>#N/A</v>
      </c>
      <c r="H912" s="3" t="e">
        <f>VLOOKUP(D912,VIAJES!$D:$H,5,FALSE)</f>
        <v>#N/A</v>
      </c>
      <c r="S912" s="3">
        <f>IFERROR(INDEX(EVENTOS!$D:$D,MATCH(SCORE!S$2&amp;" "&amp;SCORE!$D912,EVENTOS!$F:$F,0)),0)</f>
        <v>0</v>
      </c>
      <c r="T912" s="3">
        <f>IFERROR(INDEX(EVENTOS!$D:$D,MATCH(SCORE!T$2&amp;" "&amp;SCORE!$D912,EVENTOS!$F:$F,0)),0)</f>
        <v>0</v>
      </c>
      <c r="U912" s="3">
        <f>IFERROR(INDEX(EVENTOS!$D:$D,MATCH(SCORE!U$2&amp;" "&amp;SCORE!$D912,EVENTOS!$F:$F,0)),0)</f>
        <v>0</v>
      </c>
      <c r="V912" s="3">
        <f>IFERROR(INDEX(EVENTOS!$D:$D,MATCH(SCORE!V$2&amp;" "&amp;SCORE!$D912,EVENTOS!$F:$F,0)),0)</f>
        <v>0</v>
      </c>
      <c r="W912" s="3">
        <f>IFERROR(INDEX(EVENTOS!$D:$D,MATCH(SCORE!W$2&amp;" "&amp;SCORE!$D912,EVENTOS!$F:$F,0)),0)</f>
        <v>0</v>
      </c>
      <c r="X912" s="3">
        <f>IFERROR(INDEX(EVENTOS!$D:$D,MATCH(SCORE!X$2&amp;" "&amp;SCORE!$D912,EVENTOS!$F:$F,0)),0)</f>
        <v>0</v>
      </c>
      <c r="Y912" s="3">
        <f>SUMIFS(EVENTOS!$D:$D, EVENTOS!$B:$B, D912, EVENTOS!$E:$E, "*GirAlto*")</f>
        <v>0</v>
      </c>
      <c r="Z912" s="3">
        <f>SUMIFS(EVENTOS!$D:$D, EVENTOS!$B:$B, D912, EVENTOS!$E:$E, "*GirMed*")</f>
        <v>0</v>
      </c>
      <c r="AA912" s="3">
        <f>SUMIFS(EVENTOS!$D:$D, EVENTOS!$B:$B, D912, EVENTOS!$E:$E, "*GirBajo*")</f>
        <v>0</v>
      </c>
      <c r="AB912" s="3">
        <f>IFERROR(INDEX(EVENTOS!$D:$D,MATCH(SCORE!AB$2&amp;" "&amp;SCORE!$D912,EVENTOS!$F:$F,0)),0)</f>
        <v>0</v>
      </c>
      <c r="AC912" s="3">
        <f>IFERROR(INDEX(EVENTOS!$D:$D,MATCH(SCORE!AC$2&amp;" "&amp;SCORE!$D912,EVENTOS!$F:$F,0)),0)</f>
        <v>0</v>
      </c>
      <c r="AD912" s="3">
        <f>IFERROR(INDEX(EVENTOS!$D:$D,MATCH(SCORE!AD$2&amp;" "&amp;SCORE!$D912,EVENTOS!$F:$F,0)),0)</f>
        <v>0</v>
      </c>
      <c r="AE912" s="3">
        <f t="shared" si="42"/>
        <v>0</v>
      </c>
      <c r="AF912" s="10" t="e">
        <f t="shared" si="43"/>
        <v>#N/A</v>
      </c>
      <c r="AG912" s="3" t="str">
        <f t="shared" si="44"/>
        <v/>
      </c>
    </row>
    <row r="913" spans="1:33" x14ac:dyDescent="0.25">
      <c r="A913" s="7"/>
      <c r="B913" s="8"/>
      <c r="C913" s="3"/>
      <c r="D913" s="3"/>
      <c r="E913" s="3" t="e">
        <f>VLOOKUP(D913,VIAJES!$D:$E,2,FALSE)</f>
        <v>#N/A</v>
      </c>
      <c r="F913" s="9" t="e">
        <f>VLOOKUP(D913,VIAJES!$D:$F,3,FALSE)</f>
        <v>#N/A</v>
      </c>
      <c r="G913" s="9" t="e">
        <f>VLOOKUP(D913,VIAJES!$D:$G,4,FALSE)</f>
        <v>#N/A</v>
      </c>
      <c r="H913" s="3" t="e">
        <f>VLOOKUP(D913,VIAJES!$D:$H,5,FALSE)</f>
        <v>#N/A</v>
      </c>
      <c r="S913" s="3">
        <f>IFERROR(INDEX(EVENTOS!$D:$D,MATCH(SCORE!S$2&amp;" "&amp;SCORE!$D913,EVENTOS!$F:$F,0)),0)</f>
        <v>0</v>
      </c>
      <c r="T913" s="3">
        <f>IFERROR(INDEX(EVENTOS!$D:$D,MATCH(SCORE!T$2&amp;" "&amp;SCORE!$D913,EVENTOS!$F:$F,0)),0)</f>
        <v>0</v>
      </c>
      <c r="U913" s="3">
        <f>IFERROR(INDEX(EVENTOS!$D:$D,MATCH(SCORE!U$2&amp;" "&amp;SCORE!$D913,EVENTOS!$F:$F,0)),0)</f>
        <v>0</v>
      </c>
      <c r="V913" s="3">
        <f>IFERROR(INDEX(EVENTOS!$D:$D,MATCH(SCORE!V$2&amp;" "&amp;SCORE!$D913,EVENTOS!$F:$F,0)),0)</f>
        <v>0</v>
      </c>
      <c r="W913" s="3">
        <f>IFERROR(INDEX(EVENTOS!$D:$D,MATCH(SCORE!W$2&amp;" "&amp;SCORE!$D913,EVENTOS!$F:$F,0)),0)</f>
        <v>0</v>
      </c>
      <c r="X913" s="3">
        <f>IFERROR(INDEX(EVENTOS!$D:$D,MATCH(SCORE!X$2&amp;" "&amp;SCORE!$D913,EVENTOS!$F:$F,0)),0)</f>
        <v>0</v>
      </c>
      <c r="Y913" s="3">
        <f>SUMIFS(EVENTOS!$D:$D, EVENTOS!$B:$B, D913, EVENTOS!$E:$E, "*GirAlto*")</f>
        <v>0</v>
      </c>
      <c r="Z913" s="3">
        <f>SUMIFS(EVENTOS!$D:$D, EVENTOS!$B:$B, D913, EVENTOS!$E:$E, "*GirMed*")</f>
        <v>0</v>
      </c>
      <c r="AA913" s="3">
        <f>SUMIFS(EVENTOS!$D:$D, EVENTOS!$B:$B, D913, EVENTOS!$E:$E, "*GirBajo*")</f>
        <v>0</v>
      </c>
      <c r="AB913" s="3">
        <f>IFERROR(INDEX(EVENTOS!$D:$D,MATCH(SCORE!AB$2&amp;" "&amp;SCORE!$D913,EVENTOS!$F:$F,0)),0)</f>
        <v>0</v>
      </c>
      <c r="AC913" s="3">
        <f>IFERROR(INDEX(EVENTOS!$D:$D,MATCH(SCORE!AC$2&amp;" "&amp;SCORE!$D913,EVENTOS!$F:$F,0)),0)</f>
        <v>0</v>
      </c>
      <c r="AD913" s="3">
        <f>IFERROR(INDEX(EVENTOS!$D:$D,MATCH(SCORE!AD$2&amp;" "&amp;SCORE!$D913,EVENTOS!$F:$F,0)),0)</f>
        <v>0</v>
      </c>
      <c r="AE913" s="3">
        <f t="shared" si="42"/>
        <v>0</v>
      </c>
      <c r="AF913" s="10" t="e">
        <f t="shared" si="43"/>
        <v>#N/A</v>
      </c>
      <c r="AG913" s="3" t="str">
        <f t="shared" si="44"/>
        <v/>
      </c>
    </row>
    <row r="914" spans="1:33" x14ac:dyDescent="0.25">
      <c r="A914" s="7"/>
      <c r="B914" s="8"/>
      <c r="C914" s="3"/>
      <c r="D914" s="3"/>
      <c r="E914" s="3" t="e">
        <f>VLOOKUP(D914,VIAJES!$D:$E,2,FALSE)</f>
        <v>#N/A</v>
      </c>
      <c r="F914" s="9" t="e">
        <f>VLOOKUP(D914,VIAJES!$D:$F,3,FALSE)</f>
        <v>#N/A</v>
      </c>
      <c r="G914" s="9" t="e">
        <f>VLOOKUP(D914,VIAJES!$D:$G,4,FALSE)</f>
        <v>#N/A</v>
      </c>
      <c r="H914" s="3" t="e">
        <f>VLOOKUP(D914,VIAJES!$D:$H,5,FALSE)</f>
        <v>#N/A</v>
      </c>
      <c r="S914" s="3">
        <f>IFERROR(INDEX(EVENTOS!$D:$D,MATCH(SCORE!S$2&amp;" "&amp;SCORE!$D914,EVENTOS!$F:$F,0)),0)</f>
        <v>0</v>
      </c>
      <c r="T914" s="3">
        <f>IFERROR(INDEX(EVENTOS!$D:$D,MATCH(SCORE!T$2&amp;" "&amp;SCORE!$D914,EVENTOS!$F:$F,0)),0)</f>
        <v>0</v>
      </c>
      <c r="U914" s="3">
        <f>IFERROR(INDEX(EVENTOS!$D:$D,MATCH(SCORE!U$2&amp;" "&amp;SCORE!$D914,EVENTOS!$F:$F,0)),0)</f>
        <v>0</v>
      </c>
      <c r="V914" s="3">
        <f>IFERROR(INDEX(EVENTOS!$D:$D,MATCH(SCORE!V$2&amp;" "&amp;SCORE!$D914,EVENTOS!$F:$F,0)),0)</f>
        <v>0</v>
      </c>
      <c r="W914" s="3">
        <f>IFERROR(INDEX(EVENTOS!$D:$D,MATCH(SCORE!W$2&amp;" "&amp;SCORE!$D914,EVENTOS!$F:$F,0)),0)</f>
        <v>0</v>
      </c>
      <c r="X914" s="3">
        <f>IFERROR(INDEX(EVENTOS!$D:$D,MATCH(SCORE!X$2&amp;" "&amp;SCORE!$D914,EVENTOS!$F:$F,0)),0)</f>
        <v>0</v>
      </c>
      <c r="Y914" s="3">
        <f>SUMIFS(EVENTOS!$D:$D, EVENTOS!$B:$B, D914, EVENTOS!$E:$E, "*GirAlto*")</f>
        <v>0</v>
      </c>
      <c r="Z914" s="3">
        <f>SUMIFS(EVENTOS!$D:$D, EVENTOS!$B:$B, D914, EVENTOS!$E:$E, "*GirMed*")</f>
        <v>0</v>
      </c>
      <c r="AA914" s="3">
        <f>SUMIFS(EVENTOS!$D:$D, EVENTOS!$B:$B, D914, EVENTOS!$E:$E, "*GirBajo*")</f>
        <v>0</v>
      </c>
      <c r="AB914" s="3">
        <f>IFERROR(INDEX(EVENTOS!$D:$D,MATCH(SCORE!AB$2&amp;" "&amp;SCORE!$D914,EVENTOS!$F:$F,0)),0)</f>
        <v>0</v>
      </c>
      <c r="AC914" s="3">
        <f>IFERROR(INDEX(EVENTOS!$D:$D,MATCH(SCORE!AC$2&amp;" "&amp;SCORE!$D914,EVENTOS!$F:$F,0)),0)</f>
        <v>0</v>
      </c>
      <c r="AD914" s="3">
        <f>IFERROR(INDEX(EVENTOS!$D:$D,MATCH(SCORE!AD$2&amp;" "&amp;SCORE!$D914,EVENTOS!$F:$F,0)),0)</f>
        <v>0</v>
      </c>
      <c r="AE914" s="3">
        <f t="shared" si="42"/>
        <v>0</v>
      </c>
      <c r="AF914" s="10" t="e">
        <f t="shared" si="43"/>
        <v>#N/A</v>
      </c>
      <c r="AG914" s="3" t="str">
        <f t="shared" si="44"/>
        <v/>
      </c>
    </row>
    <row r="915" spans="1:33" x14ac:dyDescent="0.25">
      <c r="A915" s="7"/>
      <c r="B915" s="8"/>
      <c r="C915" s="3"/>
      <c r="D915" s="3"/>
      <c r="E915" s="3" t="e">
        <f>VLOOKUP(D915,VIAJES!$D:$E,2,FALSE)</f>
        <v>#N/A</v>
      </c>
      <c r="F915" s="9" t="e">
        <f>VLOOKUP(D915,VIAJES!$D:$F,3,FALSE)</f>
        <v>#N/A</v>
      </c>
      <c r="G915" s="9" t="e">
        <f>VLOOKUP(D915,VIAJES!$D:$G,4,FALSE)</f>
        <v>#N/A</v>
      </c>
      <c r="H915" s="3" t="e">
        <f>VLOOKUP(D915,VIAJES!$D:$H,5,FALSE)</f>
        <v>#N/A</v>
      </c>
      <c r="S915" s="3">
        <f>IFERROR(INDEX(EVENTOS!$D:$D,MATCH(SCORE!S$2&amp;" "&amp;SCORE!$D915,EVENTOS!$F:$F,0)),0)</f>
        <v>0</v>
      </c>
      <c r="T915" s="3">
        <f>IFERROR(INDEX(EVENTOS!$D:$D,MATCH(SCORE!T$2&amp;" "&amp;SCORE!$D915,EVENTOS!$F:$F,0)),0)</f>
        <v>0</v>
      </c>
      <c r="U915" s="3">
        <f>IFERROR(INDEX(EVENTOS!$D:$D,MATCH(SCORE!U$2&amp;" "&amp;SCORE!$D915,EVENTOS!$F:$F,0)),0)</f>
        <v>0</v>
      </c>
      <c r="V915" s="3">
        <f>IFERROR(INDEX(EVENTOS!$D:$D,MATCH(SCORE!V$2&amp;" "&amp;SCORE!$D915,EVENTOS!$F:$F,0)),0)</f>
        <v>0</v>
      </c>
      <c r="W915" s="3">
        <f>IFERROR(INDEX(EVENTOS!$D:$D,MATCH(SCORE!W$2&amp;" "&amp;SCORE!$D915,EVENTOS!$F:$F,0)),0)</f>
        <v>0</v>
      </c>
      <c r="X915" s="3">
        <f>IFERROR(INDEX(EVENTOS!$D:$D,MATCH(SCORE!X$2&amp;" "&amp;SCORE!$D915,EVENTOS!$F:$F,0)),0)</f>
        <v>0</v>
      </c>
      <c r="Y915" s="3">
        <f>SUMIFS(EVENTOS!$D:$D, EVENTOS!$B:$B, D915, EVENTOS!$E:$E, "*GirAlto*")</f>
        <v>0</v>
      </c>
      <c r="Z915" s="3">
        <f>SUMIFS(EVENTOS!$D:$D, EVENTOS!$B:$B, D915, EVENTOS!$E:$E, "*GirMed*")</f>
        <v>0</v>
      </c>
      <c r="AA915" s="3">
        <f>SUMIFS(EVENTOS!$D:$D, EVENTOS!$B:$B, D915, EVENTOS!$E:$E, "*GirBajo*")</f>
        <v>0</v>
      </c>
      <c r="AB915" s="3">
        <f>IFERROR(INDEX(EVENTOS!$D:$D,MATCH(SCORE!AB$2&amp;" "&amp;SCORE!$D915,EVENTOS!$F:$F,0)),0)</f>
        <v>0</v>
      </c>
      <c r="AC915" s="3">
        <f>IFERROR(INDEX(EVENTOS!$D:$D,MATCH(SCORE!AC$2&amp;" "&amp;SCORE!$D915,EVENTOS!$F:$F,0)),0)</f>
        <v>0</v>
      </c>
      <c r="AD915" s="3">
        <f>IFERROR(INDEX(EVENTOS!$D:$D,MATCH(SCORE!AD$2&amp;" "&amp;SCORE!$D915,EVENTOS!$F:$F,0)),0)</f>
        <v>0</v>
      </c>
      <c r="AE915" s="3">
        <f t="shared" si="42"/>
        <v>0</v>
      </c>
      <c r="AF915" s="10" t="e">
        <f t="shared" si="43"/>
        <v>#N/A</v>
      </c>
      <c r="AG915" s="3" t="str">
        <f t="shared" si="44"/>
        <v/>
      </c>
    </row>
    <row r="916" spans="1:33" x14ac:dyDescent="0.25">
      <c r="A916" s="7"/>
      <c r="B916" s="8"/>
      <c r="C916" s="3"/>
      <c r="D916" s="3"/>
      <c r="E916" s="3" t="e">
        <f>VLOOKUP(D916,VIAJES!$D:$E,2,FALSE)</f>
        <v>#N/A</v>
      </c>
      <c r="F916" s="9" t="e">
        <f>VLOOKUP(D916,VIAJES!$D:$F,3,FALSE)</f>
        <v>#N/A</v>
      </c>
      <c r="G916" s="9" t="e">
        <f>VLOOKUP(D916,VIAJES!$D:$G,4,FALSE)</f>
        <v>#N/A</v>
      </c>
      <c r="H916" s="3" t="e">
        <f>VLOOKUP(D916,VIAJES!$D:$H,5,FALSE)</f>
        <v>#N/A</v>
      </c>
      <c r="S916" s="3">
        <f>IFERROR(INDEX(EVENTOS!$D:$D,MATCH(SCORE!S$2&amp;" "&amp;SCORE!$D916,EVENTOS!$F:$F,0)),0)</f>
        <v>0</v>
      </c>
      <c r="T916" s="3">
        <f>IFERROR(INDEX(EVENTOS!$D:$D,MATCH(SCORE!T$2&amp;" "&amp;SCORE!$D916,EVENTOS!$F:$F,0)),0)</f>
        <v>0</v>
      </c>
      <c r="U916" s="3">
        <f>IFERROR(INDEX(EVENTOS!$D:$D,MATCH(SCORE!U$2&amp;" "&amp;SCORE!$D916,EVENTOS!$F:$F,0)),0)</f>
        <v>0</v>
      </c>
      <c r="V916" s="3">
        <f>IFERROR(INDEX(EVENTOS!$D:$D,MATCH(SCORE!V$2&amp;" "&amp;SCORE!$D916,EVENTOS!$F:$F,0)),0)</f>
        <v>0</v>
      </c>
      <c r="W916" s="3">
        <f>IFERROR(INDEX(EVENTOS!$D:$D,MATCH(SCORE!W$2&amp;" "&amp;SCORE!$D916,EVENTOS!$F:$F,0)),0)</f>
        <v>0</v>
      </c>
      <c r="X916" s="3">
        <f>IFERROR(INDEX(EVENTOS!$D:$D,MATCH(SCORE!X$2&amp;" "&amp;SCORE!$D916,EVENTOS!$F:$F,0)),0)</f>
        <v>0</v>
      </c>
      <c r="Y916" s="3">
        <f>SUMIFS(EVENTOS!$D:$D, EVENTOS!$B:$B, D916, EVENTOS!$E:$E, "*GirAlto*")</f>
        <v>0</v>
      </c>
      <c r="Z916" s="3">
        <f>SUMIFS(EVENTOS!$D:$D, EVENTOS!$B:$B, D916, EVENTOS!$E:$E, "*GirMed*")</f>
        <v>0</v>
      </c>
      <c r="AA916" s="3">
        <f>SUMIFS(EVENTOS!$D:$D, EVENTOS!$B:$B, D916, EVENTOS!$E:$E, "*GirBajo*")</f>
        <v>0</v>
      </c>
      <c r="AB916" s="3">
        <f>IFERROR(INDEX(EVENTOS!$D:$D,MATCH(SCORE!AB$2&amp;" "&amp;SCORE!$D916,EVENTOS!$F:$F,0)),0)</f>
        <v>0</v>
      </c>
      <c r="AC916" s="3">
        <f>IFERROR(INDEX(EVENTOS!$D:$D,MATCH(SCORE!AC$2&amp;" "&amp;SCORE!$D916,EVENTOS!$F:$F,0)),0)</f>
        <v>0</v>
      </c>
      <c r="AD916" s="3">
        <f>IFERROR(INDEX(EVENTOS!$D:$D,MATCH(SCORE!AD$2&amp;" "&amp;SCORE!$D916,EVENTOS!$F:$F,0)),0)</f>
        <v>0</v>
      </c>
      <c r="AE916" s="3">
        <f t="shared" si="42"/>
        <v>0</v>
      </c>
      <c r="AF916" s="10" t="e">
        <f t="shared" si="43"/>
        <v>#N/A</v>
      </c>
      <c r="AG916" s="3" t="str">
        <f t="shared" si="44"/>
        <v/>
      </c>
    </row>
    <row r="917" spans="1:33" x14ac:dyDescent="0.25">
      <c r="A917" s="7"/>
      <c r="B917" s="8"/>
      <c r="C917" s="3"/>
      <c r="D917" s="3"/>
      <c r="E917" s="3" t="e">
        <f>VLOOKUP(D917,VIAJES!$D:$E,2,FALSE)</f>
        <v>#N/A</v>
      </c>
      <c r="F917" s="9" t="e">
        <f>VLOOKUP(D917,VIAJES!$D:$F,3,FALSE)</f>
        <v>#N/A</v>
      </c>
      <c r="G917" s="9" t="e">
        <f>VLOOKUP(D917,VIAJES!$D:$G,4,FALSE)</f>
        <v>#N/A</v>
      </c>
      <c r="H917" s="3" t="e">
        <f>VLOOKUP(D917,VIAJES!$D:$H,5,FALSE)</f>
        <v>#N/A</v>
      </c>
      <c r="S917" s="3">
        <f>IFERROR(INDEX(EVENTOS!$D:$D,MATCH(SCORE!S$2&amp;" "&amp;SCORE!$D917,EVENTOS!$F:$F,0)),0)</f>
        <v>0</v>
      </c>
      <c r="T917" s="3">
        <f>IFERROR(INDEX(EVENTOS!$D:$D,MATCH(SCORE!T$2&amp;" "&amp;SCORE!$D917,EVENTOS!$F:$F,0)),0)</f>
        <v>0</v>
      </c>
      <c r="U917" s="3">
        <f>IFERROR(INDEX(EVENTOS!$D:$D,MATCH(SCORE!U$2&amp;" "&amp;SCORE!$D917,EVENTOS!$F:$F,0)),0)</f>
        <v>0</v>
      </c>
      <c r="V917" s="3">
        <f>IFERROR(INDEX(EVENTOS!$D:$D,MATCH(SCORE!V$2&amp;" "&amp;SCORE!$D917,EVENTOS!$F:$F,0)),0)</f>
        <v>0</v>
      </c>
      <c r="W917" s="3">
        <f>IFERROR(INDEX(EVENTOS!$D:$D,MATCH(SCORE!W$2&amp;" "&amp;SCORE!$D917,EVENTOS!$F:$F,0)),0)</f>
        <v>0</v>
      </c>
      <c r="X917" s="3">
        <f>IFERROR(INDEX(EVENTOS!$D:$D,MATCH(SCORE!X$2&amp;" "&amp;SCORE!$D917,EVENTOS!$F:$F,0)),0)</f>
        <v>0</v>
      </c>
      <c r="Y917" s="3">
        <f>SUMIFS(EVENTOS!$D:$D, EVENTOS!$B:$B, D917, EVENTOS!$E:$E, "*GirAlto*")</f>
        <v>0</v>
      </c>
      <c r="Z917" s="3">
        <f>SUMIFS(EVENTOS!$D:$D, EVENTOS!$B:$B, D917, EVENTOS!$E:$E, "*GirMed*")</f>
        <v>0</v>
      </c>
      <c r="AA917" s="3">
        <f>SUMIFS(EVENTOS!$D:$D, EVENTOS!$B:$B, D917, EVENTOS!$E:$E, "*GirBajo*")</f>
        <v>0</v>
      </c>
      <c r="AB917" s="3">
        <f>IFERROR(INDEX(EVENTOS!$D:$D,MATCH(SCORE!AB$2&amp;" "&amp;SCORE!$D917,EVENTOS!$F:$F,0)),0)</f>
        <v>0</v>
      </c>
      <c r="AC917" s="3">
        <f>IFERROR(INDEX(EVENTOS!$D:$D,MATCH(SCORE!AC$2&amp;" "&amp;SCORE!$D917,EVENTOS!$F:$F,0)),0)</f>
        <v>0</v>
      </c>
      <c r="AD917" s="3">
        <f>IFERROR(INDEX(EVENTOS!$D:$D,MATCH(SCORE!AD$2&amp;" "&amp;SCORE!$D917,EVENTOS!$F:$F,0)),0)</f>
        <v>0</v>
      </c>
      <c r="AE917" s="3">
        <f t="shared" si="42"/>
        <v>0</v>
      </c>
      <c r="AF917" s="10" t="e">
        <f t="shared" si="43"/>
        <v>#N/A</v>
      </c>
      <c r="AG917" s="3" t="str">
        <f t="shared" si="44"/>
        <v/>
      </c>
    </row>
    <row r="918" spans="1:33" x14ac:dyDescent="0.25">
      <c r="A918" s="7"/>
      <c r="B918" s="8"/>
      <c r="C918" s="3"/>
      <c r="D918" s="3"/>
      <c r="E918" s="3" t="e">
        <f>VLOOKUP(D918,VIAJES!$D:$E,2,FALSE)</f>
        <v>#N/A</v>
      </c>
      <c r="F918" s="9" t="e">
        <f>VLOOKUP(D918,VIAJES!$D:$F,3,FALSE)</f>
        <v>#N/A</v>
      </c>
      <c r="G918" s="9" t="e">
        <f>VLOOKUP(D918,VIAJES!$D:$G,4,FALSE)</f>
        <v>#N/A</v>
      </c>
      <c r="H918" s="3" t="e">
        <f>VLOOKUP(D918,VIAJES!$D:$H,5,FALSE)</f>
        <v>#N/A</v>
      </c>
      <c r="S918" s="3">
        <f>IFERROR(INDEX(EVENTOS!$D:$D,MATCH(SCORE!S$2&amp;" "&amp;SCORE!$D918,EVENTOS!$F:$F,0)),0)</f>
        <v>0</v>
      </c>
      <c r="T918" s="3">
        <f>IFERROR(INDEX(EVENTOS!$D:$D,MATCH(SCORE!T$2&amp;" "&amp;SCORE!$D918,EVENTOS!$F:$F,0)),0)</f>
        <v>0</v>
      </c>
      <c r="U918" s="3">
        <f>IFERROR(INDEX(EVENTOS!$D:$D,MATCH(SCORE!U$2&amp;" "&amp;SCORE!$D918,EVENTOS!$F:$F,0)),0)</f>
        <v>0</v>
      </c>
      <c r="V918" s="3">
        <f>IFERROR(INDEX(EVENTOS!$D:$D,MATCH(SCORE!V$2&amp;" "&amp;SCORE!$D918,EVENTOS!$F:$F,0)),0)</f>
        <v>0</v>
      </c>
      <c r="W918" s="3">
        <f>IFERROR(INDEX(EVENTOS!$D:$D,MATCH(SCORE!W$2&amp;" "&amp;SCORE!$D918,EVENTOS!$F:$F,0)),0)</f>
        <v>0</v>
      </c>
      <c r="X918" s="3">
        <f>IFERROR(INDEX(EVENTOS!$D:$D,MATCH(SCORE!X$2&amp;" "&amp;SCORE!$D918,EVENTOS!$F:$F,0)),0)</f>
        <v>0</v>
      </c>
      <c r="Y918" s="3">
        <f>SUMIFS(EVENTOS!$D:$D, EVENTOS!$B:$B, D918, EVENTOS!$E:$E, "*GirAlto*")</f>
        <v>0</v>
      </c>
      <c r="Z918" s="3">
        <f>SUMIFS(EVENTOS!$D:$D, EVENTOS!$B:$B, D918, EVENTOS!$E:$E, "*GirMed*")</f>
        <v>0</v>
      </c>
      <c r="AA918" s="3">
        <f>SUMIFS(EVENTOS!$D:$D, EVENTOS!$B:$B, D918, EVENTOS!$E:$E, "*GirBajo*")</f>
        <v>0</v>
      </c>
      <c r="AB918" s="3">
        <f>IFERROR(INDEX(EVENTOS!$D:$D,MATCH(SCORE!AB$2&amp;" "&amp;SCORE!$D918,EVENTOS!$F:$F,0)),0)</f>
        <v>0</v>
      </c>
      <c r="AC918" s="3">
        <f>IFERROR(INDEX(EVENTOS!$D:$D,MATCH(SCORE!AC$2&amp;" "&amp;SCORE!$D918,EVENTOS!$F:$F,0)),0)</f>
        <v>0</v>
      </c>
      <c r="AD918" s="3">
        <f>IFERROR(INDEX(EVENTOS!$D:$D,MATCH(SCORE!AD$2&amp;" "&amp;SCORE!$D918,EVENTOS!$F:$F,0)),0)</f>
        <v>0</v>
      </c>
      <c r="AE918" s="3">
        <f t="shared" si="42"/>
        <v>0</v>
      </c>
      <c r="AF918" s="10" t="e">
        <f t="shared" si="43"/>
        <v>#N/A</v>
      </c>
      <c r="AG918" s="3" t="str">
        <f t="shared" si="44"/>
        <v/>
      </c>
    </row>
    <row r="919" spans="1:33" x14ac:dyDescent="0.25">
      <c r="A919" s="7"/>
      <c r="B919" s="8"/>
      <c r="C919" s="3"/>
      <c r="D919" s="3"/>
      <c r="E919" s="3" t="e">
        <f>VLOOKUP(D919,VIAJES!$D:$E,2,FALSE)</f>
        <v>#N/A</v>
      </c>
      <c r="F919" s="9" t="e">
        <f>VLOOKUP(D919,VIAJES!$D:$F,3,FALSE)</f>
        <v>#N/A</v>
      </c>
      <c r="G919" s="9" t="e">
        <f>VLOOKUP(D919,VIAJES!$D:$G,4,FALSE)</f>
        <v>#N/A</v>
      </c>
      <c r="H919" s="3" t="e">
        <f>VLOOKUP(D919,VIAJES!$D:$H,5,FALSE)</f>
        <v>#N/A</v>
      </c>
      <c r="S919" s="3">
        <f>IFERROR(INDEX(EVENTOS!$D:$D,MATCH(SCORE!S$2&amp;" "&amp;SCORE!$D919,EVENTOS!$F:$F,0)),0)</f>
        <v>0</v>
      </c>
      <c r="T919" s="3">
        <f>IFERROR(INDEX(EVENTOS!$D:$D,MATCH(SCORE!T$2&amp;" "&amp;SCORE!$D919,EVENTOS!$F:$F,0)),0)</f>
        <v>0</v>
      </c>
      <c r="U919" s="3">
        <f>IFERROR(INDEX(EVENTOS!$D:$D,MATCH(SCORE!U$2&amp;" "&amp;SCORE!$D919,EVENTOS!$F:$F,0)),0)</f>
        <v>0</v>
      </c>
      <c r="V919" s="3">
        <f>IFERROR(INDEX(EVENTOS!$D:$D,MATCH(SCORE!V$2&amp;" "&amp;SCORE!$D919,EVENTOS!$F:$F,0)),0)</f>
        <v>0</v>
      </c>
      <c r="W919" s="3">
        <f>IFERROR(INDEX(EVENTOS!$D:$D,MATCH(SCORE!W$2&amp;" "&amp;SCORE!$D919,EVENTOS!$F:$F,0)),0)</f>
        <v>0</v>
      </c>
      <c r="X919" s="3">
        <f>IFERROR(INDEX(EVENTOS!$D:$D,MATCH(SCORE!X$2&amp;" "&amp;SCORE!$D919,EVENTOS!$F:$F,0)),0)</f>
        <v>0</v>
      </c>
      <c r="Y919" s="3">
        <f>SUMIFS(EVENTOS!$D:$D, EVENTOS!$B:$B, D919, EVENTOS!$E:$E, "*GirAlto*")</f>
        <v>0</v>
      </c>
      <c r="Z919" s="3">
        <f>SUMIFS(EVENTOS!$D:$D, EVENTOS!$B:$B, D919, EVENTOS!$E:$E, "*GirMed*")</f>
        <v>0</v>
      </c>
      <c r="AA919" s="3">
        <f>SUMIFS(EVENTOS!$D:$D, EVENTOS!$B:$B, D919, EVENTOS!$E:$E, "*GirBajo*")</f>
        <v>0</v>
      </c>
      <c r="AB919" s="3">
        <f>IFERROR(INDEX(EVENTOS!$D:$D,MATCH(SCORE!AB$2&amp;" "&amp;SCORE!$D919,EVENTOS!$F:$F,0)),0)</f>
        <v>0</v>
      </c>
      <c r="AC919" s="3">
        <f>IFERROR(INDEX(EVENTOS!$D:$D,MATCH(SCORE!AC$2&amp;" "&amp;SCORE!$D919,EVENTOS!$F:$F,0)),0)</f>
        <v>0</v>
      </c>
      <c r="AD919" s="3">
        <f>IFERROR(INDEX(EVENTOS!$D:$D,MATCH(SCORE!AD$2&amp;" "&amp;SCORE!$D919,EVENTOS!$F:$F,0)),0)</f>
        <v>0</v>
      </c>
      <c r="AE919" s="3">
        <f t="shared" si="42"/>
        <v>0</v>
      </c>
      <c r="AF919" s="10" t="e">
        <f t="shared" si="43"/>
        <v>#N/A</v>
      </c>
      <c r="AG919" s="3" t="str">
        <f t="shared" si="44"/>
        <v/>
      </c>
    </row>
    <row r="920" spans="1:33" x14ac:dyDescent="0.25">
      <c r="A920" s="7"/>
      <c r="B920" s="8"/>
      <c r="C920" s="3"/>
      <c r="D920" s="3"/>
      <c r="E920" s="3" t="e">
        <f>VLOOKUP(D920,VIAJES!$D:$E,2,FALSE)</f>
        <v>#N/A</v>
      </c>
      <c r="F920" s="9" t="e">
        <f>VLOOKUP(D920,VIAJES!$D:$F,3,FALSE)</f>
        <v>#N/A</v>
      </c>
      <c r="G920" s="9" t="e">
        <f>VLOOKUP(D920,VIAJES!$D:$G,4,FALSE)</f>
        <v>#N/A</v>
      </c>
      <c r="H920" s="3" t="e">
        <f>VLOOKUP(D920,VIAJES!$D:$H,5,FALSE)</f>
        <v>#N/A</v>
      </c>
      <c r="S920" s="3">
        <f>IFERROR(INDEX(EVENTOS!$D:$D,MATCH(SCORE!S$2&amp;" "&amp;SCORE!$D920,EVENTOS!$F:$F,0)),0)</f>
        <v>0</v>
      </c>
      <c r="T920" s="3">
        <f>IFERROR(INDEX(EVENTOS!$D:$D,MATCH(SCORE!T$2&amp;" "&amp;SCORE!$D920,EVENTOS!$F:$F,0)),0)</f>
        <v>0</v>
      </c>
      <c r="U920" s="3">
        <f>IFERROR(INDEX(EVENTOS!$D:$D,MATCH(SCORE!U$2&amp;" "&amp;SCORE!$D920,EVENTOS!$F:$F,0)),0)</f>
        <v>0</v>
      </c>
      <c r="V920" s="3">
        <f>IFERROR(INDEX(EVENTOS!$D:$D,MATCH(SCORE!V$2&amp;" "&amp;SCORE!$D920,EVENTOS!$F:$F,0)),0)</f>
        <v>0</v>
      </c>
      <c r="W920" s="3">
        <f>IFERROR(INDEX(EVENTOS!$D:$D,MATCH(SCORE!W$2&amp;" "&amp;SCORE!$D920,EVENTOS!$F:$F,0)),0)</f>
        <v>0</v>
      </c>
      <c r="X920" s="3">
        <f>IFERROR(INDEX(EVENTOS!$D:$D,MATCH(SCORE!X$2&amp;" "&amp;SCORE!$D920,EVENTOS!$F:$F,0)),0)</f>
        <v>0</v>
      </c>
      <c r="Y920" s="3">
        <f>SUMIFS(EVENTOS!$D:$D, EVENTOS!$B:$B, D920, EVENTOS!$E:$E, "*GirAlto*")</f>
        <v>0</v>
      </c>
      <c r="Z920" s="3">
        <f>SUMIFS(EVENTOS!$D:$D, EVENTOS!$B:$B, D920, EVENTOS!$E:$E, "*GirMed*")</f>
        <v>0</v>
      </c>
      <c r="AA920" s="3">
        <f>SUMIFS(EVENTOS!$D:$D, EVENTOS!$B:$B, D920, EVENTOS!$E:$E, "*GirBajo*")</f>
        <v>0</v>
      </c>
      <c r="AB920" s="3">
        <f>IFERROR(INDEX(EVENTOS!$D:$D,MATCH(SCORE!AB$2&amp;" "&amp;SCORE!$D920,EVENTOS!$F:$F,0)),0)</f>
        <v>0</v>
      </c>
      <c r="AC920" s="3">
        <f>IFERROR(INDEX(EVENTOS!$D:$D,MATCH(SCORE!AC$2&amp;" "&amp;SCORE!$D920,EVENTOS!$F:$F,0)),0)</f>
        <v>0</v>
      </c>
      <c r="AD920" s="3">
        <f>IFERROR(INDEX(EVENTOS!$D:$D,MATCH(SCORE!AD$2&amp;" "&amp;SCORE!$D920,EVENTOS!$F:$F,0)),0)</f>
        <v>0</v>
      </c>
      <c r="AE920" s="3">
        <f t="shared" si="42"/>
        <v>0</v>
      </c>
      <c r="AF920" s="10" t="e">
        <f t="shared" si="43"/>
        <v>#N/A</v>
      </c>
      <c r="AG920" s="3" t="str">
        <f t="shared" si="44"/>
        <v/>
      </c>
    </row>
    <row r="921" spans="1:33" x14ac:dyDescent="0.25">
      <c r="A921" s="7"/>
      <c r="B921" s="8"/>
      <c r="C921" s="3"/>
      <c r="D921" s="3"/>
      <c r="E921" s="3" t="e">
        <f>VLOOKUP(D921,VIAJES!$D:$E,2,FALSE)</f>
        <v>#N/A</v>
      </c>
      <c r="F921" s="9" t="e">
        <f>VLOOKUP(D921,VIAJES!$D:$F,3,FALSE)</f>
        <v>#N/A</v>
      </c>
      <c r="G921" s="9" t="e">
        <f>VLOOKUP(D921,VIAJES!$D:$G,4,FALSE)</f>
        <v>#N/A</v>
      </c>
      <c r="H921" s="3" t="e">
        <f>VLOOKUP(D921,VIAJES!$D:$H,5,FALSE)</f>
        <v>#N/A</v>
      </c>
      <c r="S921" s="3">
        <f>IFERROR(INDEX(EVENTOS!$D:$D,MATCH(SCORE!S$2&amp;" "&amp;SCORE!$D921,EVENTOS!$F:$F,0)),0)</f>
        <v>0</v>
      </c>
      <c r="T921" s="3">
        <f>IFERROR(INDEX(EVENTOS!$D:$D,MATCH(SCORE!T$2&amp;" "&amp;SCORE!$D921,EVENTOS!$F:$F,0)),0)</f>
        <v>0</v>
      </c>
      <c r="U921" s="3">
        <f>IFERROR(INDEX(EVENTOS!$D:$D,MATCH(SCORE!U$2&amp;" "&amp;SCORE!$D921,EVENTOS!$F:$F,0)),0)</f>
        <v>0</v>
      </c>
      <c r="V921" s="3">
        <f>IFERROR(INDEX(EVENTOS!$D:$D,MATCH(SCORE!V$2&amp;" "&amp;SCORE!$D921,EVENTOS!$F:$F,0)),0)</f>
        <v>0</v>
      </c>
      <c r="W921" s="3">
        <f>IFERROR(INDEX(EVENTOS!$D:$D,MATCH(SCORE!W$2&amp;" "&amp;SCORE!$D921,EVENTOS!$F:$F,0)),0)</f>
        <v>0</v>
      </c>
      <c r="X921" s="3">
        <f>IFERROR(INDEX(EVENTOS!$D:$D,MATCH(SCORE!X$2&amp;" "&amp;SCORE!$D921,EVENTOS!$F:$F,0)),0)</f>
        <v>0</v>
      </c>
      <c r="Y921" s="3">
        <f>SUMIFS(EVENTOS!$D:$D, EVENTOS!$B:$B, D921, EVENTOS!$E:$E, "*GirAlto*")</f>
        <v>0</v>
      </c>
      <c r="Z921" s="3">
        <f>SUMIFS(EVENTOS!$D:$D, EVENTOS!$B:$B, D921, EVENTOS!$E:$E, "*GirMed*")</f>
        <v>0</v>
      </c>
      <c r="AA921" s="3">
        <f>SUMIFS(EVENTOS!$D:$D, EVENTOS!$B:$B, D921, EVENTOS!$E:$E, "*GirBajo*")</f>
        <v>0</v>
      </c>
      <c r="AB921" s="3">
        <f>IFERROR(INDEX(EVENTOS!$D:$D,MATCH(SCORE!AB$2&amp;" "&amp;SCORE!$D921,EVENTOS!$F:$F,0)),0)</f>
        <v>0</v>
      </c>
      <c r="AC921" s="3">
        <f>IFERROR(INDEX(EVENTOS!$D:$D,MATCH(SCORE!AC$2&amp;" "&amp;SCORE!$D921,EVENTOS!$F:$F,0)),0)</f>
        <v>0</v>
      </c>
      <c r="AD921" s="3">
        <f>IFERROR(INDEX(EVENTOS!$D:$D,MATCH(SCORE!AD$2&amp;" "&amp;SCORE!$D921,EVENTOS!$F:$F,0)),0)</f>
        <v>0</v>
      </c>
      <c r="AE921" s="3">
        <f t="shared" si="42"/>
        <v>0</v>
      </c>
      <c r="AF921" s="10" t="e">
        <f t="shared" si="43"/>
        <v>#N/A</v>
      </c>
      <c r="AG921" s="3" t="str">
        <f t="shared" si="44"/>
        <v/>
      </c>
    </row>
    <row r="922" spans="1:33" x14ac:dyDescent="0.25">
      <c r="A922" s="7"/>
      <c r="B922" s="8"/>
      <c r="C922" s="3"/>
      <c r="D922" s="3"/>
      <c r="E922" s="3" t="e">
        <f>VLOOKUP(D922,VIAJES!$D:$E,2,FALSE)</f>
        <v>#N/A</v>
      </c>
      <c r="F922" s="9" t="e">
        <f>VLOOKUP(D922,VIAJES!$D:$F,3,FALSE)</f>
        <v>#N/A</v>
      </c>
      <c r="G922" s="9" t="e">
        <f>VLOOKUP(D922,VIAJES!$D:$G,4,FALSE)</f>
        <v>#N/A</v>
      </c>
      <c r="H922" s="3" t="e">
        <f>VLOOKUP(D922,VIAJES!$D:$H,5,FALSE)</f>
        <v>#N/A</v>
      </c>
      <c r="S922" s="3">
        <f>IFERROR(INDEX(EVENTOS!$D:$D,MATCH(SCORE!S$2&amp;" "&amp;SCORE!$D922,EVENTOS!$F:$F,0)),0)</f>
        <v>0</v>
      </c>
      <c r="T922" s="3">
        <f>IFERROR(INDEX(EVENTOS!$D:$D,MATCH(SCORE!T$2&amp;" "&amp;SCORE!$D922,EVENTOS!$F:$F,0)),0)</f>
        <v>0</v>
      </c>
      <c r="U922" s="3">
        <f>IFERROR(INDEX(EVENTOS!$D:$D,MATCH(SCORE!U$2&amp;" "&amp;SCORE!$D922,EVENTOS!$F:$F,0)),0)</f>
        <v>0</v>
      </c>
      <c r="V922" s="3">
        <f>IFERROR(INDEX(EVENTOS!$D:$D,MATCH(SCORE!V$2&amp;" "&amp;SCORE!$D922,EVENTOS!$F:$F,0)),0)</f>
        <v>0</v>
      </c>
      <c r="W922" s="3">
        <f>IFERROR(INDEX(EVENTOS!$D:$D,MATCH(SCORE!W$2&amp;" "&amp;SCORE!$D922,EVENTOS!$F:$F,0)),0)</f>
        <v>0</v>
      </c>
      <c r="X922" s="3">
        <f>IFERROR(INDEX(EVENTOS!$D:$D,MATCH(SCORE!X$2&amp;" "&amp;SCORE!$D922,EVENTOS!$F:$F,0)),0)</f>
        <v>0</v>
      </c>
      <c r="Y922" s="3">
        <f>SUMIFS(EVENTOS!$D:$D, EVENTOS!$B:$B, D922, EVENTOS!$E:$E, "*GirAlto*")</f>
        <v>0</v>
      </c>
      <c r="Z922" s="3">
        <f>SUMIFS(EVENTOS!$D:$D, EVENTOS!$B:$B, D922, EVENTOS!$E:$E, "*GirMed*")</f>
        <v>0</v>
      </c>
      <c r="AA922" s="3">
        <f>SUMIFS(EVENTOS!$D:$D, EVENTOS!$B:$B, D922, EVENTOS!$E:$E, "*GirBajo*")</f>
        <v>0</v>
      </c>
      <c r="AB922" s="3">
        <f>IFERROR(INDEX(EVENTOS!$D:$D,MATCH(SCORE!AB$2&amp;" "&amp;SCORE!$D922,EVENTOS!$F:$F,0)),0)</f>
        <v>0</v>
      </c>
      <c r="AC922" s="3">
        <f>IFERROR(INDEX(EVENTOS!$D:$D,MATCH(SCORE!AC$2&amp;" "&amp;SCORE!$D922,EVENTOS!$F:$F,0)),0)</f>
        <v>0</v>
      </c>
      <c r="AD922" s="3">
        <f>IFERROR(INDEX(EVENTOS!$D:$D,MATCH(SCORE!AD$2&amp;" "&amp;SCORE!$D922,EVENTOS!$F:$F,0)),0)</f>
        <v>0</v>
      </c>
      <c r="AE922" s="3">
        <f t="shared" si="42"/>
        <v>0</v>
      </c>
      <c r="AF922" s="10" t="e">
        <f t="shared" si="43"/>
        <v>#N/A</v>
      </c>
      <c r="AG922" s="3" t="str">
        <f t="shared" si="44"/>
        <v/>
      </c>
    </row>
    <row r="923" spans="1:33" x14ac:dyDescent="0.25">
      <c r="A923" s="7"/>
      <c r="B923" s="8"/>
      <c r="C923" s="3"/>
      <c r="D923" s="3"/>
      <c r="E923" s="3" t="e">
        <f>VLOOKUP(D923,VIAJES!$D:$E,2,FALSE)</f>
        <v>#N/A</v>
      </c>
      <c r="F923" s="9" t="e">
        <f>VLOOKUP(D923,VIAJES!$D:$F,3,FALSE)</f>
        <v>#N/A</v>
      </c>
      <c r="G923" s="9" t="e">
        <f>VLOOKUP(D923,VIAJES!$D:$G,4,FALSE)</f>
        <v>#N/A</v>
      </c>
      <c r="H923" s="3" t="e">
        <f>VLOOKUP(D923,VIAJES!$D:$H,5,FALSE)</f>
        <v>#N/A</v>
      </c>
      <c r="S923" s="3">
        <f>IFERROR(INDEX(EVENTOS!$D:$D,MATCH(SCORE!S$2&amp;" "&amp;SCORE!$D923,EVENTOS!$F:$F,0)),0)</f>
        <v>0</v>
      </c>
      <c r="T923" s="3">
        <f>IFERROR(INDEX(EVENTOS!$D:$D,MATCH(SCORE!T$2&amp;" "&amp;SCORE!$D923,EVENTOS!$F:$F,0)),0)</f>
        <v>0</v>
      </c>
      <c r="U923" s="3">
        <f>IFERROR(INDEX(EVENTOS!$D:$D,MATCH(SCORE!U$2&amp;" "&amp;SCORE!$D923,EVENTOS!$F:$F,0)),0)</f>
        <v>0</v>
      </c>
      <c r="V923" s="3">
        <f>IFERROR(INDEX(EVENTOS!$D:$D,MATCH(SCORE!V$2&amp;" "&amp;SCORE!$D923,EVENTOS!$F:$F,0)),0)</f>
        <v>0</v>
      </c>
      <c r="W923" s="3">
        <f>IFERROR(INDEX(EVENTOS!$D:$D,MATCH(SCORE!W$2&amp;" "&amp;SCORE!$D923,EVENTOS!$F:$F,0)),0)</f>
        <v>0</v>
      </c>
      <c r="X923" s="3">
        <f>IFERROR(INDEX(EVENTOS!$D:$D,MATCH(SCORE!X$2&amp;" "&amp;SCORE!$D923,EVENTOS!$F:$F,0)),0)</f>
        <v>0</v>
      </c>
      <c r="Y923" s="3">
        <f>SUMIFS(EVENTOS!$D:$D, EVENTOS!$B:$B, D923, EVENTOS!$E:$E, "*GirAlto*")</f>
        <v>0</v>
      </c>
      <c r="Z923" s="3">
        <f>SUMIFS(EVENTOS!$D:$D, EVENTOS!$B:$B, D923, EVENTOS!$E:$E, "*GirMed*")</f>
        <v>0</v>
      </c>
      <c r="AA923" s="3">
        <f>SUMIFS(EVENTOS!$D:$D, EVENTOS!$B:$B, D923, EVENTOS!$E:$E, "*GirBajo*")</f>
        <v>0</v>
      </c>
      <c r="AB923" s="3">
        <f>IFERROR(INDEX(EVENTOS!$D:$D,MATCH(SCORE!AB$2&amp;" "&amp;SCORE!$D923,EVENTOS!$F:$F,0)),0)</f>
        <v>0</v>
      </c>
      <c r="AC923" s="3">
        <f>IFERROR(INDEX(EVENTOS!$D:$D,MATCH(SCORE!AC$2&amp;" "&amp;SCORE!$D923,EVENTOS!$F:$F,0)),0)</f>
        <v>0</v>
      </c>
      <c r="AD923" s="3">
        <f>IFERROR(INDEX(EVENTOS!$D:$D,MATCH(SCORE!AD$2&amp;" "&amp;SCORE!$D923,EVENTOS!$F:$F,0)),0)</f>
        <v>0</v>
      </c>
      <c r="AE923" s="3">
        <f t="shared" si="42"/>
        <v>0</v>
      </c>
      <c r="AF923" s="10" t="e">
        <f t="shared" si="43"/>
        <v>#N/A</v>
      </c>
      <c r="AG923" s="3" t="str">
        <f t="shared" si="44"/>
        <v/>
      </c>
    </row>
    <row r="924" spans="1:33" x14ac:dyDescent="0.25">
      <c r="A924" s="7"/>
      <c r="B924" s="8"/>
      <c r="C924" s="3"/>
      <c r="D924" s="3"/>
      <c r="E924" s="3" t="e">
        <f>VLOOKUP(D924,VIAJES!$D:$E,2,FALSE)</f>
        <v>#N/A</v>
      </c>
      <c r="F924" s="9" t="e">
        <f>VLOOKUP(D924,VIAJES!$D:$F,3,FALSE)</f>
        <v>#N/A</v>
      </c>
      <c r="G924" s="9" t="e">
        <f>VLOOKUP(D924,VIAJES!$D:$G,4,FALSE)</f>
        <v>#N/A</v>
      </c>
      <c r="H924" s="3" t="e">
        <f>VLOOKUP(D924,VIAJES!$D:$H,5,FALSE)</f>
        <v>#N/A</v>
      </c>
      <c r="S924" s="3">
        <f>IFERROR(INDEX(EVENTOS!$D:$D,MATCH(SCORE!S$2&amp;" "&amp;SCORE!$D924,EVENTOS!$F:$F,0)),0)</f>
        <v>0</v>
      </c>
      <c r="T924" s="3">
        <f>IFERROR(INDEX(EVENTOS!$D:$D,MATCH(SCORE!T$2&amp;" "&amp;SCORE!$D924,EVENTOS!$F:$F,0)),0)</f>
        <v>0</v>
      </c>
      <c r="U924" s="3">
        <f>IFERROR(INDEX(EVENTOS!$D:$D,MATCH(SCORE!U$2&amp;" "&amp;SCORE!$D924,EVENTOS!$F:$F,0)),0)</f>
        <v>0</v>
      </c>
      <c r="V924" s="3">
        <f>IFERROR(INDEX(EVENTOS!$D:$D,MATCH(SCORE!V$2&amp;" "&amp;SCORE!$D924,EVENTOS!$F:$F,0)),0)</f>
        <v>0</v>
      </c>
      <c r="W924" s="3">
        <f>IFERROR(INDEX(EVENTOS!$D:$D,MATCH(SCORE!W$2&amp;" "&amp;SCORE!$D924,EVENTOS!$F:$F,0)),0)</f>
        <v>0</v>
      </c>
      <c r="X924" s="3">
        <f>IFERROR(INDEX(EVENTOS!$D:$D,MATCH(SCORE!X$2&amp;" "&amp;SCORE!$D924,EVENTOS!$F:$F,0)),0)</f>
        <v>0</v>
      </c>
      <c r="Y924" s="3">
        <f>SUMIFS(EVENTOS!$D:$D, EVENTOS!$B:$B, D924, EVENTOS!$E:$E, "*GirAlto*")</f>
        <v>0</v>
      </c>
      <c r="Z924" s="3">
        <f>SUMIFS(EVENTOS!$D:$D, EVENTOS!$B:$B, D924, EVENTOS!$E:$E, "*GirMed*")</f>
        <v>0</v>
      </c>
      <c r="AA924" s="3">
        <f>SUMIFS(EVENTOS!$D:$D, EVENTOS!$B:$B, D924, EVENTOS!$E:$E, "*GirBajo*")</f>
        <v>0</v>
      </c>
      <c r="AB924" s="3">
        <f>IFERROR(INDEX(EVENTOS!$D:$D,MATCH(SCORE!AB$2&amp;" "&amp;SCORE!$D924,EVENTOS!$F:$F,0)),0)</f>
        <v>0</v>
      </c>
      <c r="AC924" s="3">
        <f>IFERROR(INDEX(EVENTOS!$D:$D,MATCH(SCORE!AC$2&amp;" "&amp;SCORE!$D924,EVENTOS!$F:$F,0)),0)</f>
        <v>0</v>
      </c>
      <c r="AD924" s="3">
        <f>IFERROR(INDEX(EVENTOS!$D:$D,MATCH(SCORE!AD$2&amp;" "&amp;SCORE!$D924,EVENTOS!$F:$F,0)),0)</f>
        <v>0</v>
      </c>
      <c r="AE924" s="3">
        <f t="shared" si="42"/>
        <v>0</v>
      </c>
      <c r="AF924" s="10" t="e">
        <f t="shared" si="43"/>
        <v>#N/A</v>
      </c>
      <c r="AG924" s="3" t="str">
        <f t="shared" si="44"/>
        <v/>
      </c>
    </row>
    <row r="925" spans="1:33" x14ac:dyDescent="0.25">
      <c r="A925" s="7"/>
      <c r="B925" s="8"/>
      <c r="C925" s="3"/>
      <c r="D925" s="3"/>
      <c r="E925" s="3" t="e">
        <f>VLOOKUP(D925,VIAJES!$D:$E,2,FALSE)</f>
        <v>#N/A</v>
      </c>
      <c r="F925" s="9" t="e">
        <f>VLOOKUP(D925,VIAJES!$D:$F,3,FALSE)</f>
        <v>#N/A</v>
      </c>
      <c r="G925" s="9" t="e">
        <f>VLOOKUP(D925,VIAJES!$D:$G,4,FALSE)</f>
        <v>#N/A</v>
      </c>
      <c r="H925" s="3" t="e">
        <f>VLOOKUP(D925,VIAJES!$D:$H,5,FALSE)</f>
        <v>#N/A</v>
      </c>
      <c r="S925" s="3">
        <f>IFERROR(INDEX(EVENTOS!$D:$D,MATCH(SCORE!S$2&amp;" "&amp;SCORE!$D925,EVENTOS!$F:$F,0)),0)</f>
        <v>0</v>
      </c>
      <c r="T925" s="3">
        <f>IFERROR(INDEX(EVENTOS!$D:$D,MATCH(SCORE!T$2&amp;" "&amp;SCORE!$D925,EVENTOS!$F:$F,0)),0)</f>
        <v>0</v>
      </c>
      <c r="U925" s="3">
        <f>IFERROR(INDEX(EVENTOS!$D:$D,MATCH(SCORE!U$2&amp;" "&amp;SCORE!$D925,EVENTOS!$F:$F,0)),0)</f>
        <v>0</v>
      </c>
      <c r="V925" s="3">
        <f>IFERROR(INDEX(EVENTOS!$D:$D,MATCH(SCORE!V$2&amp;" "&amp;SCORE!$D925,EVENTOS!$F:$F,0)),0)</f>
        <v>0</v>
      </c>
      <c r="W925" s="3">
        <f>IFERROR(INDEX(EVENTOS!$D:$D,MATCH(SCORE!W$2&amp;" "&amp;SCORE!$D925,EVENTOS!$F:$F,0)),0)</f>
        <v>0</v>
      </c>
      <c r="X925" s="3">
        <f>IFERROR(INDEX(EVENTOS!$D:$D,MATCH(SCORE!X$2&amp;" "&amp;SCORE!$D925,EVENTOS!$F:$F,0)),0)</f>
        <v>0</v>
      </c>
      <c r="Y925" s="3">
        <f>SUMIFS(EVENTOS!$D:$D, EVENTOS!$B:$B, D925, EVENTOS!$E:$E, "*GirAlto*")</f>
        <v>0</v>
      </c>
      <c r="Z925" s="3">
        <f>SUMIFS(EVENTOS!$D:$D, EVENTOS!$B:$B, D925, EVENTOS!$E:$E, "*GirMed*")</f>
        <v>0</v>
      </c>
      <c r="AA925" s="3">
        <f>SUMIFS(EVENTOS!$D:$D, EVENTOS!$B:$B, D925, EVENTOS!$E:$E, "*GirBajo*")</f>
        <v>0</v>
      </c>
      <c r="AB925" s="3">
        <f>IFERROR(INDEX(EVENTOS!$D:$D,MATCH(SCORE!AB$2&amp;" "&amp;SCORE!$D925,EVENTOS!$F:$F,0)),0)</f>
        <v>0</v>
      </c>
      <c r="AC925" s="3">
        <f>IFERROR(INDEX(EVENTOS!$D:$D,MATCH(SCORE!AC$2&amp;" "&amp;SCORE!$D925,EVENTOS!$F:$F,0)),0)</f>
        <v>0</v>
      </c>
      <c r="AD925" s="3">
        <f>IFERROR(INDEX(EVENTOS!$D:$D,MATCH(SCORE!AD$2&amp;" "&amp;SCORE!$D925,EVENTOS!$F:$F,0)),0)</f>
        <v>0</v>
      </c>
      <c r="AE925" s="3">
        <f t="shared" si="42"/>
        <v>0</v>
      </c>
      <c r="AF925" s="10" t="e">
        <f t="shared" si="43"/>
        <v>#N/A</v>
      </c>
      <c r="AG925" s="3" t="str">
        <f t="shared" si="44"/>
        <v/>
      </c>
    </row>
    <row r="926" spans="1:33" x14ac:dyDescent="0.25">
      <c r="A926" s="7"/>
      <c r="B926" s="8"/>
      <c r="C926" s="3"/>
      <c r="D926" s="3"/>
      <c r="E926" s="3" t="e">
        <f>VLOOKUP(D926,VIAJES!$D:$E,2,FALSE)</f>
        <v>#N/A</v>
      </c>
      <c r="F926" s="9" t="e">
        <f>VLOOKUP(D926,VIAJES!$D:$F,3,FALSE)</f>
        <v>#N/A</v>
      </c>
      <c r="G926" s="9" t="e">
        <f>VLOOKUP(D926,VIAJES!$D:$G,4,FALSE)</f>
        <v>#N/A</v>
      </c>
      <c r="H926" s="3" t="e">
        <f>VLOOKUP(D926,VIAJES!$D:$H,5,FALSE)</f>
        <v>#N/A</v>
      </c>
      <c r="S926" s="3">
        <f>IFERROR(INDEX(EVENTOS!$D:$D,MATCH(SCORE!S$2&amp;" "&amp;SCORE!$D926,EVENTOS!$F:$F,0)),0)</f>
        <v>0</v>
      </c>
      <c r="T926" s="3">
        <f>IFERROR(INDEX(EVENTOS!$D:$D,MATCH(SCORE!T$2&amp;" "&amp;SCORE!$D926,EVENTOS!$F:$F,0)),0)</f>
        <v>0</v>
      </c>
      <c r="U926" s="3">
        <f>IFERROR(INDEX(EVENTOS!$D:$D,MATCH(SCORE!U$2&amp;" "&amp;SCORE!$D926,EVENTOS!$F:$F,0)),0)</f>
        <v>0</v>
      </c>
      <c r="V926" s="3">
        <f>IFERROR(INDEX(EVENTOS!$D:$D,MATCH(SCORE!V$2&amp;" "&amp;SCORE!$D926,EVENTOS!$F:$F,0)),0)</f>
        <v>0</v>
      </c>
      <c r="W926" s="3">
        <f>IFERROR(INDEX(EVENTOS!$D:$D,MATCH(SCORE!W$2&amp;" "&amp;SCORE!$D926,EVENTOS!$F:$F,0)),0)</f>
        <v>0</v>
      </c>
      <c r="X926" s="3">
        <f>IFERROR(INDEX(EVENTOS!$D:$D,MATCH(SCORE!X$2&amp;" "&amp;SCORE!$D926,EVENTOS!$F:$F,0)),0)</f>
        <v>0</v>
      </c>
      <c r="Y926" s="3">
        <f>SUMIFS(EVENTOS!$D:$D, EVENTOS!$B:$B, D926, EVENTOS!$E:$E, "*GirAlto*")</f>
        <v>0</v>
      </c>
      <c r="Z926" s="3">
        <f>SUMIFS(EVENTOS!$D:$D, EVENTOS!$B:$B, D926, EVENTOS!$E:$E, "*GirMed*")</f>
        <v>0</v>
      </c>
      <c r="AA926" s="3">
        <f>SUMIFS(EVENTOS!$D:$D, EVENTOS!$B:$B, D926, EVENTOS!$E:$E, "*GirBajo*")</f>
        <v>0</v>
      </c>
      <c r="AB926" s="3">
        <f>IFERROR(INDEX(EVENTOS!$D:$D,MATCH(SCORE!AB$2&amp;" "&amp;SCORE!$D926,EVENTOS!$F:$F,0)),0)</f>
        <v>0</v>
      </c>
      <c r="AC926" s="3">
        <f>IFERROR(INDEX(EVENTOS!$D:$D,MATCH(SCORE!AC$2&amp;" "&amp;SCORE!$D926,EVENTOS!$F:$F,0)),0)</f>
        <v>0</v>
      </c>
      <c r="AD926" s="3">
        <f>IFERROR(INDEX(EVENTOS!$D:$D,MATCH(SCORE!AD$2&amp;" "&amp;SCORE!$D926,EVENTOS!$F:$F,0)),0)</f>
        <v>0</v>
      </c>
      <c r="AE926" s="3">
        <f t="shared" si="42"/>
        <v>0</v>
      </c>
      <c r="AF926" s="10" t="e">
        <f t="shared" si="43"/>
        <v>#N/A</v>
      </c>
      <c r="AG926" s="3" t="str">
        <f t="shared" si="44"/>
        <v/>
      </c>
    </row>
    <row r="927" spans="1:33" x14ac:dyDescent="0.25">
      <c r="A927" s="7"/>
      <c r="B927" s="8"/>
      <c r="C927" s="3"/>
      <c r="D927" s="3"/>
      <c r="E927" s="3" t="e">
        <f>VLOOKUP(D927,VIAJES!$D:$E,2,FALSE)</f>
        <v>#N/A</v>
      </c>
      <c r="F927" s="9" t="e">
        <f>VLOOKUP(D927,VIAJES!$D:$F,3,FALSE)</f>
        <v>#N/A</v>
      </c>
      <c r="G927" s="9" t="e">
        <f>VLOOKUP(D927,VIAJES!$D:$G,4,FALSE)</f>
        <v>#N/A</v>
      </c>
      <c r="H927" s="3" t="e">
        <f>VLOOKUP(D927,VIAJES!$D:$H,5,FALSE)</f>
        <v>#N/A</v>
      </c>
      <c r="S927" s="3">
        <f>IFERROR(INDEX(EVENTOS!$D:$D,MATCH(SCORE!S$2&amp;" "&amp;SCORE!$D927,EVENTOS!$F:$F,0)),0)</f>
        <v>0</v>
      </c>
      <c r="T927" s="3">
        <f>IFERROR(INDEX(EVENTOS!$D:$D,MATCH(SCORE!T$2&amp;" "&amp;SCORE!$D927,EVENTOS!$F:$F,0)),0)</f>
        <v>0</v>
      </c>
      <c r="U927" s="3">
        <f>IFERROR(INDEX(EVENTOS!$D:$D,MATCH(SCORE!U$2&amp;" "&amp;SCORE!$D927,EVENTOS!$F:$F,0)),0)</f>
        <v>0</v>
      </c>
      <c r="V927" s="3">
        <f>IFERROR(INDEX(EVENTOS!$D:$D,MATCH(SCORE!V$2&amp;" "&amp;SCORE!$D927,EVENTOS!$F:$F,0)),0)</f>
        <v>0</v>
      </c>
      <c r="W927" s="3">
        <f>IFERROR(INDEX(EVENTOS!$D:$D,MATCH(SCORE!W$2&amp;" "&amp;SCORE!$D927,EVENTOS!$F:$F,0)),0)</f>
        <v>0</v>
      </c>
      <c r="X927" s="3">
        <f>IFERROR(INDEX(EVENTOS!$D:$D,MATCH(SCORE!X$2&amp;" "&amp;SCORE!$D927,EVENTOS!$F:$F,0)),0)</f>
        <v>0</v>
      </c>
      <c r="Y927" s="3">
        <f>SUMIFS(EVENTOS!$D:$D, EVENTOS!$B:$B, D927, EVENTOS!$E:$E, "*GirAlto*")</f>
        <v>0</v>
      </c>
      <c r="Z927" s="3">
        <f>SUMIFS(EVENTOS!$D:$D, EVENTOS!$B:$B, D927, EVENTOS!$E:$E, "*GirMed*")</f>
        <v>0</v>
      </c>
      <c r="AA927" s="3">
        <f>SUMIFS(EVENTOS!$D:$D, EVENTOS!$B:$B, D927, EVENTOS!$E:$E, "*GirBajo*")</f>
        <v>0</v>
      </c>
      <c r="AB927" s="3">
        <f>IFERROR(INDEX(EVENTOS!$D:$D,MATCH(SCORE!AB$2&amp;" "&amp;SCORE!$D927,EVENTOS!$F:$F,0)),0)</f>
        <v>0</v>
      </c>
      <c r="AC927" s="3">
        <f>IFERROR(INDEX(EVENTOS!$D:$D,MATCH(SCORE!AC$2&amp;" "&amp;SCORE!$D927,EVENTOS!$F:$F,0)),0)</f>
        <v>0</v>
      </c>
      <c r="AD927" s="3">
        <f>IFERROR(INDEX(EVENTOS!$D:$D,MATCH(SCORE!AD$2&amp;" "&amp;SCORE!$D927,EVENTOS!$F:$F,0)),0)</f>
        <v>0</v>
      </c>
      <c r="AE927" s="3">
        <f t="shared" si="42"/>
        <v>0</v>
      </c>
      <c r="AF927" s="10" t="e">
        <f t="shared" si="43"/>
        <v>#N/A</v>
      </c>
      <c r="AG927" s="3" t="str">
        <f t="shared" si="44"/>
        <v/>
      </c>
    </row>
    <row r="928" spans="1:33" x14ac:dyDescent="0.25">
      <c r="A928" s="7"/>
      <c r="B928" s="8"/>
      <c r="C928" s="3"/>
      <c r="D928" s="3"/>
      <c r="E928" s="3" t="e">
        <f>VLOOKUP(D928,VIAJES!$D:$E,2,FALSE)</f>
        <v>#N/A</v>
      </c>
      <c r="F928" s="9" t="e">
        <f>VLOOKUP(D928,VIAJES!$D:$F,3,FALSE)</f>
        <v>#N/A</v>
      </c>
      <c r="G928" s="9" t="e">
        <f>VLOOKUP(D928,VIAJES!$D:$G,4,FALSE)</f>
        <v>#N/A</v>
      </c>
      <c r="H928" s="3" t="e">
        <f>VLOOKUP(D928,VIAJES!$D:$H,5,FALSE)</f>
        <v>#N/A</v>
      </c>
      <c r="S928" s="3">
        <f>IFERROR(INDEX(EVENTOS!$D:$D,MATCH(SCORE!S$2&amp;" "&amp;SCORE!$D928,EVENTOS!$F:$F,0)),0)</f>
        <v>0</v>
      </c>
      <c r="T928" s="3">
        <f>IFERROR(INDEX(EVENTOS!$D:$D,MATCH(SCORE!T$2&amp;" "&amp;SCORE!$D928,EVENTOS!$F:$F,0)),0)</f>
        <v>0</v>
      </c>
      <c r="U928" s="3">
        <f>IFERROR(INDEX(EVENTOS!$D:$D,MATCH(SCORE!U$2&amp;" "&amp;SCORE!$D928,EVENTOS!$F:$F,0)),0)</f>
        <v>0</v>
      </c>
      <c r="V928" s="3">
        <f>IFERROR(INDEX(EVENTOS!$D:$D,MATCH(SCORE!V$2&amp;" "&amp;SCORE!$D928,EVENTOS!$F:$F,0)),0)</f>
        <v>0</v>
      </c>
      <c r="W928" s="3">
        <f>IFERROR(INDEX(EVENTOS!$D:$D,MATCH(SCORE!W$2&amp;" "&amp;SCORE!$D928,EVENTOS!$F:$F,0)),0)</f>
        <v>0</v>
      </c>
      <c r="X928" s="3">
        <f>IFERROR(INDEX(EVENTOS!$D:$D,MATCH(SCORE!X$2&amp;" "&amp;SCORE!$D928,EVENTOS!$F:$F,0)),0)</f>
        <v>0</v>
      </c>
      <c r="Y928" s="3">
        <f>SUMIFS(EVENTOS!$D:$D, EVENTOS!$B:$B, D928, EVENTOS!$E:$E, "*GirAlto*")</f>
        <v>0</v>
      </c>
      <c r="Z928" s="3">
        <f>SUMIFS(EVENTOS!$D:$D, EVENTOS!$B:$B, D928, EVENTOS!$E:$E, "*GirMed*")</f>
        <v>0</v>
      </c>
      <c r="AA928" s="3">
        <f>SUMIFS(EVENTOS!$D:$D, EVENTOS!$B:$B, D928, EVENTOS!$E:$E, "*GirBajo*")</f>
        <v>0</v>
      </c>
      <c r="AB928" s="3">
        <f>IFERROR(INDEX(EVENTOS!$D:$D,MATCH(SCORE!AB$2&amp;" "&amp;SCORE!$D928,EVENTOS!$F:$F,0)),0)</f>
        <v>0</v>
      </c>
      <c r="AC928" s="3">
        <f>IFERROR(INDEX(EVENTOS!$D:$D,MATCH(SCORE!AC$2&amp;" "&amp;SCORE!$D928,EVENTOS!$F:$F,0)),0)</f>
        <v>0</v>
      </c>
      <c r="AD928" s="3">
        <f>IFERROR(INDEX(EVENTOS!$D:$D,MATCH(SCORE!AD$2&amp;" "&amp;SCORE!$D928,EVENTOS!$F:$F,0)),0)</f>
        <v>0</v>
      </c>
      <c r="AE928" s="3">
        <f t="shared" si="42"/>
        <v>0</v>
      </c>
      <c r="AF928" s="10" t="e">
        <f t="shared" si="43"/>
        <v>#N/A</v>
      </c>
      <c r="AG928" s="3" t="str">
        <f t="shared" si="44"/>
        <v/>
      </c>
    </row>
    <row r="929" spans="1:33" x14ac:dyDescent="0.25">
      <c r="A929" s="7"/>
      <c r="B929" s="8"/>
      <c r="C929" s="3"/>
      <c r="D929" s="3"/>
      <c r="E929" s="3" t="e">
        <f>VLOOKUP(D929,VIAJES!$D:$E,2,FALSE)</f>
        <v>#N/A</v>
      </c>
      <c r="F929" s="9" t="e">
        <f>VLOOKUP(D929,VIAJES!$D:$F,3,FALSE)</f>
        <v>#N/A</v>
      </c>
      <c r="G929" s="9" t="e">
        <f>VLOOKUP(D929,VIAJES!$D:$G,4,FALSE)</f>
        <v>#N/A</v>
      </c>
      <c r="H929" s="3" t="e">
        <f>VLOOKUP(D929,VIAJES!$D:$H,5,FALSE)</f>
        <v>#N/A</v>
      </c>
      <c r="S929" s="3">
        <f>IFERROR(INDEX(EVENTOS!$D:$D,MATCH(SCORE!S$2&amp;" "&amp;SCORE!$D929,EVENTOS!$F:$F,0)),0)</f>
        <v>0</v>
      </c>
      <c r="T929" s="3">
        <f>IFERROR(INDEX(EVENTOS!$D:$D,MATCH(SCORE!T$2&amp;" "&amp;SCORE!$D929,EVENTOS!$F:$F,0)),0)</f>
        <v>0</v>
      </c>
      <c r="U929" s="3">
        <f>IFERROR(INDEX(EVENTOS!$D:$D,MATCH(SCORE!U$2&amp;" "&amp;SCORE!$D929,EVENTOS!$F:$F,0)),0)</f>
        <v>0</v>
      </c>
      <c r="V929" s="3">
        <f>IFERROR(INDEX(EVENTOS!$D:$D,MATCH(SCORE!V$2&amp;" "&amp;SCORE!$D929,EVENTOS!$F:$F,0)),0)</f>
        <v>0</v>
      </c>
      <c r="W929" s="3">
        <f>IFERROR(INDEX(EVENTOS!$D:$D,MATCH(SCORE!W$2&amp;" "&amp;SCORE!$D929,EVENTOS!$F:$F,0)),0)</f>
        <v>0</v>
      </c>
      <c r="X929" s="3">
        <f>IFERROR(INDEX(EVENTOS!$D:$D,MATCH(SCORE!X$2&amp;" "&amp;SCORE!$D929,EVENTOS!$F:$F,0)),0)</f>
        <v>0</v>
      </c>
      <c r="Y929" s="3">
        <f>SUMIFS(EVENTOS!$D:$D, EVENTOS!$B:$B, D929, EVENTOS!$E:$E, "*GirAlto*")</f>
        <v>0</v>
      </c>
      <c r="Z929" s="3">
        <f>SUMIFS(EVENTOS!$D:$D, EVENTOS!$B:$B, D929, EVENTOS!$E:$E, "*GirMed*")</f>
        <v>0</v>
      </c>
      <c r="AA929" s="3">
        <f>SUMIFS(EVENTOS!$D:$D, EVENTOS!$B:$B, D929, EVENTOS!$E:$E, "*GirBajo*")</f>
        <v>0</v>
      </c>
      <c r="AB929" s="3">
        <f>IFERROR(INDEX(EVENTOS!$D:$D,MATCH(SCORE!AB$2&amp;" "&amp;SCORE!$D929,EVENTOS!$F:$F,0)),0)</f>
        <v>0</v>
      </c>
      <c r="AC929" s="3">
        <f>IFERROR(INDEX(EVENTOS!$D:$D,MATCH(SCORE!AC$2&amp;" "&amp;SCORE!$D929,EVENTOS!$F:$F,0)),0)</f>
        <v>0</v>
      </c>
      <c r="AD929" s="3">
        <f>IFERROR(INDEX(EVENTOS!$D:$D,MATCH(SCORE!AD$2&amp;" "&amp;SCORE!$D929,EVENTOS!$F:$F,0)),0)</f>
        <v>0</v>
      </c>
      <c r="AE929" s="3">
        <f t="shared" si="42"/>
        <v>0</v>
      </c>
      <c r="AF929" s="10" t="e">
        <f t="shared" si="43"/>
        <v>#N/A</v>
      </c>
      <c r="AG929" s="3" t="str">
        <f t="shared" si="44"/>
        <v/>
      </c>
    </row>
    <row r="930" spans="1:33" x14ac:dyDescent="0.25">
      <c r="A930" s="7"/>
      <c r="B930" s="8"/>
      <c r="C930" s="3"/>
      <c r="D930" s="3"/>
      <c r="E930" s="3" t="e">
        <f>VLOOKUP(D930,VIAJES!$D:$E,2,FALSE)</f>
        <v>#N/A</v>
      </c>
      <c r="F930" s="9" t="e">
        <f>VLOOKUP(D930,VIAJES!$D:$F,3,FALSE)</f>
        <v>#N/A</v>
      </c>
      <c r="G930" s="9" t="e">
        <f>VLOOKUP(D930,VIAJES!$D:$G,4,FALSE)</f>
        <v>#N/A</v>
      </c>
      <c r="H930" s="3" t="e">
        <f>VLOOKUP(D930,VIAJES!$D:$H,5,FALSE)</f>
        <v>#N/A</v>
      </c>
      <c r="S930" s="3">
        <f>IFERROR(INDEX(EVENTOS!$D:$D,MATCH(SCORE!S$2&amp;" "&amp;SCORE!$D930,EVENTOS!$F:$F,0)),0)</f>
        <v>0</v>
      </c>
      <c r="T930" s="3">
        <f>IFERROR(INDEX(EVENTOS!$D:$D,MATCH(SCORE!T$2&amp;" "&amp;SCORE!$D930,EVENTOS!$F:$F,0)),0)</f>
        <v>0</v>
      </c>
      <c r="U930" s="3">
        <f>IFERROR(INDEX(EVENTOS!$D:$D,MATCH(SCORE!U$2&amp;" "&amp;SCORE!$D930,EVENTOS!$F:$F,0)),0)</f>
        <v>0</v>
      </c>
      <c r="V930" s="3">
        <f>IFERROR(INDEX(EVENTOS!$D:$D,MATCH(SCORE!V$2&amp;" "&amp;SCORE!$D930,EVENTOS!$F:$F,0)),0)</f>
        <v>0</v>
      </c>
      <c r="W930" s="3">
        <f>IFERROR(INDEX(EVENTOS!$D:$D,MATCH(SCORE!W$2&amp;" "&amp;SCORE!$D930,EVENTOS!$F:$F,0)),0)</f>
        <v>0</v>
      </c>
      <c r="X930" s="3">
        <f>IFERROR(INDEX(EVENTOS!$D:$D,MATCH(SCORE!X$2&amp;" "&amp;SCORE!$D930,EVENTOS!$F:$F,0)),0)</f>
        <v>0</v>
      </c>
      <c r="Y930" s="3">
        <f>SUMIFS(EVENTOS!$D:$D, EVENTOS!$B:$B, D930, EVENTOS!$E:$E, "*GirAlto*")</f>
        <v>0</v>
      </c>
      <c r="Z930" s="3">
        <f>SUMIFS(EVENTOS!$D:$D, EVENTOS!$B:$B, D930, EVENTOS!$E:$E, "*GirMed*")</f>
        <v>0</v>
      </c>
      <c r="AA930" s="3">
        <f>SUMIFS(EVENTOS!$D:$D, EVENTOS!$B:$B, D930, EVENTOS!$E:$E, "*GirBajo*")</f>
        <v>0</v>
      </c>
      <c r="AB930" s="3">
        <f>IFERROR(INDEX(EVENTOS!$D:$D,MATCH(SCORE!AB$2&amp;" "&amp;SCORE!$D930,EVENTOS!$F:$F,0)),0)</f>
        <v>0</v>
      </c>
      <c r="AC930" s="3">
        <f>IFERROR(INDEX(EVENTOS!$D:$D,MATCH(SCORE!AC$2&amp;" "&amp;SCORE!$D930,EVENTOS!$F:$F,0)),0)</f>
        <v>0</v>
      </c>
      <c r="AD930" s="3">
        <f>IFERROR(INDEX(EVENTOS!$D:$D,MATCH(SCORE!AD$2&amp;" "&amp;SCORE!$D930,EVENTOS!$F:$F,0)),0)</f>
        <v>0</v>
      </c>
      <c r="AE930" s="3">
        <f t="shared" si="42"/>
        <v>0</v>
      </c>
      <c r="AF930" s="10" t="e">
        <f t="shared" si="43"/>
        <v>#N/A</v>
      </c>
      <c r="AG930" s="3" t="str">
        <f t="shared" si="44"/>
        <v/>
      </c>
    </row>
    <row r="931" spans="1:33" x14ac:dyDescent="0.25">
      <c r="A931" s="7"/>
      <c r="B931" s="8"/>
      <c r="C931" s="3"/>
      <c r="D931" s="3"/>
      <c r="E931" s="3" t="e">
        <f>VLOOKUP(D931,VIAJES!$D:$E,2,FALSE)</f>
        <v>#N/A</v>
      </c>
      <c r="F931" s="9" t="e">
        <f>VLOOKUP(D931,VIAJES!$D:$F,3,FALSE)</f>
        <v>#N/A</v>
      </c>
      <c r="G931" s="9" t="e">
        <f>VLOOKUP(D931,VIAJES!$D:$G,4,FALSE)</f>
        <v>#N/A</v>
      </c>
      <c r="H931" s="3" t="e">
        <f>VLOOKUP(D931,VIAJES!$D:$H,5,FALSE)</f>
        <v>#N/A</v>
      </c>
      <c r="S931" s="3">
        <f>IFERROR(INDEX(EVENTOS!$D:$D,MATCH(SCORE!S$2&amp;" "&amp;SCORE!$D931,EVENTOS!$F:$F,0)),0)</f>
        <v>0</v>
      </c>
      <c r="T931" s="3">
        <f>IFERROR(INDEX(EVENTOS!$D:$D,MATCH(SCORE!T$2&amp;" "&amp;SCORE!$D931,EVENTOS!$F:$F,0)),0)</f>
        <v>0</v>
      </c>
      <c r="U931" s="3">
        <f>IFERROR(INDEX(EVENTOS!$D:$D,MATCH(SCORE!U$2&amp;" "&amp;SCORE!$D931,EVENTOS!$F:$F,0)),0)</f>
        <v>0</v>
      </c>
      <c r="V931" s="3">
        <f>IFERROR(INDEX(EVENTOS!$D:$D,MATCH(SCORE!V$2&amp;" "&amp;SCORE!$D931,EVENTOS!$F:$F,0)),0)</f>
        <v>0</v>
      </c>
      <c r="W931" s="3">
        <f>IFERROR(INDEX(EVENTOS!$D:$D,MATCH(SCORE!W$2&amp;" "&amp;SCORE!$D931,EVENTOS!$F:$F,0)),0)</f>
        <v>0</v>
      </c>
      <c r="X931" s="3">
        <f>IFERROR(INDEX(EVENTOS!$D:$D,MATCH(SCORE!X$2&amp;" "&amp;SCORE!$D931,EVENTOS!$F:$F,0)),0)</f>
        <v>0</v>
      </c>
      <c r="Y931" s="3">
        <f>SUMIFS(EVENTOS!$D:$D, EVENTOS!$B:$B, D931, EVENTOS!$E:$E, "*GirAlto*")</f>
        <v>0</v>
      </c>
      <c r="Z931" s="3">
        <f>SUMIFS(EVENTOS!$D:$D, EVENTOS!$B:$B, D931, EVENTOS!$E:$E, "*GirMed*")</f>
        <v>0</v>
      </c>
      <c r="AA931" s="3">
        <f>SUMIFS(EVENTOS!$D:$D, EVENTOS!$B:$B, D931, EVENTOS!$E:$E, "*GirBajo*")</f>
        <v>0</v>
      </c>
      <c r="AB931" s="3">
        <f>IFERROR(INDEX(EVENTOS!$D:$D,MATCH(SCORE!AB$2&amp;" "&amp;SCORE!$D931,EVENTOS!$F:$F,0)),0)</f>
        <v>0</v>
      </c>
      <c r="AC931" s="3">
        <f>IFERROR(INDEX(EVENTOS!$D:$D,MATCH(SCORE!AC$2&amp;" "&amp;SCORE!$D931,EVENTOS!$F:$F,0)),0)</f>
        <v>0</v>
      </c>
      <c r="AD931" s="3">
        <f>IFERROR(INDEX(EVENTOS!$D:$D,MATCH(SCORE!AD$2&amp;" "&amp;SCORE!$D931,EVENTOS!$F:$F,0)),0)</f>
        <v>0</v>
      </c>
      <c r="AE931" s="3">
        <f t="shared" si="42"/>
        <v>0</v>
      </c>
      <c r="AF931" s="10" t="e">
        <f t="shared" si="43"/>
        <v>#N/A</v>
      </c>
      <c r="AG931" s="3" t="str">
        <f t="shared" si="44"/>
        <v/>
      </c>
    </row>
    <row r="932" spans="1:33" x14ac:dyDescent="0.25">
      <c r="A932" s="7"/>
      <c r="B932" s="8"/>
      <c r="C932" s="3"/>
      <c r="D932" s="3"/>
      <c r="E932" s="3" t="e">
        <f>VLOOKUP(D932,VIAJES!$D:$E,2,FALSE)</f>
        <v>#N/A</v>
      </c>
      <c r="F932" s="9" t="e">
        <f>VLOOKUP(D932,VIAJES!$D:$F,3,FALSE)</f>
        <v>#N/A</v>
      </c>
      <c r="G932" s="9" t="e">
        <f>VLOOKUP(D932,VIAJES!$D:$G,4,FALSE)</f>
        <v>#N/A</v>
      </c>
      <c r="H932" s="3" t="e">
        <f>VLOOKUP(D932,VIAJES!$D:$H,5,FALSE)</f>
        <v>#N/A</v>
      </c>
      <c r="S932" s="3">
        <f>IFERROR(INDEX(EVENTOS!$D:$D,MATCH(SCORE!S$2&amp;" "&amp;SCORE!$D932,EVENTOS!$F:$F,0)),0)</f>
        <v>0</v>
      </c>
      <c r="T932" s="3">
        <f>IFERROR(INDEX(EVENTOS!$D:$D,MATCH(SCORE!T$2&amp;" "&amp;SCORE!$D932,EVENTOS!$F:$F,0)),0)</f>
        <v>0</v>
      </c>
      <c r="U932" s="3">
        <f>IFERROR(INDEX(EVENTOS!$D:$D,MATCH(SCORE!U$2&amp;" "&amp;SCORE!$D932,EVENTOS!$F:$F,0)),0)</f>
        <v>0</v>
      </c>
      <c r="V932" s="3">
        <f>IFERROR(INDEX(EVENTOS!$D:$D,MATCH(SCORE!V$2&amp;" "&amp;SCORE!$D932,EVENTOS!$F:$F,0)),0)</f>
        <v>0</v>
      </c>
      <c r="W932" s="3">
        <f>IFERROR(INDEX(EVENTOS!$D:$D,MATCH(SCORE!W$2&amp;" "&amp;SCORE!$D932,EVENTOS!$F:$F,0)),0)</f>
        <v>0</v>
      </c>
      <c r="X932" s="3">
        <f>IFERROR(INDEX(EVENTOS!$D:$D,MATCH(SCORE!X$2&amp;" "&amp;SCORE!$D932,EVENTOS!$F:$F,0)),0)</f>
        <v>0</v>
      </c>
      <c r="Y932" s="3">
        <f>SUMIFS(EVENTOS!$D:$D, EVENTOS!$B:$B, D932, EVENTOS!$E:$E, "*GirAlto*")</f>
        <v>0</v>
      </c>
      <c r="Z932" s="3">
        <f>SUMIFS(EVENTOS!$D:$D, EVENTOS!$B:$B, D932, EVENTOS!$E:$E, "*GirMed*")</f>
        <v>0</v>
      </c>
      <c r="AA932" s="3">
        <f>SUMIFS(EVENTOS!$D:$D, EVENTOS!$B:$B, D932, EVENTOS!$E:$E, "*GirBajo*")</f>
        <v>0</v>
      </c>
      <c r="AB932" s="3">
        <f>IFERROR(INDEX(EVENTOS!$D:$D,MATCH(SCORE!AB$2&amp;" "&amp;SCORE!$D932,EVENTOS!$F:$F,0)),0)</f>
        <v>0</v>
      </c>
      <c r="AC932" s="3">
        <f>IFERROR(INDEX(EVENTOS!$D:$D,MATCH(SCORE!AC$2&amp;" "&amp;SCORE!$D932,EVENTOS!$F:$F,0)),0)</f>
        <v>0</v>
      </c>
      <c r="AD932" s="3">
        <f>IFERROR(INDEX(EVENTOS!$D:$D,MATCH(SCORE!AD$2&amp;" "&amp;SCORE!$D932,EVENTOS!$F:$F,0)),0)</f>
        <v>0</v>
      </c>
      <c r="AE932" s="3">
        <f t="shared" si="42"/>
        <v>0</v>
      </c>
      <c r="AF932" s="10" t="e">
        <f t="shared" si="43"/>
        <v>#N/A</v>
      </c>
      <c r="AG932" s="3" t="str">
        <f t="shared" si="44"/>
        <v/>
      </c>
    </row>
    <row r="933" spans="1:33" x14ac:dyDescent="0.25">
      <c r="A933" s="7"/>
      <c r="B933" s="8"/>
      <c r="C933" s="3"/>
      <c r="D933" s="3"/>
      <c r="E933" s="3" t="e">
        <f>VLOOKUP(D933,VIAJES!$D:$E,2,FALSE)</f>
        <v>#N/A</v>
      </c>
      <c r="F933" s="9" t="e">
        <f>VLOOKUP(D933,VIAJES!$D:$F,3,FALSE)</f>
        <v>#N/A</v>
      </c>
      <c r="G933" s="9" t="e">
        <f>VLOOKUP(D933,VIAJES!$D:$G,4,FALSE)</f>
        <v>#N/A</v>
      </c>
      <c r="H933" s="3" t="e">
        <f>VLOOKUP(D933,VIAJES!$D:$H,5,FALSE)</f>
        <v>#N/A</v>
      </c>
      <c r="S933" s="3">
        <f>IFERROR(INDEX(EVENTOS!$D:$D,MATCH(SCORE!S$2&amp;" "&amp;SCORE!$D933,EVENTOS!$F:$F,0)),0)</f>
        <v>0</v>
      </c>
      <c r="T933" s="3">
        <f>IFERROR(INDEX(EVENTOS!$D:$D,MATCH(SCORE!T$2&amp;" "&amp;SCORE!$D933,EVENTOS!$F:$F,0)),0)</f>
        <v>0</v>
      </c>
      <c r="U933" s="3">
        <f>IFERROR(INDEX(EVENTOS!$D:$D,MATCH(SCORE!U$2&amp;" "&amp;SCORE!$D933,EVENTOS!$F:$F,0)),0)</f>
        <v>0</v>
      </c>
      <c r="V933" s="3">
        <f>IFERROR(INDEX(EVENTOS!$D:$D,MATCH(SCORE!V$2&amp;" "&amp;SCORE!$D933,EVENTOS!$F:$F,0)),0)</f>
        <v>0</v>
      </c>
      <c r="W933" s="3">
        <f>IFERROR(INDEX(EVENTOS!$D:$D,MATCH(SCORE!W$2&amp;" "&amp;SCORE!$D933,EVENTOS!$F:$F,0)),0)</f>
        <v>0</v>
      </c>
      <c r="X933" s="3">
        <f>IFERROR(INDEX(EVENTOS!$D:$D,MATCH(SCORE!X$2&amp;" "&amp;SCORE!$D933,EVENTOS!$F:$F,0)),0)</f>
        <v>0</v>
      </c>
      <c r="Y933" s="3">
        <f>SUMIFS(EVENTOS!$D:$D, EVENTOS!$B:$B, D933, EVENTOS!$E:$E, "*GirAlto*")</f>
        <v>0</v>
      </c>
      <c r="Z933" s="3">
        <f>SUMIFS(EVENTOS!$D:$D, EVENTOS!$B:$B, D933, EVENTOS!$E:$E, "*GirMed*")</f>
        <v>0</v>
      </c>
      <c r="AA933" s="3">
        <f>SUMIFS(EVENTOS!$D:$D, EVENTOS!$B:$B, D933, EVENTOS!$E:$E, "*GirBajo*")</f>
        <v>0</v>
      </c>
      <c r="AB933" s="3">
        <f>IFERROR(INDEX(EVENTOS!$D:$D,MATCH(SCORE!AB$2&amp;" "&amp;SCORE!$D933,EVENTOS!$F:$F,0)),0)</f>
        <v>0</v>
      </c>
      <c r="AC933" s="3">
        <f>IFERROR(INDEX(EVENTOS!$D:$D,MATCH(SCORE!AC$2&amp;" "&amp;SCORE!$D933,EVENTOS!$F:$F,0)),0)</f>
        <v>0</v>
      </c>
      <c r="AD933" s="3">
        <f>IFERROR(INDEX(EVENTOS!$D:$D,MATCH(SCORE!AD$2&amp;" "&amp;SCORE!$D933,EVENTOS!$F:$F,0)),0)</f>
        <v>0</v>
      </c>
      <c r="AE933" s="3">
        <f t="shared" si="42"/>
        <v>0</v>
      </c>
      <c r="AF933" s="10" t="e">
        <f t="shared" si="43"/>
        <v>#N/A</v>
      </c>
      <c r="AG933" s="3" t="str">
        <f t="shared" si="44"/>
        <v/>
      </c>
    </row>
    <row r="934" spans="1:33" x14ac:dyDescent="0.25">
      <c r="A934" s="7"/>
      <c r="B934" s="8"/>
      <c r="C934" s="3"/>
      <c r="D934" s="3"/>
      <c r="E934" s="3" t="e">
        <f>VLOOKUP(D934,VIAJES!$D:$E,2,FALSE)</f>
        <v>#N/A</v>
      </c>
      <c r="F934" s="9" t="e">
        <f>VLOOKUP(D934,VIAJES!$D:$F,3,FALSE)</f>
        <v>#N/A</v>
      </c>
      <c r="G934" s="9" t="e">
        <f>VLOOKUP(D934,VIAJES!$D:$G,4,FALSE)</f>
        <v>#N/A</v>
      </c>
      <c r="H934" s="3" t="e">
        <f>VLOOKUP(D934,VIAJES!$D:$H,5,FALSE)</f>
        <v>#N/A</v>
      </c>
      <c r="S934" s="3">
        <f>IFERROR(INDEX(EVENTOS!$D:$D,MATCH(SCORE!S$2&amp;" "&amp;SCORE!$D934,EVENTOS!$F:$F,0)),0)</f>
        <v>0</v>
      </c>
      <c r="T934" s="3">
        <f>IFERROR(INDEX(EVENTOS!$D:$D,MATCH(SCORE!T$2&amp;" "&amp;SCORE!$D934,EVENTOS!$F:$F,0)),0)</f>
        <v>0</v>
      </c>
      <c r="U934" s="3">
        <f>IFERROR(INDEX(EVENTOS!$D:$D,MATCH(SCORE!U$2&amp;" "&amp;SCORE!$D934,EVENTOS!$F:$F,0)),0)</f>
        <v>0</v>
      </c>
      <c r="V934" s="3">
        <f>IFERROR(INDEX(EVENTOS!$D:$D,MATCH(SCORE!V$2&amp;" "&amp;SCORE!$D934,EVENTOS!$F:$F,0)),0)</f>
        <v>0</v>
      </c>
      <c r="W934" s="3">
        <f>IFERROR(INDEX(EVENTOS!$D:$D,MATCH(SCORE!W$2&amp;" "&amp;SCORE!$D934,EVENTOS!$F:$F,0)),0)</f>
        <v>0</v>
      </c>
      <c r="X934" s="3">
        <f>IFERROR(INDEX(EVENTOS!$D:$D,MATCH(SCORE!X$2&amp;" "&amp;SCORE!$D934,EVENTOS!$F:$F,0)),0)</f>
        <v>0</v>
      </c>
      <c r="Y934" s="3">
        <f>SUMIFS(EVENTOS!$D:$D, EVENTOS!$B:$B, D934, EVENTOS!$E:$E, "*GirAlto*")</f>
        <v>0</v>
      </c>
      <c r="Z934" s="3">
        <f>SUMIFS(EVENTOS!$D:$D, EVENTOS!$B:$B, D934, EVENTOS!$E:$E, "*GirMed*")</f>
        <v>0</v>
      </c>
      <c r="AA934" s="3">
        <f>SUMIFS(EVENTOS!$D:$D, EVENTOS!$B:$B, D934, EVENTOS!$E:$E, "*GirBajo*")</f>
        <v>0</v>
      </c>
      <c r="AB934" s="3">
        <f>IFERROR(INDEX(EVENTOS!$D:$D,MATCH(SCORE!AB$2&amp;" "&amp;SCORE!$D934,EVENTOS!$F:$F,0)),0)</f>
        <v>0</v>
      </c>
      <c r="AC934" s="3">
        <f>IFERROR(INDEX(EVENTOS!$D:$D,MATCH(SCORE!AC$2&amp;" "&amp;SCORE!$D934,EVENTOS!$F:$F,0)),0)</f>
        <v>0</v>
      </c>
      <c r="AD934" s="3">
        <f>IFERROR(INDEX(EVENTOS!$D:$D,MATCH(SCORE!AD$2&amp;" "&amp;SCORE!$D934,EVENTOS!$F:$F,0)),0)</f>
        <v>0</v>
      </c>
      <c r="AE934" s="3">
        <f t="shared" si="42"/>
        <v>0</v>
      </c>
      <c r="AF934" s="10" t="e">
        <f t="shared" si="43"/>
        <v>#N/A</v>
      </c>
      <c r="AG934" s="3" t="str">
        <f t="shared" si="44"/>
        <v/>
      </c>
    </row>
    <row r="935" spans="1:33" x14ac:dyDescent="0.25">
      <c r="A935" s="7"/>
      <c r="B935" s="8"/>
      <c r="C935" s="3"/>
      <c r="D935" s="3"/>
      <c r="E935" s="3" t="e">
        <f>VLOOKUP(D935,VIAJES!$D:$E,2,FALSE)</f>
        <v>#N/A</v>
      </c>
      <c r="F935" s="9" t="e">
        <f>VLOOKUP(D935,VIAJES!$D:$F,3,FALSE)</f>
        <v>#N/A</v>
      </c>
      <c r="G935" s="9" t="e">
        <f>VLOOKUP(D935,VIAJES!$D:$G,4,FALSE)</f>
        <v>#N/A</v>
      </c>
      <c r="H935" s="3" t="e">
        <f>VLOOKUP(D935,VIAJES!$D:$H,5,FALSE)</f>
        <v>#N/A</v>
      </c>
      <c r="S935" s="3">
        <f>IFERROR(INDEX(EVENTOS!$D:$D,MATCH(SCORE!S$2&amp;" "&amp;SCORE!$D935,EVENTOS!$F:$F,0)),0)</f>
        <v>0</v>
      </c>
      <c r="T935" s="3">
        <f>IFERROR(INDEX(EVENTOS!$D:$D,MATCH(SCORE!T$2&amp;" "&amp;SCORE!$D935,EVENTOS!$F:$F,0)),0)</f>
        <v>0</v>
      </c>
      <c r="U935" s="3">
        <f>IFERROR(INDEX(EVENTOS!$D:$D,MATCH(SCORE!U$2&amp;" "&amp;SCORE!$D935,EVENTOS!$F:$F,0)),0)</f>
        <v>0</v>
      </c>
      <c r="V935" s="3">
        <f>IFERROR(INDEX(EVENTOS!$D:$D,MATCH(SCORE!V$2&amp;" "&amp;SCORE!$D935,EVENTOS!$F:$F,0)),0)</f>
        <v>0</v>
      </c>
      <c r="W935" s="3">
        <f>IFERROR(INDEX(EVENTOS!$D:$D,MATCH(SCORE!W$2&amp;" "&amp;SCORE!$D935,EVENTOS!$F:$F,0)),0)</f>
        <v>0</v>
      </c>
      <c r="X935" s="3">
        <f>IFERROR(INDEX(EVENTOS!$D:$D,MATCH(SCORE!X$2&amp;" "&amp;SCORE!$D935,EVENTOS!$F:$F,0)),0)</f>
        <v>0</v>
      </c>
      <c r="Y935" s="3">
        <f>SUMIFS(EVENTOS!$D:$D, EVENTOS!$B:$B, D935, EVENTOS!$E:$E, "*GirAlto*")</f>
        <v>0</v>
      </c>
      <c r="Z935" s="3">
        <f>SUMIFS(EVENTOS!$D:$D, EVENTOS!$B:$B, D935, EVENTOS!$E:$E, "*GirMed*")</f>
        <v>0</v>
      </c>
      <c r="AA935" s="3">
        <f>SUMIFS(EVENTOS!$D:$D, EVENTOS!$B:$B, D935, EVENTOS!$E:$E, "*GirBajo*")</f>
        <v>0</v>
      </c>
      <c r="AB935" s="3">
        <f>IFERROR(INDEX(EVENTOS!$D:$D,MATCH(SCORE!AB$2&amp;" "&amp;SCORE!$D935,EVENTOS!$F:$F,0)),0)</f>
        <v>0</v>
      </c>
      <c r="AC935" s="3">
        <f>IFERROR(INDEX(EVENTOS!$D:$D,MATCH(SCORE!AC$2&amp;" "&amp;SCORE!$D935,EVENTOS!$F:$F,0)),0)</f>
        <v>0</v>
      </c>
      <c r="AD935" s="3">
        <f>IFERROR(INDEX(EVENTOS!$D:$D,MATCH(SCORE!AD$2&amp;" "&amp;SCORE!$D935,EVENTOS!$F:$F,0)),0)</f>
        <v>0</v>
      </c>
      <c r="AE935" s="3">
        <f t="shared" si="42"/>
        <v>0</v>
      </c>
      <c r="AF935" s="10" t="e">
        <f t="shared" si="43"/>
        <v>#N/A</v>
      </c>
      <c r="AG935" s="3" t="str">
        <f t="shared" si="44"/>
        <v/>
      </c>
    </row>
    <row r="936" spans="1:33" x14ac:dyDescent="0.25">
      <c r="A936" s="7"/>
      <c r="B936" s="8"/>
      <c r="C936" s="3"/>
      <c r="D936" s="3"/>
      <c r="E936" s="3" t="e">
        <f>VLOOKUP(D936,VIAJES!$D:$E,2,FALSE)</f>
        <v>#N/A</v>
      </c>
      <c r="F936" s="9" t="e">
        <f>VLOOKUP(D936,VIAJES!$D:$F,3,FALSE)</f>
        <v>#N/A</v>
      </c>
      <c r="G936" s="9" t="e">
        <f>VLOOKUP(D936,VIAJES!$D:$G,4,FALSE)</f>
        <v>#N/A</v>
      </c>
      <c r="H936" s="3" t="e">
        <f>VLOOKUP(D936,VIAJES!$D:$H,5,FALSE)</f>
        <v>#N/A</v>
      </c>
      <c r="S936" s="3">
        <f>IFERROR(INDEX(EVENTOS!$D:$D,MATCH(SCORE!S$2&amp;" "&amp;SCORE!$D936,EVENTOS!$F:$F,0)),0)</f>
        <v>0</v>
      </c>
      <c r="T936" s="3">
        <f>IFERROR(INDEX(EVENTOS!$D:$D,MATCH(SCORE!T$2&amp;" "&amp;SCORE!$D936,EVENTOS!$F:$F,0)),0)</f>
        <v>0</v>
      </c>
      <c r="U936" s="3">
        <f>IFERROR(INDEX(EVENTOS!$D:$D,MATCH(SCORE!U$2&amp;" "&amp;SCORE!$D936,EVENTOS!$F:$F,0)),0)</f>
        <v>0</v>
      </c>
      <c r="V936" s="3">
        <f>IFERROR(INDEX(EVENTOS!$D:$D,MATCH(SCORE!V$2&amp;" "&amp;SCORE!$D936,EVENTOS!$F:$F,0)),0)</f>
        <v>0</v>
      </c>
      <c r="W936" s="3">
        <f>IFERROR(INDEX(EVENTOS!$D:$D,MATCH(SCORE!W$2&amp;" "&amp;SCORE!$D936,EVENTOS!$F:$F,0)),0)</f>
        <v>0</v>
      </c>
      <c r="X936" s="3">
        <f>IFERROR(INDEX(EVENTOS!$D:$D,MATCH(SCORE!X$2&amp;" "&amp;SCORE!$D936,EVENTOS!$F:$F,0)),0)</f>
        <v>0</v>
      </c>
      <c r="Y936" s="3">
        <f>SUMIFS(EVENTOS!$D:$D, EVENTOS!$B:$B, D936, EVENTOS!$E:$E, "*GirAlto*")</f>
        <v>0</v>
      </c>
      <c r="Z936" s="3">
        <f>SUMIFS(EVENTOS!$D:$D, EVENTOS!$B:$B, D936, EVENTOS!$E:$E, "*GirMed*")</f>
        <v>0</v>
      </c>
      <c r="AA936" s="3">
        <f>SUMIFS(EVENTOS!$D:$D, EVENTOS!$B:$B, D936, EVENTOS!$E:$E, "*GirBajo*")</f>
        <v>0</v>
      </c>
      <c r="AB936" s="3">
        <f>IFERROR(INDEX(EVENTOS!$D:$D,MATCH(SCORE!AB$2&amp;" "&amp;SCORE!$D936,EVENTOS!$F:$F,0)),0)</f>
        <v>0</v>
      </c>
      <c r="AC936" s="3">
        <f>IFERROR(INDEX(EVENTOS!$D:$D,MATCH(SCORE!AC$2&amp;" "&amp;SCORE!$D936,EVENTOS!$F:$F,0)),0)</f>
        <v>0</v>
      </c>
      <c r="AD936" s="3">
        <f>IFERROR(INDEX(EVENTOS!$D:$D,MATCH(SCORE!AD$2&amp;" "&amp;SCORE!$D936,EVENTOS!$F:$F,0)),0)</f>
        <v>0</v>
      </c>
      <c r="AE936" s="3">
        <f t="shared" si="42"/>
        <v>0</v>
      </c>
      <c r="AF936" s="10" t="e">
        <f t="shared" si="43"/>
        <v>#N/A</v>
      </c>
      <c r="AG936" s="3" t="str">
        <f t="shared" si="44"/>
        <v/>
      </c>
    </row>
    <row r="937" spans="1:33" x14ac:dyDescent="0.25">
      <c r="A937" s="7"/>
      <c r="B937" s="8"/>
      <c r="C937" s="3"/>
      <c r="D937" s="3"/>
      <c r="E937" s="3" t="e">
        <f>VLOOKUP(D937,VIAJES!$D:$E,2,FALSE)</f>
        <v>#N/A</v>
      </c>
      <c r="F937" s="9" t="e">
        <f>VLOOKUP(D937,VIAJES!$D:$F,3,FALSE)</f>
        <v>#N/A</v>
      </c>
      <c r="G937" s="9" t="e">
        <f>VLOOKUP(D937,VIAJES!$D:$G,4,FALSE)</f>
        <v>#N/A</v>
      </c>
      <c r="H937" s="3" t="e">
        <f>VLOOKUP(D937,VIAJES!$D:$H,5,FALSE)</f>
        <v>#N/A</v>
      </c>
      <c r="S937" s="3">
        <f>IFERROR(INDEX(EVENTOS!$D:$D,MATCH(SCORE!S$2&amp;" "&amp;SCORE!$D937,EVENTOS!$F:$F,0)),0)</f>
        <v>0</v>
      </c>
      <c r="T937" s="3">
        <f>IFERROR(INDEX(EVENTOS!$D:$D,MATCH(SCORE!T$2&amp;" "&amp;SCORE!$D937,EVENTOS!$F:$F,0)),0)</f>
        <v>0</v>
      </c>
      <c r="U937" s="3">
        <f>IFERROR(INDEX(EVENTOS!$D:$D,MATCH(SCORE!U$2&amp;" "&amp;SCORE!$D937,EVENTOS!$F:$F,0)),0)</f>
        <v>0</v>
      </c>
      <c r="V937" s="3">
        <f>IFERROR(INDEX(EVENTOS!$D:$D,MATCH(SCORE!V$2&amp;" "&amp;SCORE!$D937,EVENTOS!$F:$F,0)),0)</f>
        <v>0</v>
      </c>
      <c r="W937" s="3">
        <f>IFERROR(INDEX(EVENTOS!$D:$D,MATCH(SCORE!W$2&amp;" "&amp;SCORE!$D937,EVENTOS!$F:$F,0)),0)</f>
        <v>0</v>
      </c>
      <c r="X937" s="3">
        <f>IFERROR(INDEX(EVENTOS!$D:$D,MATCH(SCORE!X$2&amp;" "&amp;SCORE!$D937,EVENTOS!$F:$F,0)),0)</f>
        <v>0</v>
      </c>
      <c r="Y937" s="3">
        <f>SUMIFS(EVENTOS!$D:$D, EVENTOS!$B:$B, D937, EVENTOS!$E:$E, "*GirAlto*")</f>
        <v>0</v>
      </c>
      <c r="Z937" s="3">
        <f>SUMIFS(EVENTOS!$D:$D, EVENTOS!$B:$B, D937, EVENTOS!$E:$E, "*GirMed*")</f>
        <v>0</v>
      </c>
      <c r="AA937" s="3">
        <f>SUMIFS(EVENTOS!$D:$D, EVENTOS!$B:$B, D937, EVENTOS!$E:$E, "*GirBajo*")</f>
        <v>0</v>
      </c>
      <c r="AB937" s="3">
        <f>IFERROR(INDEX(EVENTOS!$D:$D,MATCH(SCORE!AB$2&amp;" "&amp;SCORE!$D937,EVENTOS!$F:$F,0)),0)</f>
        <v>0</v>
      </c>
      <c r="AC937" s="3">
        <f>IFERROR(INDEX(EVENTOS!$D:$D,MATCH(SCORE!AC$2&amp;" "&amp;SCORE!$D937,EVENTOS!$F:$F,0)),0)</f>
        <v>0</v>
      </c>
      <c r="AD937" s="3">
        <f>IFERROR(INDEX(EVENTOS!$D:$D,MATCH(SCORE!AD$2&amp;" "&amp;SCORE!$D937,EVENTOS!$F:$F,0)),0)</f>
        <v>0</v>
      </c>
      <c r="AE937" s="3">
        <f t="shared" si="42"/>
        <v>0</v>
      </c>
      <c r="AF937" s="10" t="e">
        <f t="shared" si="43"/>
        <v>#N/A</v>
      </c>
      <c r="AG937" s="3" t="str">
        <f t="shared" si="44"/>
        <v/>
      </c>
    </row>
    <row r="938" spans="1:33" x14ac:dyDescent="0.25">
      <c r="A938" s="7"/>
      <c r="B938" s="8"/>
      <c r="C938" s="3"/>
      <c r="D938" s="3"/>
      <c r="E938" s="3" t="e">
        <f>VLOOKUP(D938,VIAJES!$D:$E,2,FALSE)</f>
        <v>#N/A</v>
      </c>
      <c r="F938" s="9" t="e">
        <f>VLOOKUP(D938,VIAJES!$D:$F,3,FALSE)</f>
        <v>#N/A</v>
      </c>
      <c r="G938" s="9" t="e">
        <f>VLOOKUP(D938,VIAJES!$D:$G,4,FALSE)</f>
        <v>#N/A</v>
      </c>
      <c r="H938" s="3" t="e">
        <f>VLOOKUP(D938,VIAJES!$D:$H,5,FALSE)</f>
        <v>#N/A</v>
      </c>
      <c r="S938" s="3">
        <f>IFERROR(INDEX(EVENTOS!$D:$D,MATCH(SCORE!S$2&amp;" "&amp;SCORE!$D938,EVENTOS!$F:$F,0)),0)</f>
        <v>0</v>
      </c>
      <c r="T938" s="3">
        <f>IFERROR(INDEX(EVENTOS!$D:$D,MATCH(SCORE!T$2&amp;" "&amp;SCORE!$D938,EVENTOS!$F:$F,0)),0)</f>
        <v>0</v>
      </c>
      <c r="U938" s="3">
        <f>IFERROR(INDEX(EVENTOS!$D:$D,MATCH(SCORE!U$2&amp;" "&amp;SCORE!$D938,EVENTOS!$F:$F,0)),0)</f>
        <v>0</v>
      </c>
      <c r="V938" s="3">
        <f>IFERROR(INDEX(EVENTOS!$D:$D,MATCH(SCORE!V$2&amp;" "&amp;SCORE!$D938,EVENTOS!$F:$F,0)),0)</f>
        <v>0</v>
      </c>
      <c r="W938" s="3">
        <f>IFERROR(INDEX(EVENTOS!$D:$D,MATCH(SCORE!W$2&amp;" "&amp;SCORE!$D938,EVENTOS!$F:$F,0)),0)</f>
        <v>0</v>
      </c>
      <c r="X938" s="3">
        <f>IFERROR(INDEX(EVENTOS!$D:$D,MATCH(SCORE!X$2&amp;" "&amp;SCORE!$D938,EVENTOS!$F:$F,0)),0)</f>
        <v>0</v>
      </c>
      <c r="Y938" s="3">
        <f>SUMIFS(EVENTOS!$D:$D, EVENTOS!$B:$B, D938, EVENTOS!$E:$E, "*GirAlto*")</f>
        <v>0</v>
      </c>
      <c r="Z938" s="3">
        <f>SUMIFS(EVENTOS!$D:$D, EVENTOS!$B:$B, D938, EVENTOS!$E:$E, "*GirMed*")</f>
        <v>0</v>
      </c>
      <c r="AA938" s="3">
        <f>SUMIFS(EVENTOS!$D:$D, EVENTOS!$B:$B, D938, EVENTOS!$E:$E, "*GirBajo*")</f>
        <v>0</v>
      </c>
      <c r="AB938" s="3">
        <f>IFERROR(INDEX(EVENTOS!$D:$D,MATCH(SCORE!AB$2&amp;" "&amp;SCORE!$D938,EVENTOS!$F:$F,0)),0)</f>
        <v>0</v>
      </c>
      <c r="AC938" s="3">
        <f>IFERROR(INDEX(EVENTOS!$D:$D,MATCH(SCORE!AC$2&amp;" "&amp;SCORE!$D938,EVENTOS!$F:$F,0)),0)</f>
        <v>0</v>
      </c>
      <c r="AD938" s="3">
        <f>IFERROR(INDEX(EVENTOS!$D:$D,MATCH(SCORE!AD$2&amp;" "&amp;SCORE!$D938,EVENTOS!$F:$F,0)),0)</f>
        <v>0</v>
      </c>
      <c r="AE938" s="3">
        <f t="shared" si="42"/>
        <v>0</v>
      </c>
      <c r="AF938" s="10" t="e">
        <f t="shared" si="43"/>
        <v>#N/A</v>
      </c>
      <c r="AG938" s="3" t="str">
        <f t="shared" si="44"/>
        <v/>
      </c>
    </row>
    <row r="939" spans="1:33" x14ac:dyDescent="0.25">
      <c r="A939" s="7"/>
      <c r="B939" s="8"/>
      <c r="C939" s="3"/>
      <c r="D939" s="3"/>
      <c r="E939" s="3" t="e">
        <f>VLOOKUP(D939,VIAJES!$D:$E,2,FALSE)</f>
        <v>#N/A</v>
      </c>
      <c r="F939" s="9" t="e">
        <f>VLOOKUP(D939,VIAJES!$D:$F,3,FALSE)</f>
        <v>#N/A</v>
      </c>
      <c r="G939" s="9" t="e">
        <f>VLOOKUP(D939,VIAJES!$D:$G,4,FALSE)</f>
        <v>#N/A</v>
      </c>
      <c r="H939" s="3" t="e">
        <f>VLOOKUP(D939,VIAJES!$D:$H,5,FALSE)</f>
        <v>#N/A</v>
      </c>
      <c r="S939" s="3">
        <f>IFERROR(INDEX(EVENTOS!$D:$D,MATCH(SCORE!S$2&amp;" "&amp;SCORE!$D939,EVENTOS!$F:$F,0)),0)</f>
        <v>0</v>
      </c>
      <c r="T939" s="3">
        <f>IFERROR(INDEX(EVENTOS!$D:$D,MATCH(SCORE!T$2&amp;" "&amp;SCORE!$D939,EVENTOS!$F:$F,0)),0)</f>
        <v>0</v>
      </c>
      <c r="U939" s="3">
        <f>IFERROR(INDEX(EVENTOS!$D:$D,MATCH(SCORE!U$2&amp;" "&amp;SCORE!$D939,EVENTOS!$F:$F,0)),0)</f>
        <v>0</v>
      </c>
      <c r="V939" s="3">
        <f>IFERROR(INDEX(EVENTOS!$D:$D,MATCH(SCORE!V$2&amp;" "&amp;SCORE!$D939,EVENTOS!$F:$F,0)),0)</f>
        <v>0</v>
      </c>
      <c r="W939" s="3">
        <f>IFERROR(INDEX(EVENTOS!$D:$D,MATCH(SCORE!W$2&amp;" "&amp;SCORE!$D939,EVENTOS!$F:$F,0)),0)</f>
        <v>0</v>
      </c>
      <c r="X939" s="3">
        <f>IFERROR(INDEX(EVENTOS!$D:$D,MATCH(SCORE!X$2&amp;" "&amp;SCORE!$D939,EVENTOS!$F:$F,0)),0)</f>
        <v>0</v>
      </c>
      <c r="Y939" s="3">
        <f>SUMIFS(EVENTOS!$D:$D, EVENTOS!$B:$B, D939, EVENTOS!$E:$E, "*GirAlto*")</f>
        <v>0</v>
      </c>
      <c r="Z939" s="3">
        <f>SUMIFS(EVENTOS!$D:$D, EVENTOS!$B:$B, D939, EVENTOS!$E:$E, "*GirMed*")</f>
        <v>0</v>
      </c>
      <c r="AA939" s="3">
        <f>SUMIFS(EVENTOS!$D:$D, EVENTOS!$B:$B, D939, EVENTOS!$E:$E, "*GirBajo*")</f>
        <v>0</v>
      </c>
      <c r="AB939" s="3">
        <f>IFERROR(INDEX(EVENTOS!$D:$D,MATCH(SCORE!AB$2&amp;" "&amp;SCORE!$D939,EVENTOS!$F:$F,0)),0)</f>
        <v>0</v>
      </c>
      <c r="AC939" s="3">
        <f>IFERROR(INDEX(EVENTOS!$D:$D,MATCH(SCORE!AC$2&amp;" "&amp;SCORE!$D939,EVENTOS!$F:$F,0)),0)</f>
        <v>0</v>
      </c>
      <c r="AD939" s="3">
        <f>IFERROR(INDEX(EVENTOS!$D:$D,MATCH(SCORE!AD$2&amp;" "&amp;SCORE!$D939,EVENTOS!$F:$F,0)),0)</f>
        <v>0</v>
      </c>
      <c r="AE939" s="3">
        <f t="shared" si="42"/>
        <v>0</v>
      </c>
      <c r="AF939" s="10" t="e">
        <f t="shared" si="43"/>
        <v>#N/A</v>
      </c>
      <c r="AG939" s="3" t="str">
        <f t="shared" si="44"/>
        <v/>
      </c>
    </row>
    <row r="940" spans="1:33" x14ac:dyDescent="0.25">
      <c r="A940" s="7"/>
      <c r="B940" s="8"/>
      <c r="C940" s="3"/>
      <c r="D940" s="3"/>
      <c r="E940" s="3" t="e">
        <f>VLOOKUP(D940,VIAJES!$D:$E,2,FALSE)</f>
        <v>#N/A</v>
      </c>
      <c r="F940" s="9" t="e">
        <f>VLOOKUP(D940,VIAJES!$D:$F,3,FALSE)</f>
        <v>#N/A</v>
      </c>
      <c r="G940" s="9" t="e">
        <f>VLOOKUP(D940,VIAJES!$D:$G,4,FALSE)</f>
        <v>#N/A</v>
      </c>
      <c r="H940" s="3" t="e">
        <f>VLOOKUP(D940,VIAJES!$D:$H,5,FALSE)</f>
        <v>#N/A</v>
      </c>
      <c r="S940" s="3">
        <f>IFERROR(INDEX(EVENTOS!$D:$D,MATCH(SCORE!S$2&amp;" "&amp;SCORE!$D940,EVENTOS!$F:$F,0)),0)</f>
        <v>0</v>
      </c>
      <c r="T940" s="3">
        <f>IFERROR(INDEX(EVENTOS!$D:$D,MATCH(SCORE!T$2&amp;" "&amp;SCORE!$D940,EVENTOS!$F:$F,0)),0)</f>
        <v>0</v>
      </c>
      <c r="U940" s="3">
        <f>IFERROR(INDEX(EVENTOS!$D:$D,MATCH(SCORE!U$2&amp;" "&amp;SCORE!$D940,EVENTOS!$F:$F,0)),0)</f>
        <v>0</v>
      </c>
      <c r="V940" s="3">
        <f>IFERROR(INDEX(EVENTOS!$D:$D,MATCH(SCORE!V$2&amp;" "&amp;SCORE!$D940,EVENTOS!$F:$F,0)),0)</f>
        <v>0</v>
      </c>
      <c r="W940" s="3">
        <f>IFERROR(INDEX(EVENTOS!$D:$D,MATCH(SCORE!W$2&amp;" "&amp;SCORE!$D940,EVENTOS!$F:$F,0)),0)</f>
        <v>0</v>
      </c>
      <c r="X940" s="3">
        <f>IFERROR(INDEX(EVENTOS!$D:$D,MATCH(SCORE!X$2&amp;" "&amp;SCORE!$D940,EVENTOS!$F:$F,0)),0)</f>
        <v>0</v>
      </c>
      <c r="Y940" s="3">
        <f>SUMIFS(EVENTOS!$D:$D, EVENTOS!$B:$B, D940, EVENTOS!$E:$E, "*GirAlto*")</f>
        <v>0</v>
      </c>
      <c r="Z940" s="3">
        <f>SUMIFS(EVENTOS!$D:$D, EVENTOS!$B:$B, D940, EVENTOS!$E:$E, "*GirMed*")</f>
        <v>0</v>
      </c>
      <c r="AA940" s="3">
        <f>SUMIFS(EVENTOS!$D:$D, EVENTOS!$B:$B, D940, EVENTOS!$E:$E, "*GirBajo*")</f>
        <v>0</v>
      </c>
      <c r="AB940" s="3">
        <f>IFERROR(INDEX(EVENTOS!$D:$D,MATCH(SCORE!AB$2&amp;" "&amp;SCORE!$D940,EVENTOS!$F:$F,0)),0)</f>
        <v>0</v>
      </c>
      <c r="AC940" s="3">
        <f>IFERROR(INDEX(EVENTOS!$D:$D,MATCH(SCORE!AC$2&amp;" "&amp;SCORE!$D940,EVENTOS!$F:$F,0)),0)</f>
        <v>0</v>
      </c>
      <c r="AD940" s="3">
        <f>IFERROR(INDEX(EVENTOS!$D:$D,MATCH(SCORE!AD$2&amp;" "&amp;SCORE!$D940,EVENTOS!$F:$F,0)),0)</f>
        <v>0</v>
      </c>
      <c r="AE940" s="3">
        <f t="shared" si="42"/>
        <v>0</v>
      </c>
      <c r="AF940" s="10" t="e">
        <f t="shared" si="43"/>
        <v>#N/A</v>
      </c>
      <c r="AG940" s="3" t="str">
        <f t="shared" si="44"/>
        <v/>
      </c>
    </row>
    <row r="941" spans="1:33" x14ac:dyDescent="0.25">
      <c r="A941" s="7"/>
      <c r="B941" s="8"/>
      <c r="C941" s="3"/>
      <c r="D941" s="3"/>
      <c r="E941" s="3" t="e">
        <f>VLOOKUP(D941,VIAJES!$D:$E,2,FALSE)</f>
        <v>#N/A</v>
      </c>
      <c r="F941" s="9" t="e">
        <f>VLOOKUP(D941,VIAJES!$D:$F,3,FALSE)</f>
        <v>#N/A</v>
      </c>
      <c r="G941" s="9" t="e">
        <f>VLOOKUP(D941,VIAJES!$D:$G,4,FALSE)</f>
        <v>#N/A</v>
      </c>
      <c r="H941" s="3" t="e">
        <f>VLOOKUP(D941,VIAJES!$D:$H,5,FALSE)</f>
        <v>#N/A</v>
      </c>
      <c r="S941" s="3">
        <f>IFERROR(INDEX(EVENTOS!$D:$D,MATCH(SCORE!S$2&amp;" "&amp;SCORE!$D941,EVENTOS!$F:$F,0)),0)</f>
        <v>0</v>
      </c>
      <c r="T941" s="3">
        <f>IFERROR(INDEX(EVENTOS!$D:$D,MATCH(SCORE!T$2&amp;" "&amp;SCORE!$D941,EVENTOS!$F:$F,0)),0)</f>
        <v>0</v>
      </c>
      <c r="U941" s="3">
        <f>IFERROR(INDEX(EVENTOS!$D:$D,MATCH(SCORE!U$2&amp;" "&amp;SCORE!$D941,EVENTOS!$F:$F,0)),0)</f>
        <v>0</v>
      </c>
      <c r="V941" s="3">
        <f>IFERROR(INDEX(EVENTOS!$D:$D,MATCH(SCORE!V$2&amp;" "&amp;SCORE!$D941,EVENTOS!$F:$F,0)),0)</f>
        <v>0</v>
      </c>
      <c r="W941" s="3">
        <f>IFERROR(INDEX(EVENTOS!$D:$D,MATCH(SCORE!W$2&amp;" "&amp;SCORE!$D941,EVENTOS!$F:$F,0)),0)</f>
        <v>0</v>
      </c>
      <c r="X941" s="3">
        <f>IFERROR(INDEX(EVENTOS!$D:$D,MATCH(SCORE!X$2&amp;" "&amp;SCORE!$D941,EVENTOS!$F:$F,0)),0)</f>
        <v>0</v>
      </c>
      <c r="Y941" s="3">
        <f>SUMIFS(EVENTOS!$D:$D, EVENTOS!$B:$B, D941, EVENTOS!$E:$E, "*GirAlto*")</f>
        <v>0</v>
      </c>
      <c r="Z941" s="3">
        <f>SUMIFS(EVENTOS!$D:$D, EVENTOS!$B:$B, D941, EVENTOS!$E:$E, "*GirMed*")</f>
        <v>0</v>
      </c>
      <c r="AA941" s="3">
        <f>SUMIFS(EVENTOS!$D:$D, EVENTOS!$B:$B, D941, EVENTOS!$E:$E, "*GirBajo*")</f>
        <v>0</v>
      </c>
      <c r="AB941" s="3">
        <f>IFERROR(INDEX(EVENTOS!$D:$D,MATCH(SCORE!AB$2&amp;" "&amp;SCORE!$D941,EVENTOS!$F:$F,0)),0)</f>
        <v>0</v>
      </c>
      <c r="AC941" s="3">
        <f>IFERROR(INDEX(EVENTOS!$D:$D,MATCH(SCORE!AC$2&amp;" "&amp;SCORE!$D941,EVENTOS!$F:$F,0)),0)</f>
        <v>0</v>
      </c>
      <c r="AD941" s="3">
        <f>IFERROR(INDEX(EVENTOS!$D:$D,MATCH(SCORE!AD$2&amp;" "&amp;SCORE!$D941,EVENTOS!$F:$F,0)),0)</f>
        <v>0</v>
      </c>
      <c r="AE941" s="3">
        <f t="shared" si="42"/>
        <v>0</v>
      </c>
      <c r="AF941" s="10" t="e">
        <f t="shared" si="43"/>
        <v>#N/A</v>
      </c>
      <c r="AG941" s="3" t="str">
        <f t="shared" si="44"/>
        <v/>
      </c>
    </row>
    <row r="942" spans="1:33" x14ac:dyDescent="0.25">
      <c r="A942" s="7"/>
      <c r="B942" s="8"/>
      <c r="C942" s="3"/>
      <c r="D942" s="3"/>
      <c r="E942" s="3" t="e">
        <f>VLOOKUP(D942,VIAJES!$D:$E,2,FALSE)</f>
        <v>#N/A</v>
      </c>
      <c r="F942" s="9" t="e">
        <f>VLOOKUP(D942,VIAJES!$D:$F,3,FALSE)</f>
        <v>#N/A</v>
      </c>
      <c r="G942" s="9" t="e">
        <f>VLOOKUP(D942,VIAJES!$D:$G,4,FALSE)</f>
        <v>#N/A</v>
      </c>
      <c r="H942" s="3" t="e">
        <f>VLOOKUP(D942,VIAJES!$D:$H,5,FALSE)</f>
        <v>#N/A</v>
      </c>
      <c r="S942" s="3">
        <f>IFERROR(INDEX(EVENTOS!$D:$D,MATCH(SCORE!S$2&amp;" "&amp;SCORE!$D942,EVENTOS!$F:$F,0)),0)</f>
        <v>0</v>
      </c>
      <c r="T942" s="3">
        <f>IFERROR(INDEX(EVENTOS!$D:$D,MATCH(SCORE!T$2&amp;" "&amp;SCORE!$D942,EVENTOS!$F:$F,0)),0)</f>
        <v>0</v>
      </c>
      <c r="U942" s="3">
        <f>IFERROR(INDEX(EVENTOS!$D:$D,MATCH(SCORE!U$2&amp;" "&amp;SCORE!$D942,EVENTOS!$F:$F,0)),0)</f>
        <v>0</v>
      </c>
      <c r="V942" s="3">
        <f>IFERROR(INDEX(EVENTOS!$D:$D,MATCH(SCORE!V$2&amp;" "&amp;SCORE!$D942,EVENTOS!$F:$F,0)),0)</f>
        <v>0</v>
      </c>
      <c r="W942" s="3">
        <f>IFERROR(INDEX(EVENTOS!$D:$D,MATCH(SCORE!W$2&amp;" "&amp;SCORE!$D942,EVENTOS!$F:$F,0)),0)</f>
        <v>0</v>
      </c>
      <c r="X942" s="3">
        <f>IFERROR(INDEX(EVENTOS!$D:$D,MATCH(SCORE!X$2&amp;" "&amp;SCORE!$D942,EVENTOS!$F:$F,0)),0)</f>
        <v>0</v>
      </c>
      <c r="Y942" s="3">
        <f>SUMIFS(EVENTOS!$D:$D, EVENTOS!$B:$B, D942, EVENTOS!$E:$E, "*GirAlto*")</f>
        <v>0</v>
      </c>
      <c r="Z942" s="3">
        <f>SUMIFS(EVENTOS!$D:$D, EVENTOS!$B:$B, D942, EVENTOS!$E:$E, "*GirMed*")</f>
        <v>0</v>
      </c>
      <c r="AA942" s="3">
        <f>SUMIFS(EVENTOS!$D:$D, EVENTOS!$B:$B, D942, EVENTOS!$E:$E, "*GirBajo*")</f>
        <v>0</v>
      </c>
      <c r="AB942" s="3">
        <f>IFERROR(INDEX(EVENTOS!$D:$D,MATCH(SCORE!AB$2&amp;" "&amp;SCORE!$D942,EVENTOS!$F:$F,0)),0)</f>
        <v>0</v>
      </c>
      <c r="AC942" s="3">
        <f>IFERROR(INDEX(EVENTOS!$D:$D,MATCH(SCORE!AC$2&amp;" "&amp;SCORE!$D942,EVENTOS!$F:$F,0)),0)</f>
        <v>0</v>
      </c>
      <c r="AD942" s="3">
        <f>IFERROR(INDEX(EVENTOS!$D:$D,MATCH(SCORE!AD$2&amp;" "&amp;SCORE!$D942,EVENTOS!$F:$F,0)),0)</f>
        <v>0</v>
      </c>
      <c r="AE942" s="3">
        <f t="shared" si="42"/>
        <v>0</v>
      </c>
      <c r="AF942" s="10" t="e">
        <f t="shared" si="43"/>
        <v>#N/A</v>
      </c>
      <c r="AG942" s="3" t="str">
        <f t="shared" si="44"/>
        <v/>
      </c>
    </row>
    <row r="943" spans="1:33" x14ac:dyDescent="0.25">
      <c r="A943" s="7"/>
      <c r="B943" s="8"/>
      <c r="C943" s="3"/>
      <c r="D943" s="3"/>
      <c r="E943" s="3" t="e">
        <f>VLOOKUP(D943,VIAJES!$D:$E,2,FALSE)</f>
        <v>#N/A</v>
      </c>
      <c r="F943" s="9" t="e">
        <f>VLOOKUP(D943,VIAJES!$D:$F,3,FALSE)</f>
        <v>#N/A</v>
      </c>
      <c r="G943" s="9" t="e">
        <f>VLOOKUP(D943,VIAJES!$D:$G,4,FALSE)</f>
        <v>#N/A</v>
      </c>
      <c r="H943" s="3" t="e">
        <f>VLOOKUP(D943,VIAJES!$D:$H,5,FALSE)</f>
        <v>#N/A</v>
      </c>
      <c r="S943" s="3">
        <f>IFERROR(INDEX(EVENTOS!$D:$D,MATCH(SCORE!S$2&amp;" "&amp;SCORE!$D943,EVENTOS!$F:$F,0)),0)</f>
        <v>0</v>
      </c>
      <c r="T943" s="3">
        <f>IFERROR(INDEX(EVENTOS!$D:$D,MATCH(SCORE!T$2&amp;" "&amp;SCORE!$D943,EVENTOS!$F:$F,0)),0)</f>
        <v>0</v>
      </c>
      <c r="U943" s="3">
        <f>IFERROR(INDEX(EVENTOS!$D:$D,MATCH(SCORE!U$2&amp;" "&amp;SCORE!$D943,EVENTOS!$F:$F,0)),0)</f>
        <v>0</v>
      </c>
      <c r="V943" s="3">
        <f>IFERROR(INDEX(EVENTOS!$D:$D,MATCH(SCORE!V$2&amp;" "&amp;SCORE!$D943,EVENTOS!$F:$F,0)),0)</f>
        <v>0</v>
      </c>
      <c r="W943" s="3">
        <f>IFERROR(INDEX(EVENTOS!$D:$D,MATCH(SCORE!W$2&amp;" "&amp;SCORE!$D943,EVENTOS!$F:$F,0)),0)</f>
        <v>0</v>
      </c>
      <c r="X943" s="3">
        <f>IFERROR(INDEX(EVENTOS!$D:$D,MATCH(SCORE!X$2&amp;" "&amp;SCORE!$D943,EVENTOS!$F:$F,0)),0)</f>
        <v>0</v>
      </c>
      <c r="Y943" s="3">
        <f>SUMIFS(EVENTOS!$D:$D, EVENTOS!$B:$B, D943, EVENTOS!$E:$E, "*GirAlto*")</f>
        <v>0</v>
      </c>
      <c r="Z943" s="3">
        <f>SUMIFS(EVENTOS!$D:$D, EVENTOS!$B:$B, D943, EVENTOS!$E:$E, "*GirMed*")</f>
        <v>0</v>
      </c>
      <c r="AA943" s="3">
        <f>SUMIFS(EVENTOS!$D:$D, EVENTOS!$B:$B, D943, EVENTOS!$E:$E, "*GirBajo*")</f>
        <v>0</v>
      </c>
      <c r="AB943" s="3">
        <f>IFERROR(INDEX(EVENTOS!$D:$D,MATCH(SCORE!AB$2&amp;" "&amp;SCORE!$D943,EVENTOS!$F:$F,0)),0)</f>
        <v>0</v>
      </c>
      <c r="AC943" s="3">
        <f>IFERROR(INDEX(EVENTOS!$D:$D,MATCH(SCORE!AC$2&amp;" "&amp;SCORE!$D943,EVENTOS!$F:$F,0)),0)</f>
        <v>0</v>
      </c>
      <c r="AD943" s="3">
        <f>IFERROR(INDEX(EVENTOS!$D:$D,MATCH(SCORE!AD$2&amp;" "&amp;SCORE!$D943,EVENTOS!$F:$F,0)),0)</f>
        <v>0</v>
      </c>
      <c r="AE943" s="3">
        <f t="shared" si="42"/>
        <v>0</v>
      </c>
      <c r="AF943" s="10" t="e">
        <f t="shared" si="43"/>
        <v>#N/A</v>
      </c>
      <c r="AG943" s="3" t="str">
        <f t="shared" si="44"/>
        <v/>
      </c>
    </row>
    <row r="944" spans="1:33" x14ac:dyDescent="0.25">
      <c r="A944" s="7"/>
      <c r="B944" s="8"/>
      <c r="C944" s="3"/>
      <c r="D944" s="3"/>
      <c r="E944" s="3" t="e">
        <f>VLOOKUP(D944,VIAJES!$D:$E,2,FALSE)</f>
        <v>#N/A</v>
      </c>
      <c r="F944" s="9" t="e">
        <f>VLOOKUP(D944,VIAJES!$D:$F,3,FALSE)</f>
        <v>#N/A</v>
      </c>
      <c r="G944" s="9" t="e">
        <f>VLOOKUP(D944,VIAJES!$D:$G,4,FALSE)</f>
        <v>#N/A</v>
      </c>
      <c r="H944" s="3" t="e">
        <f>VLOOKUP(D944,VIAJES!$D:$H,5,FALSE)</f>
        <v>#N/A</v>
      </c>
      <c r="S944" s="3">
        <f>IFERROR(INDEX(EVENTOS!$D:$D,MATCH(SCORE!S$2&amp;" "&amp;SCORE!$D944,EVENTOS!$F:$F,0)),0)</f>
        <v>0</v>
      </c>
      <c r="T944" s="3">
        <f>IFERROR(INDEX(EVENTOS!$D:$D,MATCH(SCORE!T$2&amp;" "&amp;SCORE!$D944,EVENTOS!$F:$F,0)),0)</f>
        <v>0</v>
      </c>
      <c r="U944" s="3">
        <f>IFERROR(INDEX(EVENTOS!$D:$D,MATCH(SCORE!U$2&amp;" "&amp;SCORE!$D944,EVENTOS!$F:$F,0)),0)</f>
        <v>0</v>
      </c>
      <c r="V944" s="3">
        <f>IFERROR(INDEX(EVENTOS!$D:$D,MATCH(SCORE!V$2&amp;" "&amp;SCORE!$D944,EVENTOS!$F:$F,0)),0)</f>
        <v>0</v>
      </c>
      <c r="W944" s="3">
        <f>IFERROR(INDEX(EVENTOS!$D:$D,MATCH(SCORE!W$2&amp;" "&amp;SCORE!$D944,EVENTOS!$F:$F,0)),0)</f>
        <v>0</v>
      </c>
      <c r="X944" s="3">
        <f>IFERROR(INDEX(EVENTOS!$D:$D,MATCH(SCORE!X$2&amp;" "&amp;SCORE!$D944,EVENTOS!$F:$F,0)),0)</f>
        <v>0</v>
      </c>
      <c r="Y944" s="3">
        <f>SUMIFS(EVENTOS!$D:$D, EVENTOS!$B:$B, D944, EVENTOS!$E:$E, "*GirAlto*")</f>
        <v>0</v>
      </c>
      <c r="Z944" s="3">
        <f>SUMIFS(EVENTOS!$D:$D, EVENTOS!$B:$B, D944, EVENTOS!$E:$E, "*GirMed*")</f>
        <v>0</v>
      </c>
      <c r="AA944" s="3">
        <f>SUMIFS(EVENTOS!$D:$D, EVENTOS!$B:$B, D944, EVENTOS!$E:$E, "*GirBajo*")</f>
        <v>0</v>
      </c>
      <c r="AB944" s="3">
        <f>IFERROR(INDEX(EVENTOS!$D:$D,MATCH(SCORE!AB$2&amp;" "&amp;SCORE!$D944,EVENTOS!$F:$F,0)),0)</f>
        <v>0</v>
      </c>
      <c r="AC944" s="3">
        <f>IFERROR(INDEX(EVENTOS!$D:$D,MATCH(SCORE!AC$2&amp;" "&amp;SCORE!$D944,EVENTOS!$F:$F,0)),0)</f>
        <v>0</v>
      </c>
      <c r="AD944" s="3">
        <f>IFERROR(INDEX(EVENTOS!$D:$D,MATCH(SCORE!AD$2&amp;" "&amp;SCORE!$D944,EVENTOS!$F:$F,0)),0)</f>
        <v>0</v>
      </c>
      <c r="AE944" s="3">
        <f t="shared" si="42"/>
        <v>0</v>
      </c>
      <c r="AF944" s="10" t="e">
        <f t="shared" si="43"/>
        <v>#N/A</v>
      </c>
      <c r="AG944" s="3" t="str">
        <f t="shared" si="44"/>
        <v/>
      </c>
    </row>
    <row r="945" spans="1:33" x14ac:dyDescent="0.25">
      <c r="A945" s="7"/>
      <c r="B945" s="8"/>
      <c r="C945" s="3"/>
      <c r="D945" s="3"/>
      <c r="E945" s="3" t="e">
        <f>VLOOKUP(D945,VIAJES!$D:$E,2,FALSE)</f>
        <v>#N/A</v>
      </c>
      <c r="F945" s="9" t="e">
        <f>VLOOKUP(D945,VIAJES!$D:$F,3,FALSE)</f>
        <v>#N/A</v>
      </c>
      <c r="G945" s="9" t="e">
        <f>VLOOKUP(D945,VIAJES!$D:$G,4,FALSE)</f>
        <v>#N/A</v>
      </c>
      <c r="H945" s="3" t="e">
        <f>VLOOKUP(D945,VIAJES!$D:$H,5,FALSE)</f>
        <v>#N/A</v>
      </c>
      <c r="S945" s="3">
        <f>IFERROR(INDEX(EVENTOS!$D:$D,MATCH(SCORE!S$2&amp;" "&amp;SCORE!$D945,EVENTOS!$F:$F,0)),0)</f>
        <v>0</v>
      </c>
      <c r="T945" s="3">
        <f>IFERROR(INDEX(EVENTOS!$D:$D,MATCH(SCORE!T$2&amp;" "&amp;SCORE!$D945,EVENTOS!$F:$F,0)),0)</f>
        <v>0</v>
      </c>
      <c r="U945" s="3">
        <f>IFERROR(INDEX(EVENTOS!$D:$D,MATCH(SCORE!U$2&amp;" "&amp;SCORE!$D945,EVENTOS!$F:$F,0)),0)</f>
        <v>0</v>
      </c>
      <c r="V945" s="3">
        <f>IFERROR(INDEX(EVENTOS!$D:$D,MATCH(SCORE!V$2&amp;" "&amp;SCORE!$D945,EVENTOS!$F:$F,0)),0)</f>
        <v>0</v>
      </c>
      <c r="W945" s="3">
        <f>IFERROR(INDEX(EVENTOS!$D:$D,MATCH(SCORE!W$2&amp;" "&amp;SCORE!$D945,EVENTOS!$F:$F,0)),0)</f>
        <v>0</v>
      </c>
      <c r="X945" s="3">
        <f>IFERROR(INDEX(EVENTOS!$D:$D,MATCH(SCORE!X$2&amp;" "&amp;SCORE!$D945,EVENTOS!$F:$F,0)),0)</f>
        <v>0</v>
      </c>
      <c r="Y945" s="3">
        <f>SUMIFS(EVENTOS!$D:$D, EVENTOS!$B:$B, D945, EVENTOS!$E:$E, "*GirAlto*")</f>
        <v>0</v>
      </c>
      <c r="Z945" s="3">
        <f>SUMIFS(EVENTOS!$D:$D, EVENTOS!$B:$B, D945, EVENTOS!$E:$E, "*GirMed*")</f>
        <v>0</v>
      </c>
      <c r="AA945" s="3">
        <f>SUMIFS(EVENTOS!$D:$D, EVENTOS!$B:$B, D945, EVENTOS!$E:$E, "*GirBajo*")</f>
        <v>0</v>
      </c>
      <c r="AB945" s="3">
        <f>IFERROR(INDEX(EVENTOS!$D:$D,MATCH(SCORE!AB$2&amp;" "&amp;SCORE!$D945,EVENTOS!$F:$F,0)),0)</f>
        <v>0</v>
      </c>
      <c r="AC945" s="3">
        <f>IFERROR(INDEX(EVENTOS!$D:$D,MATCH(SCORE!AC$2&amp;" "&amp;SCORE!$D945,EVENTOS!$F:$F,0)),0)</f>
        <v>0</v>
      </c>
      <c r="AD945" s="3">
        <f>IFERROR(INDEX(EVENTOS!$D:$D,MATCH(SCORE!AD$2&amp;" "&amp;SCORE!$D945,EVENTOS!$F:$F,0)),0)</f>
        <v>0</v>
      </c>
      <c r="AE945" s="3">
        <f t="shared" si="42"/>
        <v>0</v>
      </c>
      <c r="AF945" s="10" t="e">
        <f t="shared" si="43"/>
        <v>#N/A</v>
      </c>
      <c r="AG945" s="3" t="str">
        <f t="shared" si="44"/>
        <v/>
      </c>
    </row>
    <row r="946" spans="1:33" x14ac:dyDescent="0.25">
      <c r="A946" s="7"/>
      <c r="B946" s="8"/>
      <c r="C946" s="3"/>
      <c r="D946" s="3"/>
      <c r="E946" s="3" t="e">
        <f>VLOOKUP(D946,VIAJES!$D:$E,2,FALSE)</f>
        <v>#N/A</v>
      </c>
      <c r="F946" s="9" t="e">
        <f>VLOOKUP(D946,VIAJES!$D:$F,3,FALSE)</f>
        <v>#N/A</v>
      </c>
      <c r="G946" s="9" t="e">
        <f>VLOOKUP(D946,VIAJES!$D:$G,4,FALSE)</f>
        <v>#N/A</v>
      </c>
      <c r="H946" s="3" t="e">
        <f>VLOOKUP(D946,VIAJES!$D:$H,5,FALSE)</f>
        <v>#N/A</v>
      </c>
      <c r="S946" s="3">
        <f>IFERROR(INDEX(EVENTOS!$D:$D,MATCH(SCORE!S$2&amp;" "&amp;SCORE!$D946,EVENTOS!$F:$F,0)),0)</f>
        <v>0</v>
      </c>
      <c r="T946" s="3">
        <f>IFERROR(INDEX(EVENTOS!$D:$D,MATCH(SCORE!T$2&amp;" "&amp;SCORE!$D946,EVENTOS!$F:$F,0)),0)</f>
        <v>0</v>
      </c>
      <c r="U946" s="3">
        <f>IFERROR(INDEX(EVENTOS!$D:$D,MATCH(SCORE!U$2&amp;" "&amp;SCORE!$D946,EVENTOS!$F:$F,0)),0)</f>
        <v>0</v>
      </c>
      <c r="V946" s="3">
        <f>IFERROR(INDEX(EVENTOS!$D:$D,MATCH(SCORE!V$2&amp;" "&amp;SCORE!$D946,EVENTOS!$F:$F,0)),0)</f>
        <v>0</v>
      </c>
      <c r="W946" s="3">
        <f>IFERROR(INDEX(EVENTOS!$D:$D,MATCH(SCORE!W$2&amp;" "&amp;SCORE!$D946,EVENTOS!$F:$F,0)),0)</f>
        <v>0</v>
      </c>
      <c r="X946" s="3">
        <f>IFERROR(INDEX(EVENTOS!$D:$D,MATCH(SCORE!X$2&amp;" "&amp;SCORE!$D946,EVENTOS!$F:$F,0)),0)</f>
        <v>0</v>
      </c>
      <c r="Y946" s="3">
        <f>SUMIFS(EVENTOS!$D:$D, EVENTOS!$B:$B, D946, EVENTOS!$E:$E, "*GirAlto*")</f>
        <v>0</v>
      </c>
      <c r="Z946" s="3">
        <f>SUMIFS(EVENTOS!$D:$D, EVENTOS!$B:$B, D946, EVENTOS!$E:$E, "*GirMed*")</f>
        <v>0</v>
      </c>
      <c r="AA946" s="3">
        <f>SUMIFS(EVENTOS!$D:$D, EVENTOS!$B:$B, D946, EVENTOS!$E:$E, "*GirBajo*")</f>
        <v>0</v>
      </c>
      <c r="AB946" s="3">
        <f>IFERROR(INDEX(EVENTOS!$D:$D,MATCH(SCORE!AB$2&amp;" "&amp;SCORE!$D946,EVENTOS!$F:$F,0)),0)</f>
        <v>0</v>
      </c>
      <c r="AC946" s="3">
        <f>IFERROR(INDEX(EVENTOS!$D:$D,MATCH(SCORE!AC$2&amp;" "&amp;SCORE!$D946,EVENTOS!$F:$F,0)),0)</f>
        <v>0</v>
      </c>
      <c r="AD946" s="3">
        <f>IFERROR(INDEX(EVENTOS!$D:$D,MATCH(SCORE!AD$2&amp;" "&amp;SCORE!$D946,EVENTOS!$F:$F,0)),0)</f>
        <v>0</v>
      </c>
      <c r="AE946" s="3">
        <f t="shared" si="42"/>
        <v>0</v>
      </c>
      <c r="AF946" s="10" t="e">
        <f t="shared" si="43"/>
        <v>#N/A</v>
      </c>
      <c r="AG946" s="3" t="str">
        <f t="shared" si="44"/>
        <v/>
      </c>
    </row>
    <row r="947" spans="1:33" x14ac:dyDescent="0.25">
      <c r="A947" s="7"/>
      <c r="B947" s="8"/>
      <c r="C947" s="3"/>
      <c r="D947" s="3"/>
      <c r="E947" s="3" t="e">
        <f>VLOOKUP(D947,VIAJES!$D:$E,2,FALSE)</f>
        <v>#N/A</v>
      </c>
      <c r="F947" s="9" t="e">
        <f>VLOOKUP(D947,VIAJES!$D:$F,3,FALSE)</f>
        <v>#N/A</v>
      </c>
      <c r="G947" s="9" t="e">
        <f>VLOOKUP(D947,VIAJES!$D:$G,4,FALSE)</f>
        <v>#N/A</v>
      </c>
      <c r="H947" s="3" t="e">
        <f>VLOOKUP(D947,VIAJES!$D:$H,5,FALSE)</f>
        <v>#N/A</v>
      </c>
      <c r="S947" s="3">
        <f>IFERROR(INDEX(EVENTOS!$D:$D,MATCH(SCORE!S$2&amp;" "&amp;SCORE!$D947,EVENTOS!$F:$F,0)),0)</f>
        <v>0</v>
      </c>
      <c r="T947" s="3">
        <f>IFERROR(INDEX(EVENTOS!$D:$D,MATCH(SCORE!T$2&amp;" "&amp;SCORE!$D947,EVENTOS!$F:$F,0)),0)</f>
        <v>0</v>
      </c>
      <c r="U947" s="3">
        <f>IFERROR(INDEX(EVENTOS!$D:$D,MATCH(SCORE!U$2&amp;" "&amp;SCORE!$D947,EVENTOS!$F:$F,0)),0)</f>
        <v>0</v>
      </c>
      <c r="V947" s="3">
        <f>IFERROR(INDEX(EVENTOS!$D:$D,MATCH(SCORE!V$2&amp;" "&amp;SCORE!$D947,EVENTOS!$F:$F,0)),0)</f>
        <v>0</v>
      </c>
      <c r="W947" s="3">
        <f>IFERROR(INDEX(EVENTOS!$D:$D,MATCH(SCORE!W$2&amp;" "&amp;SCORE!$D947,EVENTOS!$F:$F,0)),0)</f>
        <v>0</v>
      </c>
      <c r="X947" s="3">
        <f>IFERROR(INDEX(EVENTOS!$D:$D,MATCH(SCORE!X$2&amp;" "&amp;SCORE!$D947,EVENTOS!$F:$F,0)),0)</f>
        <v>0</v>
      </c>
      <c r="Y947" s="3">
        <f>SUMIFS(EVENTOS!$D:$D, EVENTOS!$B:$B, D947, EVENTOS!$E:$E, "*GirAlto*")</f>
        <v>0</v>
      </c>
      <c r="Z947" s="3">
        <f>SUMIFS(EVENTOS!$D:$D, EVENTOS!$B:$B, D947, EVENTOS!$E:$E, "*GirMed*")</f>
        <v>0</v>
      </c>
      <c r="AA947" s="3">
        <f>SUMIFS(EVENTOS!$D:$D, EVENTOS!$B:$B, D947, EVENTOS!$E:$E, "*GirBajo*")</f>
        <v>0</v>
      </c>
      <c r="AB947" s="3">
        <f>IFERROR(INDEX(EVENTOS!$D:$D,MATCH(SCORE!AB$2&amp;" "&amp;SCORE!$D947,EVENTOS!$F:$F,0)),0)</f>
        <v>0</v>
      </c>
      <c r="AC947" s="3">
        <f>IFERROR(INDEX(EVENTOS!$D:$D,MATCH(SCORE!AC$2&amp;" "&amp;SCORE!$D947,EVENTOS!$F:$F,0)),0)</f>
        <v>0</v>
      </c>
      <c r="AD947" s="3">
        <f>IFERROR(INDEX(EVENTOS!$D:$D,MATCH(SCORE!AD$2&amp;" "&amp;SCORE!$D947,EVENTOS!$F:$F,0)),0)</f>
        <v>0</v>
      </c>
      <c r="AE947" s="3">
        <f t="shared" si="42"/>
        <v>0</v>
      </c>
      <c r="AF947" s="10" t="e">
        <f t="shared" si="43"/>
        <v>#N/A</v>
      </c>
      <c r="AG947" s="3" t="str">
        <f t="shared" si="44"/>
        <v/>
      </c>
    </row>
    <row r="948" spans="1:33" x14ac:dyDescent="0.25">
      <c r="A948" s="7"/>
      <c r="B948" s="8"/>
      <c r="C948" s="3"/>
      <c r="D948" s="3"/>
      <c r="E948" s="3" t="e">
        <f>VLOOKUP(D948,VIAJES!$D:$E,2,FALSE)</f>
        <v>#N/A</v>
      </c>
      <c r="F948" s="9" t="e">
        <f>VLOOKUP(D948,VIAJES!$D:$F,3,FALSE)</f>
        <v>#N/A</v>
      </c>
      <c r="G948" s="9" t="e">
        <f>VLOOKUP(D948,VIAJES!$D:$G,4,FALSE)</f>
        <v>#N/A</v>
      </c>
      <c r="H948" s="3" t="e">
        <f>VLOOKUP(D948,VIAJES!$D:$H,5,FALSE)</f>
        <v>#N/A</v>
      </c>
      <c r="S948" s="3">
        <f>IFERROR(INDEX(EVENTOS!$D:$D,MATCH(SCORE!S$2&amp;" "&amp;SCORE!$D948,EVENTOS!$F:$F,0)),0)</f>
        <v>0</v>
      </c>
      <c r="T948" s="3">
        <f>IFERROR(INDEX(EVENTOS!$D:$D,MATCH(SCORE!T$2&amp;" "&amp;SCORE!$D948,EVENTOS!$F:$F,0)),0)</f>
        <v>0</v>
      </c>
      <c r="U948" s="3">
        <f>IFERROR(INDEX(EVENTOS!$D:$D,MATCH(SCORE!U$2&amp;" "&amp;SCORE!$D948,EVENTOS!$F:$F,0)),0)</f>
        <v>0</v>
      </c>
      <c r="V948" s="3">
        <f>IFERROR(INDEX(EVENTOS!$D:$D,MATCH(SCORE!V$2&amp;" "&amp;SCORE!$D948,EVENTOS!$F:$F,0)),0)</f>
        <v>0</v>
      </c>
      <c r="W948" s="3">
        <f>IFERROR(INDEX(EVENTOS!$D:$D,MATCH(SCORE!W$2&amp;" "&amp;SCORE!$D948,EVENTOS!$F:$F,0)),0)</f>
        <v>0</v>
      </c>
      <c r="X948" s="3">
        <f>IFERROR(INDEX(EVENTOS!$D:$D,MATCH(SCORE!X$2&amp;" "&amp;SCORE!$D948,EVENTOS!$F:$F,0)),0)</f>
        <v>0</v>
      </c>
      <c r="Y948" s="3">
        <f>SUMIFS(EVENTOS!$D:$D, EVENTOS!$B:$B, D948, EVENTOS!$E:$E, "*GirAlto*")</f>
        <v>0</v>
      </c>
      <c r="Z948" s="3">
        <f>SUMIFS(EVENTOS!$D:$D, EVENTOS!$B:$B, D948, EVENTOS!$E:$E, "*GirMed*")</f>
        <v>0</v>
      </c>
      <c r="AA948" s="3">
        <f>SUMIFS(EVENTOS!$D:$D, EVENTOS!$B:$B, D948, EVENTOS!$E:$E, "*GirBajo*")</f>
        <v>0</v>
      </c>
      <c r="AB948" s="3">
        <f>IFERROR(INDEX(EVENTOS!$D:$D,MATCH(SCORE!AB$2&amp;" "&amp;SCORE!$D948,EVENTOS!$F:$F,0)),0)</f>
        <v>0</v>
      </c>
      <c r="AC948" s="3">
        <f>IFERROR(INDEX(EVENTOS!$D:$D,MATCH(SCORE!AC$2&amp;" "&amp;SCORE!$D948,EVENTOS!$F:$F,0)),0)</f>
        <v>0</v>
      </c>
      <c r="AD948" s="3">
        <f>IFERROR(INDEX(EVENTOS!$D:$D,MATCH(SCORE!AD$2&amp;" "&amp;SCORE!$D948,EVENTOS!$F:$F,0)),0)</f>
        <v>0</v>
      </c>
      <c r="AE948" s="3">
        <f t="shared" si="42"/>
        <v>0</v>
      </c>
      <c r="AF948" s="10" t="e">
        <f t="shared" si="43"/>
        <v>#N/A</v>
      </c>
      <c r="AG948" s="3" t="str">
        <f t="shared" si="44"/>
        <v/>
      </c>
    </row>
    <row r="949" spans="1:33" x14ac:dyDescent="0.25">
      <c r="A949" s="7"/>
      <c r="B949" s="8"/>
      <c r="C949" s="3"/>
      <c r="D949" s="3"/>
      <c r="E949" s="3" t="e">
        <f>VLOOKUP(D949,VIAJES!$D:$E,2,FALSE)</f>
        <v>#N/A</v>
      </c>
      <c r="F949" s="9" t="e">
        <f>VLOOKUP(D949,VIAJES!$D:$F,3,FALSE)</f>
        <v>#N/A</v>
      </c>
      <c r="G949" s="9" t="e">
        <f>VLOOKUP(D949,VIAJES!$D:$G,4,FALSE)</f>
        <v>#N/A</v>
      </c>
      <c r="H949" s="3" t="e">
        <f>VLOOKUP(D949,VIAJES!$D:$H,5,FALSE)</f>
        <v>#N/A</v>
      </c>
      <c r="S949" s="3">
        <f>IFERROR(INDEX(EVENTOS!$D:$D,MATCH(SCORE!S$2&amp;" "&amp;SCORE!$D949,EVENTOS!$F:$F,0)),0)</f>
        <v>0</v>
      </c>
      <c r="T949" s="3">
        <f>IFERROR(INDEX(EVENTOS!$D:$D,MATCH(SCORE!T$2&amp;" "&amp;SCORE!$D949,EVENTOS!$F:$F,0)),0)</f>
        <v>0</v>
      </c>
      <c r="U949" s="3">
        <f>IFERROR(INDEX(EVENTOS!$D:$D,MATCH(SCORE!U$2&amp;" "&amp;SCORE!$D949,EVENTOS!$F:$F,0)),0)</f>
        <v>0</v>
      </c>
      <c r="V949" s="3">
        <f>IFERROR(INDEX(EVENTOS!$D:$D,MATCH(SCORE!V$2&amp;" "&amp;SCORE!$D949,EVENTOS!$F:$F,0)),0)</f>
        <v>0</v>
      </c>
      <c r="W949" s="3">
        <f>IFERROR(INDEX(EVENTOS!$D:$D,MATCH(SCORE!W$2&amp;" "&amp;SCORE!$D949,EVENTOS!$F:$F,0)),0)</f>
        <v>0</v>
      </c>
      <c r="X949" s="3">
        <f>IFERROR(INDEX(EVENTOS!$D:$D,MATCH(SCORE!X$2&amp;" "&amp;SCORE!$D949,EVENTOS!$F:$F,0)),0)</f>
        <v>0</v>
      </c>
      <c r="Y949" s="3">
        <f>SUMIFS(EVENTOS!$D:$D, EVENTOS!$B:$B, D949, EVENTOS!$E:$E, "*GirAlto*")</f>
        <v>0</v>
      </c>
      <c r="Z949" s="3">
        <f>SUMIFS(EVENTOS!$D:$D, EVENTOS!$B:$B, D949, EVENTOS!$E:$E, "*GirMed*")</f>
        <v>0</v>
      </c>
      <c r="AA949" s="3">
        <f>SUMIFS(EVENTOS!$D:$D, EVENTOS!$B:$B, D949, EVENTOS!$E:$E, "*GirBajo*")</f>
        <v>0</v>
      </c>
      <c r="AB949" s="3">
        <f>IFERROR(INDEX(EVENTOS!$D:$D,MATCH(SCORE!AB$2&amp;" "&amp;SCORE!$D949,EVENTOS!$F:$F,0)),0)</f>
        <v>0</v>
      </c>
      <c r="AC949" s="3">
        <f>IFERROR(INDEX(EVENTOS!$D:$D,MATCH(SCORE!AC$2&amp;" "&amp;SCORE!$D949,EVENTOS!$F:$F,0)),0)</f>
        <v>0</v>
      </c>
      <c r="AD949" s="3">
        <f>IFERROR(INDEX(EVENTOS!$D:$D,MATCH(SCORE!AD$2&amp;" "&amp;SCORE!$D949,EVENTOS!$F:$F,0)),0)</f>
        <v>0</v>
      </c>
      <c r="AE949" s="3">
        <f t="shared" si="42"/>
        <v>0</v>
      </c>
      <c r="AF949" s="10" t="e">
        <f t="shared" si="43"/>
        <v>#N/A</v>
      </c>
      <c r="AG949" s="3" t="str">
        <f t="shared" si="44"/>
        <v/>
      </c>
    </row>
    <row r="950" spans="1:33" x14ac:dyDescent="0.25">
      <c r="A950" s="7"/>
      <c r="B950" s="8"/>
      <c r="C950" s="3"/>
      <c r="D950" s="3"/>
      <c r="E950" s="3" t="e">
        <f>VLOOKUP(D950,VIAJES!$D:$E,2,FALSE)</f>
        <v>#N/A</v>
      </c>
      <c r="F950" s="9" t="e">
        <f>VLOOKUP(D950,VIAJES!$D:$F,3,FALSE)</f>
        <v>#N/A</v>
      </c>
      <c r="G950" s="9" t="e">
        <f>VLOOKUP(D950,VIAJES!$D:$G,4,FALSE)</f>
        <v>#N/A</v>
      </c>
      <c r="H950" s="3" t="e">
        <f>VLOOKUP(D950,VIAJES!$D:$H,5,FALSE)</f>
        <v>#N/A</v>
      </c>
      <c r="S950" s="3">
        <f>IFERROR(INDEX(EVENTOS!$D:$D,MATCH(SCORE!S$2&amp;" "&amp;SCORE!$D950,EVENTOS!$F:$F,0)),0)</f>
        <v>0</v>
      </c>
      <c r="T950" s="3">
        <f>IFERROR(INDEX(EVENTOS!$D:$D,MATCH(SCORE!T$2&amp;" "&amp;SCORE!$D950,EVENTOS!$F:$F,0)),0)</f>
        <v>0</v>
      </c>
      <c r="U950" s="3">
        <f>IFERROR(INDEX(EVENTOS!$D:$D,MATCH(SCORE!U$2&amp;" "&amp;SCORE!$D950,EVENTOS!$F:$F,0)),0)</f>
        <v>0</v>
      </c>
      <c r="V950" s="3">
        <f>IFERROR(INDEX(EVENTOS!$D:$D,MATCH(SCORE!V$2&amp;" "&amp;SCORE!$D950,EVENTOS!$F:$F,0)),0)</f>
        <v>0</v>
      </c>
      <c r="W950" s="3">
        <f>IFERROR(INDEX(EVENTOS!$D:$D,MATCH(SCORE!W$2&amp;" "&amp;SCORE!$D950,EVENTOS!$F:$F,0)),0)</f>
        <v>0</v>
      </c>
      <c r="X950" s="3">
        <f>IFERROR(INDEX(EVENTOS!$D:$D,MATCH(SCORE!X$2&amp;" "&amp;SCORE!$D950,EVENTOS!$F:$F,0)),0)</f>
        <v>0</v>
      </c>
      <c r="Y950" s="3">
        <f>SUMIFS(EVENTOS!$D:$D, EVENTOS!$B:$B, D950, EVENTOS!$E:$E, "*GirAlto*")</f>
        <v>0</v>
      </c>
      <c r="Z950" s="3">
        <f>SUMIFS(EVENTOS!$D:$D, EVENTOS!$B:$B, D950, EVENTOS!$E:$E, "*GirMed*")</f>
        <v>0</v>
      </c>
      <c r="AA950" s="3">
        <f>SUMIFS(EVENTOS!$D:$D, EVENTOS!$B:$B, D950, EVENTOS!$E:$E, "*GirBajo*")</f>
        <v>0</v>
      </c>
      <c r="AB950" s="3">
        <f>IFERROR(INDEX(EVENTOS!$D:$D,MATCH(SCORE!AB$2&amp;" "&amp;SCORE!$D950,EVENTOS!$F:$F,0)),0)</f>
        <v>0</v>
      </c>
      <c r="AC950" s="3">
        <f>IFERROR(INDEX(EVENTOS!$D:$D,MATCH(SCORE!AC$2&amp;" "&amp;SCORE!$D950,EVENTOS!$F:$F,0)),0)</f>
        <v>0</v>
      </c>
      <c r="AD950" s="3">
        <f>IFERROR(INDEX(EVENTOS!$D:$D,MATCH(SCORE!AD$2&amp;" "&amp;SCORE!$D950,EVENTOS!$F:$F,0)),0)</f>
        <v>0</v>
      </c>
      <c r="AE950" s="3">
        <f t="shared" si="42"/>
        <v>0</v>
      </c>
      <c r="AF950" s="10" t="e">
        <f t="shared" si="43"/>
        <v>#N/A</v>
      </c>
      <c r="AG950" s="3" t="str">
        <f t="shared" si="44"/>
        <v/>
      </c>
    </row>
    <row r="951" spans="1:33" x14ac:dyDescent="0.25">
      <c r="A951" s="7"/>
      <c r="B951" s="8"/>
      <c r="C951" s="3"/>
      <c r="D951" s="3"/>
      <c r="E951" s="3" t="e">
        <f>VLOOKUP(D951,VIAJES!$D:$E,2,FALSE)</f>
        <v>#N/A</v>
      </c>
      <c r="F951" s="9" t="e">
        <f>VLOOKUP(D951,VIAJES!$D:$F,3,FALSE)</f>
        <v>#N/A</v>
      </c>
      <c r="G951" s="9" t="e">
        <f>VLOOKUP(D951,VIAJES!$D:$G,4,FALSE)</f>
        <v>#N/A</v>
      </c>
      <c r="H951" s="3" t="e">
        <f>VLOOKUP(D951,VIAJES!$D:$H,5,FALSE)</f>
        <v>#N/A</v>
      </c>
      <c r="S951" s="3">
        <f>IFERROR(INDEX(EVENTOS!$D:$D,MATCH(SCORE!S$2&amp;" "&amp;SCORE!$D951,EVENTOS!$F:$F,0)),0)</f>
        <v>0</v>
      </c>
      <c r="T951" s="3">
        <f>IFERROR(INDEX(EVENTOS!$D:$D,MATCH(SCORE!T$2&amp;" "&amp;SCORE!$D951,EVENTOS!$F:$F,0)),0)</f>
        <v>0</v>
      </c>
      <c r="U951" s="3">
        <f>IFERROR(INDEX(EVENTOS!$D:$D,MATCH(SCORE!U$2&amp;" "&amp;SCORE!$D951,EVENTOS!$F:$F,0)),0)</f>
        <v>0</v>
      </c>
      <c r="V951" s="3">
        <f>IFERROR(INDEX(EVENTOS!$D:$D,MATCH(SCORE!V$2&amp;" "&amp;SCORE!$D951,EVENTOS!$F:$F,0)),0)</f>
        <v>0</v>
      </c>
      <c r="W951" s="3">
        <f>IFERROR(INDEX(EVENTOS!$D:$D,MATCH(SCORE!W$2&amp;" "&amp;SCORE!$D951,EVENTOS!$F:$F,0)),0)</f>
        <v>0</v>
      </c>
      <c r="X951" s="3">
        <f>IFERROR(INDEX(EVENTOS!$D:$D,MATCH(SCORE!X$2&amp;" "&amp;SCORE!$D951,EVENTOS!$F:$F,0)),0)</f>
        <v>0</v>
      </c>
      <c r="Y951" s="3">
        <f>SUMIFS(EVENTOS!$D:$D, EVENTOS!$B:$B, D951, EVENTOS!$E:$E, "*GirAlto*")</f>
        <v>0</v>
      </c>
      <c r="Z951" s="3">
        <f>SUMIFS(EVENTOS!$D:$D, EVENTOS!$B:$B, D951, EVENTOS!$E:$E, "*GirMed*")</f>
        <v>0</v>
      </c>
      <c r="AA951" s="3">
        <f>SUMIFS(EVENTOS!$D:$D, EVENTOS!$B:$B, D951, EVENTOS!$E:$E, "*GirBajo*")</f>
        <v>0</v>
      </c>
      <c r="AB951" s="3">
        <f>IFERROR(INDEX(EVENTOS!$D:$D,MATCH(SCORE!AB$2&amp;" "&amp;SCORE!$D951,EVENTOS!$F:$F,0)),0)</f>
        <v>0</v>
      </c>
      <c r="AC951" s="3">
        <f>IFERROR(INDEX(EVENTOS!$D:$D,MATCH(SCORE!AC$2&amp;" "&amp;SCORE!$D951,EVENTOS!$F:$F,0)),0)</f>
        <v>0</v>
      </c>
      <c r="AD951" s="3">
        <f>IFERROR(INDEX(EVENTOS!$D:$D,MATCH(SCORE!AD$2&amp;" "&amp;SCORE!$D951,EVENTOS!$F:$F,0)),0)</f>
        <v>0</v>
      </c>
      <c r="AE951" s="3">
        <f t="shared" si="42"/>
        <v>0</v>
      </c>
      <c r="AF951" s="10" t="e">
        <f t="shared" si="43"/>
        <v>#N/A</v>
      </c>
      <c r="AG951" s="3" t="str">
        <f t="shared" si="44"/>
        <v/>
      </c>
    </row>
    <row r="952" spans="1:33" x14ac:dyDescent="0.25">
      <c r="A952" s="7"/>
      <c r="B952" s="8"/>
      <c r="C952" s="3"/>
      <c r="D952" s="3"/>
      <c r="E952" s="3" t="e">
        <f>VLOOKUP(D952,VIAJES!$D:$E,2,FALSE)</f>
        <v>#N/A</v>
      </c>
      <c r="F952" s="9" t="e">
        <f>VLOOKUP(D952,VIAJES!$D:$F,3,FALSE)</f>
        <v>#N/A</v>
      </c>
      <c r="G952" s="9" t="e">
        <f>VLOOKUP(D952,VIAJES!$D:$G,4,FALSE)</f>
        <v>#N/A</v>
      </c>
      <c r="H952" s="3" t="e">
        <f>VLOOKUP(D952,VIAJES!$D:$H,5,FALSE)</f>
        <v>#N/A</v>
      </c>
      <c r="S952" s="3">
        <f>IFERROR(INDEX(EVENTOS!$D:$D,MATCH(SCORE!S$2&amp;" "&amp;SCORE!$D952,EVENTOS!$F:$F,0)),0)</f>
        <v>0</v>
      </c>
      <c r="T952" s="3">
        <f>IFERROR(INDEX(EVENTOS!$D:$D,MATCH(SCORE!T$2&amp;" "&amp;SCORE!$D952,EVENTOS!$F:$F,0)),0)</f>
        <v>0</v>
      </c>
      <c r="U952" s="3">
        <f>IFERROR(INDEX(EVENTOS!$D:$D,MATCH(SCORE!U$2&amp;" "&amp;SCORE!$D952,EVENTOS!$F:$F,0)),0)</f>
        <v>0</v>
      </c>
      <c r="V952" s="3">
        <f>IFERROR(INDEX(EVENTOS!$D:$D,MATCH(SCORE!V$2&amp;" "&amp;SCORE!$D952,EVENTOS!$F:$F,0)),0)</f>
        <v>0</v>
      </c>
      <c r="W952" s="3">
        <f>IFERROR(INDEX(EVENTOS!$D:$D,MATCH(SCORE!W$2&amp;" "&amp;SCORE!$D952,EVENTOS!$F:$F,0)),0)</f>
        <v>0</v>
      </c>
      <c r="X952" s="3">
        <f>IFERROR(INDEX(EVENTOS!$D:$D,MATCH(SCORE!X$2&amp;" "&amp;SCORE!$D952,EVENTOS!$F:$F,0)),0)</f>
        <v>0</v>
      </c>
      <c r="Y952" s="3">
        <f>SUMIFS(EVENTOS!$D:$D, EVENTOS!$B:$B, D952, EVENTOS!$E:$E, "*GirAlto*")</f>
        <v>0</v>
      </c>
      <c r="Z952" s="3">
        <f>SUMIFS(EVENTOS!$D:$D, EVENTOS!$B:$B, D952, EVENTOS!$E:$E, "*GirMed*")</f>
        <v>0</v>
      </c>
      <c r="AA952" s="3">
        <f>SUMIFS(EVENTOS!$D:$D, EVENTOS!$B:$B, D952, EVENTOS!$E:$E, "*GirBajo*")</f>
        <v>0</v>
      </c>
      <c r="AB952" s="3">
        <f>IFERROR(INDEX(EVENTOS!$D:$D,MATCH(SCORE!AB$2&amp;" "&amp;SCORE!$D952,EVENTOS!$F:$F,0)),0)</f>
        <v>0</v>
      </c>
      <c r="AC952" s="3">
        <f>IFERROR(INDEX(EVENTOS!$D:$D,MATCH(SCORE!AC$2&amp;" "&amp;SCORE!$D952,EVENTOS!$F:$F,0)),0)</f>
        <v>0</v>
      </c>
      <c r="AD952" s="3">
        <f>IFERROR(INDEX(EVENTOS!$D:$D,MATCH(SCORE!AD$2&amp;" "&amp;SCORE!$D952,EVENTOS!$F:$F,0)),0)</f>
        <v>0</v>
      </c>
      <c r="AE952" s="3">
        <f t="shared" si="42"/>
        <v>0</v>
      </c>
      <c r="AF952" s="10" t="e">
        <f t="shared" si="43"/>
        <v>#N/A</v>
      </c>
      <c r="AG952" s="3" t="str">
        <f t="shared" si="44"/>
        <v/>
      </c>
    </row>
    <row r="953" spans="1:33" x14ac:dyDescent="0.25">
      <c r="A953" s="7"/>
      <c r="B953" s="8"/>
      <c r="C953" s="3"/>
      <c r="D953" s="3"/>
      <c r="E953" s="3" t="e">
        <f>VLOOKUP(D953,VIAJES!$D:$E,2,FALSE)</f>
        <v>#N/A</v>
      </c>
      <c r="F953" s="9" t="e">
        <f>VLOOKUP(D953,VIAJES!$D:$F,3,FALSE)</f>
        <v>#N/A</v>
      </c>
      <c r="G953" s="9" t="e">
        <f>VLOOKUP(D953,VIAJES!$D:$G,4,FALSE)</f>
        <v>#N/A</v>
      </c>
      <c r="H953" s="3" t="e">
        <f>VLOOKUP(D953,VIAJES!$D:$H,5,FALSE)</f>
        <v>#N/A</v>
      </c>
      <c r="S953" s="3">
        <f>IFERROR(INDEX(EVENTOS!$D:$D,MATCH(SCORE!S$2&amp;" "&amp;SCORE!$D953,EVENTOS!$F:$F,0)),0)</f>
        <v>0</v>
      </c>
      <c r="T953" s="3">
        <f>IFERROR(INDEX(EVENTOS!$D:$D,MATCH(SCORE!T$2&amp;" "&amp;SCORE!$D953,EVENTOS!$F:$F,0)),0)</f>
        <v>0</v>
      </c>
      <c r="U953" s="3">
        <f>IFERROR(INDEX(EVENTOS!$D:$D,MATCH(SCORE!U$2&amp;" "&amp;SCORE!$D953,EVENTOS!$F:$F,0)),0)</f>
        <v>0</v>
      </c>
      <c r="V953" s="3">
        <f>IFERROR(INDEX(EVENTOS!$D:$D,MATCH(SCORE!V$2&amp;" "&amp;SCORE!$D953,EVENTOS!$F:$F,0)),0)</f>
        <v>0</v>
      </c>
      <c r="W953" s="3">
        <f>IFERROR(INDEX(EVENTOS!$D:$D,MATCH(SCORE!W$2&amp;" "&amp;SCORE!$D953,EVENTOS!$F:$F,0)),0)</f>
        <v>0</v>
      </c>
      <c r="X953" s="3">
        <f>IFERROR(INDEX(EVENTOS!$D:$D,MATCH(SCORE!X$2&amp;" "&amp;SCORE!$D953,EVENTOS!$F:$F,0)),0)</f>
        <v>0</v>
      </c>
      <c r="Y953" s="3">
        <f>SUMIFS(EVENTOS!$D:$D, EVENTOS!$B:$B, D953, EVENTOS!$E:$E, "*GirAlto*")</f>
        <v>0</v>
      </c>
      <c r="Z953" s="3">
        <f>SUMIFS(EVENTOS!$D:$D, EVENTOS!$B:$B, D953, EVENTOS!$E:$E, "*GirMed*")</f>
        <v>0</v>
      </c>
      <c r="AA953" s="3">
        <f>SUMIFS(EVENTOS!$D:$D, EVENTOS!$B:$B, D953, EVENTOS!$E:$E, "*GirBajo*")</f>
        <v>0</v>
      </c>
      <c r="AB953" s="3">
        <f>IFERROR(INDEX(EVENTOS!$D:$D,MATCH(SCORE!AB$2&amp;" "&amp;SCORE!$D953,EVENTOS!$F:$F,0)),0)</f>
        <v>0</v>
      </c>
      <c r="AC953" s="3">
        <f>IFERROR(INDEX(EVENTOS!$D:$D,MATCH(SCORE!AC$2&amp;" "&amp;SCORE!$D953,EVENTOS!$F:$F,0)),0)</f>
        <v>0</v>
      </c>
      <c r="AD953" s="3">
        <f>IFERROR(INDEX(EVENTOS!$D:$D,MATCH(SCORE!AD$2&amp;" "&amp;SCORE!$D953,EVENTOS!$F:$F,0)),0)</f>
        <v>0</v>
      </c>
      <c r="AE953" s="3">
        <f t="shared" si="42"/>
        <v>0</v>
      </c>
      <c r="AF953" s="10" t="e">
        <f t="shared" si="43"/>
        <v>#N/A</v>
      </c>
      <c r="AG953" s="3" t="str">
        <f t="shared" si="44"/>
        <v/>
      </c>
    </row>
    <row r="954" spans="1:33" x14ac:dyDescent="0.25">
      <c r="A954" s="7"/>
      <c r="B954" s="8"/>
      <c r="C954" s="3"/>
      <c r="D954" s="3"/>
      <c r="E954" s="3" t="e">
        <f>VLOOKUP(D954,VIAJES!$D:$E,2,FALSE)</f>
        <v>#N/A</v>
      </c>
      <c r="F954" s="9" t="e">
        <f>VLOOKUP(D954,VIAJES!$D:$F,3,FALSE)</f>
        <v>#N/A</v>
      </c>
      <c r="G954" s="9" t="e">
        <f>VLOOKUP(D954,VIAJES!$D:$G,4,FALSE)</f>
        <v>#N/A</v>
      </c>
      <c r="H954" s="3" t="e">
        <f>VLOOKUP(D954,VIAJES!$D:$H,5,FALSE)</f>
        <v>#N/A</v>
      </c>
      <c r="S954" s="3">
        <f>IFERROR(INDEX(EVENTOS!$D:$D,MATCH(SCORE!S$2&amp;" "&amp;SCORE!$D954,EVENTOS!$F:$F,0)),0)</f>
        <v>0</v>
      </c>
      <c r="T954" s="3">
        <f>IFERROR(INDEX(EVENTOS!$D:$D,MATCH(SCORE!T$2&amp;" "&amp;SCORE!$D954,EVENTOS!$F:$F,0)),0)</f>
        <v>0</v>
      </c>
      <c r="U954" s="3">
        <f>IFERROR(INDEX(EVENTOS!$D:$D,MATCH(SCORE!U$2&amp;" "&amp;SCORE!$D954,EVENTOS!$F:$F,0)),0)</f>
        <v>0</v>
      </c>
      <c r="V954" s="3">
        <f>IFERROR(INDEX(EVENTOS!$D:$D,MATCH(SCORE!V$2&amp;" "&amp;SCORE!$D954,EVENTOS!$F:$F,0)),0)</f>
        <v>0</v>
      </c>
      <c r="W954" s="3">
        <f>IFERROR(INDEX(EVENTOS!$D:$D,MATCH(SCORE!W$2&amp;" "&amp;SCORE!$D954,EVENTOS!$F:$F,0)),0)</f>
        <v>0</v>
      </c>
      <c r="X954" s="3">
        <f>IFERROR(INDEX(EVENTOS!$D:$D,MATCH(SCORE!X$2&amp;" "&amp;SCORE!$D954,EVENTOS!$F:$F,0)),0)</f>
        <v>0</v>
      </c>
      <c r="Y954" s="3">
        <f>SUMIFS(EVENTOS!$D:$D, EVENTOS!$B:$B, D954, EVENTOS!$E:$E, "*GirAlto*")</f>
        <v>0</v>
      </c>
      <c r="Z954" s="3">
        <f>SUMIFS(EVENTOS!$D:$D, EVENTOS!$B:$B, D954, EVENTOS!$E:$E, "*GirMed*")</f>
        <v>0</v>
      </c>
      <c r="AA954" s="3">
        <f>SUMIFS(EVENTOS!$D:$D, EVENTOS!$B:$B, D954, EVENTOS!$E:$E, "*GirBajo*")</f>
        <v>0</v>
      </c>
      <c r="AB954" s="3">
        <f>IFERROR(INDEX(EVENTOS!$D:$D,MATCH(SCORE!AB$2&amp;" "&amp;SCORE!$D954,EVENTOS!$F:$F,0)),0)</f>
        <v>0</v>
      </c>
      <c r="AC954" s="3">
        <f>IFERROR(INDEX(EVENTOS!$D:$D,MATCH(SCORE!AC$2&amp;" "&amp;SCORE!$D954,EVENTOS!$F:$F,0)),0)</f>
        <v>0</v>
      </c>
      <c r="AD954" s="3">
        <f>IFERROR(INDEX(EVENTOS!$D:$D,MATCH(SCORE!AD$2&amp;" "&amp;SCORE!$D954,EVENTOS!$F:$F,0)),0)</f>
        <v>0</v>
      </c>
      <c r="AE954" s="3">
        <f t="shared" si="42"/>
        <v>0</v>
      </c>
      <c r="AF954" s="10" t="e">
        <f t="shared" si="43"/>
        <v>#N/A</v>
      </c>
      <c r="AG954" s="3" t="str">
        <f t="shared" si="44"/>
        <v/>
      </c>
    </row>
    <row r="955" spans="1:33" x14ac:dyDescent="0.25">
      <c r="A955" s="7"/>
      <c r="B955" s="8"/>
      <c r="C955" s="3"/>
      <c r="D955" s="3"/>
      <c r="E955" s="3" t="e">
        <f>VLOOKUP(D955,VIAJES!$D:$E,2,FALSE)</f>
        <v>#N/A</v>
      </c>
      <c r="F955" s="9" t="e">
        <f>VLOOKUP(D955,VIAJES!$D:$F,3,FALSE)</f>
        <v>#N/A</v>
      </c>
      <c r="G955" s="9" t="e">
        <f>VLOOKUP(D955,VIAJES!$D:$G,4,FALSE)</f>
        <v>#N/A</v>
      </c>
      <c r="H955" s="3" t="e">
        <f>VLOOKUP(D955,VIAJES!$D:$H,5,FALSE)</f>
        <v>#N/A</v>
      </c>
      <c r="S955" s="3">
        <f>IFERROR(INDEX(EVENTOS!$D:$D,MATCH(SCORE!S$2&amp;" "&amp;SCORE!$D955,EVENTOS!$F:$F,0)),0)</f>
        <v>0</v>
      </c>
      <c r="T955" s="3">
        <f>IFERROR(INDEX(EVENTOS!$D:$D,MATCH(SCORE!T$2&amp;" "&amp;SCORE!$D955,EVENTOS!$F:$F,0)),0)</f>
        <v>0</v>
      </c>
      <c r="U955" s="3">
        <f>IFERROR(INDEX(EVENTOS!$D:$D,MATCH(SCORE!U$2&amp;" "&amp;SCORE!$D955,EVENTOS!$F:$F,0)),0)</f>
        <v>0</v>
      </c>
      <c r="V955" s="3">
        <f>IFERROR(INDEX(EVENTOS!$D:$D,MATCH(SCORE!V$2&amp;" "&amp;SCORE!$D955,EVENTOS!$F:$F,0)),0)</f>
        <v>0</v>
      </c>
      <c r="W955" s="3">
        <f>IFERROR(INDEX(EVENTOS!$D:$D,MATCH(SCORE!W$2&amp;" "&amp;SCORE!$D955,EVENTOS!$F:$F,0)),0)</f>
        <v>0</v>
      </c>
      <c r="X955" s="3">
        <f>IFERROR(INDEX(EVENTOS!$D:$D,MATCH(SCORE!X$2&amp;" "&amp;SCORE!$D955,EVENTOS!$F:$F,0)),0)</f>
        <v>0</v>
      </c>
      <c r="Y955" s="3">
        <f>SUMIFS(EVENTOS!$D:$D, EVENTOS!$B:$B, D955, EVENTOS!$E:$E, "*GirAlto*")</f>
        <v>0</v>
      </c>
      <c r="Z955" s="3">
        <f>SUMIFS(EVENTOS!$D:$D, EVENTOS!$B:$B, D955, EVENTOS!$E:$E, "*GirMed*")</f>
        <v>0</v>
      </c>
      <c r="AA955" s="3">
        <f>SUMIFS(EVENTOS!$D:$D, EVENTOS!$B:$B, D955, EVENTOS!$E:$E, "*GirBajo*")</f>
        <v>0</v>
      </c>
      <c r="AB955" s="3">
        <f>IFERROR(INDEX(EVENTOS!$D:$D,MATCH(SCORE!AB$2&amp;" "&amp;SCORE!$D955,EVENTOS!$F:$F,0)),0)</f>
        <v>0</v>
      </c>
      <c r="AC955" s="3">
        <f>IFERROR(INDEX(EVENTOS!$D:$D,MATCH(SCORE!AC$2&amp;" "&amp;SCORE!$D955,EVENTOS!$F:$F,0)),0)</f>
        <v>0</v>
      </c>
      <c r="AD955" s="3">
        <f>IFERROR(INDEX(EVENTOS!$D:$D,MATCH(SCORE!AD$2&amp;" "&amp;SCORE!$D955,EVENTOS!$F:$F,0)),0)</f>
        <v>0</v>
      </c>
      <c r="AE955" s="3">
        <f t="shared" si="42"/>
        <v>0</v>
      </c>
      <c r="AF955" s="10" t="e">
        <f t="shared" si="43"/>
        <v>#N/A</v>
      </c>
      <c r="AG955" s="3" t="str">
        <f t="shared" si="44"/>
        <v/>
      </c>
    </row>
    <row r="956" spans="1:33" x14ac:dyDescent="0.25">
      <c r="A956" s="7"/>
      <c r="B956" s="8"/>
      <c r="C956" s="3"/>
      <c r="D956" s="3"/>
      <c r="E956" s="3" t="e">
        <f>VLOOKUP(D956,VIAJES!$D:$E,2,FALSE)</f>
        <v>#N/A</v>
      </c>
      <c r="F956" s="9" t="e">
        <f>VLOOKUP(D956,VIAJES!$D:$F,3,FALSE)</f>
        <v>#N/A</v>
      </c>
      <c r="G956" s="9" t="e">
        <f>VLOOKUP(D956,VIAJES!$D:$G,4,FALSE)</f>
        <v>#N/A</v>
      </c>
      <c r="H956" s="3" t="e">
        <f>VLOOKUP(D956,VIAJES!$D:$H,5,FALSE)</f>
        <v>#N/A</v>
      </c>
      <c r="S956" s="3">
        <f>IFERROR(INDEX(EVENTOS!$D:$D,MATCH(SCORE!S$2&amp;" "&amp;SCORE!$D956,EVENTOS!$F:$F,0)),0)</f>
        <v>0</v>
      </c>
      <c r="T956" s="3">
        <f>IFERROR(INDEX(EVENTOS!$D:$D,MATCH(SCORE!T$2&amp;" "&amp;SCORE!$D956,EVENTOS!$F:$F,0)),0)</f>
        <v>0</v>
      </c>
      <c r="U956" s="3">
        <f>IFERROR(INDEX(EVENTOS!$D:$D,MATCH(SCORE!U$2&amp;" "&amp;SCORE!$D956,EVENTOS!$F:$F,0)),0)</f>
        <v>0</v>
      </c>
      <c r="V956" s="3">
        <f>IFERROR(INDEX(EVENTOS!$D:$D,MATCH(SCORE!V$2&amp;" "&amp;SCORE!$D956,EVENTOS!$F:$F,0)),0)</f>
        <v>0</v>
      </c>
      <c r="W956" s="3">
        <f>IFERROR(INDEX(EVENTOS!$D:$D,MATCH(SCORE!W$2&amp;" "&amp;SCORE!$D956,EVENTOS!$F:$F,0)),0)</f>
        <v>0</v>
      </c>
      <c r="X956" s="3">
        <f>IFERROR(INDEX(EVENTOS!$D:$D,MATCH(SCORE!X$2&amp;" "&amp;SCORE!$D956,EVENTOS!$F:$F,0)),0)</f>
        <v>0</v>
      </c>
      <c r="Y956" s="3">
        <f>SUMIFS(EVENTOS!$D:$D, EVENTOS!$B:$B, D956, EVENTOS!$E:$E, "*GirAlto*")</f>
        <v>0</v>
      </c>
      <c r="Z956" s="3">
        <f>SUMIFS(EVENTOS!$D:$D, EVENTOS!$B:$B, D956, EVENTOS!$E:$E, "*GirMed*")</f>
        <v>0</v>
      </c>
      <c r="AA956" s="3">
        <f>SUMIFS(EVENTOS!$D:$D, EVENTOS!$B:$B, D956, EVENTOS!$E:$E, "*GirBajo*")</f>
        <v>0</v>
      </c>
      <c r="AB956" s="3">
        <f>IFERROR(INDEX(EVENTOS!$D:$D,MATCH(SCORE!AB$2&amp;" "&amp;SCORE!$D956,EVENTOS!$F:$F,0)),0)</f>
        <v>0</v>
      </c>
      <c r="AC956" s="3">
        <f>IFERROR(INDEX(EVENTOS!$D:$D,MATCH(SCORE!AC$2&amp;" "&amp;SCORE!$D956,EVENTOS!$F:$F,0)),0)</f>
        <v>0</v>
      </c>
      <c r="AD956" s="3">
        <f>IFERROR(INDEX(EVENTOS!$D:$D,MATCH(SCORE!AD$2&amp;" "&amp;SCORE!$D956,EVENTOS!$F:$F,0)),0)</f>
        <v>0</v>
      </c>
      <c r="AE956" s="3">
        <f t="shared" si="42"/>
        <v>0</v>
      </c>
      <c r="AF956" s="10" t="e">
        <f t="shared" si="43"/>
        <v>#N/A</v>
      </c>
      <c r="AG956" s="3" t="str">
        <f t="shared" si="44"/>
        <v/>
      </c>
    </row>
    <row r="957" spans="1:33" x14ac:dyDescent="0.25">
      <c r="A957" s="7"/>
      <c r="B957" s="8"/>
      <c r="C957" s="3"/>
      <c r="D957" s="3"/>
      <c r="E957" s="3" t="e">
        <f>VLOOKUP(D957,VIAJES!$D:$E,2,FALSE)</f>
        <v>#N/A</v>
      </c>
      <c r="F957" s="9" t="e">
        <f>VLOOKUP(D957,VIAJES!$D:$F,3,FALSE)</f>
        <v>#N/A</v>
      </c>
      <c r="G957" s="9" t="e">
        <f>VLOOKUP(D957,VIAJES!$D:$G,4,FALSE)</f>
        <v>#N/A</v>
      </c>
      <c r="H957" s="3" t="e">
        <f>VLOOKUP(D957,VIAJES!$D:$H,5,FALSE)</f>
        <v>#N/A</v>
      </c>
      <c r="S957" s="3">
        <f>IFERROR(INDEX(EVENTOS!$D:$D,MATCH(SCORE!S$2&amp;" "&amp;SCORE!$D957,EVENTOS!$F:$F,0)),0)</f>
        <v>0</v>
      </c>
      <c r="T957" s="3">
        <f>IFERROR(INDEX(EVENTOS!$D:$D,MATCH(SCORE!T$2&amp;" "&amp;SCORE!$D957,EVENTOS!$F:$F,0)),0)</f>
        <v>0</v>
      </c>
      <c r="U957" s="3">
        <f>IFERROR(INDEX(EVENTOS!$D:$D,MATCH(SCORE!U$2&amp;" "&amp;SCORE!$D957,EVENTOS!$F:$F,0)),0)</f>
        <v>0</v>
      </c>
      <c r="V957" s="3">
        <f>IFERROR(INDEX(EVENTOS!$D:$D,MATCH(SCORE!V$2&amp;" "&amp;SCORE!$D957,EVENTOS!$F:$F,0)),0)</f>
        <v>0</v>
      </c>
      <c r="W957" s="3">
        <f>IFERROR(INDEX(EVENTOS!$D:$D,MATCH(SCORE!W$2&amp;" "&amp;SCORE!$D957,EVENTOS!$F:$F,0)),0)</f>
        <v>0</v>
      </c>
      <c r="X957" s="3">
        <f>IFERROR(INDEX(EVENTOS!$D:$D,MATCH(SCORE!X$2&amp;" "&amp;SCORE!$D957,EVENTOS!$F:$F,0)),0)</f>
        <v>0</v>
      </c>
      <c r="Y957" s="3">
        <f>SUMIFS(EVENTOS!$D:$D, EVENTOS!$B:$B, D957, EVENTOS!$E:$E, "*GirAlto*")</f>
        <v>0</v>
      </c>
      <c r="Z957" s="3">
        <f>SUMIFS(EVENTOS!$D:$D, EVENTOS!$B:$B, D957, EVENTOS!$E:$E, "*GirMed*")</f>
        <v>0</v>
      </c>
      <c r="AA957" s="3">
        <f>SUMIFS(EVENTOS!$D:$D, EVENTOS!$B:$B, D957, EVENTOS!$E:$E, "*GirBajo*")</f>
        <v>0</v>
      </c>
      <c r="AB957" s="3">
        <f>IFERROR(INDEX(EVENTOS!$D:$D,MATCH(SCORE!AB$2&amp;" "&amp;SCORE!$D957,EVENTOS!$F:$F,0)),0)</f>
        <v>0</v>
      </c>
      <c r="AC957" s="3">
        <f>IFERROR(INDEX(EVENTOS!$D:$D,MATCH(SCORE!AC$2&amp;" "&amp;SCORE!$D957,EVENTOS!$F:$F,0)),0)</f>
        <v>0</v>
      </c>
      <c r="AD957" s="3">
        <f>IFERROR(INDEX(EVENTOS!$D:$D,MATCH(SCORE!AD$2&amp;" "&amp;SCORE!$D957,EVENTOS!$F:$F,0)),0)</f>
        <v>0</v>
      </c>
      <c r="AE957" s="3">
        <f t="shared" si="42"/>
        <v>0</v>
      </c>
      <c r="AF957" s="10" t="e">
        <f t="shared" si="43"/>
        <v>#N/A</v>
      </c>
      <c r="AG957" s="3" t="str">
        <f t="shared" si="44"/>
        <v/>
      </c>
    </row>
    <row r="958" spans="1:33" x14ac:dyDescent="0.25">
      <c r="A958" s="7"/>
      <c r="B958" s="8"/>
      <c r="C958" s="3"/>
      <c r="D958" s="3"/>
      <c r="E958" s="3" t="e">
        <f>VLOOKUP(D958,VIAJES!$D:$E,2,FALSE)</f>
        <v>#N/A</v>
      </c>
      <c r="F958" s="9" t="e">
        <f>VLOOKUP(D958,VIAJES!$D:$F,3,FALSE)</f>
        <v>#N/A</v>
      </c>
      <c r="G958" s="9" t="e">
        <f>VLOOKUP(D958,VIAJES!$D:$G,4,FALSE)</f>
        <v>#N/A</v>
      </c>
      <c r="H958" s="3" t="e">
        <f>VLOOKUP(D958,VIAJES!$D:$H,5,FALSE)</f>
        <v>#N/A</v>
      </c>
      <c r="S958" s="3">
        <f>IFERROR(INDEX(EVENTOS!$D:$D,MATCH(SCORE!S$2&amp;" "&amp;SCORE!$D958,EVENTOS!$F:$F,0)),0)</f>
        <v>0</v>
      </c>
      <c r="T958" s="3">
        <f>IFERROR(INDEX(EVENTOS!$D:$D,MATCH(SCORE!T$2&amp;" "&amp;SCORE!$D958,EVENTOS!$F:$F,0)),0)</f>
        <v>0</v>
      </c>
      <c r="U958" s="3">
        <f>IFERROR(INDEX(EVENTOS!$D:$D,MATCH(SCORE!U$2&amp;" "&amp;SCORE!$D958,EVENTOS!$F:$F,0)),0)</f>
        <v>0</v>
      </c>
      <c r="V958" s="3">
        <f>IFERROR(INDEX(EVENTOS!$D:$D,MATCH(SCORE!V$2&amp;" "&amp;SCORE!$D958,EVENTOS!$F:$F,0)),0)</f>
        <v>0</v>
      </c>
      <c r="W958" s="3">
        <f>IFERROR(INDEX(EVENTOS!$D:$D,MATCH(SCORE!W$2&amp;" "&amp;SCORE!$D958,EVENTOS!$F:$F,0)),0)</f>
        <v>0</v>
      </c>
      <c r="X958" s="3">
        <f>IFERROR(INDEX(EVENTOS!$D:$D,MATCH(SCORE!X$2&amp;" "&amp;SCORE!$D958,EVENTOS!$F:$F,0)),0)</f>
        <v>0</v>
      </c>
      <c r="Y958" s="3">
        <f>SUMIFS(EVENTOS!$D:$D, EVENTOS!$B:$B, D958, EVENTOS!$E:$E, "*GirAlto*")</f>
        <v>0</v>
      </c>
      <c r="Z958" s="3">
        <f>SUMIFS(EVENTOS!$D:$D, EVENTOS!$B:$B, D958, EVENTOS!$E:$E, "*GirMed*")</f>
        <v>0</v>
      </c>
      <c r="AA958" s="3">
        <f>SUMIFS(EVENTOS!$D:$D, EVENTOS!$B:$B, D958, EVENTOS!$E:$E, "*GirBajo*")</f>
        <v>0</v>
      </c>
      <c r="AB958" s="3">
        <f>IFERROR(INDEX(EVENTOS!$D:$D,MATCH(SCORE!AB$2&amp;" "&amp;SCORE!$D958,EVENTOS!$F:$F,0)),0)</f>
        <v>0</v>
      </c>
      <c r="AC958" s="3">
        <f>IFERROR(INDEX(EVENTOS!$D:$D,MATCH(SCORE!AC$2&amp;" "&amp;SCORE!$D958,EVENTOS!$F:$F,0)),0)</f>
        <v>0</v>
      </c>
      <c r="AD958" s="3">
        <f>IFERROR(INDEX(EVENTOS!$D:$D,MATCH(SCORE!AD$2&amp;" "&amp;SCORE!$D958,EVENTOS!$F:$F,0)),0)</f>
        <v>0</v>
      </c>
      <c r="AE958" s="3">
        <f t="shared" si="42"/>
        <v>0</v>
      </c>
      <c r="AF958" s="10" t="e">
        <f t="shared" si="43"/>
        <v>#N/A</v>
      </c>
      <c r="AG958" s="3" t="str">
        <f t="shared" si="44"/>
        <v/>
      </c>
    </row>
    <row r="959" spans="1:33" x14ac:dyDescent="0.25">
      <c r="A959" s="7"/>
      <c r="B959" s="8"/>
      <c r="C959" s="3"/>
      <c r="D959" s="3"/>
      <c r="E959" s="3" t="e">
        <f>VLOOKUP(D959,VIAJES!$D:$E,2,FALSE)</f>
        <v>#N/A</v>
      </c>
      <c r="F959" s="9" t="e">
        <f>VLOOKUP(D959,VIAJES!$D:$F,3,FALSE)</f>
        <v>#N/A</v>
      </c>
      <c r="G959" s="9" t="e">
        <f>VLOOKUP(D959,VIAJES!$D:$G,4,FALSE)</f>
        <v>#N/A</v>
      </c>
      <c r="H959" s="3" t="e">
        <f>VLOOKUP(D959,VIAJES!$D:$H,5,FALSE)</f>
        <v>#N/A</v>
      </c>
      <c r="S959" s="3">
        <f>IFERROR(INDEX(EVENTOS!$D:$D,MATCH(SCORE!S$2&amp;" "&amp;SCORE!$D959,EVENTOS!$F:$F,0)),0)</f>
        <v>0</v>
      </c>
      <c r="T959" s="3">
        <f>IFERROR(INDEX(EVENTOS!$D:$D,MATCH(SCORE!T$2&amp;" "&amp;SCORE!$D959,EVENTOS!$F:$F,0)),0)</f>
        <v>0</v>
      </c>
      <c r="U959" s="3">
        <f>IFERROR(INDEX(EVENTOS!$D:$D,MATCH(SCORE!U$2&amp;" "&amp;SCORE!$D959,EVENTOS!$F:$F,0)),0)</f>
        <v>0</v>
      </c>
      <c r="V959" s="3">
        <f>IFERROR(INDEX(EVENTOS!$D:$D,MATCH(SCORE!V$2&amp;" "&amp;SCORE!$D959,EVENTOS!$F:$F,0)),0)</f>
        <v>0</v>
      </c>
      <c r="W959" s="3">
        <f>IFERROR(INDEX(EVENTOS!$D:$D,MATCH(SCORE!W$2&amp;" "&amp;SCORE!$D959,EVENTOS!$F:$F,0)),0)</f>
        <v>0</v>
      </c>
      <c r="X959" s="3">
        <f>IFERROR(INDEX(EVENTOS!$D:$D,MATCH(SCORE!X$2&amp;" "&amp;SCORE!$D959,EVENTOS!$F:$F,0)),0)</f>
        <v>0</v>
      </c>
      <c r="Y959" s="3">
        <f>SUMIFS(EVENTOS!$D:$D, EVENTOS!$B:$B, D959, EVENTOS!$E:$E, "*GirAlto*")</f>
        <v>0</v>
      </c>
      <c r="Z959" s="3">
        <f>SUMIFS(EVENTOS!$D:$D, EVENTOS!$B:$B, D959, EVENTOS!$E:$E, "*GirMed*")</f>
        <v>0</v>
      </c>
      <c r="AA959" s="3">
        <f>SUMIFS(EVENTOS!$D:$D, EVENTOS!$B:$B, D959, EVENTOS!$E:$E, "*GirBajo*")</f>
        <v>0</v>
      </c>
      <c r="AB959" s="3">
        <f>IFERROR(INDEX(EVENTOS!$D:$D,MATCH(SCORE!AB$2&amp;" "&amp;SCORE!$D959,EVENTOS!$F:$F,0)),0)</f>
        <v>0</v>
      </c>
      <c r="AC959" s="3">
        <f>IFERROR(INDEX(EVENTOS!$D:$D,MATCH(SCORE!AC$2&amp;" "&amp;SCORE!$D959,EVENTOS!$F:$F,0)),0)</f>
        <v>0</v>
      </c>
      <c r="AD959" s="3">
        <f>IFERROR(INDEX(EVENTOS!$D:$D,MATCH(SCORE!AD$2&amp;" "&amp;SCORE!$D959,EVENTOS!$F:$F,0)),0)</f>
        <v>0</v>
      </c>
      <c r="AE959" s="3">
        <f t="shared" si="42"/>
        <v>0</v>
      </c>
      <c r="AF959" s="10" t="e">
        <f t="shared" si="43"/>
        <v>#N/A</v>
      </c>
      <c r="AG959" s="3" t="str">
        <f t="shared" si="44"/>
        <v/>
      </c>
    </row>
    <row r="960" spans="1:33" x14ac:dyDescent="0.25">
      <c r="A960" s="7"/>
      <c r="B960" s="8"/>
      <c r="C960" s="3"/>
      <c r="D960" s="3"/>
      <c r="E960" s="3" t="e">
        <f>VLOOKUP(D960,VIAJES!$D:$E,2,FALSE)</f>
        <v>#N/A</v>
      </c>
      <c r="F960" s="9" t="e">
        <f>VLOOKUP(D960,VIAJES!$D:$F,3,FALSE)</f>
        <v>#N/A</v>
      </c>
      <c r="G960" s="9" t="e">
        <f>VLOOKUP(D960,VIAJES!$D:$G,4,FALSE)</f>
        <v>#N/A</v>
      </c>
      <c r="H960" s="3" t="e">
        <f>VLOOKUP(D960,VIAJES!$D:$H,5,FALSE)</f>
        <v>#N/A</v>
      </c>
      <c r="S960" s="3">
        <f>IFERROR(INDEX(EVENTOS!$D:$D,MATCH(SCORE!S$2&amp;" "&amp;SCORE!$D960,EVENTOS!$F:$F,0)),0)</f>
        <v>0</v>
      </c>
      <c r="T960" s="3">
        <f>IFERROR(INDEX(EVENTOS!$D:$D,MATCH(SCORE!T$2&amp;" "&amp;SCORE!$D960,EVENTOS!$F:$F,0)),0)</f>
        <v>0</v>
      </c>
      <c r="U960" s="3">
        <f>IFERROR(INDEX(EVENTOS!$D:$D,MATCH(SCORE!U$2&amp;" "&amp;SCORE!$D960,EVENTOS!$F:$F,0)),0)</f>
        <v>0</v>
      </c>
      <c r="V960" s="3">
        <f>IFERROR(INDEX(EVENTOS!$D:$D,MATCH(SCORE!V$2&amp;" "&amp;SCORE!$D960,EVENTOS!$F:$F,0)),0)</f>
        <v>0</v>
      </c>
      <c r="W960" s="3">
        <f>IFERROR(INDEX(EVENTOS!$D:$D,MATCH(SCORE!W$2&amp;" "&amp;SCORE!$D960,EVENTOS!$F:$F,0)),0)</f>
        <v>0</v>
      </c>
      <c r="X960" s="3">
        <f>IFERROR(INDEX(EVENTOS!$D:$D,MATCH(SCORE!X$2&amp;" "&amp;SCORE!$D960,EVENTOS!$F:$F,0)),0)</f>
        <v>0</v>
      </c>
      <c r="Y960" s="3">
        <f>SUMIFS(EVENTOS!$D:$D, EVENTOS!$B:$B, D960, EVENTOS!$E:$E, "*GirAlto*")</f>
        <v>0</v>
      </c>
      <c r="Z960" s="3">
        <f>SUMIFS(EVENTOS!$D:$D, EVENTOS!$B:$B, D960, EVENTOS!$E:$E, "*GirMed*")</f>
        <v>0</v>
      </c>
      <c r="AA960" s="3">
        <f>SUMIFS(EVENTOS!$D:$D, EVENTOS!$B:$B, D960, EVENTOS!$E:$E, "*GirBajo*")</f>
        <v>0</v>
      </c>
      <c r="AB960" s="3">
        <f>IFERROR(INDEX(EVENTOS!$D:$D,MATCH(SCORE!AB$2&amp;" "&amp;SCORE!$D960,EVENTOS!$F:$F,0)),0)</f>
        <v>0</v>
      </c>
      <c r="AC960" s="3">
        <f>IFERROR(INDEX(EVENTOS!$D:$D,MATCH(SCORE!AC$2&amp;" "&amp;SCORE!$D960,EVENTOS!$F:$F,0)),0)</f>
        <v>0</v>
      </c>
      <c r="AD960" s="3">
        <f>IFERROR(INDEX(EVENTOS!$D:$D,MATCH(SCORE!AD$2&amp;" "&amp;SCORE!$D960,EVENTOS!$F:$F,0)),0)</f>
        <v>0</v>
      </c>
      <c r="AE960" s="3">
        <f t="shared" si="42"/>
        <v>0</v>
      </c>
      <c r="AF960" s="10" t="e">
        <f t="shared" si="43"/>
        <v>#N/A</v>
      </c>
      <c r="AG960" s="3" t="str">
        <f t="shared" si="44"/>
        <v/>
      </c>
    </row>
    <row r="961" spans="1:33" x14ac:dyDescent="0.25">
      <c r="A961" s="7"/>
      <c r="B961" s="8"/>
      <c r="C961" s="3"/>
      <c r="D961" s="3"/>
      <c r="E961" s="3" t="e">
        <f>VLOOKUP(D961,VIAJES!$D:$E,2,FALSE)</f>
        <v>#N/A</v>
      </c>
      <c r="F961" s="9" t="e">
        <f>VLOOKUP(D961,VIAJES!$D:$F,3,FALSE)</f>
        <v>#N/A</v>
      </c>
      <c r="G961" s="9" t="e">
        <f>VLOOKUP(D961,VIAJES!$D:$G,4,FALSE)</f>
        <v>#N/A</v>
      </c>
      <c r="H961" s="3" t="e">
        <f>VLOOKUP(D961,VIAJES!$D:$H,5,FALSE)</f>
        <v>#N/A</v>
      </c>
      <c r="S961" s="3">
        <f>IFERROR(INDEX(EVENTOS!$D:$D,MATCH(SCORE!S$2&amp;" "&amp;SCORE!$D961,EVENTOS!$F:$F,0)),0)</f>
        <v>0</v>
      </c>
      <c r="T961" s="3">
        <f>IFERROR(INDEX(EVENTOS!$D:$D,MATCH(SCORE!T$2&amp;" "&amp;SCORE!$D961,EVENTOS!$F:$F,0)),0)</f>
        <v>0</v>
      </c>
      <c r="U961" s="3">
        <f>IFERROR(INDEX(EVENTOS!$D:$D,MATCH(SCORE!U$2&amp;" "&amp;SCORE!$D961,EVENTOS!$F:$F,0)),0)</f>
        <v>0</v>
      </c>
      <c r="V961" s="3">
        <f>IFERROR(INDEX(EVENTOS!$D:$D,MATCH(SCORE!V$2&amp;" "&amp;SCORE!$D961,EVENTOS!$F:$F,0)),0)</f>
        <v>0</v>
      </c>
      <c r="W961" s="3">
        <f>IFERROR(INDEX(EVENTOS!$D:$D,MATCH(SCORE!W$2&amp;" "&amp;SCORE!$D961,EVENTOS!$F:$F,0)),0)</f>
        <v>0</v>
      </c>
      <c r="X961" s="3">
        <f>IFERROR(INDEX(EVENTOS!$D:$D,MATCH(SCORE!X$2&amp;" "&amp;SCORE!$D961,EVENTOS!$F:$F,0)),0)</f>
        <v>0</v>
      </c>
      <c r="Y961" s="3">
        <f>SUMIFS(EVENTOS!$D:$D, EVENTOS!$B:$B, D961, EVENTOS!$E:$E, "*GirAlto*")</f>
        <v>0</v>
      </c>
      <c r="Z961" s="3">
        <f>SUMIFS(EVENTOS!$D:$D, EVENTOS!$B:$B, D961, EVENTOS!$E:$E, "*GirMed*")</f>
        <v>0</v>
      </c>
      <c r="AA961" s="3">
        <f>SUMIFS(EVENTOS!$D:$D, EVENTOS!$B:$B, D961, EVENTOS!$E:$E, "*GirBajo*")</f>
        <v>0</v>
      </c>
      <c r="AB961" s="3">
        <f>IFERROR(INDEX(EVENTOS!$D:$D,MATCH(SCORE!AB$2&amp;" "&amp;SCORE!$D961,EVENTOS!$F:$F,0)),0)</f>
        <v>0</v>
      </c>
      <c r="AC961" s="3">
        <f>IFERROR(INDEX(EVENTOS!$D:$D,MATCH(SCORE!AC$2&amp;" "&amp;SCORE!$D961,EVENTOS!$F:$F,0)),0)</f>
        <v>0</v>
      </c>
      <c r="AD961" s="3">
        <f>IFERROR(INDEX(EVENTOS!$D:$D,MATCH(SCORE!AD$2&amp;" "&amp;SCORE!$D961,EVENTOS!$F:$F,0)),0)</f>
        <v>0</v>
      </c>
      <c r="AE961" s="3">
        <f t="shared" si="42"/>
        <v>0</v>
      </c>
      <c r="AF961" s="10" t="e">
        <f t="shared" si="43"/>
        <v>#N/A</v>
      </c>
      <c r="AG961" s="3" t="str">
        <f t="shared" si="44"/>
        <v/>
      </c>
    </row>
    <row r="962" spans="1:33" x14ac:dyDescent="0.25">
      <c r="A962" s="7"/>
      <c r="B962" s="8"/>
      <c r="C962" s="3"/>
      <c r="D962" s="3"/>
      <c r="E962" s="3" t="e">
        <f>VLOOKUP(D962,VIAJES!$D:$E,2,FALSE)</f>
        <v>#N/A</v>
      </c>
      <c r="F962" s="9" t="e">
        <f>VLOOKUP(D962,VIAJES!$D:$F,3,FALSE)</f>
        <v>#N/A</v>
      </c>
      <c r="G962" s="9" t="e">
        <f>VLOOKUP(D962,VIAJES!$D:$G,4,FALSE)</f>
        <v>#N/A</v>
      </c>
      <c r="H962" s="3" t="e">
        <f>VLOOKUP(D962,VIAJES!$D:$H,5,FALSE)</f>
        <v>#N/A</v>
      </c>
      <c r="S962" s="3">
        <f>IFERROR(INDEX(EVENTOS!$D:$D,MATCH(SCORE!S$2&amp;" "&amp;SCORE!$D962,EVENTOS!$F:$F,0)),0)</f>
        <v>0</v>
      </c>
      <c r="T962" s="3">
        <f>IFERROR(INDEX(EVENTOS!$D:$D,MATCH(SCORE!T$2&amp;" "&amp;SCORE!$D962,EVENTOS!$F:$F,0)),0)</f>
        <v>0</v>
      </c>
      <c r="U962" s="3">
        <f>IFERROR(INDEX(EVENTOS!$D:$D,MATCH(SCORE!U$2&amp;" "&amp;SCORE!$D962,EVENTOS!$F:$F,0)),0)</f>
        <v>0</v>
      </c>
      <c r="V962" s="3">
        <f>IFERROR(INDEX(EVENTOS!$D:$D,MATCH(SCORE!V$2&amp;" "&amp;SCORE!$D962,EVENTOS!$F:$F,0)),0)</f>
        <v>0</v>
      </c>
      <c r="W962" s="3">
        <f>IFERROR(INDEX(EVENTOS!$D:$D,MATCH(SCORE!W$2&amp;" "&amp;SCORE!$D962,EVENTOS!$F:$F,0)),0)</f>
        <v>0</v>
      </c>
      <c r="X962" s="3">
        <f>IFERROR(INDEX(EVENTOS!$D:$D,MATCH(SCORE!X$2&amp;" "&amp;SCORE!$D962,EVENTOS!$F:$F,0)),0)</f>
        <v>0</v>
      </c>
      <c r="Y962" s="3">
        <f>SUMIFS(EVENTOS!$D:$D, EVENTOS!$B:$B, D962, EVENTOS!$E:$E, "*GirAlto*")</f>
        <v>0</v>
      </c>
      <c r="Z962" s="3">
        <f>SUMIFS(EVENTOS!$D:$D, EVENTOS!$B:$B, D962, EVENTOS!$E:$E, "*GirMed*")</f>
        <v>0</v>
      </c>
      <c r="AA962" s="3">
        <f>SUMIFS(EVENTOS!$D:$D, EVENTOS!$B:$B, D962, EVENTOS!$E:$E, "*GirBajo*")</f>
        <v>0</v>
      </c>
      <c r="AB962" s="3">
        <f>IFERROR(INDEX(EVENTOS!$D:$D,MATCH(SCORE!AB$2&amp;" "&amp;SCORE!$D962,EVENTOS!$F:$F,0)),0)</f>
        <v>0</v>
      </c>
      <c r="AC962" s="3">
        <f>IFERROR(INDEX(EVENTOS!$D:$D,MATCH(SCORE!AC$2&amp;" "&amp;SCORE!$D962,EVENTOS!$F:$F,0)),0)</f>
        <v>0</v>
      </c>
      <c r="AD962" s="3">
        <f>IFERROR(INDEX(EVENTOS!$D:$D,MATCH(SCORE!AD$2&amp;" "&amp;SCORE!$D962,EVENTOS!$F:$F,0)),0)</f>
        <v>0</v>
      </c>
      <c r="AE962" s="3">
        <f t="shared" si="42"/>
        <v>0</v>
      </c>
      <c r="AF962" s="10" t="e">
        <f t="shared" si="43"/>
        <v>#N/A</v>
      </c>
      <c r="AG962" s="3" t="str">
        <f t="shared" si="44"/>
        <v/>
      </c>
    </row>
    <row r="963" spans="1:33" x14ac:dyDescent="0.25">
      <c r="A963" s="7"/>
      <c r="B963" s="8"/>
      <c r="C963" s="3"/>
      <c r="D963" s="3"/>
      <c r="E963" s="3" t="e">
        <f>VLOOKUP(D963,VIAJES!$D:$E,2,FALSE)</f>
        <v>#N/A</v>
      </c>
      <c r="F963" s="9" t="e">
        <f>VLOOKUP(D963,VIAJES!$D:$F,3,FALSE)</f>
        <v>#N/A</v>
      </c>
      <c r="G963" s="9" t="e">
        <f>VLOOKUP(D963,VIAJES!$D:$G,4,FALSE)</f>
        <v>#N/A</v>
      </c>
      <c r="H963" s="3" t="e">
        <f>VLOOKUP(D963,VIAJES!$D:$H,5,FALSE)</f>
        <v>#N/A</v>
      </c>
      <c r="S963" s="3">
        <f>IFERROR(INDEX(EVENTOS!$D:$D,MATCH(SCORE!S$2&amp;" "&amp;SCORE!$D963,EVENTOS!$F:$F,0)),0)</f>
        <v>0</v>
      </c>
      <c r="T963" s="3">
        <f>IFERROR(INDEX(EVENTOS!$D:$D,MATCH(SCORE!T$2&amp;" "&amp;SCORE!$D963,EVENTOS!$F:$F,0)),0)</f>
        <v>0</v>
      </c>
      <c r="U963" s="3">
        <f>IFERROR(INDEX(EVENTOS!$D:$D,MATCH(SCORE!U$2&amp;" "&amp;SCORE!$D963,EVENTOS!$F:$F,0)),0)</f>
        <v>0</v>
      </c>
      <c r="V963" s="3">
        <f>IFERROR(INDEX(EVENTOS!$D:$D,MATCH(SCORE!V$2&amp;" "&amp;SCORE!$D963,EVENTOS!$F:$F,0)),0)</f>
        <v>0</v>
      </c>
      <c r="W963" s="3">
        <f>IFERROR(INDEX(EVENTOS!$D:$D,MATCH(SCORE!W$2&amp;" "&amp;SCORE!$D963,EVENTOS!$F:$F,0)),0)</f>
        <v>0</v>
      </c>
      <c r="X963" s="3">
        <f>IFERROR(INDEX(EVENTOS!$D:$D,MATCH(SCORE!X$2&amp;" "&amp;SCORE!$D963,EVENTOS!$F:$F,0)),0)</f>
        <v>0</v>
      </c>
      <c r="Y963" s="3">
        <f>SUMIFS(EVENTOS!$D:$D, EVENTOS!$B:$B, D963, EVENTOS!$E:$E, "*GirAlto*")</f>
        <v>0</v>
      </c>
      <c r="Z963" s="3">
        <f>SUMIFS(EVENTOS!$D:$D, EVENTOS!$B:$B, D963, EVENTOS!$E:$E, "*GirMed*")</f>
        <v>0</v>
      </c>
      <c r="AA963" s="3">
        <f>SUMIFS(EVENTOS!$D:$D, EVENTOS!$B:$B, D963, EVENTOS!$E:$E, "*GirBajo*")</f>
        <v>0</v>
      </c>
      <c r="AB963" s="3">
        <f>IFERROR(INDEX(EVENTOS!$D:$D,MATCH(SCORE!AB$2&amp;" "&amp;SCORE!$D963,EVENTOS!$F:$F,0)),0)</f>
        <v>0</v>
      </c>
      <c r="AC963" s="3">
        <f>IFERROR(INDEX(EVENTOS!$D:$D,MATCH(SCORE!AC$2&amp;" "&amp;SCORE!$D963,EVENTOS!$F:$F,0)),0)</f>
        <v>0</v>
      </c>
      <c r="AD963" s="3">
        <f>IFERROR(INDEX(EVENTOS!$D:$D,MATCH(SCORE!AD$2&amp;" "&amp;SCORE!$D963,EVENTOS!$F:$F,0)),0)</f>
        <v>0</v>
      </c>
      <c r="AE963" s="3">
        <f t="shared" ref="AE963:AE1026" si="45">((S963+V963+Y963+AB963)*50)+((T963+W963+Z963+AC963)*25)+((U963+X963+AA963+AD963)*5)</f>
        <v>0</v>
      </c>
      <c r="AF963" s="10" t="e">
        <f t="shared" ref="AF963:AF1026" si="46">AE963/(G963*24)*100</f>
        <v>#N/A</v>
      </c>
      <c r="AG963" s="3" t="str">
        <f t="shared" ref="AG963:AG1026" si="47">IF(D963&lt;&gt;"",IF(AF963&gt;=30000,5,ROUNDDOWN((((5-95)*(AF963-0))/(30000-0))+95,0)),"")</f>
        <v/>
      </c>
    </row>
    <row r="964" spans="1:33" x14ac:dyDescent="0.25">
      <c r="A964" s="7"/>
      <c r="B964" s="8"/>
      <c r="C964" s="3"/>
      <c r="D964" s="3"/>
      <c r="E964" s="3" t="e">
        <f>VLOOKUP(D964,VIAJES!$D:$E,2,FALSE)</f>
        <v>#N/A</v>
      </c>
      <c r="F964" s="9" t="e">
        <f>VLOOKUP(D964,VIAJES!$D:$F,3,FALSE)</f>
        <v>#N/A</v>
      </c>
      <c r="G964" s="9" t="e">
        <f>VLOOKUP(D964,VIAJES!$D:$G,4,FALSE)</f>
        <v>#N/A</v>
      </c>
      <c r="H964" s="3" t="e">
        <f>VLOOKUP(D964,VIAJES!$D:$H,5,FALSE)</f>
        <v>#N/A</v>
      </c>
      <c r="S964" s="3">
        <f>IFERROR(INDEX(EVENTOS!$D:$D,MATCH(SCORE!S$2&amp;" "&amp;SCORE!$D964,EVENTOS!$F:$F,0)),0)</f>
        <v>0</v>
      </c>
      <c r="T964" s="3">
        <f>IFERROR(INDEX(EVENTOS!$D:$D,MATCH(SCORE!T$2&amp;" "&amp;SCORE!$D964,EVENTOS!$F:$F,0)),0)</f>
        <v>0</v>
      </c>
      <c r="U964" s="3">
        <f>IFERROR(INDEX(EVENTOS!$D:$D,MATCH(SCORE!U$2&amp;" "&amp;SCORE!$D964,EVENTOS!$F:$F,0)),0)</f>
        <v>0</v>
      </c>
      <c r="V964" s="3">
        <f>IFERROR(INDEX(EVENTOS!$D:$D,MATCH(SCORE!V$2&amp;" "&amp;SCORE!$D964,EVENTOS!$F:$F,0)),0)</f>
        <v>0</v>
      </c>
      <c r="W964" s="3">
        <f>IFERROR(INDEX(EVENTOS!$D:$D,MATCH(SCORE!W$2&amp;" "&amp;SCORE!$D964,EVENTOS!$F:$F,0)),0)</f>
        <v>0</v>
      </c>
      <c r="X964" s="3">
        <f>IFERROR(INDEX(EVENTOS!$D:$D,MATCH(SCORE!X$2&amp;" "&amp;SCORE!$D964,EVENTOS!$F:$F,0)),0)</f>
        <v>0</v>
      </c>
      <c r="Y964" s="3">
        <f>SUMIFS(EVENTOS!$D:$D, EVENTOS!$B:$B, D964, EVENTOS!$E:$E, "*GirAlto*")</f>
        <v>0</v>
      </c>
      <c r="Z964" s="3">
        <f>SUMIFS(EVENTOS!$D:$D, EVENTOS!$B:$B, D964, EVENTOS!$E:$E, "*GirMed*")</f>
        <v>0</v>
      </c>
      <c r="AA964" s="3">
        <f>SUMIFS(EVENTOS!$D:$D, EVENTOS!$B:$B, D964, EVENTOS!$E:$E, "*GirBajo*")</f>
        <v>0</v>
      </c>
      <c r="AB964" s="3">
        <f>IFERROR(INDEX(EVENTOS!$D:$D,MATCH(SCORE!AB$2&amp;" "&amp;SCORE!$D964,EVENTOS!$F:$F,0)),0)</f>
        <v>0</v>
      </c>
      <c r="AC964" s="3">
        <f>IFERROR(INDEX(EVENTOS!$D:$D,MATCH(SCORE!AC$2&amp;" "&amp;SCORE!$D964,EVENTOS!$F:$F,0)),0)</f>
        <v>0</v>
      </c>
      <c r="AD964" s="3">
        <f>IFERROR(INDEX(EVENTOS!$D:$D,MATCH(SCORE!AD$2&amp;" "&amp;SCORE!$D964,EVENTOS!$F:$F,0)),0)</f>
        <v>0</v>
      </c>
      <c r="AE964" s="3">
        <f t="shared" si="45"/>
        <v>0</v>
      </c>
      <c r="AF964" s="10" t="e">
        <f t="shared" si="46"/>
        <v>#N/A</v>
      </c>
      <c r="AG964" s="3" t="str">
        <f t="shared" si="47"/>
        <v/>
      </c>
    </row>
    <row r="965" spans="1:33" x14ac:dyDescent="0.25">
      <c r="A965" s="7"/>
      <c r="B965" s="8"/>
      <c r="C965" s="3"/>
      <c r="D965" s="3"/>
      <c r="E965" s="3" t="e">
        <f>VLOOKUP(D965,VIAJES!$D:$E,2,FALSE)</f>
        <v>#N/A</v>
      </c>
      <c r="F965" s="9" t="e">
        <f>VLOOKUP(D965,VIAJES!$D:$F,3,FALSE)</f>
        <v>#N/A</v>
      </c>
      <c r="G965" s="9" t="e">
        <f>VLOOKUP(D965,VIAJES!$D:$G,4,FALSE)</f>
        <v>#N/A</v>
      </c>
      <c r="H965" s="3" t="e">
        <f>VLOOKUP(D965,VIAJES!$D:$H,5,FALSE)</f>
        <v>#N/A</v>
      </c>
      <c r="S965" s="3">
        <f>IFERROR(INDEX(EVENTOS!$D:$D,MATCH(SCORE!S$2&amp;" "&amp;SCORE!$D965,EVENTOS!$F:$F,0)),0)</f>
        <v>0</v>
      </c>
      <c r="T965" s="3">
        <f>IFERROR(INDEX(EVENTOS!$D:$D,MATCH(SCORE!T$2&amp;" "&amp;SCORE!$D965,EVENTOS!$F:$F,0)),0)</f>
        <v>0</v>
      </c>
      <c r="U965" s="3">
        <f>IFERROR(INDEX(EVENTOS!$D:$D,MATCH(SCORE!U$2&amp;" "&amp;SCORE!$D965,EVENTOS!$F:$F,0)),0)</f>
        <v>0</v>
      </c>
      <c r="V965" s="3">
        <f>IFERROR(INDEX(EVENTOS!$D:$D,MATCH(SCORE!V$2&amp;" "&amp;SCORE!$D965,EVENTOS!$F:$F,0)),0)</f>
        <v>0</v>
      </c>
      <c r="W965" s="3">
        <f>IFERROR(INDEX(EVENTOS!$D:$D,MATCH(SCORE!W$2&amp;" "&amp;SCORE!$D965,EVENTOS!$F:$F,0)),0)</f>
        <v>0</v>
      </c>
      <c r="X965" s="3">
        <f>IFERROR(INDEX(EVENTOS!$D:$D,MATCH(SCORE!X$2&amp;" "&amp;SCORE!$D965,EVENTOS!$F:$F,0)),0)</f>
        <v>0</v>
      </c>
      <c r="Y965" s="3">
        <f>SUMIFS(EVENTOS!$D:$D, EVENTOS!$B:$B, D965, EVENTOS!$E:$E, "*GirAlto*")</f>
        <v>0</v>
      </c>
      <c r="Z965" s="3">
        <f>SUMIFS(EVENTOS!$D:$D, EVENTOS!$B:$B, D965, EVENTOS!$E:$E, "*GirMed*")</f>
        <v>0</v>
      </c>
      <c r="AA965" s="3">
        <f>SUMIFS(EVENTOS!$D:$D, EVENTOS!$B:$B, D965, EVENTOS!$E:$E, "*GirBajo*")</f>
        <v>0</v>
      </c>
      <c r="AB965" s="3">
        <f>IFERROR(INDEX(EVENTOS!$D:$D,MATCH(SCORE!AB$2&amp;" "&amp;SCORE!$D965,EVENTOS!$F:$F,0)),0)</f>
        <v>0</v>
      </c>
      <c r="AC965" s="3">
        <f>IFERROR(INDEX(EVENTOS!$D:$D,MATCH(SCORE!AC$2&amp;" "&amp;SCORE!$D965,EVENTOS!$F:$F,0)),0)</f>
        <v>0</v>
      </c>
      <c r="AD965" s="3">
        <f>IFERROR(INDEX(EVENTOS!$D:$D,MATCH(SCORE!AD$2&amp;" "&amp;SCORE!$D965,EVENTOS!$F:$F,0)),0)</f>
        <v>0</v>
      </c>
      <c r="AE965" s="3">
        <f t="shared" si="45"/>
        <v>0</v>
      </c>
      <c r="AF965" s="10" t="e">
        <f t="shared" si="46"/>
        <v>#N/A</v>
      </c>
      <c r="AG965" s="3" t="str">
        <f t="shared" si="47"/>
        <v/>
      </c>
    </row>
    <row r="966" spans="1:33" x14ac:dyDescent="0.25">
      <c r="A966" s="7"/>
      <c r="B966" s="8"/>
      <c r="C966" s="3"/>
      <c r="D966" s="3"/>
      <c r="E966" s="3" t="e">
        <f>VLOOKUP(D966,VIAJES!$D:$E,2,FALSE)</f>
        <v>#N/A</v>
      </c>
      <c r="F966" s="9" t="e">
        <f>VLOOKUP(D966,VIAJES!$D:$F,3,FALSE)</f>
        <v>#N/A</v>
      </c>
      <c r="G966" s="9" t="e">
        <f>VLOOKUP(D966,VIAJES!$D:$G,4,FALSE)</f>
        <v>#N/A</v>
      </c>
      <c r="H966" s="3" t="e">
        <f>VLOOKUP(D966,VIAJES!$D:$H,5,FALSE)</f>
        <v>#N/A</v>
      </c>
      <c r="S966" s="3">
        <f>IFERROR(INDEX(EVENTOS!$D:$D,MATCH(SCORE!S$2&amp;" "&amp;SCORE!$D966,EVENTOS!$F:$F,0)),0)</f>
        <v>0</v>
      </c>
      <c r="T966" s="3">
        <f>IFERROR(INDEX(EVENTOS!$D:$D,MATCH(SCORE!T$2&amp;" "&amp;SCORE!$D966,EVENTOS!$F:$F,0)),0)</f>
        <v>0</v>
      </c>
      <c r="U966" s="3">
        <f>IFERROR(INDEX(EVENTOS!$D:$D,MATCH(SCORE!U$2&amp;" "&amp;SCORE!$D966,EVENTOS!$F:$F,0)),0)</f>
        <v>0</v>
      </c>
      <c r="V966" s="3">
        <f>IFERROR(INDEX(EVENTOS!$D:$D,MATCH(SCORE!V$2&amp;" "&amp;SCORE!$D966,EVENTOS!$F:$F,0)),0)</f>
        <v>0</v>
      </c>
      <c r="W966" s="3">
        <f>IFERROR(INDEX(EVENTOS!$D:$D,MATCH(SCORE!W$2&amp;" "&amp;SCORE!$D966,EVENTOS!$F:$F,0)),0)</f>
        <v>0</v>
      </c>
      <c r="X966" s="3">
        <f>IFERROR(INDEX(EVENTOS!$D:$D,MATCH(SCORE!X$2&amp;" "&amp;SCORE!$D966,EVENTOS!$F:$F,0)),0)</f>
        <v>0</v>
      </c>
      <c r="Y966" s="3">
        <f>SUMIFS(EVENTOS!$D:$D, EVENTOS!$B:$B, D966, EVENTOS!$E:$E, "*GirAlto*")</f>
        <v>0</v>
      </c>
      <c r="Z966" s="3">
        <f>SUMIFS(EVENTOS!$D:$D, EVENTOS!$B:$B, D966, EVENTOS!$E:$E, "*GirMed*")</f>
        <v>0</v>
      </c>
      <c r="AA966" s="3">
        <f>SUMIFS(EVENTOS!$D:$D, EVENTOS!$B:$B, D966, EVENTOS!$E:$E, "*GirBajo*")</f>
        <v>0</v>
      </c>
      <c r="AB966" s="3">
        <f>IFERROR(INDEX(EVENTOS!$D:$D,MATCH(SCORE!AB$2&amp;" "&amp;SCORE!$D966,EVENTOS!$F:$F,0)),0)</f>
        <v>0</v>
      </c>
      <c r="AC966" s="3">
        <f>IFERROR(INDEX(EVENTOS!$D:$D,MATCH(SCORE!AC$2&amp;" "&amp;SCORE!$D966,EVENTOS!$F:$F,0)),0)</f>
        <v>0</v>
      </c>
      <c r="AD966" s="3">
        <f>IFERROR(INDEX(EVENTOS!$D:$D,MATCH(SCORE!AD$2&amp;" "&amp;SCORE!$D966,EVENTOS!$F:$F,0)),0)</f>
        <v>0</v>
      </c>
      <c r="AE966" s="3">
        <f t="shared" si="45"/>
        <v>0</v>
      </c>
      <c r="AF966" s="10" t="e">
        <f t="shared" si="46"/>
        <v>#N/A</v>
      </c>
      <c r="AG966" s="3" t="str">
        <f t="shared" si="47"/>
        <v/>
      </c>
    </row>
    <row r="967" spans="1:33" x14ac:dyDescent="0.25">
      <c r="A967" s="7"/>
      <c r="B967" s="8"/>
      <c r="C967" s="3"/>
      <c r="D967" s="3"/>
      <c r="E967" s="3" t="e">
        <f>VLOOKUP(D967,VIAJES!$D:$E,2,FALSE)</f>
        <v>#N/A</v>
      </c>
      <c r="F967" s="9" t="e">
        <f>VLOOKUP(D967,VIAJES!$D:$F,3,FALSE)</f>
        <v>#N/A</v>
      </c>
      <c r="G967" s="9" t="e">
        <f>VLOOKUP(D967,VIAJES!$D:$G,4,FALSE)</f>
        <v>#N/A</v>
      </c>
      <c r="H967" s="3" t="e">
        <f>VLOOKUP(D967,VIAJES!$D:$H,5,FALSE)</f>
        <v>#N/A</v>
      </c>
      <c r="S967" s="3">
        <f>IFERROR(INDEX(EVENTOS!$D:$D,MATCH(SCORE!S$2&amp;" "&amp;SCORE!$D967,EVENTOS!$F:$F,0)),0)</f>
        <v>0</v>
      </c>
      <c r="T967" s="3">
        <f>IFERROR(INDEX(EVENTOS!$D:$D,MATCH(SCORE!T$2&amp;" "&amp;SCORE!$D967,EVENTOS!$F:$F,0)),0)</f>
        <v>0</v>
      </c>
      <c r="U967" s="3">
        <f>IFERROR(INDEX(EVENTOS!$D:$D,MATCH(SCORE!U$2&amp;" "&amp;SCORE!$D967,EVENTOS!$F:$F,0)),0)</f>
        <v>0</v>
      </c>
      <c r="V967" s="3">
        <f>IFERROR(INDEX(EVENTOS!$D:$D,MATCH(SCORE!V$2&amp;" "&amp;SCORE!$D967,EVENTOS!$F:$F,0)),0)</f>
        <v>0</v>
      </c>
      <c r="W967" s="3">
        <f>IFERROR(INDEX(EVENTOS!$D:$D,MATCH(SCORE!W$2&amp;" "&amp;SCORE!$D967,EVENTOS!$F:$F,0)),0)</f>
        <v>0</v>
      </c>
      <c r="X967" s="3">
        <f>IFERROR(INDEX(EVENTOS!$D:$D,MATCH(SCORE!X$2&amp;" "&amp;SCORE!$D967,EVENTOS!$F:$F,0)),0)</f>
        <v>0</v>
      </c>
      <c r="Y967" s="3">
        <f>SUMIFS(EVENTOS!$D:$D, EVENTOS!$B:$B, D967, EVENTOS!$E:$E, "*GirAlto*")</f>
        <v>0</v>
      </c>
      <c r="Z967" s="3">
        <f>SUMIFS(EVENTOS!$D:$D, EVENTOS!$B:$B, D967, EVENTOS!$E:$E, "*GirMed*")</f>
        <v>0</v>
      </c>
      <c r="AA967" s="3">
        <f>SUMIFS(EVENTOS!$D:$D, EVENTOS!$B:$B, D967, EVENTOS!$E:$E, "*GirBajo*")</f>
        <v>0</v>
      </c>
      <c r="AB967" s="3">
        <f>IFERROR(INDEX(EVENTOS!$D:$D,MATCH(SCORE!AB$2&amp;" "&amp;SCORE!$D967,EVENTOS!$F:$F,0)),0)</f>
        <v>0</v>
      </c>
      <c r="AC967" s="3">
        <f>IFERROR(INDEX(EVENTOS!$D:$D,MATCH(SCORE!AC$2&amp;" "&amp;SCORE!$D967,EVENTOS!$F:$F,0)),0)</f>
        <v>0</v>
      </c>
      <c r="AD967" s="3">
        <f>IFERROR(INDEX(EVENTOS!$D:$D,MATCH(SCORE!AD$2&amp;" "&amp;SCORE!$D967,EVENTOS!$F:$F,0)),0)</f>
        <v>0</v>
      </c>
      <c r="AE967" s="3">
        <f t="shared" si="45"/>
        <v>0</v>
      </c>
      <c r="AF967" s="10" t="e">
        <f t="shared" si="46"/>
        <v>#N/A</v>
      </c>
      <c r="AG967" s="3" t="str">
        <f t="shared" si="47"/>
        <v/>
      </c>
    </row>
    <row r="968" spans="1:33" x14ac:dyDescent="0.25">
      <c r="A968" s="7"/>
      <c r="B968" s="8"/>
      <c r="C968" s="3"/>
      <c r="D968" s="3"/>
      <c r="E968" s="3" t="e">
        <f>VLOOKUP(D968,VIAJES!$D:$E,2,FALSE)</f>
        <v>#N/A</v>
      </c>
      <c r="F968" s="9" t="e">
        <f>VLOOKUP(D968,VIAJES!$D:$F,3,FALSE)</f>
        <v>#N/A</v>
      </c>
      <c r="G968" s="9" t="e">
        <f>VLOOKUP(D968,VIAJES!$D:$G,4,FALSE)</f>
        <v>#N/A</v>
      </c>
      <c r="H968" s="3" t="e">
        <f>VLOOKUP(D968,VIAJES!$D:$H,5,FALSE)</f>
        <v>#N/A</v>
      </c>
      <c r="S968" s="3">
        <f>IFERROR(INDEX(EVENTOS!$D:$D,MATCH(SCORE!S$2&amp;" "&amp;SCORE!$D968,EVENTOS!$F:$F,0)),0)</f>
        <v>0</v>
      </c>
      <c r="T968" s="3">
        <f>IFERROR(INDEX(EVENTOS!$D:$D,MATCH(SCORE!T$2&amp;" "&amp;SCORE!$D968,EVENTOS!$F:$F,0)),0)</f>
        <v>0</v>
      </c>
      <c r="U968" s="3">
        <f>IFERROR(INDEX(EVENTOS!$D:$D,MATCH(SCORE!U$2&amp;" "&amp;SCORE!$D968,EVENTOS!$F:$F,0)),0)</f>
        <v>0</v>
      </c>
      <c r="V968" s="3">
        <f>IFERROR(INDEX(EVENTOS!$D:$D,MATCH(SCORE!V$2&amp;" "&amp;SCORE!$D968,EVENTOS!$F:$F,0)),0)</f>
        <v>0</v>
      </c>
      <c r="W968" s="3">
        <f>IFERROR(INDEX(EVENTOS!$D:$D,MATCH(SCORE!W$2&amp;" "&amp;SCORE!$D968,EVENTOS!$F:$F,0)),0)</f>
        <v>0</v>
      </c>
      <c r="X968" s="3">
        <f>IFERROR(INDEX(EVENTOS!$D:$D,MATCH(SCORE!X$2&amp;" "&amp;SCORE!$D968,EVENTOS!$F:$F,0)),0)</f>
        <v>0</v>
      </c>
      <c r="Y968" s="3">
        <f>SUMIFS(EVENTOS!$D:$D, EVENTOS!$B:$B, D968, EVENTOS!$E:$E, "*GirAlto*")</f>
        <v>0</v>
      </c>
      <c r="Z968" s="3">
        <f>SUMIFS(EVENTOS!$D:$D, EVENTOS!$B:$B, D968, EVENTOS!$E:$E, "*GirMed*")</f>
        <v>0</v>
      </c>
      <c r="AA968" s="3">
        <f>SUMIFS(EVENTOS!$D:$D, EVENTOS!$B:$B, D968, EVENTOS!$E:$E, "*GirBajo*")</f>
        <v>0</v>
      </c>
      <c r="AB968" s="3">
        <f>IFERROR(INDEX(EVENTOS!$D:$D,MATCH(SCORE!AB$2&amp;" "&amp;SCORE!$D968,EVENTOS!$F:$F,0)),0)</f>
        <v>0</v>
      </c>
      <c r="AC968" s="3">
        <f>IFERROR(INDEX(EVENTOS!$D:$D,MATCH(SCORE!AC$2&amp;" "&amp;SCORE!$D968,EVENTOS!$F:$F,0)),0)</f>
        <v>0</v>
      </c>
      <c r="AD968" s="3">
        <f>IFERROR(INDEX(EVENTOS!$D:$D,MATCH(SCORE!AD$2&amp;" "&amp;SCORE!$D968,EVENTOS!$F:$F,0)),0)</f>
        <v>0</v>
      </c>
      <c r="AE968" s="3">
        <f t="shared" si="45"/>
        <v>0</v>
      </c>
      <c r="AF968" s="10" t="e">
        <f t="shared" si="46"/>
        <v>#N/A</v>
      </c>
      <c r="AG968" s="3" t="str">
        <f t="shared" si="47"/>
        <v/>
      </c>
    </row>
    <row r="969" spans="1:33" x14ac:dyDescent="0.25">
      <c r="A969" s="7"/>
      <c r="B969" s="8"/>
      <c r="C969" s="3"/>
      <c r="D969" s="3"/>
      <c r="E969" s="3" t="e">
        <f>VLOOKUP(D969,VIAJES!$D:$E,2,FALSE)</f>
        <v>#N/A</v>
      </c>
      <c r="F969" s="9" t="e">
        <f>VLOOKUP(D969,VIAJES!$D:$F,3,FALSE)</f>
        <v>#N/A</v>
      </c>
      <c r="G969" s="9" t="e">
        <f>VLOOKUP(D969,VIAJES!$D:$G,4,FALSE)</f>
        <v>#N/A</v>
      </c>
      <c r="H969" s="3" t="e">
        <f>VLOOKUP(D969,VIAJES!$D:$H,5,FALSE)</f>
        <v>#N/A</v>
      </c>
      <c r="S969" s="3">
        <f>IFERROR(INDEX(EVENTOS!$D:$D,MATCH(SCORE!S$2&amp;" "&amp;SCORE!$D969,EVENTOS!$F:$F,0)),0)</f>
        <v>0</v>
      </c>
      <c r="T969" s="3">
        <f>IFERROR(INDEX(EVENTOS!$D:$D,MATCH(SCORE!T$2&amp;" "&amp;SCORE!$D969,EVENTOS!$F:$F,0)),0)</f>
        <v>0</v>
      </c>
      <c r="U969" s="3">
        <f>IFERROR(INDEX(EVENTOS!$D:$D,MATCH(SCORE!U$2&amp;" "&amp;SCORE!$D969,EVENTOS!$F:$F,0)),0)</f>
        <v>0</v>
      </c>
      <c r="V969" s="3">
        <f>IFERROR(INDEX(EVENTOS!$D:$D,MATCH(SCORE!V$2&amp;" "&amp;SCORE!$D969,EVENTOS!$F:$F,0)),0)</f>
        <v>0</v>
      </c>
      <c r="W969" s="3">
        <f>IFERROR(INDEX(EVENTOS!$D:$D,MATCH(SCORE!W$2&amp;" "&amp;SCORE!$D969,EVENTOS!$F:$F,0)),0)</f>
        <v>0</v>
      </c>
      <c r="X969" s="3">
        <f>IFERROR(INDEX(EVENTOS!$D:$D,MATCH(SCORE!X$2&amp;" "&amp;SCORE!$D969,EVENTOS!$F:$F,0)),0)</f>
        <v>0</v>
      </c>
      <c r="Y969" s="3">
        <f>SUMIFS(EVENTOS!$D:$D, EVENTOS!$B:$B, D969, EVENTOS!$E:$E, "*GirAlto*")</f>
        <v>0</v>
      </c>
      <c r="Z969" s="3">
        <f>SUMIFS(EVENTOS!$D:$D, EVENTOS!$B:$B, D969, EVENTOS!$E:$E, "*GirMed*")</f>
        <v>0</v>
      </c>
      <c r="AA969" s="3">
        <f>SUMIFS(EVENTOS!$D:$D, EVENTOS!$B:$B, D969, EVENTOS!$E:$E, "*GirBajo*")</f>
        <v>0</v>
      </c>
      <c r="AB969" s="3">
        <f>IFERROR(INDEX(EVENTOS!$D:$D,MATCH(SCORE!AB$2&amp;" "&amp;SCORE!$D969,EVENTOS!$F:$F,0)),0)</f>
        <v>0</v>
      </c>
      <c r="AC969" s="3">
        <f>IFERROR(INDEX(EVENTOS!$D:$D,MATCH(SCORE!AC$2&amp;" "&amp;SCORE!$D969,EVENTOS!$F:$F,0)),0)</f>
        <v>0</v>
      </c>
      <c r="AD969" s="3">
        <f>IFERROR(INDEX(EVENTOS!$D:$D,MATCH(SCORE!AD$2&amp;" "&amp;SCORE!$D969,EVENTOS!$F:$F,0)),0)</f>
        <v>0</v>
      </c>
      <c r="AE969" s="3">
        <f t="shared" si="45"/>
        <v>0</v>
      </c>
      <c r="AF969" s="10" t="e">
        <f t="shared" si="46"/>
        <v>#N/A</v>
      </c>
      <c r="AG969" s="3" t="str">
        <f t="shared" si="47"/>
        <v/>
      </c>
    </row>
    <row r="970" spans="1:33" x14ac:dyDescent="0.25">
      <c r="A970" s="7"/>
      <c r="B970" s="8"/>
      <c r="C970" s="3"/>
      <c r="D970" s="3"/>
      <c r="E970" s="3" t="e">
        <f>VLOOKUP(D970,VIAJES!$D:$E,2,FALSE)</f>
        <v>#N/A</v>
      </c>
      <c r="F970" s="9" t="e">
        <f>VLOOKUP(D970,VIAJES!$D:$F,3,FALSE)</f>
        <v>#N/A</v>
      </c>
      <c r="G970" s="9" t="e">
        <f>VLOOKUP(D970,VIAJES!$D:$G,4,FALSE)</f>
        <v>#N/A</v>
      </c>
      <c r="H970" s="3" t="e">
        <f>VLOOKUP(D970,VIAJES!$D:$H,5,FALSE)</f>
        <v>#N/A</v>
      </c>
      <c r="S970" s="3">
        <f>IFERROR(INDEX(EVENTOS!$D:$D,MATCH(SCORE!S$2&amp;" "&amp;SCORE!$D970,EVENTOS!$F:$F,0)),0)</f>
        <v>0</v>
      </c>
      <c r="T970" s="3">
        <f>IFERROR(INDEX(EVENTOS!$D:$D,MATCH(SCORE!T$2&amp;" "&amp;SCORE!$D970,EVENTOS!$F:$F,0)),0)</f>
        <v>0</v>
      </c>
      <c r="U970" s="3">
        <f>IFERROR(INDEX(EVENTOS!$D:$D,MATCH(SCORE!U$2&amp;" "&amp;SCORE!$D970,EVENTOS!$F:$F,0)),0)</f>
        <v>0</v>
      </c>
      <c r="V970" s="3">
        <f>IFERROR(INDEX(EVENTOS!$D:$D,MATCH(SCORE!V$2&amp;" "&amp;SCORE!$D970,EVENTOS!$F:$F,0)),0)</f>
        <v>0</v>
      </c>
      <c r="W970" s="3">
        <f>IFERROR(INDEX(EVENTOS!$D:$D,MATCH(SCORE!W$2&amp;" "&amp;SCORE!$D970,EVENTOS!$F:$F,0)),0)</f>
        <v>0</v>
      </c>
      <c r="X970" s="3">
        <f>IFERROR(INDEX(EVENTOS!$D:$D,MATCH(SCORE!X$2&amp;" "&amp;SCORE!$D970,EVENTOS!$F:$F,0)),0)</f>
        <v>0</v>
      </c>
      <c r="Y970" s="3">
        <f>SUMIFS(EVENTOS!$D:$D, EVENTOS!$B:$B, D970, EVENTOS!$E:$E, "*GirAlto*")</f>
        <v>0</v>
      </c>
      <c r="Z970" s="3">
        <f>SUMIFS(EVENTOS!$D:$D, EVENTOS!$B:$B, D970, EVENTOS!$E:$E, "*GirMed*")</f>
        <v>0</v>
      </c>
      <c r="AA970" s="3">
        <f>SUMIFS(EVENTOS!$D:$D, EVENTOS!$B:$B, D970, EVENTOS!$E:$E, "*GirBajo*")</f>
        <v>0</v>
      </c>
      <c r="AB970" s="3">
        <f>IFERROR(INDEX(EVENTOS!$D:$D,MATCH(SCORE!AB$2&amp;" "&amp;SCORE!$D970,EVENTOS!$F:$F,0)),0)</f>
        <v>0</v>
      </c>
      <c r="AC970" s="3">
        <f>IFERROR(INDEX(EVENTOS!$D:$D,MATCH(SCORE!AC$2&amp;" "&amp;SCORE!$D970,EVENTOS!$F:$F,0)),0)</f>
        <v>0</v>
      </c>
      <c r="AD970" s="3">
        <f>IFERROR(INDEX(EVENTOS!$D:$D,MATCH(SCORE!AD$2&amp;" "&amp;SCORE!$D970,EVENTOS!$F:$F,0)),0)</f>
        <v>0</v>
      </c>
      <c r="AE970" s="3">
        <f t="shared" si="45"/>
        <v>0</v>
      </c>
      <c r="AF970" s="10" t="e">
        <f t="shared" si="46"/>
        <v>#N/A</v>
      </c>
      <c r="AG970" s="3" t="str">
        <f t="shared" si="47"/>
        <v/>
      </c>
    </row>
    <row r="971" spans="1:33" x14ac:dyDescent="0.25">
      <c r="A971" s="7"/>
      <c r="B971" s="8"/>
      <c r="C971" s="3"/>
      <c r="D971" s="3"/>
      <c r="E971" s="3" t="e">
        <f>VLOOKUP(D971,VIAJES!$D:$E,2,FALSE)</f>
        <v>#N/A</v>
      </c>
      <c r="F971" s="9" t="e">
        <f>VLOOKUP(D971,VIAJES!$D:$F,3,FALSE)</f>
        <v>#N/A</v>
      </c>
      <c r="G971" s="9" t="e">
        <f>VLOOKUP(D971,VIAJES!$D:$G,4,FALSE)</f>
        <v>#N/A</v>
      </c>
      <c r="H971" s="3" t="e">
        <f>VLOOKUP(D971,VIAJES!$D:$H,5,FALSE)</f>
        <v>#N/A</v>
      </c>
      <c r="S971" s="3">
        <f>IFERROR(INDEX(EVENTOS!$D:$D,MATCH(SCORE!S$2&amp;" "&amp;SCORE!$D971,EVENTOS!$F:$F,0)),0)</f>
        <v>0</v>
      </c>
      <c r="T971" s="3">
        <f>IFERROR(INDEX(EVENTOS!$D:$D,MATCH(SCORE!T$2&amp;" "&amp;SCORE!$D971,EVENTOS!$F:$F,0)),0)</f>
        <v>0</v>
      </c>
      <c r="U971" s="3">
        <f>IFERROR(INDEX(EVENTOS!$D:$D,MATCH(SCORE!U$2&amp;" "&amp;SCORE!$D971,EVENTOS!$F:$F,0)),0)</f>
        <v>0</v>
      </c>
      <c r="V971" s="3">
        <f>IFERROR(INDEX(EVENTOS!$D:$D,MATCH(SCORE!V$2&amp;" "&amp;SCORE!$D971,EVENTOS!$F:$F,0)),0)</f>
        <v>0</v>
      </c>
      <c r="W971" s="3">
        <f>IFERROR(INDEX(EVENTOS!$D:$D,MATCH(SCORE!W$2&amp;" "&amp;SCORE!$D971,EVENTOS!$F:$F,0)),0)</f>
        <v>0</v>
      </c>
      <c r="X971" s="3">
        <f>IFERROR(INDEX(EVENTOS!$D:$D,MATCH(SCORE!X$2&amp;" "&amp;SCORE!$D971,EVENTOS!$F:$F,0)),0)</f>
        <v>0</v>
      </c>
      <c r="Y971" s="3">
        <f>SUMIFS(EVENTOS!$D:$D, EVENTOS!$B:$B, D971, EVENTOS!$E:$E, "*GirAlto*")</f>
        <v>0</v>
      </c>
      <c r="Z971" s="3">
        <f>SUMIFS(EVENTOS!$D:$D, EVENTOS!$B:$B, D971, EVENTOS!$E:$E, "*GirMed*")</f>
        <v>0</v>
      </c>
      <c r="AA971" s="3">
        <f>SUMIFS(EVENTOS!$D:$D, EVENTOS!$B:$B, D971, EVENTOS!$E:$E, "*GirBajo*")</f>
        <v>0</v>
      </c>
      <c r="AB971" s="3">
        <f>IFERROR(INDEX(EVENTOS!$D:$D,MATCH(SCORE!AB$2&amp;" "&amp;SCORE!$D971,EVENTOS!$F:$F,0)),0)</f>
        <v>0</v>
      </c>
      <c r="AC971" s="3">
        <f>IFERROR(INDEX(EVENTOS!$D:$D,MATCH(SCORE!AC$2&amp;" "&amp;SCORE!$D971,EVENTOS!$F:$F,0)),0)</f>
        <v>0</v>
      </c>
      <c r="AD971" s="3">
        <f>IFERROR(INDEX(EVENTOS!$D:$D,MATCH(SCORE!AD$2&amp;" "&amp;SCORE!$D971,EVENTOS!$F:$F,0)),0)</f>
        <v>0</v>
      </c>
      <c r="AE971" s="3">
        <f t="shared" si="45"/>
        <v>0</v>
      </c>
      <c r="AF971" s="10" t="e">
        <f t="shared" si="46"/>
        <v>#N/A</v>
      </c>
      <c r="AG971" s="3" t="str">
        <f t="shared" si="47"/>
        <v/>
      </c>
    </row>
    <row r="972" spans="1:33" x14ac:dyDescent="0.25">
      <c r="A972" s="7"/>
      <c r="B972" s="8"/>
      <c r="C972" s="3"/>
      <c r="D972" s="3"/>
      <c r="E972" s="3" t="e">
        <f>VLOOKUP(D972,VIAJES!$D:$E,2,FALSE)</f>
        <v>#N/A</v>
      </c>
      <c r="F972" s="9" t="e">
        <f>VLOOKUP(D972,VIAJES!$D:$F,3,FALSE)</f>
        <v>#N/A</v>
      </c>
      <c r="G972" s="9" t="e">
        <f>VLOOKUP(D972,VIAJES!$D:$G,4,FALSE)</f>
        <v>#N/A</v>
      </c>
      <c r="H972" s="3" t="e">
        <f>VLOOKUP(D972,VIAJES!$D:$H,5,FALSE)</f>
        <v>#N/A</v>
      </c>
      <c r="S972" s="3">
        <f>IFERROR(INDEX(EVENTOS!$D:$D,MATCH(SCORE!S$2&amp;" "&amp;SCORE!$D972,EVENTOS!$F:$F,0)),0)</f>
        <v>0</v>
      </c>
      <c r="T972" s="3">
        <f>IFERROR(INDEX(EVENTOS!$D:$D,MATCH(SCORE!T$2&amp;" "&amp;SCORE!$D972,EVENTOS!$F:$F,0)),0)</f>
        <v>0</v>
      </c>
      <c r="U972" s="3">
        <f>IFERROR(INDEX(EVENTOS!$D:$D,MATCH(SCORE!U$2&amp;" "&amp;SCORE!$D972,EVENTOS!$F:$F,0)),0)</f>
        <v>0</v>
      </c>
      <c r="V972" s="3">
        <f>IFERROR(INDEX(EVENTOS!$D:$D,MATCH(SCORE!V$2&amp;" "&amp;SCORE!$D972,EVENTOS!$F:$F,0)),0)</f>
        <v>0</v>
      </c>
      <c r="W972" s="3">
        <f>IFERROR(INDEX(EVENTOS!$D:$D,MATCH(SCORE!W$2&amp;" "&amp;SCORE!$D972,EVENTOS!$F:$F,0)),0)</f>
        <v>0</v>
      </c>
      <c r="X972" s="3">
        <f>IFERROR(INDEX(EVENTOS!$D:$D,MATCH(SCORE!X$2&amp;" "&amp;SCORE!$D972,EVENTOS!$F:$F,0)),0)</f>
        <v>0</v>
      </c>
      <c r="Y972" s="3">
        <f>SUMIFS(EVENTOS!$D:$D, EVENTOS!$B:$B, D972, EVENTOS!$E:$E, "*GirAlto*")</f>
        <v>0</v>
      </c>
      <c r="Z972" s="3">
        <f>SUMIFS(EVENTOS!$D:$D, EVENTOS!$B:$B, D972, EVENTOS!$E:$E, "*GirMed*")</f>
        <v>0</v>
      </c>
      <c r="AA972" s="3">
        <f>SUMIFS(EVENTOS!$D:$D, EVENTOS!$B:$B, D972, EVENTOS!$E:$E, "*GirBajo*")</f>
        <v>0</v>
      </c>
      <c r="AB972" s="3">
        <f>IFERROR(INDEX(EVENTOS!$D:$D,MATCH(SCORE!AB$2&amp;" "&amp;SCORE!$D972,EVENTOS!$F:$F,0)),0)</f>
        <v>0</v>
      </c>
      <c r="AC972" s="3">
        <f>IFERROR(INDEX(EVENTOS!$D:$D,MATCH(SCORE!AC$2&amp;" "&amp;SCORE!$D972,EVENTOS!$F:$F,0)),0)</f>
        <v>0</v>
      </c>
      <c r="AD972" s="3">
        <f>IFERROR(INDEX(EVENTOS!$D:$D,MATCH(SCORE!AD$2&amp;" "&amp;SCORE!$D972,EVENTOS!$F:$F,0)),0)</f>
        <v>0</v>
      </c>
      <c r="AE972" s="3">
        <f t="shared" si="45"/>
        <v>0</v>
      </c>
      <c r="AF972" s="10" t="e">
        <f t="shared" si="46"/>
        <v>#N/A</v>
      </c>
      <c r="AG972" s="3" t="str">
        <f t="shared" si="47"/>
        <v/>
      </c>
    </row>
    <row r="973" spans="1:33" x14ac:dyDescent="0.25">
      <c r="A973" s="7"/>
      <c r="B973" s="8"/>
      <c r="C973" s="3"/>
      <c r="D973" s="3"/>
      <c r="E973" s="3" t="e">
        <f>VLOOKUP(D973,VIAJES!$D:$E,2,FALSE)</f>
        <v>#N/A</v>
      </c>
      <c r="F973" s="9" t="e">
        <f>VLOOKUP(D973,VIAJES!$D:$F,3,FALSE)</f>
        <v>#N/A</v>
      </c>
      <c r="G973" s="9" t="e">
        <f>VLOOKUP(D973,VIAJES!$D:$G,4,FALSE)</f>
        <v>#N/A</v>
      </c>
      <c r="H973" s="3" t="e">
        <f>VLOOKUP(D973,VIAJES!$D:$H,5,FALSE)</f>
        <v>#N/A</v>
      </c>
      <c r="S973" s="3">
        <f>IFERROR(INDEX(EVENTOS!$D:$D,MATCH(SCORE!S$2&amp;" "&amp;SCORE!$D973,EVENTOS!$F:$F,0)),0)</f>
        <v>0</v>
      </c>
      <c r="T973" s="3">
        <f>IFERROR(INDEX(EVENTOS!$D:$D,MATCH(SCORE!T$2&amp;" "&amp;SCORE!$D973,EVENTOS!$F:$F,0)),0)</f>
        <v>0</v>
      </c>
      <c r="U973" s="3">
        <f>IFERROR(INDEX(EVENTOS!$D:$D,MATCH(SCORE!U$2&amp;" "&amp;SCORE!$D973,EVENTOS!$F:$F,0)),0)</f>
        <v>0</v>
      </c>
      <c r="V973" s="3">
        <f>IFERROR(INDEX(EVENTOS!$D:$D,MATCH(SCORE!V$2&amp;" "&amp;SCORE!$D973,EVENTOS!$F:$F,0)),0)</f>
        <v>0</v>
      </c>
      <c r="W973" s="3">
        <f>IFERROR(INDEX(EVENTOS!$D:$D,MATCH(SCORE!W$2&amp;" "&amp;SCORE!$D973,EVENTOS!$F:$F,0)),0)</f>
        <v>0</v>
      </c>
      <c r="X973" s="3">
        <f>IFERROR(INDEX(EVENTOS!$D:$D,MATCH(SCORE!X$2&amp;" "&amp;SCORE!$D973,EVENTOS!$F:$F,0)),0)</f>
        <v>0</v>
      </c>
      <c r="Y973" s="3">
        <f>SUMIFS(EVENTOS!$D:$D, EVENTOS!$B:$B, D973, EVENTOS!$E:$E, "*GirAlto*")</f>
        <v>0</v>
      </c>
      <c r="Z973" s="3">
        <f>SUMIFS(EVENTOS!$D:$D, EVENTOS!$B:$B, D973, EVENTOS!$E:$E, "*GirMed*")</f>
        <v>0</v>
      </c>
      <c r="AA973" s="3">
        <f>SUMIFS(EVENTOS!$D:$D, EVENTOS!$B:$B, D973, EVENTOS!$E:$E, "*GirBajo*")</f>
        <v>0</v>
      </c>
      <c r="AB973" s="3">
        <f>IFERROR(INDEX(EVENTOS!$D:$D,MATCH(SCORE!AB$2&amp;" "&amp;SCORE!$D973,EVENTOS!$F:$F,0)),0)</f>
        <v>0</v>
      </c>
      <c r="AC973" s="3">
        <f>IFERROR(INDEX(EVENTOS!$D:$D,MATCH(SCORE!AC$2&amp;" "&amp;SCORE!$D973,EVENTOS!$F:$F,0)),0)</f>
        <v>0</v>
      </c>
      <c r="AD973" s="3">
        <f>IFERROR(INDEX(EVENTOS!$D:$D,MATCH(SCORE!AD$2&amp;" "&amp;SCORE!$D973,EVENTOS!$F:$F,0)),0)</f>
        <v>0</v>
      </c>
      <c r="AE973" s="3">
        <f t="shared" si="45"/>
        <v>0</v>
      </c>
      <c r="AF973" s="10" t="e">
        <f t="shared" si="46"/>
        <v>#N/A</v>
      </c>
      <c r="AG973" s="3" t="str">
        <f t="shared" si="47"/>
        <v/>
      </c>
    </row>
    <row r="974" spans="1:33" x14ac:dyDescent="0.25">
      <c r="A974" s="7"/>
      <c r="B974" s="8"/>
      <c r="C974" s="3"/>
      <c r="D974" s="3"/>
      <c r="E974" s="3" t="e">
        <f>VLOOKUP(D974,VIAJES!$D:$E,2,FALSE)</f>
        <v>#N/A</v>
      </c>
      <c r="F974" s="9" t="e">
        <f>VLOOKUP(D974,VIAJES!$D:$F,3,FALSE)</f>
        <v>#N/A</v>
      </c>
      <c r="G974" s="9" t="e">
        <f>VLOOKUP(D974,VIAJES!$D:$G,4,FALSE)</f>
        <v>#N/A</v>
      </c>
      <c r="H974" s="3" t="e">
        <f>VLOOKUP(D974,VIAJES!$D:$H,5,FALSE)</f>
        <v>#N/A</v>
      </c>
      <c r="S974" s="3">
        <f>IFERROR(INDEX(EVENTOS!$D:$D,MATCH(SCORE!S$2&amp;" "&amp;SCORE!$D974,EVENTOS!$F:$F,0)),0)</f>
        <v>0</v>
      </c>
      <c r="T974" s="3">
        <f>IFERROR(INDEX(EVENTOS!$D:$D,MATCH(SCORE!T$2&amp;" "&amp;SCORE!$D974,EVENTOS!$F:$F,0)),0)</f>
        <v>0</v>
      </c>
      <c r="U974" s="3">
        <f>IFERROR(INDEX(EVENTOS!$D:$D,MATCH(SCORE!U$2&amp;" "&amp;SCORE!$D974,EVENTOS!$F:$F,0)),0)</f>
        <v>0</v>
      </c>
      <c r="V974" s="3">
        <f>IFERROR(INDEX(EVENTOS!$D:$D,MATCH(SCORE!V$2&amp;" "&amp;SCORE!$D974,EVENTOS!$F:$F,0)),0)</f>
        <v>0</v>
      </c>
      <c r="W974" s="3">
        <f>IFERROR(INDEX(EVENTOS!$D:$D,MATCH(SCORE!W$2&amp;" "&amp;SCORE!$D974,EVENTOS!$F:$F,0)),0)</f>
        <v>0</v>
      </c>
      <c r="X974" s="3">
        <f>IFERROR(INDEX(EVENTOS!$D:$D,MATCH(SCORE!X$2&amp;" "&amp;SCORE!$D974,EVENTOS!$F:$F,0)),0)</f>
        <v>0</v>
      </c>
      <c r="Y974" s="3">
        <f>SUMIFS(EVENTOS!$D:$D, EVENTOS!$B:$B, D974, EVENTOS!$E:$E, "*GirAlto*")</f>
        <v>0</v>
      </c>
      <c r="Z974" s="3">
        <f>SUMIFS(EVENTOS!$D:$D, EVENTOS!$B:$B, D974, EVENTOS!$E:$E, "*GirMed*")</f>
        <v>0</v>
      </c>
      <c r="AA974" s="3">
        <f>SUMIFS(EVENTOS!$D:$D, EVENTOS!$B:$B, D974, EVENTOS!$E:$E, "*GirBajo*")</f>
        <v>0</v>
      </c>
      <c r="AB974" s="3">
        <f>IFERROR(INDEX(EVENTOS!$D:$D,MATCH(SCORE!AB$2&amp;" "&amp;SCORE!$D974,EVENTOS!$F:$F,0)),0)</f>
        <v>0</v>
      </c>
      <c r="AC974" s="3">
        <f>IFERROR(INDEX(EVENTOS!$D:$D,MATCH(SCORE!AC$2&amp;" "&amp;SCORE!$D974,EVENTOS!$F:$F,0)),0)</f>
        <v>0</v>
      </c>
      <c r="AD974" s="3">
        <f>IFERROR(INDEX(EVENTOS!$D:$D,MATCH(SCORE!AD$2&amp;" "&amp;SCORE!$D974,EVENTOS!$F:$F,0)),0)</f>
        <v>0</v>
      </c>
      <c r="AE974" s="3">
        <f t="shared" si="45"/>
        <v>0</v>
      </c>
      <c r="AF974" s="10" t="e">
        <f t="shared" si="46"/>
        <v>#N/A</v>
      </c>
      <c r="AG974" s="3" t="str">
        <f t="shared" si="47"/>
        <v/>
      </c>
    </row>
    <row r="975" spans="1:33" x14ac:dyDescent="0.25">
      <c r="A975" s="7"/>
      <c r="B975" s="8"/>
      <c r="C975" s="3"/>
      <c r="D975" s="3"/>
      <c r="E975" s="3" t="e">
        <f>VLOOKUP(D975,VIAJES!$D:$E,2,FALSE)</f>
        <v>#N/A</v>
      </c>
      <c r="F975" s="9" t="e">
        <f>VLOOKUP(D975,VIAJES!$D:$F,3,FALSE)</f>
        <v>#N/A</v>
      </c>
      <c r="G975" s="9" t="e">
        <f>VLOOKUP(D975,VIAJES!$D:$G,4,FALSE)</f>
        <v>#N/A</v>
      </c>
      <c r="H975" s="3" t="e">
        <f>VLOOKUP(D975,VIAJES!$D:$H,5,FALSE)</f>
        <v>#N/A</v>
      </c>
      <c r="S975" s="3">
        <f>IFERROR(INDEX(EVENTOS!$D:$D,MATCH(SCORE!S$2&amp;" "&amp;SCORE!$D975,EVENTOS!$F:$F,0)),0)</f>
        <v>0</v>
      </c>
      <c r="T975" s="3">
        <f>IFERROR(INDEX(EVENTOS!$D:$D,MATCH(SCORE!T$2&amp;" "&amp;SCORE!$D975,EVENTOS!$F:$F,0)),0)</f>
        <v>0</v>
      </c>
      <c r="U975" s="3">
        <f>IFERROR(INDEX(EVENTOS!$D:$D,MATCH(SCORE!U$2&amp;" "&amp;SCORE!$D975,EVENTOS!$F:$F,0)),0)</f>
        <v>0</v>
      </c>
      <c r="V975" s="3">
        <f>IFERROR(INDEX(EVENTOS!$D:$D,MATCH(SCORE!V$2&amp;" "&amp;SCORE!$D975,EVENTOS!$F:$F,0)),0)</f>
        <v>0</v>
      </c>
      <c r="W975" s="3">
        <f>IFERROR(INDEX(EVENTOS!$D:$D,MATCH(SCORE!W$2&amp;" "&amp;SCORE!$D975,EVENTOS!$F:$F,0)),0)</f>
        <v>0</v>
      </c>
      <c r="X975" s="3">
        <f>IFERROR(INDEX(EVENTOS!$D:$D,MATCH(SCORE!X$2&amp;" "&amp;SCORE!$D975,EVENTOS!$F:$F,0)),0)</f>
        <v>0</v>
      </c>
      <c r="Y975" s="3">
        <f>SUMIFS(EVENTOS!$D:$D, EVENTOS!$B:$B, D975, EVENTOS!$E:$E, "*GirAlto*")</f>
        <v>0</v>
      </c>
      <c r="Z975" s="3">
        <f>SUMIFS(EVENTOS!$D:$D, EVENTOS!$B:$B, D975, EVENTOS!$E:$E, "*GirMed*")</f>
        <v>0</v>
      </c>
      <c r="AA975" s="3">
        <f>SUMIFS(EVENTOS!$D:$D, EVENTOS!$B:$B, D975, EVENTOS!$E:$E, "*GirBajo*")</f>
        <v>0</v>
      </c>
      <c r="AB975" s="3">
        <f>IFERROR(INDEX(EVENTOS!$D:$D,MATCH(SCORE!AB$2&amp;" "&amp;SCORE!$D975,EVENTOS!$F:$F,0)),0)</f>
        <v>0</v>
      </c>
      <c r="AC975" s="3">
        <f>IFERROR(INDEX(EVENTOS!$D:$D,MATCH(SCORE!AC$2&amp;" "&amp;SCORE!$D975,EVENTOS!$F:$F,0)),0)</f>
        <v>0</v>
      </c>
      <c r="AD975" s="3">
        <f>IFERROR(INDEX(EVENTOS!$D:$D,MATCH(SCORE!AD$2&amp;" "&amp;SCORE!$D975,EVENTOS!$F:$F,0)),0)</f>
        <v>0</v>
      </c>
      <c r="AE975" s="3">
        <f t="shared" si="45"/>
        <v>0</v>
      </c>
      <c r="AF975" s="10" t="e">
        <f t="shared" si="46"/>
        <v>#N/A</v>
      </c>
      <c r="AG975" s="3" t="str">
        <f t="shared" si="47"/>
        <v/>
      </c>
    </row>
    <row r="976" spans="1:33" x14ac:dyDescent="0.25">
      <c r="A976" s="7"/>
      <c r="B976" s="8"/>
      <c r="C976" s="3"/>
      <c r="D976" s="3"/>
      <c r="E976" s="3" t="e">
        <f>VLOOKUP(D976,VIAJES!$D:$E,2,FALSE)</f>
        <v>#N/A</v>
      </c>
      <c r="F976" s="9" t="e">
        <f>VLOOKUP(D976,VIAJES!$D:$F,3,FALSE)</f>
        <v>#N/A</v>
      </c>
      <c r="G976" s="9" t="e">
        <f>VLOOKUP(D976,VIAJES!$D:$G,4,FALSE)</f>
        <v>#N/A</v>
      </c>
      <c r="H976" s="3" t="e">
        <f>VLOOKUP(D976,VIAJES!$D:$H,5,FALSE)</f>
        <v>#N/A</v>
      </c>
      <c r="S976" s="3">
        <f>IFERROR(INDEX(EVENTOS!$D:$D,MATCH(SCORE!S$2&amp;" "&amp;SCORE!$D976,EVENTOS!$F:$F,0)),0)</f>
        <v>0</v>
      </c>
      <c r="T976" s="3">
        <f>IFERROR(INDEX(EVENTOS!$D:$D,MATCH(SCORE!T$2&amp;" "&amp;SCORE!$D976,EVENTOS!$F:$F,0)),0)</f>
        <v>0</v>
      </c>
      <c r="U976" s="3">
        <f>IFERROR(INDEX(EVENTOS!$D:$D,MATCH(SCORE!U$2&amp;" "&amp;SCORE!$D976,EVENTOS!$F:$F,0)),0)</f>
        <v>0</v>
      </c>
      <c r="V976" s="3">
        <f>IFERROR(INDEX(EVENTOS!$D:$D,MATCH(SCORE!V$2&amp;" "&amp;SCORE!$D976,EVENTOS!$F:$F,0)),0)</f>
        <v>0</v>
      </c>
      <c r="W976" s="3">
        <f>IFERROR(INDEX(EVENTOS!$D:$D,MATCH(SCORE!W$2&amp;" "&amp;SCORE!$D976,EVENTOS!$F:$F,0)),0)</f>
        <v>0</v>
      </c>
      <c r="X976" s="3">
        <f>IFERROR(INDEX(EVENTOS!$D:$D,MATCH(SCORE!X$2&amp;" "&amp;SCORE!$D976,EVENTOS!$F:$F,0)),0)</f>
        <v>0</v>
      </c>
      <c r="Y976" s="3">
        <f>SUMIFS(EVENTOS!$D:$D, EVENTOS!$B:$B, D976, EVENTOS!$E:$E, "*GirAlto*")</f>
        <v>0</v>
      </c>
      <c r="Z976" s="3">
        <f>SUMIFS(EVENTOS!$D:$D, EVENTOS!$B:$B, D976, EVENTOS!$E:$E, "*GirMed*")</f>
        <v>0</v>
      </c>
      <c r="AA976" s="3">
        <f>SUMIFS(EVENTOS!$D:$D, EVENTOS!$B:$B, D976, EVENTOS!$E:$E, "*GirBajo*")</f>
        <v>0</v>
      </c>
      <c r="AB976" s="3">
        <f>IFERROR(INDEX(EVENTOS!$D:$D,MATCH(SCORE!AB$2&amp;" "&amp;SCORE!$D976,EVENTOS!$F:$F,0)),0)</f>
        <v>0</v>
      </c>
      <c r="AC976" s="3">
        <f>IFERROR(INDEX(EVENTOS!$D:$D,MATCH(SCORE!AC$2&amp;" "&amp;SCORE!$D976,EVENTOS!$F:$F,0)),0)</f>
        <v>0</v>
      </c>
      <c r="AD976" s="3">
        <f>IFERROR(INDEX(EVENTOS!$D:$D,MATCH(SCORE!AD$2&amp;" "&amp;SCORE!$D976,EVENTOS!$F:$F,0)),0)</f>
        <v>0</v>
      </c>
      <c r="AE976" s="3">
        <f t="shared" si="45"/>
        <v>0</v>
      </c>
      <c r="AF976" s="10" t="e">
        <f t="shared" si="46"/>
        <v>#N/A</v>
      </c>
      <c r="AG976" s="3" t="str">
        <f t="shared" si="47"/>
        <v/>
      </c>
    </row>
    <row r="977" spans="1:33" x14ac:dyDescent="0.25">
      <c r="A977" s="7"/>
      <c r="B977" s="8"/>
      <c r="C977" s="3"/>
      <c r="D977" s="3"/>
      <c r="E977" s="3" t="e">
        <f>VLOOKUP(D977,VIAJES!$D:$E,2,FALSE)</f>
        <v>#N/A</v>
      </c>
      <c r="F977" s="9" t="e">
        <f>VLOOKUP(D977,VIAJES!$D:$F,3,FALSE)</f>
        <v>#N/A</v>
      </c>
      <c r="G977" s="9" t="e">
        <f>VLOOKUP(D977,VIAJES!$D:$G,4,FALSE)</f>
        <v>#N/A</v>
      </c>
      <c r="H977" s="3" t="e">
        <f>VLOOKUP(D977,VIAJES!$D:$H,5,FALSE)</f>
        <v>#N/A</v>
      </c>
      <c r="S977" s="3">
        <f>IFERROR(INDEX(EVENTOS!$D:$D,MATCH(SCORE!S$2&amp;" "&amp;SCORE!$D977,EVENTOS!$F:$F,0)),0)</f>
        <v>0</v>
      </c>
      <c r="T977" s="3">
        <f>IFERROR(INDEX(EVENTOS!$D:$D,MATCH(SCORE!T$2&amp;" "&amp;SCORE!$D977,EVENTOS!$F:$F,0)),0)</f>
        <v>0</v>
      </c>
      <c r="U977" s="3">
        <f>IFERROR(INDEX(EVENTOS!$D:$D,MATCH(SCORE!U$2&amp;" "&amp;SCORE!$D977,EVENTOS!$F:$F,0)),0)</f>
        <v>0</v>
      </c>
      <c r="V977" s="3">
        <f>IFERROR(INDEX(EVENTOS!$D:$D,MATCH(SCORE!V$2&amp;" "&amp;SCORE!$D977,EVENTOS!$F:$F,0)),0)</f>
        <v>0</v>
      </c>
      <c r="W977" s="3">
        <f>IFERROR(INDEX(EVENTOS!$D:$D,MATCH(SCORE!W$2&amp;" "&amp;SCORE!$D977,EVENTOS!$F:$F,0)),0)</f>
        <v>0</v>
      </c>
      <c r="X977" s="3">
        <f>IFERROR(INDEX(EVENTOS!$D:$D,MATCH(SCORE!X$2&amp;" "&amp;SCORE!$D977,EVENTOS!$F:$F,0)),0)</f>
        <v>0</v>
      </c>
      <c r="Y977" s="3">
        <f>SUMIFS(EVENTOS!$D:$D, EVENTOS!$B:$B, D977, EVENTOS!$E:$E, "*GirAlto*")</f>
        <v>0</v>
      </c>
      <c r="Z977" s="3">
        <f>SUMIFS(EVENTOS!$D:$D, EVENTOS!$B:$B, D977, EVENTOS!$E:$E, "*GirMed*")</f>
        <v>0</v>
      </c>
      <c r="AA977" s="3">
        <f>SUMIFS(EVENTOS!$D:$D, EVENTOS!$B:$B, D977, EVENTOS!$E:$E, "*GirBajo*")</f>
        <v>0</v>
      </c>
      <c r="AB977" s="3">
        <f>IFERROR(INDEX(EVENTOS!$D:$D,MATCH(SCORE!AB$2&amp;" "&amp;SCORE!$D977,EVENTOS!$F:$F,0)),0)</f>
        <v>0</v>
      </c>
      <c r="AC977" s="3">
        <f>IFERROR(INDEX(EVENTOS!$D:$D,MATCH(SCORE!AC$2&amp;" "&amp;SCORE!$D977,EVENTOS!$F:$F,0)),0)</f>
        <v>0</v>
      </c>
      <c r="AD977" s="3">
        <f>IFERROR(INDEX(EVENTOS!$D:$D,MATCH(SCORE!AD$2&amp;" "&amp;SCORE!$D977,EVENTOS!$F:$F,0)),0)</f>
        <v>0</v>
      </c>
      <c r="AE977" s="3">
        <f t="shared" si="45"/>
        <v>0</v>
      </c>
      <c r="AF977" s="10" t="e">
        <f t="shared" si="46"/>
        <v>#N/A</v>
      </c>
      <c r="AG977" s="3" t="str">
        <f t="shared" si="47"/>
        <v/>
      </c>
    </row>
    <row r="978" spans="1:33" x14ac:dyDescent="0.25">
      <c r="A978" s="7"/>
      <c r="B978" s="8"/>
      <c r="C978" s="3"/>
      <c r="D978" s="3"/>
      <c r="E978" s="3" t="e">
        <f>VLOOKUP(D978,VIAJES!$D:$E,2,FALSE)</f>
        <v>#N/A</v>
      </c>
      <c r="F978" s="9" t="e">
        <f>VLOOKUP(D978,VIAJES!$D:$F,3,FALSE)</f>
        <v>#N/A</v>
      </c>
      <c r="G978" s="9" t="e">
        <f>VLOOKUP(D978,VIAJES!$D:$G,4,FALSE)</f>
        <v>#N/A</v>
      </c>
      <c r="H978" s="3" t="e">
        <f>VLOOKUP(D978,VIAJES!$D:$H,5,FALSE)</f>
        <v>#N/A</v>
      </c>
      <c r="S978" s="3">
        <f>IFERROR(INDEX(EVENTOS!$D:$D,MATCH(SCORE!S$2&amp;" "&amp;SCORE!$D978,EVENTOS!$F:$F,0)),0)</f>
        <v>0</v>
      </c>
      <c r="T978" s="3">
        <f>IFERROR(INDEX(EVENTOS!$D:$D,MATCH(SCORE!T$2&amp;" "&amp;SCORE!$D978,EVENTOS!$F:$F,0)),0)</f>
        <v>0</v>
      </c>
      <c r="U978" s="3">
        <f>IFERROR(INDEX(EVENTOS!$D:$D,MATCH(SCORE!U$2&amp;" "&amp;SCORE!$D978,EVENTOS!$F:$F,0)),0)</f>
        <v>0</v>
      </c>
      <c r="V978" s="3">
        <f>IFERROR(INDEX(EVENTOS!$D:$D,MATCH(SCORE!V$2&amp;" "&amp;SCORE!$D978,EVENTOS!$F:$F,0)),0)</f>
        <v>0</v>
      </c>
      <c r="W978" s="3">
        <f>IFERROR(INDEX(EVENTOS!$D:$D,MATCH(SCORE!W$2&amp;" "&amp;SCORE!$D978,EVENTOS!$F:$F,0)),0)</f>
        <v>0</v>
      </c>
      <c r="X978" s="3">
        <f>IFERROR(INDEX(EVENTOS!$D:$D,MATCH(SCORE!X$2&amp;" "&amp;SCORE!$D978,EVENTOS!$F:$F,0)),0)</f>
        <v>0</v>
      </c>
      <c r="Y978" s="3">
        <f>SUMIFS(EVENTOS!$D:$D, EVENTOS!$B:$B, D978, EVENTOS!$E:$E, "*GirAlto*")</f>
        <v>0</v>
      </c>
      <c r="Z978" s="3">
        <f>SUMIFS(EVENTOS!$D:$D, EVENTOS!$B:$B, D978, EVENTOS!$E:$E, "*GirMed*")</f>
        <v>0</v>
      </c>
      <c r="AA978" s="3">
        <f>SUMIFS(EVENTOS!$D:$D, EVENTOS!$B:$B, D978, EVENTOS!$E:$E, "*GirBajo*")</f>
        <v>0</v>
      </c>
      <c r="AB978" s="3">
        <f>IFERROR(INDEX(EVENTOS!$D:$D,MATCH(SCORE!AB$2&amp;" "&amp;SCORE!$D978,EVENTOS!$F:$F,0)),0)</f>
        <v>0</v>
      </c>
      <c r="AC978" s="3">
        <f>IFERROR(INDEX(EVENTOS!$D:$D,MATCH(SCORE!AC$2&amp;" "&amp;SCORE!$D978,EVENTOS!$F:$F,0)),0)</f>
        <v>0</v>
      </c>
      <c r="AD978" s="3">
        <f>IFERROR(INDEX(EVENTOS!$D:$D,MATCH(SCORE!AD$2&amp;" "&amp;SCORE!$D978,EVENTOS!$F:$F,0)),0)</f>
        <v>0</v>
      </c>
      <c r="AE978" s="3">
        <f t="shared" si="45"/>
        <v>0</v>
      </c>
      <c r="AF978" s="10" t="e">
        <f t="shared" si="46"/>
        <v>#N/A</v>
      </c>
      <c r="AG978" s="3" t="str">
        <f t="shared" si="47"/>
        <v/>
      </c>
    </row>
    <row r="979" spans="1:33" x14ac:dyDescent="0.25">
      <c r="A979" s="7"/>
      <c r="B979" s="8"/>
      <c r="C979" s="3"/>
      <c r="D979" s="3"/>
      <c r="E979" s="3" t="e">
        <f>VLOOKUP(D979,VIAJES!$D:$E,2,FALSE)</f>
        <v>#N/A</v>
      </c>
      <c r="F979" s="9" t="e">
        <f>VLOOKUP(D979,VIAJES!$D:$F,3,FALSE)</f>
        <v>#N/A</v>
      </c>
      <c r="G979" s="9" t="e">
        <f>VLOOKUP(D979,VIAJES!$D:$G,4,FALSE)</f>
        <v>#N/A</v>
      </c>
      <c r="H979" s="3" t="e">
        <f>VLOOKUP(D979,VIAJES!$D:$H,5,FALSE)</f>
        <v>#N/A</v>
      </c>
      <c r="S979" s="3">
        <f>IFERROR(INDEX(EVENTOS!$D:$D,MATCH(SCORE!S$2&amp;" "&amp;SCORE!$D979,EVENTOS!$F:$F,0)),0)</f>
        <v>0</v>
      </c>
      <c r="T979" s="3">
        <f>IFERROR(INDEX(EVENTOS!$D:$D,MATCH(SCORE!T$2&amp;" "&amp;SCORE!$D979,EVENTOS!$F:$F,0)),0)</f>
        <v>0</v>
      </c>
      <c r="U979" s="3">
        <f>IFERROR(INDEX(EVENTOS!$D:$D,MATCH(SCORE!U$2&amp;" "&amp;SCORE!$D979,EVENTOS!$F:$F,0)),0)</f>
        <v>0</v>
      </c>
      <c r="V979" s="3">
        <f>IFERROR(INDEX(EVENTOS!$D:$D,MATCH(SCORE!V$2&amp;" "&amp;SCORE!$D979,EVENTOS!$F:$F,0)),0)</f>
        <v>0</v>
      </c>
      <c r="W979" s="3">
        <f>IFERROR(INDEX(EVENTOS!$D:$D,MATCH(SCORE!W$2&amp;" "&amp;SCORE!$D979,EVENTOS!$F:$F,0)),0)</f>
        <v>0</v>
      </c>
      <c r="X979" s="3">
        <f>IFERROR(INDEX(EVENTOS!$D:$D,MATCH(SCORE!X$2&amp;" "&amp;SCORE!$D979,EVENTOS!$F:$F,0)),0)</f>
        <v>0</v>
      </c>
      <c r="Y979" s="3">
        <f>SUMIFS(EVENTOS!$D:$D, EVENTOS!$B:$B, D979, EVENTOS!$E:$E, "*GirAlto*")</f>
        <v>0</v>
      </c>
      <c r="Z979" s="3">
        <f>SUMIFS(EVENTOS!$D:$D, EVENTOS!$B:$B, D979, EVENTOS!$E:$E, "*GirMed*")</f>
        <v>0</v>
      </c>
      <c r="AA979" s="3">
        <f>SUMIFS(EVENTOS!$D:$D, EVENTOS!$B:$B, D979, EVENTOS!$E:$E, "*GirBajo*")</f>
        <v>0</v>
      </c>
      <c r="AB979" s="3">
        <f>IFERROR(INDEX(EVENTOS!$D:$D,MATCH(SCORE!AB$2&amp;" "&amp;SCORE!$D979,EVENTOS!$F:$F,0)),0)</f>
        <v>0</v>
      </c>
      <c r="AC979" s="3">
        <f>IFERROR(INDEX(EVENTOS!$D:$D,MATCH(SCORE!AC$2&amp;" "&amp;SCORE!$D979,EVENTOS!$F:$F,0)),0)</f>
        <v>0</v>
      </c>
      <c r="AD979" s="3">
        <f>IFERROR(INDEX(EVENTOS!$D:$D,MATCH(SCORE!AD$2&amp;" "&amp;SCORE!$D979,EVENTOS!$F:$F,0)),0)</f>
        <v>0</v>
      </c>
      <c r="AE979" s="3">
        <f t="shared" si="45"/>
        <v>0</v>
      </c>
      <c r="AF979" s="10" t="e">
        <f t="shared" si="46"/>
        <v>#N/A</v>
      </c>
      <c r="AG979" s="3" t="str">
        <f t="shared" si="47"/>
        <v/>
      </c>
    </row>
    <row r="980" spans="1:33" x14ac:dyDescent="0.25">
      <c r="A980" s="7"/>
      <c r="B980" s="8"/>
      <c r="C980" s="3"/>
      <c r="D980" s="3"/>
      <c r="E980" s="3" t="e">
        <f>VLOOKUP(D980,VIAJES!$D:$E,2,FALSE)</f>
        <v>#N/A</v>
      </c>
      <c r="F980" s="9" t="e">
        <f>VLOOKUP(D980,VIAJES!$D:$F,3,FALSE)</f>
        <v>#N/A</v>
      </c>
      <c r="G980" s="9" t="e">
        <f>VLOOKUP(D980,VIAJES!$D:$G,4,FALSE)</f>
        <v>#N/A</v>
      </c>
      <c r="H980" s="3" t="e">
        <f>VLOOKUP(D980,VIAJES!$D:$H,5,FALSE)</f>
        <v>#N/A</v>
      </c>
      <c r="S980" s="3">
        <f>IFERROR(INDEX(EVENTOS!$D:$D,MATCH(SCORE!S$2&amp;" "&amp;SCORE!$D980,EVENTOS!$F:$F,0)),0)</f>
        <v>0</v>
      </c>
      <c r="T980" s="3">
        <f>IFERROR(INDEX(EVENTOS!$D:$D,MATCH(SCORE!T$2&amp;" "&amp;SCORE!$D980,EVENTOS!$F:$F,0)),0)</f>
        <v>0</v>
      </c>
      <c r="U980" s="3">
        <f>IFERROR(INDEX(EVENTOS!$D:$D,MATCH(SCORE!U$2&amp;" "&amp;SCORE!$D980,EVENTOS!$F:$F,0)),0)</f>
        <v>0</v>
      </c>
      <c r="V980" s="3">
        <f>IFERROR(INDEX(EVENTOS!$D:$D,MATCH(SCORE!V$2&amp;" "&amp;SCORE!$D980,EVENTOS!$F:$F,0)),0)</f>
        <v>0</v>
      </c>
      <c r="W980" s="3">
        <f>IFERROR(INDEX(EVENTOS!$D:$D,MATCH(SCORE!W$2&amp;" "&amp;SCORE!$D980,EVENTOS!$F:$F,0)),0)</f>
        <v>0</v>
      </c>
      <c r="X980" s="3">
        <f>IFERROR(INDEX(EVENTOS!$D:$D,MATCH(SCORE!X$2&amp;" "&amp;SCORE!$D980,EVENTOS!$F:$F,0)),0)</f>
        <v>0</v>
      </c>
      <c r="Y980" s="3">
        <f>SUMIFS(EVENTOS!$D:$D, EVENTOS!$B:$B, D980, EVENTOS!$E:$E, "*GirAlto*")</f>
        <v>0</v>
      </c>
      <c r="Z980" s="3">
        <f>SUMIFS(EVENTOS!$D:$D, EVENTOS!$B:$B, D980, EVENTOS!$E:$E, "*GirMed*")</f>
        <v>0</v>
      </c>
      <c r="AA980" s="3">
        <f>SUMIFS(EVENTOS!$D:$D, EVENTOS!$B:$B, D980, EVENTOS!$E:$E, "*GirBajo*")</f>
        <v>0</v>
      </c>
      <c r="AB980" s="3">
        <f>IFERROR(INDEX(EVENTOS!$D:$D,MATCH(SCORE!AB$2&amp;" "&amp;SCORE!$D980,EVENTOS!$F:$F,0)),0)</f>
        <v>0</v>
      </c>
      <c r="AC980" s="3">
        <f>IFERROR(INDEX(EVENTOS!$D:$D,MATCH(SCORE!AC$2&amp;" "&amp;SCORE!$D980,EVENTOS!$F:$F,0)),0)</f>
        <v>0</v>
      </c>
      <c r="AD980" s="3">
        <f>IFERROR(INDEX(EVENTOS!$D:$D,MATCH(SCORE!AD$2&amp;" "&amp;SCORE!$D980,EVENTOS!$F:$F,0)),0)</f>
        <v>0</v>
      </c>
      <c r="AE980" s="3">
        <f t="shared" si="45"/>
        <v>0</v>
      </c>
      <c r="AF980" s="10" t="e">
        <f t="shared" si="46"/>
        <v>#N/A</v>
      </c>
      <c r="AG980" s="3" t="str">
        <f t="shared" si="47"/>
        <v/>
      </c>
    </row>
    <row r="981" spans="1:33" x14ac:dyDescent="0.25">
      <c r="A981" s="7"/>
      <c r="B981" s="8"/>
      <c r="C981" s="3"/>
      <c r="D981" s="3"/>
      <c r="E981" s="3" t="e">
        <f>VLOOKUP(D981,VIAJES!$D:$E,2,FALSE)</f>
        <v>#N/A</v>
      </c>
      <c r="F981" s="9" t="e">
        <f>VLOOKUP(D981,VIAJES!$D:$F,3,FALSE)</f>
        <v>#N/A</v>
      </c>
      <c r="G981" s="9" t="e">
        <f>VLOOKUP(D981,VIAJES!$D:$G,4,FALSE)</f>
        <v>#N/A</v>
      </c>
      <c r="H981" s="3" t="e">
        <f>VLOOKUP(D981,VIAJES!$D:$H,5,FALSE)</f>
        <v>#N/A</v>
      </c>
      <c r="S981" s="3">
        <f>IFERROR(INDEX(EVENTOS!$D:$D,MATCH(SCORE!S$2&amp;" "&amp;SCORE!$D981,EVENTOS!$F:$F,0)),0)</f>
        <v>0</v>
      </c>
      <c r="T981" s="3">
        <f>IFERROR(INDEX(EVENTOS!$D:$D,MATCH(SCORE!T$2&amp;" "&amp;SCORE!$D981,EVENTOS!$F:$F,0)),0)</f>
        <v>0</v>
      </c>
      <c r="U981" s="3">
        <f>IFERROR(INDEX(EVENTOS!$D:$D,MATCH(SCORE!U$2&amp;" "&amp;SCORE!$D981,EVENTOS!$F:$F,0)),0)</f>
        <v>0</v>
      </c>
      <c r="V981" s="3">
        <f>IFERROR(INDEX(EVENTOS!$D:$D,MATCH(SCORE!V$2&amp;" "&amp;SCORE!$D981,EVENTOS!$F:$F,0)),0)</f>
        <v>0</v>
      </c>
      <c r="W981" s="3">
        <f>IFERROR(INDEX(EVENTOS!$D:$D,MATCH(SCORE!W$2&amp;" "&amp;SCORE!$D981,EVENTOS!$F:$F,0)),0)</f>
        <v>0</v>
      </c>
      <c r="X981" s="3">
        <f>IFERROR(INDEX(EVENTOS!$D:$D,MATCH(SCORE!X$2&amp;" "&amp;SCORE!$D981,EVENTOS!$F:$F,0)),0)</f>
        <v>0</v>
      </c>
      <c r="Y981" s="3">
        <f>SUMIFS(EVENTOS!$D:$D, EVENTOS!$B:$B, D981, EVENTOS!$E:$E, "*GirAlto*")</f>
        <v>0</v>
      </c>
      <c r="Z981" s="3">
        <f>SUMIFS(EVENTOS!$D:$D, EVENTOS!$B:$B, D981, EVENTOS!$E:$E, "*GirMed*")</f>
        <v>0</v>
      </c>
      <c r="AA981" s="3">
        <f>SUMIFS(EVENTOS!$D:$D, EVENTOS!$B:$B, D981, EVENTOS!$E:$E, "*GirBajo*")</f>
        <v>0</v>
      </c>
      <c r="AB981" s="3">
        <f>IFERROR(INDEX(EVENTOS!$D:$D,MATCH(SCORE!AB$2&amp;" "&amp;SCORE!$D981,EVENTOS!$F:$F,0)),0)</f>
        <v>0</v>
      </c>
      <c r="AC981" s="3">
        <f>IFERROR(INDEX(EVENTOS!$D:$D,MATCH(SCORE!AC$2&amp;" "&amp;SCORE!$D981,EVENTOS!$F:$F,0)),0)</f>
        <v>0</v>
      </c>
      <c r="AD981" s="3">
        <f>IFERROR(INDEX(EVENTOS!$D:$D,MATCH(SCORE!AD$2&amp;" "&amp;SCORE!$D981,EVENTOS!$F:$F,0)),0)</f>
        <v>0</v>
      </c>
      <c r="AE981" s="3">
        <f t="shared" si="45"/>
        <v>0</v>
      </c>
      <c r="AF981" s="10" t="e">
        <f t="shared" si="46"/>
        <v>#N/A</v>
      </c>
      <c r="AG981" s="3" t="str">
        <f t="shared" si="47"/>
        <v/>
      </c>
    </row>
    <row r="982" spans="1:33" x14ac:dyDescent="0.25">
      <c r="A982" s="7"/>
      <c r="B982" s="8"/>
      <c r="C982" s="3"/>
      <c r="D982" s="3"/>
      <c r="E982" s="3" t="e">
        <f>VLOOKUP(D982,VIAJES!$D:$E,2,FALSE)</f>
        <v>#N/A</v>
      </c>
      <c r="F982" s="9" t="e">
        <f>VLOOKUP(D982,VIAJES!$D:$F,3,FALSE)</f>
        <v>#N/A</v>
      </c>
      <c r="G982" s="9" t="e">
        <f>VLOOKUP(D982,VIAJES!$D:$G,4,FALSE)</f>
        <v>#N/A</v>
      </c>
      <c r="H982" s="3" t="e">
        <f>VLOOKUP(D982,VIAJES!$D:$H,5,FALSE)</f>
        <v>#N/A</v>
      </c>
      <c r="S982" s="3">
        <f>IFERROR(INDEX(EVENTOS!$D:$D,MATCH(SCORE!S$2&amp;" "&amp;SCORE!$D982,EVENTOS!$F:$F,0)),0)</f>
        <v>0</v>
      </c>
      <c r="T982" s="3">
        <f>IFERROR(INDEX(EVENTOS!$D:$D,MATCH(SCORE!T$2&amp;" "&amp;SCORE!$D982,EVENTOS!$F:$F,0)),0)</f>
        <v>0</v>
      </c>
      <c r="U982" s="3">
        <f>IFERROR(INDEX(EVENTOS!$D:$D,MATCH(SCORE!U$2&amp;" "&amp;SCORE!$D982,EVENTOS!$F:$F,0)),0)</f>
        <v>0</v>
      </c>
      <c r="V982" s="3">
        <f>IFERROR(INDEX(EVENTOS!$D:$D,MATCH(SCORE!V$2&amp;" "&amp;SCORE!$D982,EVENTOS!$F:$F,0)),0)</f>
        <v>0</v>
      </c>
      <c r="W982" s="3">
        <f>IFERROR(INDEX(EVENTOS!$D:$D,MATCH(SCORE!W$2&amp;" "&amp;SCORE!$D982,EVENTOS!$F:$F,0)),0)</f>
        <v>0</v>
      </c>
      <c r="X982" s="3">
        <f>IFERROR(INDEX(EVENTOS!$D:$D,MATCH(SCORE!X$2&amp;" "&amp;SCORE!$D982,EVENTOS!$F:$F,0)),0)</f>
        <v>0</v>
      </c>
      <c r="Y982" s="3">
        <f>SUMIFS(EVENTOS!$D:$D, EVENTOS!$B:$B, D982, EVENTOS!$E:$E, "*GirAlto*")</f>
        <v>0</v>
      </c>
      <c r="Z982" s="3">
        <f>SUMIFS(EVENTOS!$D:$D, EVENTOS!$B:$B, D982, EVENTOS!$E:$E, "*GirMed*")</f>
        <v>0</v>
      </c>
      <c r="AA982" s="3">
        <f>SUMIFS(EVENTOS!$D:$D, EVENTOS!$B:$B, D982, EVENTOS!$E:$E, "*GirBajo*")</f>
        <v>0</v>
      </c>
      <c r="AB982" s="3">
        <f>IFERROR(INDEX(EVENTOS!$D:$D,MATCH(SCORE!AB$2&amp;" "&amp;SCORE!$D982,EVENTOS!$F:$F,0)),0)</f>
        <v>0</v>
      </c>
      <c r="AC982" s="3">
        <f>IFERROR(INDEX(EVENTOS!$D:$D,MATCH(SCORE!AC$2&amp;" "&amp;SCORE!$D982,EVENTOS!$F:$F,0)),0)</f>
        <v>0</v>
      </c>
      <c r="AD982" s="3">
        <f>IFERROR(INDEX(EVENTOS!$D:$D,MATCH(SCORE!AD$2&amp;" "&amp;SCORE!$D982,EVENTOS!$F:$F,0)),0)</f>
        <v>0</v>
      </c>
      <c r="AE982" s="3">
        <f t="shared" si="45"/>
        <v>0</v>
      </c>
      <c r="AF982" s="10" t="e">
        <f t="shared" si="46"/>
        <v>#N/A</v>
      </c>
      <c r="AG982" s="3" t="str">
        <f t="shared" si="47"/>
        <v/>
      </c>
    </row>
    <row r="983" spans="1:33" x14ac:dyDescent="0.25">
      <c r="A983" s="7"/>
      <c r="B983" s="8"/>
      <c r="C983" s="3"/>
      <c r="D983" s="3"/>
      <c r="E983" s="3" t="e">
        <f>VLOOKUP(D983,VIAJES!$D:$E,2,FALSE)</f>
        <v>#N/A</v>
      </c>
      <c r="F983" s="9" t="e">
        <f>VLOOKUP(D983,VIAJES!$D:$F,3,FALSE)</f>
        <v>#N/A</v>
      </c>
      <c r="G983" s="9" t="e">
        <f>VLOOKUP(D983,VIAJES!$D:$G,4,FALSE)</f>
        <v>#N/A</v>
      </c>
      <c r="H983" s="3" t="e">
        <f>VLOOKUP(D983,VIAJES!$D:$H,5,FALSE)</f>
        <v>#N/A</v>
      </c>
      <c r="S983" s="3">
        <f>IFERROR(INDEX(EVENTOS!$D:$D,MATCH(SCORE!S$2&amp;" "&amp;SCORE!$D983,EVENTOS!$F:$F,0)),0)</f>
        <v>0</v>
      </c>
      <c r="T983" s="3">
        <f>IFERROR(INDEX(EVENTOS!$D:$D,MATCH(SCORE!T$2&amp;" "&amp;SCORE!$D983,EVENTOS!$F:$F,0)),0)</f>
        <v>0</v>
      </c>
      <c r="U983" s="3">
        <f>IFERROR(INDEX(EVENTOS!$D:$D,MATCH(SCORE!U$2&amp;" "&amp;SCORE!$D983,EVENTOS!$F:$F,0)),0)</f>
        <v>0</v>
      </c>
      <c r="V983" s="3">
        <f>IFERROR(INDEX(EVENTOS!$D:$D,MATCH(SCORE!V$2&amp;" "&amp;SCORE!$D983,EVENTOS!$F:$F,0)),0)</f>
        <v>0</v>
      </c>
      <c r="W983" s="3">
        <f>IFERROR(INDEX(EVENTOS!$D:$D,MATCH(SCORE!W$2&amp;" "&amp;SCORE!$D983,EVENTOS!$F:$F,0)),0)</f>
        <v>0</v>
      </c>
      <c r="X983" s="3">
        <f>IFERROR(INDEX(EVENTOS!$D:$D,MATCH(SCORE!X$2&amp;" "&amp;SCORE!$D983,EVENTOS!$F:$F,0)),0)</f>
        <v>0</v>
      </c>
      <c r="Y983" s="3">
        <f>SUMIFS(EVENTOS!$D:$D, EVENTOS!$B:$B, D983, EVENTOS!$E:$E, "*GirAlto*")</f>
        <v>0</v>
      </c>
      <c r="Z983" s="3">
        <f>SUMIFS(EVENTOS!$D:$D, EVENTOS!$B:$B, D983, EVENTOS!$E:$E, "*GirMed*")</f>
        <v>0</v>
      </c>
      <c r="AA983" s="3">
        <f>SUMIFS(EVENTOS!$D:$D, EVENTOS!$B:$B, D983, EVENTOS!$E:$E, "*GirBajo*")</f>
        <v>0</v>
      </c>
      <c r="AB983" s="3">
        <f>IFERROR(INDEX(EVENTOS!$D:$D,MATCH(SCORE!AB$2&amp;" "&amp;SCORE!$D983,EVENTOS!$F:$F,0)),0)</f>
        <v>0</v>
      </c>
      <c r="AC983" s="3">
        <f>IFERROR(INDEX(EVENTOS!$D:$D,MATCH(SCORE!AC$2&amp;" "&amp;SCORE!$D983,EVENTOS!$F:$F,0)),0)</f>
        <v>0</v>
      </c>
      <c r="AD983" s="3">
        <f>IFERROR(INDEX(EVENTOS!$D:$D,MATCH(SCORE!AD$2&amp;" "&amp;SCORE!$D983,EVENTOS!$F:$F,0)),0)</f>
        <v>0</v>
      </c>
      <c r="AE983" s="3">
        <f t="shared" si="45"/>
        <v>0</v>
      </c>
      <c r="AF983" s="10" t="e">
        <f t="shared" si="46"/>
        <v>#N/A</v>
      </c>
      <c r="AG983" s="3" t="str">
        <f t="shared" si="47"/>
        <v/>
      </c>
    </row>
    <row r="984" spans="1:33" x14ac:dyDescent="0.25">
      <c r="A984" s="7"/>
      <c r="B984" s="8"/>
      <c r="C984" s="3"/>
      <c r="D984" s="3"/>
      <c r="E984" s="3" t="e">
        <f>VLOOKUP(D984,VIAJES!$D:$E,2,FALSE)</f>
        <v>#N/A</v>
      </c>
      <c r="F984" s="9" t="e">
        <f>VLOOKUP(D984,VIAJES!$D:$F,3,FALSE)</f>
        <v>#N/A</v>
      </c>
      <c r="G984" s="9" t="e">
        <f>VLOOKUP(D984,VIAJES!$D:$G,4,FALSE)</f>
        <v>#N/A</v>
      </c>
      <c r="H984" s="3" t="e">
        <f>VLOOKUP(D984,VIAJES!$D:$H,5,FALSE)</f>
        <v>#N/A</v>
      </c>
      <c r="S984" s="3">
        <f>IFERROR(INDEX(EVENTOS!$D:$D,MATCH(SCORE!S$2&amp;" "&amp;SCORE!$D984,EVENTOS!$F:$F,0)),0)</f>
        <v>0</v>
      </c>
      <c r="T984" s="3">
        <f>IFERROR(INDEX(EVENTOS!$D:$D,MATCH(SCORE!T$2&amp;" "&amp;SCORE!$D984,EVENTOS!$F:$F,0)),0)</f>
        <v>0</v>
      </c>
      <c r="U984" s="3">
        <f>IFERROR(INDEX(EVENTOS!$D:$D,MATCH(SCORE!U$2&amp;" "&amp;SCORE!$D984,EVENTOS!$F:$F,0)),0)</f>
        <v>0</v>
      </c>
      <c r="V984" s="3">
        <f>IFERROR(INDEX(EVENTOS!$D:$D,MATCH(SCORE!V$2&amp;" "&amp;SCORE!$D984,EVENTOS!$F:$F,0)),0)</f>
        <v>0</v>
      </c>
      <c r="W984" s="3">
        <f>IFERROR(INDEX(EVENTOS!$D:$D,MATCH(SCORE!W$2&amp;" "&amp;SCORE!$D984,EVENTOS!$F:$F,0)),0)</f>
        <v>0</v>
      </c>
      <c r="X984" s="3">
        <f>IFERROR(INDEX(EVENTOS!$D:$D,MATCH(SCORE!X$2&amp;" "&amp;SCORE!$D984,EVENTOS!$F:$F,0)),0)</f>
        <v>0</v>
      </c>
      <c r="Y984" s="3">
        <f>SUMIFS(EVENTOS!$D:$D, EVENTOS!$B:$B, D984, EVENTOS!$E:$E, "*GirAlto*")</f>
        <v>0</v>
      </c>
      <c r="Z984" s="3">
        <f>SUMIFS(EVENTOS!$D:$D, EVENTOS!$B:$B, D984, EVENTOS!$E:$E, "*GirMed*")</f>
        <v>0</v>
      </c>
      <c r="AA984" s="3">
        <f>SUMIFS(EVENTOS!$D:$D, EVENTOS!$B:$B, D984, EVENTOS!$E:$E, "*GirBajo*")</f>
        <v>0</v>
      </c>
      <c r="AB984" s="3">
        <f>IFERROR(INDEX(EVENTOS!$D:$D,MATCH(SCORE!AB$2&amp;" "&amp;SCORE!$D984,EVENTOS!$F:$F,0)),0)</f>
        <v>0</v>
      </c>
      <c r="AC984" s="3">
        <f>IFERROR(INDEX(EVENTOS!$D:$D,MATCH(SCORE!AC$2&amp;" "&amp;SCORE!$D984,EVENTOS!$F:$F,0)),0)</f>
        <v>0</v>
      </c>
      <c r="AD984" s="3">
        <f>IFERROR(INDEX(EVENTOS!$D:$D,MATCH(SCORE!AD$2&amp;" "&amp;SCORE!$D984,EVENTOS!$F:$F,0)),0)</f>
        <v>0</v>
      </c>
      <c r="AE984" s="3">
        <f t="shared" si="45"/>
        <v>0</v>
      </c>
      <c r="AF984" s="10" t="e">
        <f t="shared" si="46"/>
        <v>#N/A</v>
      </c>
      <c r="AG984" s="3" t="str">
        <f t="shared" si="47"/>
        <v/>
      </c>
    </row>
    <row r="985" spans="1:33" x14ac:dyDescent="0.25">
      <c r="A985" s="7"/>
      <c r="B985" s="8"/>
      <c r="C985" s="3"/>
      <c r="D985" s="3"/>
      <c r="E985" s="3" t="e">
        <f>VLOOKUP(D985,VIAJES!$D:$E,2,FALSE)</f>
        <v>#N/A</v>
      </c>
      <c r="F985" s="9" t="e">
        <f>VLOOKUP(D985,VIAJES!$D:$F,3,FALSE)</f>
        <v>#N/A</v>
      </c>
      <c r="G985" s="9" t="e">
        <f>VLOOKUP(D985,VIAJES!$D:$G,4,FALSE)</f>
        <v>#N/A</v>
      </c>
      <c r="H985" s="3" t="e">
        <f>VLOOKUP(D985,VIAJES!$D:$H,5,FALSE)</f>
        <v>#N/A</v>
      </c>
      <c r="S985" s="3">
        <f>IFERROR(INDEX(EVENTOS!$D:$D,MATCH(SCORE!S$2&amp;" "&amp;SCORE!$D985,EVENTOS!$F:$F,0)),0)</f>
        <v>0</v>
      </c>
      <c r="T985" s="3">
        <f>IFERROR(INDEX(EVENTOS!$D:$D,MATCH(SCORE!T$2&amp;" "&amp;SCORE!$D985,EVENTOS!$F:$F,0)),0)</f>
        <v>0</v>
      </c>
      <c r="U985" s="3">
        <f>IFERROR(INDEX(EVENTOS!$D:$D,MATCH(SCORE!U$2&amp;" "&amp;SCORE!$D985,EVENTOS!$F:$F,0)),0)</f>
        <v>0</v>
      </c>
      <c r="V985" s="3">
        <f>IFERROR(INDEX(EVENTOS!$D:$D,MATCH(SCORE!V$2&amp;" "&amp;SCORE!$D985,EVENTOS!$F:$F,0)),0)</f>
        <v>0</v>
      </c>
      <c r="W985" s="3">
        <f>IFERROR(INDEX(EVENTOS!$D:$D,MATCH(SCORE!W$2&amp;" "&amp;SCORE!$D985,EVENTOS!$F:$F,0)),0)</f>
        <v>0</v>
      </c>
      <c r="X985" s="3">
        <f>IFERROR(INDEX(EVENTOS!$D:$D,MATCH(SCORE!X$2&amp;" "&amp;SCORE!$D985,EVENTOS!$F:$F,0)),0)</f>
        <v>0</v>
      </c>
      <c r="Y985" s="3">
        <f>SUMIFS(EVENTOS!$D:$D, EVENTOS!$B:$B, D985, EVENTOS!$E:$E, "*GirAlto*")</f>
        <v>0</v>
      </c>
      <c r="Z985" s="3">
        <f>SUMIFS(EVENTOS!$D:$D, EVENTOS!$B:$B, D985, EVENTOS!$E:$E, "*GirMed*")</f>
        <v>0</v>
      </c>
      <c r="AA985" s="3">
        <f>SUMIFS(EVENTOS!$D:$D, EVENTOS!$B:$B, D985, EVENTOS!$E:$E, "*GirBajo*")</f>
        <v>0</v>
      </c>
      <c r="AB985" s="3">
        <f>IFERROR(INDEX(EVENTOS!$D:$D,MATCH(SCORE!AB$2&amp;" "&amp;SCORE!$D985,EVENTOS!$F:$F,0)),0)</f>
        <v>0</v>
      </c>
      <c r="AC985" s="3">
        <f>IFERROR(INDEX(EVENTOS!$D:$D,MATCH(SCORE!AC$2&amp;" "&amp;SCORE!$D985,EVENTOS!$F:$F,0)),0)</f>
        <v>0</v>
      </c>
      <c r="AD985" s="3">
        <f>IFERROR(INDEX(EVENTOS!$D:$D,MATCH(SCORE!AD$2&amp;" "&amp;SCORE!$D985,EVENTOS!$F:$F,0)),0)</f>
        <v>0</v>
      </c>
      <c r="AE985" s="3">
        <f t="shared" si="45"/>
        <v>0</v>
      </c>
      <c r="AF985" s="10" t="e">
        <f t="shared" si="46"/>
        <v>#N/A</v>
      </c>
      <c r="AG985" s="3" t="str">
        <f t="shared" si="47"/>
        <v/>
      </c>
    </row>
    <row r="986" spans="1:33" x14ac:dyDescent="0.25">
      <c r="A986" s="7"/>
      <c r="B986" s="8"/>
      <c r="C986" s="3"/>
      <c r="D986" s="3"/>
      <c r="E986" s="3" t="e">
        <f>VLOOKUP(D986,VIAJES!$D:$E,2,FALSE)</f>
        <v>#N/A</v>
      </c>
      <c r="F986" s="9" t="e">
        <f>VLOOKUP(D986,VIAJES!$D:$F,3,FALSE)</f>
        <v>#N/A</v>
      </c>
      <c r="G986" s="9" t="e">
        <f>VLOOKUP(D986,VIAJES!$D:$G,4,FALSE)</f>
        <v>#N/A</v>
      </c>
      <c r="H986" s="3" t="e">
        <f>VLOOKUP(D986,VIAJES!$D:$H,5,FALSE)</f>
        <v>#N/A</v>
      </c>
      <c r="S986" s="3">
        <f>IFERROR(INDEX(EVENTOS!$D:$D,MATCH(SCORE!S$2&amp;" "&amp;SCORE!$D986,EVENTOS!$F:$F,0)),0)</f>
        <v>0</v>
      </c>
      <c r="T986" s="3">
        <f>IFERROR(INDEX(EVENTOS!$D:$D,MATCH(SCORE!T$2&amp;" "&amp;SCORE!$D986,EVENTOS!$F:$F,0)),0)</f>
        <v>0</v>
      </c>
      <c r="U986" s="3">
        <f>IFERROR(INDEX(EVENTOS!$D:$D,MATCH(SCORE!U$2&amp;" "&amp;SCORE!$D986,EVENTOS!$F:$F,0)),0)</f>
        <v>0</v>
      </c>
      <c r="V986" s="3">
        <f>IFERROR(INDEX(EVENTOS!$D:$D,MATCH(SCORE!V$2&amp;" "&amp;SCORE!$D986,EVENTOS!$F:$F,0)),0)</f>
        <v>0</v>
      </c>
      <c r="W986" s="3">
        <f>IFERROR(INDEX(EVENTOS!$D:$D,MATCH(SCORE!W$2&amp;" "&amp;SCORE!$D986,EVENTOS!$F:$F,0)),0)</f>
        <v>0</v>
      </c>
      <c r="X986" s="3">
        <f>IFERROR(INDEX(EVENTOS!$D:$D,MATCH(SCORE!X$2&amp;" "&amp;SCORE!$D986,EVENTOS!$F:$F,0)),0)</f>
        <v>0</v>
      </c>
      <c r="Y986" s="3">
        <f>SUMIFS(EVENTOS!$D:$D, EVENTOS!$B:$B, D986, EVENTOS!$E:$E, "*GirAlto*")</f>
        <v>0</v>
      </c>
      <c r="Z986" s="3">
        <f>SUMIFS(EVENTOS!$D:$D, EVENTOS!$B:$B, D986, EVENTOS!$E:$E, "*GirMed*")</f>
        <v>0</v>
      </c>
      <c r="AA986" s="3">
        <f>SUMIFS(EVENTOS!$D:$D, EVENTOS!$B:$B, D986, EVENTOS!$E:$E, "*GirBajo*")</f>
        <v>0</v>
      </c>
      <c r="AB986" s="3">
        <f>IFERROR(INDEX(EVENTOS!$D:$D,MATCH(SCORE!AB$2&amp;" "&amp;SCORE!$D986,EVENTOS!$F:$F,0)),0)</f>
        <v>0</v>
      </c>
      <c r="AC986" s="3">
        <f>IFERROR(INDEX(EVENTOS!$D:$D,MATCH(SCORE!AC$2&amp;" "&amp;SCORE!$D986,EVENTOS!$F:$F,0)),0)</f>
        <v>0</v>
      </c>
      <c r="AD986" s="3">
        <f>IFERROR(INDEX(EVENTOS!$D:$D,MATCH(SCORE!AD$2&amp;" "&amp;SCORE!$D986,EVENTOS!$F:$F,0)),0)</f>
        <v>0</v>
      </c>
      <c r="AE986" s="3">
        <f t="shared" si="45"/>
        <v>0</v>
      </c>
      <c r="AF986" s="10" t="e">
        <f t="shared" si="46"/>
        <v>#N/A</v>
      </c>
      <c r="AG986" s="3" t="str">
        <f t="shared" si="47"/>
        <v/>
      </c>
    </row>
    <row r="987" spans="1:33" x14ac:dyDescent="0.25">
      <c r="A987" s="7"/>
      <c r="B987" s="8"/>
      <c r="C987" s="3"/>
      <c r="D987" s="3"/>
      <c r="E987" s="3" t="e">
        <f>VLOOKUP(D987,VIAJES!$D:$E,2,FALSE)</f>
        <v>#N/A</v>
      </c>
      <c r="F987" s="9" t="e">
        <f>VLOOKUP(D987,VIAJES!$D:$F,3,FALSE)</f>
        <v>#N/A</v>
      </c>
      <c r="G987" s="9" t="e">
        <f>VLOOKUP(D987,VIAJES!$D:$G,4,FALSE)</f>
        <v>#N/A</v>
      </c>
      <c r="H987" s="3" t="e">
        <f>VLOOKUP(D987,VIAJES!$D:$H,5,FALSE)</f>
        <v>#N/A</v>
      </c>
      <c r="S987" s="3">
        <f>IFERROR(INDEX(EVENTOS!$D:$D,MATCH(SCORE!S$2&amp;" "&amp;SCORE!$D987,EVENTOS!$F:$F,0)),0)</f>
        <v>0</v>
      </c>
      <c r="T987" s="3">
        <f>IFERROR(INDEX(EVENTOS!$D:$D,MATCH(SCORE!T$2&amp;" "&amp;SCORE!$D987,EVENTOS!$F:$F,0)),0)</f>
        <v>0</v>
      </c>
      <c r="U987" s="3">
        <f>IFERROR(INDEX(EVENTOS!$D:$D,MATCH(SCORE!U$2&amp;" "&amp;SCORE!$D987,EVENTOS!$F:$F,0)),0)</f>
        <v>0</v>
      </c>
      <c r="V987" s="3">
        <f>IFERROR(INDEX(EVENTOS!$D:$D,MATCH(SCORE!V$2&amp;" "&amp;SCORE!$D987,EVENTOS!$F:$F,0)),0)</f>
        <v>0</v>
      </c>
      <c r="W987" s="3">
        <f>IFERROR(INDEX(EVENTOS!$D:$D,MATCH(SCORE!W$2&amp;" "&amp;SCORE!$D987,EVENTOS!$F:$F,0)),0)</f>
        <v>0</v>
      </c>
      <c r="X987" s="3">
        <f>IFERROR(INDEX(EVENTOS!$D:$D,MATCH(SCORE!X$2&amp;" "&amp;SCORE!$D987,EVENTOS!$F:$F,0)),0)</f>
        <v>0</v>
      </c>
      <c r="Y987" s="3">
        <f>SUMIFS(EVENTOS!$D:$D, EVENTOS!$B:$B, D987, EVENTOS!$E:$E, "*GirAlto*")</f>
        <v>0</v>
      </c>
      <c r="Z987" s="3">
        <f>SUMIFS(EVENTOS!$D:$D, EVENTOS!$B:$B, D987, EVENTOS!$E:$E, "*GirMed*")</f>
        <v>0</v>
      </c>
      <c r="AA987" s="3">
        <f>SUMIFS(EVENTOS!$D:$D, EVENTOS!$B:$B, D987, EVENTOS!$E:$E, "*GirBajo*")</f>
        <v>0</v>
      </c>
      <c r="AB987" s="3">
        <f>IFERROR(INDEX(EVENTOS!$D:$D,MATCH(SCORE!AB$2&amp;" "&amp;SCORE!$D987,EVENTOS!$F:$F,0)),0)</f>
        <v>0</v>
      </c>
      <c r="AC987" s="3">
        <f>IFERROR(INDEX(EVENTOS!$D:$D,MATCH(SCORE!AC$2&amp;" "&amp;SCORE!$D987,EVENTOS!$F:$F,0)),0)</f>
        <v>0</v>
      </c>
      <c r="AD987" s="3">
        <f>IFERROR(INDEX(EVENTOS!$D:$D,MATCH(SCORE!AD$2&amp;" "&amp;SCORE!$D987,EVENTOS!$F:$F,0)),0)</f>
        <v>0</v>
      </c>
      <c r="AE987" s="3">
        <f t="shared" si="45"/>
        <v>0</v>
      </c>
      <c r="AF987" s="10" t="e">
        <f t="shared" si="46"/>
        <v>#N/A</v>
      </c>
      <c r="AG987" s="3" t="str">
        <f t="shared" si="47"/>
        <v/>
      </c>
    </row>
    <row r="988" spans="1:33" x14ac:dyDescent="0.25">
      <c r="A988" s="7"/>
      <c r="B988" s="8"/>
      <c r="C988" s="3"/>
      <c r="D988" s="3"/>
      <c r="E988" s="3" t="e">
        <f>VLOOKUP(D988,VIAJES!$D:$E,2,FALSE)</f>
        <v>#N/A</v>
      </c>
      <c r="F988" s="9" t="e">
        <f>VLOOKUP(D988,VIAJES!$D:$F,3,FALSE)</f>
        <v>#N/A</v>
      </c>
      <c r="G988" s="9" t="e">
        <f>VLOOKUP(D988,VIAJES!$D:$G,4,FALSE)</f>
        <v>#N/A</v>
      </c>
      <c r="H988" s="3" t="e">
        <f>VLOOKUP(D988,VIAJES!$D:$H,5,FALSE)</f>
        <v>#N/A</v>
      </c>
      <c r="S988" s="3">
        <f>IFERROR(INDEX(EVENTOS!$D:$D,MATCH(SCORE!S$2&amp;" "&amp;SCORE!$D988,EVENTOS!$F:$F,0)),0)</f>
        <v>0</v>
      </c>
      <c r="T988" s="3">
        <f>IFERROR(INDEX(EVENTOS!$D:$D,MATCH(SCORE!T$2&amp;" "&amp;SCORE!$D988,EVENTOS!$F:$F,0)),0)</f>
        <v>0</v>
      </c>
      <c r="U988" s="3">
        <f>IFERROR(INDEX(EVENTOS!$D:$D,MATCH(SCORE!U$2&amp;" "&amp;SCORE!$D988,EVENTOS!$F:$F,0)),0)</f>
        <v>0</v>
      </c>
      <c r="V988" s="3">
        <f>IFERROR(INDEX(EVENTOS!$D:$D,MATCH(SCORE!V$2&amp;" "&amp;SCORE!$D988,EVENTOS!$F:$F,0)),0)</f>
        <v>0</v>
      </c>
      <c r="W988" s="3">
        <f>IFERROR(INDEX(EVENTOS!$D:$D,MATCH(SCORE!W$2&amp;" "&amp;SCORE!$D988,EVENTOS!$F:$F,0)),0)</f>
        <v>0</v>
      </c>
      <c r="X988" s="3">
        <f>IFERROR(INDEX(EVENTOS!$D:$D,MATCH(SCORE!X$2&amp;" "&amp;SCORE!$D988,EVENTOS!$F:$F,0)),0)</f>
        <v>0</v>
      </c>
      <c r="Y988" s="3">
        <f>SUMIFS(EVENTOS!$D:$D, EVENTOS!$B:$B, D988, EVENTOS!$E:$E, "*GirAlto*")</f>
        <v>0</v>
      </c>
      <c r="Z988" s="3">
        <f>SUMIFS(EVENTOS!$D:$D, EVENTOS!$B:$B, D988, EVENTOS!$E:$E, "*GirMed*")</f>
        <v>0</v>
      </c>
      <c r="AA988" s="3">
        <f>SUMIFS(EVENTOS!$D:$D, EVENTOS!$B:$B, D988, EVENTOS!$E:$E, "*GirBajo*")</f>
        <v>0</v>
      </c>
      <c r="AB988" s="3">
        <f>IFERROR(INDEX(EVENTOS!$D:$D,MATCH(SCORE!AB$2&amp;" "&amp;SCORE!$D988,EVENTOS!$F:$F,0)),0)</f>
        <v>0</v>
      </c>
      <c r="AC988" s="3">
        <f>IFERROR(INDEX(EVENTOS!$D:$D,MATCH(SCORE!AC$2&amp;" "&amp;SCORE!$D988,EVENTOS!$F:$F,0)),0)</f>
        <v>0</v>
      </c>
      <c r="AD988" s="3">
        <f>IFERROR(INDEX(EVENTOS!$D:$D,MATCH(SCORE!AD$2&amp;" "&amp;SCORE!$D988,EVENTOS!$F:$F,0)),0)</f>
        <v>0</v>
      </c>
      <c r="AE988" s="3">
        <f t="shared" si="45"/>
        <v>0</v>
      </c>
      <c r="AF988" s="10" t="e">
        <f t="shared" si="46"/>
        <v>#N/A</v>
      </c>
      <c r="AG988" s="3" t="str">
        <f t="shared" si="47"/>
        <v/>
      </c>
    </row>
    <row r="989" spans="1:33" x14ac:dyDescent="0.25">
      <c r="A989" s="7"/>
      <c r="B989" s="8"/>
      <c r="C989" s="3"/>
      <c r="D989" s="3"/>
      <c r="E989" s="3" t="e">
        <f>VLOOKUP(D989,VIAJES!$D:$E,2,FALSE)</f>
        <v>#N/A</v>
      </c>
      <c r="F989" s="9" t="e">
        <f>VLOOKUP(D989,VIAJES!$D:$F,3,FALSE)</f>
        <v>#N/A</v>
      </c>
      <c r="G989" s="9" t="e">
        <f>VLOOKUP(D989,VIAJES!$D:$G,4,FALSE)</f>
        <v>#N/A</v>
      </c>
      <c r="H989" s="3" t="e">
        <f>VLOOKUP(D989,VIAJES!$D:$H,5,FALSE)</f>
        <v>#N/A</v>
      </c>
      <c r="S989" s="3">
        <f>IFERROR(INDEX(EVENTOS!$D:$D,MATCH(SCORE!S$2&amp;" "&amp;SCORE!$D989,EVENTOS!$F:$F,0)),0)</f>
        <v>0</v>
      </c>
      <c r="T989" s="3">
        <f>IFERROR(INDEX(EVENTOS!$D:$D,MATCH(SCORE!T$2&amp;" "&amp;SCORE!$D989,EVENTOS!$F:$F,0)),0)</f>
        <v>0</v>
      </c>
      <c r="U989" s="3">
        <f>IFERROR(INDEX(EVENTOS!$D:$D,MATCH(SCORE!U$2&amp;" "&amp;SCORE!$D989,EVENTOS!$F:$F,0)),0)</f>
        <v>0</v>
      </c>
      <c r="V989" s="3">
        <f>IFERROR(INDEX(EVENTOS!$D:$D,MATCH(SCORE!V$2&amp;" "&amp;SCORE!$D989,EVENTOS!$F:$F,0)),0)</f>
        <v>0</v>
      </c>
      <c r="W989" s="3">
        <f>IFERROR(INDEX(EVENTOS!$D:$D,MATCH(SCORE!W$2&amp;" "&amp;SCORE!$D989,EVENTOS!$F:$F,0)),0)</f>
        <v>0</v>
      </c>
      <c r="X989" s="3">
        <f>IFERROR(INDEX(EVENTOS!$D:$D,MATCH(SCORE!X$2&amp;" "&amp;SCORE!$D989,EVENTOS!$F:$F,0)),0)</f>
        <v>0</v>
      </c>
      <c r="Y989" s="3">
        <f>SUMIFS(EVENTOS!$D:$D, EVENTOS!$B:$B, D989, EVENTOS!$E:$E, "*GirAlto*")</f>
        <v>0</v>
      </c>
      <c r="Z989" s="3">
        <f>SUMIFS(EVENTOS!$D:$D, EVENTOS!$B:$B, D989, EVENTOS!$E:$E, "*GirMed*")</f>
        <v>0</v>
      </c>
      <c r="AA989" s="3">
        <f>SUMIFS(EVENTOS!$D:$D, EVENTOS!$B:$B, D989, EVENTOS!$E:$E, "*GirBajo*")</f>
        <v>0</v>
      </c>
      <c r="AB989" s="3">
        <f>IFERROR(INDEX(EVENTOS!$D:$D,MATCH(SCORE!AB$2&amp;" "&amp;SCORE!$D989,EVENTOS!$F:$F,0)),0)</f>
        <v>0</v>
      </c>
      <c r="AC989" s="3">
        <f>IFERROR(INDEX(EVENTOS!$D:$D,MATCH(SCORE!AC$2&amp;" "&amp;SCORE!$D989,EVENTOS!$F:$F,0)),0)</f>
        <v>0</v>
      </c>
      <c r="AD989" s="3">
        <f>IFERROR(INDEX(EVENTOS!$D:$D,MATCH(SCORE!AD$2&amp;" "&amp;SCORE!$D989,EVENTOS!$F:$F,0)),0)</f>
        <v>0</v>
      </c>
      <c r="AE989" s="3">
        <f t="shared" si="45"/>
        <v>0</v>
      </c>
      <c r="AF989" s="10" t="e">
        <f t="shared" si="46"/>
        <v>#N/A</v>
      </c>
      <c r="AG989" s="3" t="str">
        <f t="shared" si="47"/>
        <v/>
      </c>
    </row>
    <row r="990" spans="1:33" x14ac:dyDescent="0.25">
      <c r="A990" s="7"/>
      <c r="B990" s="8"/>
      <c r="C990" s="3"/>
      <c r="D990" s="3"/>
      <c r="E990" s="3" t="e">
        <f>VLOOKUP(D990,VIAJES!$D:$E,2,FALSE)</f>
        <v>#N/A</v>
      </c>
      <c r="F990" s="9" t="e">
        <f>VLOOKUP(D990,VIAJES!$D:$F,3,FALSE)</f>
        <v>#N/A</v>
      </c>
      <c r="G990" s="9" t="e">
        <f>VLOOKUP(D990,VIAJES!$D:$G,4,FALSE)</f>
        <v>#N/A</v>
      </c>
      <c r="H990" s="3" t="e">
        <f>VLOOKUP(D990,VIAJES!$D:$H,5,FALSE)</f>
        <v>#N/A</v>
      </c>
      <c r="S990" s="3">
        <f>IFERROR(INDEX(EVENTOS!$D:$D,MATCH(SCORE!S$2&amp;" "&amp;SCORE!$D990,EVENTOS!$F:$F,0)),0)</f>
        <v>0</v>
      </c>
      <c r="T990" s="3">
        <f>IFERROR(INDEX(EVENTOS!$D:$D,MATCH(SCORE!T$2&amp;" "&amp;SCORE!$D990,EVENTOS!$F:$F,0)),0)</f>
        <v>0</v>
      </c>
      <c r="U990" s="3">
        <f>IFERROR(INDEX(EVENTOS!$D:$D,MATCH(SCORE!U$2&amp;" "&amp;SCORE!$D990,EVENTOS!$F:$F,0)),0)</f>
        <v>0</v>
      </c>
      <c r="V990" s="3">
        <f>IFERROR(INDEX(EVENTOS!$D:$D,MATCH(SCORE!V$2&amp;" "&amp;SCORE!$D990,EVENTOS!$F:$F,0)),0)</f>
        <v>0</v>
      </c>
      <c r="W990" s="3">
        <f>IFERROR(INDEX(EVENTOS!$D:$D,MATCH(SCORE!W$2&amp;" "&amp;SCORE!$D990,EVENTOS!$F:$F,0)),0)</f>
        <v>0</v>
      </c>
      <c r="X990" s="3">
        <f>IFERROR(INDEX(EVENTOS!$D:$D,MATCH(SCORE!X$2&amp;" "&amp;SCORE!$D990,EVENTOS!$F:$F,0)),0)</f>
        <v>0</v>
      </c>
      <c r="Y990" s="3">
        <f>SUMIFS(EVENTOS!$D:$D, EVENTOS!$B:$B, D990, EVENTOS!$E:$E, "*GirAlto*")</f>
        <v>0</v>
      </c>
      <c r="Z990" s="3">
        <f>SUMIFS(EVENTOS!$D:$D, EVENTOS!$B:$B, D990, EVENTOS!$E:$E, "*GirMed*")</f>
        <v>0</v>
      </c>
      <c r="AA990" s="3">
        <f>SUMIFS(EVENTOS!$D:$D, EVENTOS!$B:$B, D990, EVENTOS!$E:$E, "*GirBajo*")</f>
        <v>0</v>
      </c>
      <c r="AB990" s="3">
        <f>IFERROR(INDEX(EVENTOS!$D:$D,MATCH(SCORE!AB$2&amp;" "&amp;SCORE!$D990,EVENTOS!$F:$F,0)),0)</f>
        <v>0</v>
      </c>
      <c r="AC990" s="3">
        <f>IFERROR(INDEX(EVENTOS!$D:$D,MATCH(SCORE!AC$2&amp;" "&amp;SCORE!$D990,EVENTOS!$F:$F,0)),0)</f>
        <v>0</v>
      </c>
      <c r="AD990" s="3">
        <f>IFERROR(INDEX(EVENTOS!$D:$D,MATCH(SCORE!AD$2&amp;" "&amp;SCORE!$D990,EVENTOS!$F:$F,0)),0)</f>
        <v>0</v>
      </c>
      <c r="AE990" s="3">
        <f t="shared" si="45"/>
        <v>0</v>
      </c>
      <c r="AF990" s="10" t="e">
        <f t="shared" si="46"/>
        <v>#N/A</v>
      </c>
      <c r="AG990" s="3" t="str">
        <f t="shared" si="47"/>
        <v/>
      </c>
    </row>
    <row r="991" spans="1:33" x14ac:dyDescent="0.25">
      <c r="A991" s="7"/>
      <c r="B991" s="8"/>
      <c r="C991" s="3"/>
      <c r="D991" s="3"/>
      <c r="E991" s="3" t="e">
        <f>VLOOKUP(D991,VIAJES!$D:$E,2,FALSE)</f>
        <v>#N/A</v>
      </c>
      <c r="F991" s="9" t="e">
        <f>VLOOKUP(D991,VIAJES!$D:$F,3,FALSE)</f>
        <v>#N/A</v>
      </c>
      <c r="G991" s="9" t="e">
        <f>VLOOKUP(D991,VIAJES!$D:$G,4,FALSE)</f>
        <v>#N/A</v>
      </c>
      <c r="H991" s="3" t="e">
        <f>VLOOKUP(D991,VIAJES!$D:$H,5,FALSE)</f>
        <v>#N/A</v>
      </c>
      <c r="S991" s="3">
        <f>IFERROR(INDEX(EVENTOS!$D:$D,MATCH(SCORE!S$2&amp;" "&amp;SCORE!$D991,EVENTOS!$F:$F,0)),0)</f>
        <v>0</v>
      </c>
      <c r="T991" s="3">
        <f>IFERROR(INDEX(EVENTOS!$D:$D,MATCH(SCORE!T$2&amp;" "&amp;SCORE!$D991,EVENTOS!$F:$F,0)),0)</f>
        <v>0</v>
      </c>
      <c r="U991" s="3">
        <f>IFERROR(INDEX(EVENTOS!$D:$D,MATCH(SCORE!U$2&amp;" "&amp;SCORE!$D991,EVENTOS!$F:$F,0)),0)</f>
        <v>0</v>
      </c>
      <c r="V991" s="3">
        <f>IFERROR(INDEX(EVENTOS!$D:$D,MATCH(SCORE!V$2&amp;" "&amp;SCORE!$D991,EVENTOS!$F:$F,0)),0)</f>
        <v>0</v>
      </c>
      <c r="W991" s="3">
        <f>IFERROR(INDEX(EVENTOS!$D:$D,MATCH(SCORE!W$2&amp;" "&amp;SCORE!$D991,EVENTOS!$F:$F,0)),0)</f>
        <v>0</v>
      </c>
      <c r="X991" s="3">
        <f>IFERROR(INDEX(EVENTOS!$D:$D,MATCH(SCORE!X$2&amp;" "&amp;SCORE!$D991,EVENTOS!$F:$F,0)),0)</f>
        <v>0</v>
      </c>
      <c r="Y991" s="3">
        <f>SUMIFS(EVENTOS!$D:$D, EVENTOS!$B:$B, D991, EVENTOS!$E:$E, "*GirAlto*")</f>
        <v>0</v>
      </c>
      <c r="Z991" s="3">
        <f>SUMIFS(EVENTOS!$D:$D, EVENTOS!$B:$B, D991, EVENTOS!$E:$E, "*GirMed*")</f>
        <v>0</v>
      </c>
      <c r="AA991" s="3">
        <f>SUMIFS(EVENTOS!$D:$D, EVENTOS!$B:$B, D991, EVENTOS!$E:$E, "*GirBajo*")</f>
        <v>0</v>
      </c>
      <c r="AB991" s="3">
        <f>IFERROR(INDEX(EVENTOS!$D:$D,MATCH(SCORE!AB$2&amp;" "&amp;SCORE!$D991,EVENTOS!$F:$F,0)),0)</f>
        <v>0</v>
      </c>
      <c r="AC991" s="3">
        <f>IFERROR(INDEX(EVENTOS!$D:$D,MATCH(SCORE!AC$2&amp;" "&amp;SCORE!$D991,EVENTOS!$F:$F,0)),0)</f>
        <v>0</v>
      </c>
      <c r="AD991" s="3">
        <f>IFERROR(INDEX(EVENTOS!$D:$D,MATCH(SCORE!AD$2&amp;" "&amp;SCORE!$D991,EVENTOS!$F:$F,0)),0)</f>
        <v>0</v>
      </c>
      <c r="AE991" s="3">
        <f t="shared" si="45"/>
        <v>0</v>
      </c>
      <c r="AF991" s="10" t="e">
        <f t="shared" si="46"/>
        <v>#N/A</v>
      </c>
      <c r="AG991" s="3" t="str">
        <f t="shared" si="47"/>
        <v/>
      </c>
    </row>
    <row r="992" spans="1:33" x14ac:dyDescent="0.25">
      <c r="A992" s="7"/>
      <c r="B992" s="8"/>
      <c r="C992" s="3"/>
      <c r="D992" s="3"/>
      <c r="E992" s="3" t="e">
        <f>VLOOKUP(D992,VIAJES!$D:$E,2,FALSE)</f>
        <v>#N/A</v>
      </c>
      <c r="F992" s="9" t="e">
        <f>VLOOKUP(D992,VIAJES!$D:$F,3,FALSE)</f>
        <v>#N/A</v>
      </c>
      <c r="G992" s="9" t="e">
        <f>VLOOKUP(D992,VIAJES!$D:$G,4,FALSE)</f>
        <v>#N/A</v>
      </c>
      <c r="H992" s="3" t="e">
        <f>VLOOKUP(D992,VIAJES!$D:$H,5,FALSE)</f>
        <v>#N/A</v>
      </c>
      <c r="S992" s="3">
        <f>IFERROR(INDEX(EVENTOS!$D:$D,MATCH(SCORE!S$2&amp;" "&amp;SCORE!$D992,EVENTOS!$F:$F,0)),0)</f>
        <v>0</v>
      </c>
      <c r="T992" s="3">
        <f>IFERROR(INDEX(EVENTOS!$D:$D,MATCH(SCORE!T$2&amp;" "&amp;SCORE!$D992,EVENTOS!$F:$F,0)),0)</f>
        <v>0</v>
      </c>
      <c r="U992" s="3">
        <f>IFERROR(INDEX(EVENTOS!$D:$D,MATCH(SCORE!U$2&amp;" "&amp;SCORE!$D992,EVENTOS!$F:$F,0)),0)</f>
        <v>0</v>
      </c>
      <c r="V992" s="3">
        <f>IFERROR(INDEX(EVENTOS!$D:$D,MATCH(SCORE!V$2&amp;" "&amp;SCORE!$D992,EVENTOS!$F:$F,0)),0)</f>
        <v>0</v>
      </c>
      <c r="W992" s="3">
        <f>IFERROR(INDEX(EVENTOS!$D:$D,MATCH(SCORE!W$2&amp;" "&amp;SCORE!$D992,EVENTOS!$F:$F,0)),0)</f>
        <v>0</v>
      </c>
      <c r="X992" s="3">
        <f>IFERROR(INDEX(EVENTOS!$D:$D,MATCH(SCORE!X$2&amp;" "&amp;SCORE!$D992,EVENTOS!$F:$F,0)),0)</f>
        <v>0</v>
      </c>
      <c r="Y992" s="3">
        <f>SUMIFS(EVENTOS!$D:$D, EVENTOS!$B:$B, D992, EVENTOS!$E:$E, "*GirAlto*")</f>
        <v>0</v>
      </c>
      <c r="Z992" s="3">
        <f>SUMIFS(EVENTOS!$D:$D, EVENTOS!$B:$B, D992, EVENTOS!$E:$E, "*GirMed*")</f>
        <v>0</v>
      </c>
      <c r="AA992" s="3">
        <f>SUMIFS(EVENTOS!$D:$D, EVENTOS!$B:$B, D992, EVENTOS!$E:$E, "*GirBajo*")</f>
        <v>0</v>
      </c>
      <c r="AB992" s="3">
        <f>IFERROR(INDEX(EVENTOS!$D:$D,MATCH(SCORE!AB$2&amp;" "&amp;SCORE!$D992,EVENTOS!$F:$F,0)),0)</f>
        <v>0</v>
      </c>
      <c r="AC992" s="3">
        <f>IFERROR(INDEX(EVENTOS!$D:$D,MATCH(SCORE!AC$2&amp;" "&amp;SCORE!$D992,EVENTOS!$F:$F,0)),0)</f>
        <v>0</v>
      </c>
      <c r="AD992" s="3">
        <f>IFERROR(INDEX(EVENTOS!$D:$D,MATCH(SCORE!AD$2&amp;" "&amp;SCORE!$D992,EVENTOS!$F:$F,0)),0)</f>
        <v>0</v>
      </c>
      <c r="AE992" s="3">
        <f t="shared" si="45"/>
        <v>0</v>
      </c>
      <c r="AF992" s="10" t="e">
        <f t="shared" si="46"/>
        <v>#N/A</v>
      </c>
      <c r="AG992" s="3" t="str">
        <f t="shared" si="47"/>
        <v/>
      </c>
    </row>
    <row r="993" spans="1:33" x14ac:dyDescent="0.25">
      <c r="A993" s="7"/>
      <c r="B993" s="8"/>
      <c r="C993" s="3"/>
      <c r="D993" s="3"/>
      <c r="E993" s="3" t="e">
        <f>VLOOKUP(D993,VIAJES!$D:$E,2,FALSE)</f>
        <v>#N/A</v>
      </c>
      <c r="F993" s="9" t="e">
        <f>VLOOKUP(D993,VIAJES!$D:$F,3,FALSE)</f>
        <v>#N/A</v>
      </c>
      <c r="G993" s="9" t="e">
        <f>VLOOKUP(D993,VIAJES!$D:$G,4,FALSE)</f>
        <v>#N/A</v>
      </c>
      <c r="H993" s="3" t="e">
        <f>VLOOKUP(D993,VIAJES!$D:$H,5,FALSE)</f>
        <v>#N/A</v>
      </c>
      <c r="S993" s="3">
        <f>IFERROR(INDEX(EVENTOS!$D:$D,MATCH(SCORE!S$2&amp;" "&amp;SCORE!$D993,EVENTOS!$F:$F,0)),0)</f>
        <v>0</v>
      </c>
      <c r="T993" s="3">
        <f>IFERROR(INDEX(EVENTOS!$D:$D,MATCH(SCORE!T$2&amp;" "&amp;SCORE!$D993,EVENTOS!$F:$F,0)),0)</f>
        <v>0</v>
      </c>
      <c r="U993" s="3">
        <f>IFERROR(INDEX(EVENTOS!$D:$D,MATCH(SCORE!U$2&amp;" "&amp;SCORE!$D993,EVENTOS!$F:$F,0)),0)</f>
        <v>0</v>
      </c>
      <c r="V993" s="3">
        <f>IFERROR(INDEX(EVENTOS!$D:$D,MATCH(SCORE!V$2&amp;" "&amp;SCORE!$D993,EVENTOS!$F:$F,0)),0)</f>
        <v>0</v>
      </c>
      <c r="W993" s="3">
        <f>IFERROR(INDEX(EVENTOS!$D:$D,MATCH(SCORE!W$2&amp;" "&amp;SCORE!$D993,EVENTOS!$F:$F,0)),0)</f>
        <v>0</v>
      </c>
      <c r="X993" s="3">
        <f>IFERROR(INDEX(EVENTOS!$D:$D,MATCH(SCORE!X$2&amp;" "&amp;SCORE!$D993,EVENTOS!$F:$F,0)),0)</f>
        <v>0</v>
      </c>
      <c r="Y993" s="3">
        <f>SUMIFS(EVENTOS!$D:$D, EVENTOS!$B:$B, D993, EVENTOS!$E:$E, "*GirAlto*")</f>
        <v>0</v>
      </c>
      <c r="Z993" s="3">
        <f>SUMIFS(EVENTOS!$D:$D, EVENTOS!$B:$B, D993, EVENTOS!$E:$E, "*GirMed*")</f>
        <v>0</v>
      </c>
      <c r="AA993" s="3">
        <f>SUMIFS(EVENTOS!$D:$D, EVENTOS!$B:$B, D993, EVENTOS!$E:$E, "*GirBajo*")</f>
        <v>0</v>
      </c>
      <c r="AB993" s="3">
        <f>IFERROR(INDEX(EVENTOS!$D:$D,MATCH(SCORE!AB$2&amp;" "&amp;SCORE!$D993,EVENTOS!$F:$F,0)),0)</f>
        <v>0</v>
      </c>
      <c r="AC993" s="3">
        <f>IFERROR(INDEX(EVENTOS!$D:$D,MATCH(SCORE!AC$2&amp;" "&amp;SCORE!$D993,EVENTOS!$F:$F,0)),0)</f>
        <v>0</v>
      </c>
      <c r="AD993" s="3">
        <f>IFERROR(INDEX(EVENTOS!$D:$D,MATCH(SCORE!AD$2&amp;" "&amp;SCORE!$D993,EVENTOS!$F:$F,0)),0)</f>
        <v>0</v>
      </c>
      <c r="AE993" s="3">
        <f t="shared" si="45"/>
        <v>0</v>
      </c>
      <c r="AF993" s="10" t="e">
        <f t="shared" si="46"/>
        <v>#N/A</v>
      </c>
      <c r="AG993" s="3" t="str">
        <f t="shared" si="47"/>
        <v/>
      </c>
    </row>
    <row r="994" spans="1:33" x14ac:dyDescent="0.25">
      <c r="A994" s="7"/>
      <c r="B994" s="8"/>
      <c r="C994" s="3"/>
      <c r="D994" s="3"/>
      <c r="E994" s="3" t="e">
        <f>VLOOKUP(D994,VIAJES!$D:$E,2,FALSE)</f>
        <v>#N/A</v>
      </c>
      <c r="F994" s="9" t="e">
        <f>VLOOKUP(D994,VIAJES!$D:$F,3,FALSE)</f>
        <v>#N/A</v>
      </c>
      <c r="G994" s="9" t="e">
        <f>VLOOKUP(D994,VIAJES!$D:$G,4,FALSE)</f>
        <v>#N/A</v>
      </c>
      <c r="H994" s="3" t="e">
        <f>VLOOKUP(D994,VIAJES!$D:$H,5,FALSE)</f>
        <v>#N/A</v>
      </c>
      <c r="S994" s="3">
        <f>IFERROR(INDEX(EVENTOS!$D:$D,MATCH(SCORE!S$2&amp;" "&amp;SCORE!$D994,EVENTOS!$F:$F,0)),0)</f>
        <v>0</v>
      </c>
      <c r="T994" s="3">
        <f>IFERROR(INDEX(EVENTOS!$D:$D,MATCH(SCORE!T$2&amp;" "&amp;SCORE!$D994,EVENTOS!$F:$F,0)),0)</f>
        <v>0</v>
      </c>
      <c r="U994" s="3">
        <f>IFERROR(INDEX(EVENTOS!$D:$D,MATCH(SCORE!U$2&amp;" "&amp;SCORE!$D994,EVENTOS!$F:$F,0)),0)</f>
        <v>0</v>
      </c>
      <c r="V994" s="3">
        <f>IFERROR(INDEX(EVENTOS!$D:$D,MATCH(SCORE!V$2&amp;" "&amp;SCORE!$D994,EVENTOS!$F:$F,0)),0)</f>
        <v>0</v>
      </c>
      <c r="W994" s="3">
        <f>IFERROR(INDEX(EVENTOS!$D:$D,MATCH(SCORE!W$2&amp;" "&amp;SCORE!$D994,EVENTOS!$F:$F,0)),0)</f>
        <v>0</v>
      </c>
      <c r="X994" s="3">
        <f>IFERROR(INDEX(EVENTOS!$D:$D,MATCH(SCORE!X$2&amp;" "&amp;SCORE!$D994,EVENTOS!$F:$F,0)),0)</f>
        <v>0</v>
      </c>
      <c r="Y994" s="3">
        <f>SUMIFS(EVENTOS!$D:$D, EVENTOS!$B:$B, D994, EVENTOS!$E:$E, "*GirAlto*")</f>
        <v>0</v>
      </c>
      <c r="Z994" s="3">
        <f>SUMIFS(EVENTOS!$D:$D, EVENTOS!$B:$B, D994, EVENTOS!$E:$E, "*GirMed*")</f>
        <v>0</v>
      </c>
      <c r="AA994" s="3">
        <f>SUMIFS(EVENTOS!$D:$D, EVENTOS!$B:$B, D994, EVENTOS!$E:$E, "*GirBajo*")</f>
        <v>0</v>
      </c>
      <c r="AB994" s="3">
        <f>IFERROR(INDEX(EVENTOS!$D:$D,MATCH(SCORE!AB$2&amp;" "&amp;SCORE!$D994,EVENTOS!$F:$F,0)),0)</f>
        <v>0</v>
      </c>
      <c r="AC994" s="3">
        <f>IFERROR(INDEX(EVENTOS!$D:$D,MATCH(SCORE!AC$2&amp;" "&amp;SCORE!$D994,EVENTOS!$F:$F,0)),0)</f>
        <v>0</v>
      </c>
      <c r="AD994" s="3">
        <f>IFERROR(INDEX(EVENTOS!$D:$D,MATCH(SCORE!AD$2&amp;" "&amp;SCORE!$D994,EVENTOS!$F:$F,0)),0)</f>
        <v>0</v>
      </c>
      <c r="AE994" s="3">
        <f t="shared" si="45"/>
        <v>0</v>
      </c>
      <c r="AF994" s="10" t="e">
        <f t="shared" si="46"/>
        <v>#N/A</v>
      </c>
      <c r="AG994" s="3" t="str">
        <f t="shared" si="47"/>
        <v/>
      </c>
    </row>
    <row r="995" spans="1:33" x14ac:dyDescent="0.25">
      <c r="A995" s="7"/>
      <c r="B995" s="8"/>
      <c r="C995" s="3"/>
      <c r="D995" s="3"/>
      <c r="E995" s="3" t="e">
        <f>VLOOKUP(D995,VIAJES!$D:$E,2,FALSE)</f>
        <v>#N/A</v>
      </c>
      <c r="F995" s="9" t="e">
        <f>VLOOKUP(D995,VIAJES!$D:$F,3,FALSE)</f>
        <v>#N/A</v>
      </c>
      <c r="G995" s="9" t="e">
        <f>VLOOKUP(D995,VIAJES!$D:$G,4,FALSE)</f>
        <v>#N/A</v>
      </c>
      <c r="H995" s="3" t="e">
        <f>VLOOKUP(D995,VIAJES!$D:$H,5,FALSE)</f>
        <v>#N/A</v>
      </c>
      <c r="S995" s="3">
        <f>IFERROR(INDEX(EVENTOS!$D:$D,MATCH(SCORE!S$2&amp;" "&amp;SCORE!$D995,EVENTOS!$F:$F,0)),0)</f>
        <v>0</v>
      </c>
      <c r="T995" s="3">
        <f>IFERROR(INDEX(EVENTOS!$D:$D,MATCH(SCORE!T$2&amp;" "&amp;SCORE!$D995,EVENTOS!$F:$F,0)),0)</f>
        <v>0</v>
      </c>
      <c r="U995" s="3">
        <f>IFERROR(INDEX(EVENTOS!$D:$D,MATCH(SCORE!U$2&amp;" "&amp;SCORE!$D995,EVENTOS!$F:$F,0)),0)</f>
        <v>0</v>
      </c>
      <c r="V995" s="3">
        <f>IFERROR(INDEX(EVENTOS!$D:$D,MATCH(SCORE!V$2&amp;" "&amp;SCORE!$D995,EVENTOS!$F:$F,0)),0)</f>
        <v>0</v>
      </c>
      <c r="W995" s="3">
        <f>IFERROR(INDEX(EVENTOS!$D:$D,MATCH(SCORE!W$2&amp;" "&amp;SCORE!$D995,EVENTOS!$F:$F,0)),0)</f>
        <v>0</v>
      </c>
      <c r="X995" s="3">
        <f>IFERROR(INDEX(EVENTOS!$D:$D,MATCH(SCORE!X$2&amp;" "&amp;SCORE!$D995,EVENTOS!$F:$F,0)),0)</f>
        <v>0</v>
      </c>
      <c r="Y995" s="3">
        <f>SUMIFS(EVENTOS!$D:$D, EVENTOS!$B:$B, D995, EVENTOS!$E:$E, "*GirAlto*")</f>
        <v>0</v>
      </c>
      <c r="Z995" s="3">
        <f>SUMIFS(EVENTOS!$D:$D, EVENTOS!$B:$B, D995, EVENTOS!$E:$E, "*GirMed*")</f>
        <v>0</v>
      </c>
      <c r="AA995" s="3">
        <f>SUMIFS(EVENTOS!$D:$D, EVENTOS!$B:$B, D995, EVENTOS!$E:$E, "*GirBajo*")</f>
        <v>0</v>
      </c>
      <c r="AB995" s="3">
        <f>IFERROR(INDEX(EVENTOS!$D:$D,MATCH(SCORE!AB$2&amp;" "&amp;SCORE!$D995,EVENTOS!$F:$F,0)),0)</f>
        <v>0</v>
      </c>
      <c r="AC995" s="3">
        <f>IFERROR(INDEX(EVENTOS!$D:$D,MATCH(SCORE!AC$2&amp;" "&amp;SCORE!$D995,EVENTOS!$F:$F,0)),0)</f>
        <v>0</v>
      </c>
      <c r="AD995" s="3">
        <f>IFERROR(INDEX(EVENTOS!$D:$D,MATCH(SCORE!AD$2&amp;" "&amp;SCORE!$D995,EVENTOS!$F:$F,0)),0)</f>
        <v>0</v>
      </c>
      <c r="AE995" s="3">
        <f t="shared" si="45"/>
        <v>0</v>
      </c>
      <c r="AF995" s="10" t="e">
        <f t="shared" si="46"/>
        <v>#N/A</v>
      </c>
      <c r="AG995" s="3" t="str">
        <f t="shared" si="47"/>
        <v/>
      </c>
    </row>
    <row r="996" spans="1:33" x14ac:dyDescent="0.25">
      <c r="A996" s="7"/>
      <c r="B996" s="8"/>
      <c r="C996" s="3"/>
      <c r="D996" s="3"/>
      <c r="E996" s="3" t="e">
        <f>VLOOKUP(D996,VIAJES!$D:$E,2,FALSE)</f>
        <v>#N/A</v>
      </c>
      <c r="F996" s="9" t="e">
        <f>VLOOKUP(D996,VIAJES!$D:$F,3,FALSE)</f>
        <v>#N/A</v>
      </c>
      <c r="G996" s="9" t="e">
        <f>VLOOKUP(D996,VIAJES!$D:$G,4,FALSE)</f>
        <v>#N/A</v>
      </c>
      <c r="H996" s="3" t="e">
        <f>VLOOKUP(D996,VIAJES!$D:$H,5,FALSE)</f>
        <v>#N/A</v>
      </c>
      <c r="S996" s="3">
        <f>IFERROR(INDEX(EVENTOS!$D:$D,MATCH(SCORE!S$2&amp;" "&amp;SCORE!$D996,EVENTOS!$F:$F,0)),0)</f>
        <v>0</v>
      </c>
      <c r="T996" s="3">
        <f>IFERROR(INDEX(EVENTOS!$D:$D,MATCH(SCORE!T$2&amp;" "&amp;SCORE!$D996,EVENTOS!$F:$F,0)),0)</f>
        <v>0</v>
      </c>
      <c r="U996" s="3">
        <f>IFERROR(INDEX(EVENTOS!$D:$D,MATCH(SCORE!U$2&amp;" "&amp;SCORE!$D996,EVENTOS!$F:$F,0)),0)</f>
        <v>0</v>
      </c>
      <c r="V996" s="3">
        <f>IFERROR(INDEX(EVENTOS!$D:$D,MATCH(SCORE!V$2&amp;" "&amp;SCORE!$D996,EVENTOS!$F:$F,0)),0)</f>
        <v>0</v>
      </c>
      <c r="W996" s="3">
        <f>IFERROR(INDEX(EVENTOS!$D:$D,MATCH(SCORE!W$2&amp;" "&amp;SCORE!$D996,EVENTOS!$F:$F,0)),0)</f>
        <v>0</v>
      </c>
      <c r="X996" s="3">
        <f>IFERROR(INDEX(EVENTOS!$D:$D,MATCH(SCORE!X$2&amp;" "&amp;SCORE!$D996,EVENTOS!$F:$F,0)),0)</f>
        <v>0</v>
      </c>
      <c r="Y996" s="3">
        <f>SUMIFS(EVENTOS!$D:$D, EVENTOS!$B:$B, D996, EVENTOS!$E:$E, "*GirAlto*")</f>
        <v>0</v>
      </c>
      <c r="Z996" s="3">
        <f>SUMIFS(EVENTOS!$D:$D, EVENTOS!$B:$B, D996, EVENTOS!$E:$E, "*GirMed*")</f>
        <v>0</v>
      </c>
      <c r="AA996" s="3">
        <f>SUMIFS(EVENTOS!$D:$D, EVENTOS!$B:$B, D996, EVENTOS!$E:$E, "*GirBajo*")</f>
        <v>0</v>
      </c>
      <c r="AB996" s="3">
        <f>IFERROR(INDEX(EVENTOS!$D:$D,MATCH(SCORE!AB$2&amp;" "&amp;SCORE!$D996,EVENTOS!$F:$F,0)),0)</f>
        <v>0</v>
      </c>
      <c r="AC996" s="3">
        <f>IFERROR(INDEX(EVENTOS!$D:$D,MATCH(SCORE!AC$2&amp;" "&amp;SCORE!$D996,EVENTOS!$F:$F,0)),0)</f>
        <v>0</v>
      </c>
      <c r="AD996" s="3">
        <f>IFERROR(INDEX(EVENTOS!$D:$D,MATCH(SCORE!AD$2&amp;" "&amp;SCORE!$D996,EVENTOS!$F:$F,0)),0)</f>
        <v>0</v>
      </c>
      <c r="AE996" s="3">
        <f t="shared" si="45"/>
        <v>0</v>
      </c>
      <c r="AF996" s="10" t="e">
        <f t="shared" si="46"/>
        <v>#N/A</v>
      </c>
      <c r="AG996" s="3" t="str">
        <f t="shared" si="47"/>
        <v/>
      </c>
    </row>
    <row r="997" spans="1:33" x14ac:dyDescent="0.25">
      <c r="A997" s="7"/>
      <c r="B997" s="8"/>
      <c r="C997" s="3"/>
      <c r="D997" s="3"/>
      <c r="E997" s="3" t="e">
        <f>VLOOKUP(D997,VIAJES!$D:$E,2,FALSE)</f>
        <v>#N/A</v>
      </c>
      <c r="F997" s="9" t="e">
        <f>VLOOKUP(D997,VIAJES!$D:$F,3,FALSE)</f>
        <v>#N/A</v>
      </c>
      <c r="G997" s="9" t="e">
        <f>VLOOKUP(D997,VIAJES!$D:$G,4,FALSE)</f>
        <v>#N/A</v>
      </c>
      <c r="H997" s="3" t="e">
        <f>VLOOKUP(D997,VIAJES!$D:$H,5,FALSE)</f>
        <v>#N/A</v>
      </c>
      <c r="S997" s="3">
        <f>IFERROR(INDEX(EVENTOS!$D:$D,MATCH(SCORE!S$2&amp;" "&amp;SCORE!$D997,EVENTOS!$F:$F,0)),0)</f>
        <v>0</v>
      </c>
      <c r="T997" s="3">
        <f>IFERROR(INDEX(EVENTOS!$D:$D,MATCH(SCORE!T$2&amp;" "&amp;SCORE!$D997,EVENTOS!$F:$F,0)),0)</f>
        <v>0</v>
      </c>
      <c r="U997" s="3">
        <f>IFERROR(INDEX(EVENTOS!$D:$D,MATCH(SCORE!U$2&amp;" "&amp;SCORE!$D997,EVENTOS!$F:$F,0)),0)</f>
        <v>0</v>
      </c>
      <c r="V997" s="3">
        <f>IFERROR(INDEX(EVENTOS!$D:$D,MATCH(SCORE!V$2&amp;" "&amp;SCORE!$D997,EVENTOS!$F:$F,0)),0)</f>
        <v>0</v>
      </c>
      <c r="W997" s="3">
        <f>IFERROR(INDEX(EVENTOS!$D:$D,MATCH(SCORE!W$2&amp;" "&amp;SCORE!$D997,EVENTOS!$F:$F,0)),0)</f>
        <v>0</v>
      </c>
      <c r="X997" s="3">
        <f>IFERROR(INDEX(EVENTOS!$D:$D,MATCH(SCORE!X$2&amp;" "&amp;SCORE!$D997,EVENTOS!$F:$F,0)),0)</f>
        <v>0</v>
      </c>
      <c r="Y997" s="3">
        <f>SUMIFS(EVENTOS!$D:$D, EVENTOS!$B:$B, D997, EVENTOS!$E:$E, "*GirAlto*")</f>
        <v>0</v>
      </c>
      <c r="Z997" s="3">
        <f>SUMIFS(EVENTOS!$D:$D, EVENTOS!$B:$B, D997, EVENTOS!$E:$E, "*GirMed*")</f>
        <v>0</v>
      </c>
      <c r="AA997" s="3">
        <f>SUMIFS(EVENTOS!$D:$D, EVENTOS!$B:$B, D997, EVENTOS!$E:$E, "*GirBajo*")</f>
        <v>0</v>
      </c>
      <c r="AB997" s="3">
        <f>IFERROR(INDEX(EVENTOS!$D:$D,MATCH(SCORE!AB$2&amp;" "&amp;SCORE!$D997,EVENTOS!$F:$F,0)),0)</f>
        <v>0</v>
      </c>
      <c r="AC997" s="3">
        <f>IFERROR(INDEX(EVENTOS!$D:$D,MATCH(SCORE!AC$2&amp;" "&amp;SCORE!$D997,EVENTOS!$F:$F,0)),0)</f>
        <v>0</v>
      </c>
      <c r="AD997" s="3">
        <f>IFERROR(INDEX(EVENTOS!$D:$D,MATCH(SCORE!AD$2&amp;" "&amp;SCORE!$D997,EVENTOS!$F:$F,0)),0)</f>
        <v>0</v>
      </c>
      <c r="AE997" s="3">
        <f t="shared" si="45"/>
        <v>0</v>
      </c>
      <c r="AF997" s="10" t="e">
        <f t="shared" si="46"/>
        <v>#N/A</v>
      </c>
      <c r="AG997" s="3" t="str">
        <f t="shared" si="47"/>
        <v/>
      </c>
    </row>
    <row r="998" spans="1:33" x14ac:dyDescent="0.25">
      <c r="A998" s="7"/>
      <c r="B998" s="8"/>
      <c r="C998" s="3"/>
      <c r="D998" s="3"/>
      <c r="E998" s="3" t="e">
        <f>VLOOKUP(D998,VIAJES!$D:$E,2,FALSE)</f>
        <v>#N/A</v>
      </c>
      <c r="F998" s="9" t="e">
        <f>VLOOKUP(D998,VIAJES!$D:$F,3,FALSE)</f>
        <v>#N/A</v>
      </c>
      <c r="G998" s="9" t="e">
        <f>VLOOKUP(D998,VIAJES!$D:$G,4,FALSE)</f>
        <v>#N/A</v>
      </c>
      <c r="H998" s="3" t="e">
        <f>VLOOKUP(D998,VIAJES!$D:$H,5,FALSE)</f>
        <v>#N/A</v>
      </c>
      <c r="S998" s="3">
        <f>IFERROR(INDEX(EVENTOS!$D:$D,MATCH(SCORE!S$2&amp;" "&amp;SCORE!$D998,EVENTOS!$F:$F,0)),0)</f>
        <v>0</v>
      </c>
      <c r="T998" s="3">
        <f>IFERROR(INDEX(EVENTOS!$D:$D,MATCH(SCORE!T$2&amp;" "&amp;SCORE!$D998,EVENTOS!$F:$F,0)),0)</f>
        <v>0</v>
      </c>
      <c r="U998" s="3">
        <f>IFERROR(INDEX(EVENTOS!$D:$D,MATCH(SCORE!U$2&amp;" "&amp;SCORE!$D998,EVENTOS!$F:$F,0)),0)</f>
        <v>0</v>
      </c>
      <c r="V998" s="3">
        <f>IFERROR(INDEX(EVENTOS!$D:$D,MATCH(SCORE!V$2&amp;" "&amp;SCORE!$D998,EVENTOS!$F:$F,0)),0)</f>
        <v>0</v>
      </c>
      <c r="W998" s="3">
        <f>IFERROR(INDEX(EVENTOS!$D:$D,MATCH(SCORE!W$2&amp;" "&amp;SCORE!$D998,EVENTOS!$F:$F,0)),0)</f>
        <v>0</v>
      </c>
      <c r="X998" s="3">
        <f>IFERROR(INDEX(EVENTOS!$D:$D,MATCH(SCORE!X$2&amp;" "&amp;SCORE!$D998,EVENTOS!$F:$F,0)),0)</f>
        <v>0</v>
      </c>
      <c r="Y998" s="3">
        <f>SUMIFS(EVENTOS!$D:$D, EVENTOS!$B:$B, D998, EVENTOS!$E:$E, "*GirAlto*")</f>
        <v>0</v>
      </c>
      <c r="Z998" s="3">
        <f>SUMIFS(EVENTOS!$D:$D, EVENTOS!$B:$B, D998, EVENTOS!$E:$E, "*GirMed*")</f>
        <v>0</v>
      </c>
      <c r="AA998" s="3">
        <f>SUMIFS(EVENTOS!$D:$D, EVENTOS!$B:$B, D998, EVENTOS!$E:$E, "*GirBajo*")</f>
        <v>0</v>
      </c>
      <c r="AB998" s="3">
        <f>IFERROR(INDEX(EVENTOS!$D:$D,MATCH(SCORE!AB$2&amp;" "&amp;SCORE!$D998,EVENTOS!$F:$F,0)),0)</f>
        <v>0</v>
      </c>
      <c r="AC998" s="3">
        <f>IFERROR(INDEX(EVENTOS!$D:$D,MATCH(SCORE!AC$2&amp;" "&amp;SCORE!$D998,EVENTOS!$F:$F,0)),0)</f>
        <v>0</v>
      </c>
      <c r="AD998" s="3">
        <f>IFERROR(INDEX(EVENTOS!$D:$D,MATCH(SCORE!AD$2&amp;" "&amp;SCORE!$D998,EVENTOS!$F:$F,0)),0)</f>
        <v>0</v>
      </c>
      <c r="AE998" s="3">
        <f t="shared" si="45"/>
        <v>0</v>
      </c>
      <c r="AF998" s="10" t="e">
        <f t="shared" si="46"/>
        <v>#N/A</v>
      </c>
      <c r="AG998" s="3" t="str">
        <f t="shared" si="47"/>
        <v/>
      </c>
    </row>
    <row r="999" spans="1:33" x14ac:dyDescent="0.25">
      <c r="A999" s="7"/>
      <c r="B999" s="8"/>
      <c r="C999" s="3"/>
      <c r="D999" s="3"/>
      <c r="E999" s="3" t="e">
        <f>VLOOKUP(D999,VIAJES!$D:$E,2,FALSE)</f>
        <v>#N/A</v>
      </c>
      <c r="F999" s="9" t="e">
        <f>VLOOKUP(D999,VIAJES!$D:$F,3,FALSE)</f>
        <v>#N/A</v>
      </c>
      <c r="G999" s="9" t="e">
        <f>VLOOKUP(D999,VIAJES!$D:$G,4,FALSE)</f>
        <v>#N/A</v>
      </c>
      <c r="H999" s="3" t="e">
        <f>VLOOKUP(D999,VIAJES!$D:$H,5,FALSE)</f>
        <v>#N/A</v>
      </c>
      <c r="S999" s="3">
        <f>IFERROR(INDEX(EVENTOS!$D:$D,MATCH(SCORE!S$2&amp;" "&amp;SCORE!$D999,EVENTOS!$F:$F,0)),0)</f>
        <v>0</v>
      </c>
      <c r="T999" s="3">
        <f>IFERROR(INDEX(EVENTOS!$D:$D,MATCH(SCORE!T$2&amp;" "&amp;SCORE!$D999,EVENTOS!$F:$F,0)),0)</f>
        <v>0</v>
      </c>
      <c r="U999" s="3">
        <f>IFERROR(INDEX(EVENTOS!$D:$D,MATCH(SCORE!U$2&amp;" "&amp;SCORE!$D999,EVENTOS!$F:$F,0)),0)</f>
        <v>0</v>
      </c>
      <c r="V999" s="3">
        <f>IFERROR(INDEX(EVENTOS!$D:$D,MATCH(SCORE!V$2&amp;" "&amp;SCORE!$D999,EVENTOS!$F:$F,0)),0)</f>
        <v>0</v>
      </c>
      <c r="W999" s="3">
        <f>IFERROR(INDEX(EVENTOS!$D:$D,MATCH(SCORE!W$2&amp;" "&amp;SCORE!$D999,EVENTOS!$F:$F,0)),0)</f>
        <v>0</v>
      </c>
      <c r="X999" s="3">
        <f>IFERROR(INDEX(EVENTOS!$D:$D,MATCH(SCORE!X$2&amp;" "&amp;SCORE!$D999,EVENTOS!$F:$F,0)),0)</f>
        <v>0</v>
      </c>
      <c r="Y999" s="3">
        <f>SUMIFS(EVENTOS!$D:$D, EVENTOS!$B:$B, D999, EVENTOS!$E:$E, "*GirAlto*")</f>
        <v>0</v>
      </c>
      <c r="Z999" s="3">
        <f>SUMIFS(EVENTOS!$D:$D, EVENTOS!$B:$B, D999, EVENTOS!$E:$E, "*GirMed*")</f>
        <v>0</v>
      </c>
      <c r="AA999" s="3">
        <f>SUMIFS(EVENTOS!$D:$D, EVENTOS!$B:$B, D999, EVENTOS!$E:$E, "*GirBajo*")</f>
        <v>0</v>
      </c>
      <c r="AB999" s="3">
        <f>IFERROR(INDEX(EVENTOS!$D:$D,MATCH(SCORE!AB$2&amp;" "&amp;SCORE!$D999,EVENTOS!$F:$F,0)),0)</f>
        <v>0</v>
      </c>
      <c r="AC999" s="3">
        <f>IFERROR(INDEX(EVENTOS!$D:$D,MATCH(SCORE!AC$2&amp;" "&amp;SCORE!$D999,EVENTOS!$F:$F,0)),0)</f>
        <v>0</v>
      </c>
      <c r="AD999" s="3">
        <f>IFERROR(INDEX(EVENTOS!$D:$D,MATCH(SCORE!AD$2&amp;" "&amp;SCORE!$D999,EVENTOS!$F:$F,0)),0)</f>
        <v>0</v>
      </c>
      <c r="AE999" s="3">
        <f t="shared" si="45"/>
        <v>0</v>
      </c>
      <c r="AF999" s="10" t="e">
        <f t="shared" si="46"/>
        <v>#N/A</v>
      </c>
      <c r="AG999" s="3" t="str">
        <f t="shared" si="47"/>
        <v/>
      </c>
    </row>
    <row r="1000" spans="1:33" x14ac:dyDescent="0.25">
      <c r="A1000" s="7"/>
      <c r="B1000" s="8"/>
      <c r="C1000" s="3"/>
      <c r="D1000" s="3"/>
      <c r="E1000" s="3" t="e">
        <f>VLOOKUP(D1000,VIAJES!$D:$E,2,FALSE)</f>
        <v>#N/A</v>
      </c>
      <c r="F1000" s="9" t="e">
        <f>VLOOKUP(D1000,VIAJES!$D:$F,3,FALSE)</f>
        <v>#N/A</v>
      </c>
      <c r="G1000" s="9" t="e">
        <f>VLOOKUP(D1000,VIAJES!$D:$G,4,FALSE)</f>
        <v>#N/A</v>
      </c>
      <c r="H1000" s="3" t="e">
        <f>VLOOKUP(D1000,VIAJES!$D:$H,5,FALSE)</f>
        <v>#N/A</v>
      </c>
      <c r="S1000" s="3">
        <f>IFERROR(INDEX(EVENTOS!$D:$D,MATCH(SCORE!S$2&amp;" "&amp;SCORE!$D1000,EVENTOS!$F:$F,0)),0)</f>
        <v>0</v>
      </c>
      <c r="T1000" s="3">
        <f>IFERROR(INDEX(EVENTOS!$D:$D,MATCH(SCORE!T$2&amp;" "&amp;SCORE!$D1000,EVENTOS!$F:$F,0)),0)</f>
        <v>0</v>
      </c>
      <c r="U1000" s="3">
        <f>IFERROR(INDEX(EVENTOS!$D:$D,MATCH(SCORE!U$2&amp;" "&amp;SCORE!$D1000,EVENTOS!$F:$F,0)),0)</f>
        <v>0</v>
      </c>
      <c r="V1000" s="3">
        <f>IFERROR(INDEX(EVENTOS!$D:$D,MATCH(SCORE!V$2&amp;" "&amp;SCORE!$D1000,EVENTOS!$F:$F,0)),0)</f>
        <v>0</v>
      </c>
      <c r="W1000" s="3">
        <f>IFERROR(INDEX(EVENTOS!$D:$D,MATCH(SCORE!W$2&amp;" "&amp;SCORE!$D1000,EVENTOS!$F:$F,0)),0)</f>
        <v>0</v>
      </c>
      <c r="X1000" s="3">
        <f>IFERROR(INDEX(EVENTOS!$D:$D,MATCH(SCORE!X$2&amp;" "&amp;SCORE!$D1000,EVENTOS!$F:$F,0)),0)</f>
        <v>0</v>
      </c>
      <c r="Y1000" s="3">
        <f>SUMIFS(EVENTOS!$D:$D, EVENTOS!$B:$B, D1000, EVENTOS!$E:$E, "*GirAlto*")</f>
        <v>0</v>
      </c>
      <c r="Z1000" s="3">
        <f>SUMIFS(EVENTOS!$D:$D, EVENTOS!$B:$B, D1000, EVENTOS!$E:$E, "*GirMed*")</f>
        <v>0</v>
      </c>
      <c r="AA1000" s="3">
        <f>SUMIFS(EVENTOS!$D:$D, EVENTOS!$B:$B, D1000, EVENTOS!$E:$E, "*GirBajo*")</f>
        <v>0</v>
      </c>
      <c r="AB1000" s="3">
        <f>IFERROR(INDEX(EVENTOS!$D:$D,MATCH(SCORE!AB$2&amp;" "&amp;SCORE!$D1000,EVENTOS!$F:$F,0)),0)</f>
        <v>0</v>
      </c>
      <c r="AC1000" s="3">
        <f>IFERROR(INDEX(EVENTOS!$D:$D,MATCH(SCORE!AC$2&amp;" "&amp;SCORE!$D1000,EVENTOS!$F:$F,0)),0)</f>
        <v>0</v>
      </c>
      <c r="AD1000" s="3">
        <f>IFERROR(INDEX(EVENTOS!$D:$D,MATCH(SCORE!AD$2&amp;" "&amp;SCORE!$D1000,EVENTOS!$F:$F,0)),0)</f>
        <v>0</v>
      </c>
      <c r="AE1000" s="3">
        <f t="shared" si="45"/>
        <v>0</v>
      </c>
      <c r="AF1000" s="10" t="e">
        <f t="shared" si="46"/>
        <v>#N/A</v>
      </c>
      <c r="AG1000" s="3" t="str">
        <f t="shared" si="47"/>
        <v/>
      </c>
    </row>
    <row r="1001" spans="1:33" x14ac:dyDescent="0.25">
      <c r="A1001" s="7"/>
      <c r="B1001" s="8"/>
      <c r="C1001" s="3"/>
      <c r="D1001" s="3"/>
      <c r="E1001" s="3" t="e">
        <f>VLOOKUP(D1001,VIAJES!$D:$E,2,FALSE)</f>
        <v>#N/A</v>
      </c>
      <c r="F1001" s="9" t="e">
        <f>VLOOKUP(D1001,VIAJES!$D:$F,3,FALSE)</f>
        <v>#N/A</v>
      </c>
      <c r="G1001" s="9" t="e">
        <f>VLOOKUP(D1001,VIAJES!$D:$G,4,FALSE)</f>
        <v>#N/A</v>
      </c>
      <c r="H1001" s="3" t="e">
        <f>VLOOKUP(D1001,VIAJES!$D:$H,5,FALSE)</f>
        <v>#N/A</v>
      </c>
      <c r="S1001" s="3">
        <f>IFERROR(INDEX(EVENTOS!$D:$D,MATCH(SCORE!S$2&amp;" "&amp;SCORE!$D1001,EVENTOS!$F:$F,0)),0)</f>
        <v>0</v>
      </c>
      <c r="T1001" s="3">
        <f>IFERROR(INDEX(EVENTOS!$D:$D,MATCH(SCORE!T$2&amp;" "&amp;SCORE!$D1001,EVENTOS!$F:$F,0)),0)</f>
        <v>0</v>
      </c>
      <c r="U1001" s="3">
        <f>IFERROR(INDEX(EVENTOS!$D:$D,MATCH(SCORE!U$2&amp;" "&amp;SCORE!$D1001,EVENTOS!$F:$F,0)),0)</f>
        <v>0</v>
      </c>
      <c r="V1001" s="3">
        <f>IFERROR(INDEX(EVENTOS!$D:$D,MATCH(SCORE!V$2&amp;" "&amp;SCORE!$D1001,EVENTOS!$F:$F,0)),0)</f>
        <v>0</v>
      </c>
      <c r="W1001" s="3">
        <f>IFERROR(INDEX(EVENTOS!$D:$D,MATCH(SCORE!W$2&amp;" "&amp;SCORE!$D1001,EVENTOS!$F:$F,0)),0)</f>
        <v>0</v>
      </c>
      <c r="X1001" s="3">
        <f>IFERROR(INDEX(EVENTOS!$D:$D,MATCH(SCORE!X$2&amp;" "&amp;SCORE!$D1001,EVENTOS!$F:$F,0)),0)</f>
        <v>0</v>
      </c>
      <c r="Y1001" s="3">
        <f>SUMIFS(EVENTOS!$D:$D, EVENTOS!$B:$B, D1001, EVENTOS!$E:$E, "*GirAlto*")</f>
        <v>0</v>
      </c>
      <c r="Z1001" s="3">
        <f>SUMIFS(EVENTOS!$D:$D, EVENTOS!$B:$B, D1001, EVENTOS!$E:$E, "*GirMed*")</f>
        <v>0</v>
      </c>
      <c r="AA1001" s="3">
        <f>SUMIFS(EVENTOS!$D:$D, EVENTOS!$B:$B, D1001, EVENTOS!$E:$E, "*GirBajo*")</f>
        <v>0</v>
      </c>
      <c r="AB1001" s="3">
        <f>IFERROR(INDEX(EVENTOS!$D:$D,MATCH(SCORE!AB$2&amp;" "&amp;SCORE!$D1001,EVENTOS!$F:$F,0)),0)</f>
        <v>0</v>
      </c>
      <c r="AC1001" s="3">
        <f>IFERROR(INDEX(EVENTOS!$D:$D,MATCH(SCORE!AC$2&amp;" "&amp;SCORE!$D1001,EVENTOS!$F:$F,0)),0)</f>
        <v>0</v>
      </c>
      <c r="AD1001" s="3">
        <f>IFERROR(INDEX(EVENTOS!$D:$D,MATCH(SCORE!AD$2&amp;" "&amp;SCORE!$D1001,EVENTOS!$F:$F,0)),0)</f>
        <v>0</v>
      </c>
      <c r="AE1001" s="3">
        <f t="shared" si="45"/>
        <v>0</v>
      </c>
      <c r="AF1001" s="10" t="e">
        <f t="shared" si="46"/>
        <v>#N/A</v>
      </c>
      <c r="AG1001" s="3" t="str">
        <f t="shared" si="47"/>
        <v/>
      </c>
    </row>
    <row r="1002" spans="1:33" x14ac:dyDescent="0.25">
      <c r="A1002" s="7"/>
      <c r="B1002" s="8"/>
      <c r="C1002" s="3"/>
      <c r="D1002" s="3"/>
      <c r="E1002" s="3" t="e">
        <f>VLOOKUP(D1002,VIAJES!$D:$E,2,FALSE)</f>
        <v>#N/A</v>
      </c>
      <c r="F1002" s="9" t="e">
        <f>VLOOKUP(D1002,VIAJES!$D:$F,3,FALSE)</f>
        <v>#N/A</v>
      </c>
      <c r="G1002" s="9" t="e">
        <f>VLOOKUP(D1002,VIAJES!$D:$G,4,FALSE)</f>
        <v>#N/A</v>
      </c>
      <c r="H1002" s="3" t="e">
        <f>VLOOKUP(D1002,VIAJES!$D:$H,5,FALSE)</f>
        <v>#N/A</v>
      </c>
      <c r="S1002" s="3">
        <f>IFERROR(INDEX(EVENTOS!$D:$D,MATCH(SCORE!S$2&amp;" "&amp;SCORE!$D1002,EVENTOS!$F:$F,0)),0)</f>
        <v>0</v>
      </c>
      <c r="T1002" s="3">
        <f>IFERROR(INDEX(EVENTOS!$D:$D,MATCH(SCORE!T$2&amp;" "&amp;SCORE!$D1002,EVENTOS!$F:$F,0)),0)</f>
        <v>0</v>
      </c>
      <c r="U1002" s="3">
        <f>IFERROR(INDEX(EVENTOS!$D:$D,MATCH(SCORE!U$2&amp;" "&amp;SCORE!$D1002,EVENTOS!$F:$F,0)),0)</f>
        <v>0</v>
      </c>
      <c r="V1002" s="3">
        <f>IFERROR(INDEX(EVENTOS!$D:$D,MATCH(SCORE!V$2&amp;" "&amp;SCORE!$D1002,EVENTOS!$F:$F,0)),0)</f>
        <v>0</v>
      </c>
      <c r="W1002" s="3">
        <f>IFERROR(INDEX(EVENTOS!$D:$D,MATCH(SCORE!W$2&amp;" "&amp;SCORE!$D1002,EVENTOS!$F:$F,0)),0)</f>
        <v>0</v>
      </c>
      <c r="X1002" s="3">
        <f>IFERROR(INDEX(EVENTOS!$D:$D,MATCH(SCORE!X$2&amp;" "&amp;SCORE!$D1002,EVENTOS!$F:$F,0)),0)</f>
        <v>0</v>
      </c>
      <c r="Y1002" s="3">
        <f>SUMIFS(EVENTOS!$D:$D, EVENTOS!$B:$B, D1002, EVENTOS!$E:$E, "*GirAlto*")</f>
        <v>0</v>
      </c>
      <c r="Z1002" s="3">
        <f>SUMIFS(EVENTOS!$D:$D, EVENTOS!$B:$B, D1002, EVENTOS!$E:$E, "*GirMed*")</f>
        <v>0</v>
      </c>
      <c r="AA1002" s="3">
        <f>SUMIFS(EVENTOS!$D:$D, EVENTOS!$B:$B, D1002, EVENTOS!$E:$E, "*GirBajo*")</f>
        <v>0</v>
      </c>
      <c r="AB1002" s="3">
        <f>IFERROR(INDEX(EVENTOS!$D:$D,MATCH(SCORE!AB$2&amp;" "&amp;SCORE!$D1002,EVENTOS!$F:$F,0)),0)</f>
        <v>0</v>
      </c>
      <c r="AC1002" s="3">
        <f>IFERROR(INDEX(EVENTOS!$D:$D,MATCH(SCORE!AC$2&amp;" "&amp;SCORE!$D1002,EVENTOS!$F:$F,0)),0)</f>
        <v>0</v>
      </c>
      <c r="AD1002" s="3">
        <f>IFERROR(INDEX(EVENTOS!$D:$D,MATCH(SCORE!AD$2&amp;" "&amp;SCORE!$D1002,EVENTOS!$F:$F,0)),0)</f>
        <v>0</v>
      </c>
      <c r="AE1002" s="3">
        <f t="shared" si="45"/>
        <v>0</v>
      </c>
      <c r="AF1002" s="10" t="e">
        <f t="shared" si="46"/>
        <v>#N/A</v>
      </c>
      <c r="AG1002" s="3" t="str">
        <f t="shared" si="47"/>
        <v/>
      </c>
    </row>
    <row r="1003" spans="1:33" x14ac:dyDescent="0.25">
      <c r="A1003" s="7"/>
      <c r="B1003" s="8"/>
      <c r="C1003" s="3"/>
      <c r="D1003" s="3"/>
      <c r="E1003" s="3" t="e">
        <f>VLOOKUP(D1003,VIAJES!$D:$E,2,FALSE)</f>
        <v>#N/A</v>
      </c>
      <c r="F1003" s="9" t="e">
        <f>VLOOKUP(D1003,VIAJES!$D:$F,3,FALSE)</f>
        <v>#N/A</v>
      </c>
      <c r="G1003" s="9" t="e">
        <f>VLOOKUP(D1003,VIAJES!$D:$G,4,FALSE)</f>
        <v>#N/A</v>
      </c>
      <c r="H1003" s="3" t="e">
        <f>VLOOKUP(D1003,VIAJES!$D:$H,5,FALSE)</f>
        <v>#N/A</v>
      </c>
      <c r="S1003" s="3">
        <f>IFERROR(INDEX(EVENTOS!$D:$D,MATCH(SCORE!S$2&amp;" "&amp;SCORE!$D1003,EVENTOS!$F:$F,0)),0)</f>
        <v>0</v>
      </c>
      <c r="T1003" s="3">
        <f>IFERROR(INDEX(EVENTOS!$D:$D,MATCH(SCORE!T$2&amp;" "&amp;SCORE!$D1003,EVENTOS!$F:$F,0)),0)</f>
        <v>0</v>
      </c>
      <c r="U1003" s="3">
        <f>IFERROR(INDEX(EVENTOS!$D:$D,MATCH(SCORE!U$2&amp;" "&amp;SCORE!$D1003,EVENTOS!$F:$F,0)),0)</f>
        <v>0</v>
      </c>
      <c r="V1003" s="3">
        <f>IFERROR(INDEX(EVENTOS!$D:$D,MATCH(SCORE!V$2&amp;" "&amp;SCORE!$D1003,EVENTOS!$F:$F,0)),0)</f>
        <v>0</v>
      </c>
      <c r="W1003" s="3">
        <f>IFERROR(INDEX(EVENTOS!$D:$D,MATCH(SCORE!W$2&amp;" "&amp;SCORE!$D1003,EVENTOS!$F:$F,0)),0)</f>
        <v>0</v>
      </c>
      <c r="X1003" s="3">
        <f>IFERROR(INDEX(EVENTOS!$D:$D,MATCH(SCORE!X$2&amp;" "&amp;SCORE!$D1003,EVENTOS!$F:$F,0)),0)</f>
        <v>0</v>
      </c>
      <c r="Y1003" s="3">
        <f>SUMIFS(EVENTOS!$D:$D, EVENTOS!$B:$B, D1003, EVENTOS!$E:$E, "*GirAlto*")</f>
        <v>0</v>
      </c>
      <c r="Z1003" s="3">
        <f>SUMIFS(EVENTOS!$D:$D, EVENTOS!$B:$B, D1003, EVENTOS!$E:$E, "*GirMed*")</f>
        <v>0</v>
      </c>
      <c r="AA1003" s="3">
        <f>SUMIFS(EVENTOS!$D:$D, EVENTOS!$B:$B, D1003, EVENTOS!$E:$E, "*GirBajo*")</f>
        <v>0</v>
      </c>
      <c r="AB1003" s="3">
        <f>IFERROR(INDEX(EVENTOS!$D:$D,MATCH(SCORE!AB$2&amp;" "&amp;SCORE!$D1003,EVENTOS!$F:$F,0)),0)</f>
        <v>0</v>
      </c>
      <c r="AC1003" s="3">
        <f>IFERROR(INDEX(EVENTOS!$D:$D,MATCH(SCORE!AC$2&amp;" "&amp;SCORE!$D1003,EVENTOS!$F:$F,0)),0)</f>
        <v>0</v>
      </c>
      <c r="AD1003" s="3">
        <f>IFERROR(INDEX(EVENTOS!$D:$D,MATCH(SCORE!AD$2&amp;" "&amp;SCORE!$D1003,EVENTOS!$F:$F,0)),0)</f>
        <v>0</v>
      </c>
      <c r="AE1003" s="3">
        <f t="shared" si="45"/>
        <v>0</v>
      </c>
      <c r="AF1003" s="10" t="e">
        <f t="shared" si="46"/>
        <v>#N/A</v>
      </c>
      <c r="AG1003" s="3" t="str">
        <f t="shared" si="47"/>
        <v/>
      </c>
    </row>
    <row r="1004" spans="1:33" x14ac:dyDescent="0.25">
      <c r="A1004" s="7"/>
      <c r="B1004" s="8"/>
      <c r="C1004" s="3"/>
      <c r="D1004" s="3"/>
      <c r="E1004" s="3" t="e">
        <f>VLOOKUP(D1004,VIAJES!$D:$E,2,FALSE)</f>
        <v>#N/A</v>
      </c>
      <c r="F1004" s="9" t="e">
        <f>VLOOKUP(D1004,VIAJES!$D:$F,3,FALSE)</f>
        <v>#N/A</v>
      </c>
      <c r="G1004" s="9" t="e">
        <f>VLOOKUP(D1004,VIAJES!$D:$G,4,FALSE)</f>
        <v>#N/A</v>
      </c>
      <c r="H1004" s="3" t="e">
        <f>VLOOKUP(D1004,VIAJES!$D:$H,5,FALSE)</f>
        <v>#N/A</v>
      </c>
      <c r="S1004" s="3">
        <f>IFERROR(INDEX(EVENTOS!$D:$D,MATCH(SCORE!S$2&amp;" "&amp;SCORE!$D1004,EVENTOS!$F:$F,0)),0)</f>
        <v>0</v>
      </c>
      <c r="T1004" s="3">
        <f>IFERROR(INDEX(EVENTOS!$D:$D,MATCH(SCORE!T$2&amp;" "&amp;SCORE!$D1004,EVENTOS!$F:$F,0)),0)</f>
        <v>0</v>
      </c>
      <c r="U1004" s="3">
        <f>IFERROR(INDEX(EVENTOS!$D:$D,MATCH(SCORE!U$2&amp;" "&amp;SCORE!$D1004,EVENTOS!$F:$F,0)),0)</f>
        <v>0</v>
      </c>
      <c r="V1004" s="3">
        <f>IFERROR(INDEX(EVENTOS!$D:$D,MATCH(SCORE!V$2&amp;" "&amp;SCORE!$D1004,EVENTOS!$F:$F,0)),0)</f>
        <v>0</v>
      </c>
      <c r="W1004" s="3">
        <f>IFERROR(INDEX(EVENTOS!$D:$D,MATCH(SCORE!W$2&amp;" "&amp;SCORE!$D1004,EVENTOS!$F:$F,0)),0)</f>
        <v>0</v>
      </c>
      <c r="X1004" s="3">
        <f>IFERROR(INDEX(EVENTOS!$D:$D,MATCH(SCORE!X$2&amp;" "&amp;SCORE!$D1004,EVENTOS!$F:$F,0)),0)</f>
        <v>0</v>
      </c>
      <c r="Y1004" s="3">
        <f>SUMIFS(EVENTOS!$D:$D, EVENTOS!$B:$B, D1004, EVENTOS!$E:$E, "*GirAlto*")</f>
        <v>0</v>
      </c>
      <c r="Z1004" s="3">
        <f>SUMIFS(EVENTOS!$D:$D, EVENTOS!$B:$B, D1004, EVENTOS!$E:$E, "*GirMed*")</f>
        <v>0</v>
      </c>
      <c r="AA1004" s="3">
        <f>SUMIFS(EVENTOS!$D:$D, EVENTOS!$B:$B, D1004, EVENTOS!$E:$E, "*GirBajo*")</f>
        <v>0</v>
      </c>
      <c r="AB1004" s="3">
        <f>IFERROR(INDEX(EVENTOS!$D:$D,MATCH(SCORE!AB$2&amp;" "&amp;SCORE!$D1004,EVENTOS!$F:$F,0)),0)</f>
        <v>0</v>
      </c>
      <c r="AC1004" s="3">
        <f>IFERROR(INDEX(EVENTOS!$D:$D,MATCH(SCORE!AC$2&amp;" "&amp;SCORE!$D1004,EVENTOS!$F:$F,0)),0)</f>
        <v>0</v>
      </c>
      <c r="AD1004" s="3">
        <f>IFERROR(INDEX(EVENTOS!$D:$D,MATCH(SCORE!AD$2&amp;" "&amp;SCORE!$D1004,EVENTOS!$F:$F,0)),0)</f>
        <v>0</v>
      </c>
      <c r="AE1004" s="3">
        <f t="shared" si="45"/>
        <v>0</v>
      </c>
      <c r="AF1004" s="10" t="e">
        <f t="shared" si="46"/>
        <v>#N/A</v>
      </c>
      <c r="AG1004" s="3" t="str">
        <f t="shared" si="47"/>
        <v/>
      </c>
    </row>
    <row r="1005" spans="1:33" x14ac:dyDescent="0.25">
      <c r="A1005" s="7"/>
      <c r="B1005" s="8"/>
      <c r="C1005" s="3"/>
      <c r="D1005" s="3"/>
      <c r="E1005" s="3" t="e">
        <f>VLOOKUP(D1005,VIAJES!$D:$E,2,FALSE)</f>
        <v>#N/A</v>
      </c>
      <c r="F1005" s="9" t="e">
        <f>VLOOKUP(D1005,VIAJES!$D:$F,3,FALSE)</f>
        <v>#N/A</v>
      </c>
      <c r="G1005" s="9" t="e">
        <f>VLOOKUP(D1005,VIAJES!$D:$G,4,FALSE)</f>
        <v>#N/A</v>
      </c>
      <c r="H1005" s="3" t="e">
        <f>VLOOKUP(D1005,VIAJES!$D:$H,5,FALSE)</f>
        <v>#N/A</v>
      </c>
      <c r="S1005" s="3">
        <f>IFERROR(INDEX(EVENTOS!$D:$D,MATCH(SCORE!S$2&amp;" "&amp;SCORE!$D1005,EVENTOS!$F:$F,0)),0)</f>
        <v>0</v>
      </c>
      <c r="T1005" s="3">
        <f>IFERROR(INDEX(EVENTOS!$D:$D,MATCH(SCORE!T$2&amp;" "&amp;SCORE!$D1005,EVENTOS!$F:$F,0)),0)</f>
        <v>0</v>
      </c>
      <c r="U1005" s="3">
        <f>IFERROR(INDEX(EVENTOS!$D:$D,MATCH(SCORE!U$2&amp;" "&amp;SCORE!$D1005,EVENTOS!$F:$F,0)),0)</f>
        <v>0</v>
      </c>
      <c r="V1005" s="3">
        <f>IFERROR(INDEX(EVENTOS!$D:$D,MATCH(SCORE!V$2&amp;" "&amp;SCORE!$D1005,EVENTOS!$F:$F,0)),0)</f>
        <v>0</v>
      </c>
      <c r="W1005" s="3">
        <f>IFERROR(INDEX(EVENTOS!$D:$D,MATCH(SCORE!W$2&amp;" "&amp;SCORE!$D1005,EVENTOS!$F:$F,0)),0)</f>
        <v>0</v>
      </c>
      <c r="X1005" s="3">
        <f>IFERROR(INDEX(EVENTOS!$D:$D,MATCH(SCORE!X$2&amp;" "&amp;SCORE!$D1005,EVENTOS!$F:$F,0)),0)</f>
        <v>0</v>
      </c>
      <c r="Y1005" s="3">
        <f>SUMIFS(EVENTOS!$D:$D, EVENTOS!$B:$B, D1005, EVENTOS!$E:$E, "*GirAlto*")</f>
        <v>0</v>
      </c>
      <c r="Z1005" s="3">
        <f>SUMIFS(EVENTOS!$D:$D, EVENTOS!$B:$B, D1005, EVENTOS!$E:$E, "*GirMed*")</f>
        <v>0</v>
      </c>
      <c r="AA1005" s="3">
        <f>SUMIFS(EVENTOS!$D:$D, EVENTOS!$B:$B, D1005, EVENTOS!$E:$E, "*GirBajo*")</f>
        <v>0</v>
      </c>
      <c r="AB1005" s="3">
        <f>IFERROR(INDEX(EVENTOS!$D:$D,MATCH(SCORE!AB$2&amp;" "&amp;SCORE!$D1005,EVENTOS!$F:$F,0)),0)</f>
        <v>0</v>
      </c>
      <c r="AC1005" s="3">
        <f>IFERROR(INDEX(EVENTOS!$D:$D,MATCH(SCORE!AC$2&amp;" "&amp;SCORE!$D1005,EVENTOS!$F:$F,0)),0)</f>
        <v>0</v>
      </c>
      <c r="AD1005" s="3">
        <f>IFERROR(INDEX(EVENTOS!$D:$D,MATCH(SCORE!AD$2&amp;" "&amp;SCORE!$D1005,EVENTOS!$F:$F,0)),0)</f>
        <v>0</v>
      </c>
      <c r="AE1005" s="3">
        <f t="shared" si="45"/>
        <v>0</v>
      </c>
      <c r="AF1005" s="10" t="e">
        <f t="shared" si="46"/>
        <v>#N/A</v>
      </c>
      <c r="AG1005" s="3" t="str">
        <f t="shared" si="47"/>
        <v/>
      </c>
    </row>
    <row r="1006" spans="1:33" x14ac:dyDescent="0.25">
      <c r="A1006" s="7"/>
      <c r="B1006" s="8"/>
      <c r="C1006" s="3"/>
      <c r="D1006" s="3"/>
      <c r="E1006" s="3" t="e">
        <f>VLOOKUP(D1006,VIAJES!$D:$E,2,FALSE)</f>
        <v>#N/A</v>
      </c>
      <c r="F1006" s="9" t="e">
        <f>VLOOKUP(D1006,VIAJES!$D:$F,3,FALSE)</f>
        <v>#N/A</v>
      </c>
      <c r="G1006" s="9" t="e">
        <f>VLOOKUP(D1006,VIAJES!$D:$G,4,FALSE)</f>
        <v>#N/A</v>
      </c>
      <c r="H1006" s="3" t="e">
        <f>VLOOKUP(D1006,VIAJES!$D:$H,5,FALSE)</f>
        <v>#N/A</v>
      </c>
      <c r="S1006" s="3">
        <f>IFERROR(INDEX(EVENTOS!$D:$D,MATCH(SCORE!S$2&amp;" "&amp;SCORE!$D1006,EVENTOS!$F:$F,0)),0)</f>
        <v>0</v>
      </c>
      <c r="T1006" s="3">
        <f>IFERROR(INDEX(EVENTOS!$D:$D,MATCH(SCORE!T$2&amp;" "&amp;SCORE!$D1006,EVENTOS!$F:$F,0)),0)</f>
        <v>0</v>
      </c>
      <c r="U1006" s="3">
        <f>IFERROR(INDEX(EVENTOS!$D:$D,MATCH(SCORE!U$2&amp;" "&amp;SCORE!$D1006,EVENTOS!$F:$F,0)),0)</f>
        <v>0</v>
      </c>
      <c r="V1006" s="3">
        <f>IFERROR(INDEX(EVENTOS!$D:$D,MATCH(SCORE!V$2&amp;" "&amp;SCORE!$D1006,EVENTOS!$F:$F,0)),0)</f>
        <v>0</v>
      </c>
      <c r="W1006" s="3">
        <f>IFERROR(INDEX(EVENTOS!$D:$D,MATCH(SCORE!W$2&amp;" "&amp;SCORE!$D1006,EVENTOS!$F:$F,0)),0)</f>
        <v>0</v>
      </c>
      <c r="X1006" s="3">
        <f>IFERROR(INDEX(EVENTOS!$D:$D,MATCH(SCORE!X$2&amp;" "&amp;SCORE!$D1006,EVENTOS!$F:$F,0)),0)</f>
        <v>0</v>
      </c>
      <c r="Y1006" s="3">
        <f>SUMIFS(EVENTOS!$D:$D, EVENTOS!$B:$B, D1006, EVENTOS!$E:$E, "*GirAlto*")</f>
        <v>0</v>
      </c>
      <c r="Z1006" s="3">
        <f>SUMIFS(EVENTOS!$D:$D, EVENTOS!$B:$B, D1006, EVENTOS!$E:$E, "*GirMed*")</f>
        <v>0</v>
      </c>
      <c r="AA1006" s="3">
        <f>SUMIFS(EVENTOS!$D:$D, EVENTOS!$B:$B, D1006, EVENTOS!$E:$E, "*GirBajo*")</f>
        <v>0</v>
      </c>
      <c r="AB1006" s="3">
        <f>IFERROR(INDEX(EVENTOS!$D:$D,MATCH(SCORE!AB$2&amp;" "&amp;SCORE!$D1006,EVENTOS!$F:$F,0)),0)</f>
        <v>0</v>
      </c>
      <c r="AC1006" s="3">
        <f>IFERROR(INDEX(EVENTOS!$D:$D,MATCH(SCORE!AC$2&amp;" "&amp;SCORE!$D1006,EVENTOS!$F:$F,0)),0)</f>
        <v>0</v>
      </c>
      <c r="AD1006" s="3">
        <f>IFERROR(INDEX(EVENTOS!$D:$D,MATCH(SCORE!AD$2&amp;" "&amp;SCORE!$D1006,EVENTOS!$F:$F,0)),0)</f>
        <v>0</v>
      </c>
      <c r="AE1006" s="3">
        <f t="shared" si="45"/>
        <v>0</v>
      </c>
      <c r="AF1006" s="10" t="e">
        <f t="shared" si="46"/>
        <v>#N/A</v>
      </c>
      <c r="AG1006" s="3" t="str">
        <f t="shared" si="47"/>
        <v/>
      </c>
    </row>
    <row r="1007" spans="1:33" x14ac:dyDescent="0.25">
      <c r="A1007" s="7"/>
      <c r="B1007" s="8"/>
      <c r="C1007" s="3"/>
      <c r="D1007" s="3"/>
      <c r="E1007" s="3" t="e">
        <f>VLOOKUP(D1007,VIAJES!$D:$E,2,FALSE)</f>
        <v>#N/A</v>
      </c>
      <c r="F1007" s="9" t="e">
        <f>VLOOKUP(D1007,VIAJES!$D:$F,3,FALSE)</f>
        <v>#N/A</v>
      </c>
      <c r="G1007" s="9" t="e">
        <f>VLOOKUP(D1007,VIAJES!$D:$G,4,FALSE)</f>
        <v>#N/A</v>
      </c>
      <c r="H1007" s="3" t="e">
        <f>VLOOKUP(D1007,VIAJES!$D:$H,5,FALSE)</f>
        <v>#N/A</v>
      </c>
      <c r="S1007" s="3">
        <f>IFERROR(INDEX(EVENTOS!$D:$D,MATCH(SCORE!S$2&amp;" "&amp;SCORE!$D1007,EVENTOS!$F:$F,0)),0)</f>
        <v>0</v>
      </c>
      <c r="T1007" s="3">
        <f>IFERROR(INDEX(EVENTOS!$D:$D,MATCH(SCORE!T$2&amp;" "&amp;SCORE!$D1007,EVENTOS!$F:$F,0)),0)</f>
        <v>0</v>
      </c>
      <c r="U1007" s="3">
        <f>IFERROR(INDEX(EVENTOS!$D:$D,MATCH(SCORE!U$2&amp;" "&amp;SCORE!$D1007,EVENTOS!$F:$F,0)),0)</f>
        <v>0</v>
      </c>
      <c r="V1007" s="3">
        <f>IFERROR(INDEX(EVENTOS!$D:$D,MATCH(SCORE!V$2&amp;" "&amp;SCORE!$D1007,EVENTOS!$F:$F,0)),0)</f>
        <v>0</v>
      </c>
      <c r="W1007" s="3">
        <f>IFERROR(INDEX(EVENTOS!$D:$D,MATCH(SCORE!W$2&amp;" "&amp;SCORE!$D1007,EVENTOS!$F:$F,0)),0)</f>
        <v>0</v>
      </c>
      <c r="X1007" s="3">
        <f>IFERROR(INDEX(EVENTOS!$D:$D,MATCH(SCORE!X$2&amp;" "&amp;SCORE!$D1007,EVENTOS!$F:$F,0)),0)</f>
        <v>0</v>
      </c>
      <c r="Y1007" s="3">
        <f>SUMIFS(EVENTOS!$D:$D, EVENTOS!$B:$B, D1007, EVENTOS!$E:$E, "*GirAlto*")</f>
        <v>0</v>
      </c>
      <c r="Z1007" s="3">
        <f>SUMIFS(EVENTOS!$D:$D, EVENTOS!$B:$B, D1007, EVENTOS!$E:$E, "*GirMed*")</f>
        <v>0</v>
      </c>
      <c r="AA1007" s="3">
        <f>SUMIFS(EVENTOS!$D:$D, EVENTOS!$B:$B, D1007, EVENTOS!$E:$E, "*GirBajo*")</f>
        <v>0</v>
      </c>
      <c r="AB1007" s="3">
        <f>IFERROR(INDEX(EVENTOS!$D:$D,MATCH(SCORE!AB$2&amp;" "&amp;SCORE!$D1007,EVENTOS!$F:$F,0)),0)</f>
        <v>0</v>
      </c>
      <c r="AC1007" s="3">
        <f>IFERROR(INDEX(EVENTOS!$D:$D,MATCH(SCORE!AC$2&amp;" "&amp;SCORE!$D1007,EVENTOS!$F:$F,0)),0)</f>
        <v>0</v>
      </c>
      <c r="AD1007" s="3">
        <f>IFERROR(INDEX(EVENTOS!$D:$D,MATCH(SCORE!AD$2&amp;" "&amp;SCORE!$D1007,EVENTOS!$F:$F,0)),0)</f>
        <v>0</v>
      </c>
      <c r="AE1007" s="3">
        <f t="shared" si="45"/>
        <v>0</v>
      </c>
      <c r="AF1007" s="10" t="e">
        <f t="shared" si="46"/>
        <v>#N/A</v>
      </c>
      <c r="AG1007" s="3" t="str">
        <f t="shared" si="47"/>
        <v/>
      </c>
    </row>
    <row r="1008" spans="1:33" x14ac:dyDescent="0.25">
      <c r="A1008" s="7"/>
      <c r="B1008" s="8"/>
      <c r="C1008" s="3"/>
      <c r="D1008" s="3"/>
      <c r="E1008" s="3" t="e">
        <f>VLOOKUP(D1008,VIAJES!$D:$E,2,FALSE)</f>
        <v>#N/A</v>
      </c>
      <c r="F1008" s="9" t="e">
        <f>VLOOKUP(D1008,VIAJES!$D:$F,3,FALSE)</f>
        <v>#N/A</v>
      </c>
      <c r="G1008" s="9" t="e">
        <f>VLOOKUP(D1008,VIAJES!$D:$G,4,FALSE)</f>
        <v>#N/A</v>
      </c>
      <c r="H1008" s="3" t="e">
        <f>VLOOKUP(D1008,VIAJES!$D:$H,5,FALSE)</f>
        <v>#N/A</v>
      </c>
      <c r="S1008" s="3">
        <f>IFERROR(INDEX(EVENTOS!$D:$D,MATCH(SCORE!S$2&amp;" "&amp;SCORE!$D1008,EVENTOS!$F:$F,0)),0)</f>
        <v>0</v>
      </c>
      <c r="T1008" s="3">
        <f>IFERROR(INDEX(EVENTOS!$D:$D,MATCH(SCORE!T$2&amp;" "&amp;SCORE!$D1008,EVENTOS!$F:$F,0)),0)</f>
        <v>0</v>
      </c>
      <c r="U1008" s="3">
        <f>IFERROR(INDEX(EVENTOS!$D:$D,MATCH(SCORE!U$2&amp;" "&amp;SCORE!$D1008,EVENTOS!$F:$F,0)),0)</f>
        <v>0</v>
      </c>
      <c r="V1008" s="3">
        <f>IFERROR(INDEX(EVENTOS!$D:$D,MATCH(SCORE!V$2&amp;" "&amp;SCORE!$D1008,EVENTOS!$F:$F,0)),0)</f>
        <v>0</v>
      </c>
      <c r="W1008" s="3">
        <f>IFERROR(INDEX(EVENTOS!$D:$D,MATCH(SCORE!W$2&amp;" "&amp;SCORE!$D1008,EVENTOS!$F:$F,0)),0)</f>
        <v>0</v>
      </c>
      <c r="X1008" s="3">
        <f>IFERROR(INDEX(EVENTOS!$D:$D,MATCH(SCORE!X$2&amp;" "&amp;SCORE!$D1008,EVENTOS!$F:$F,0)),0)</f>
        <v>0</v>
      </c>
      <c r="Y1008" s="3">
        <f>SUMIFS(EVENTOS!$D:$D, EVENTOS!$B:$B, D1008, EVENTOS!$E:$E, "*GirAlto*")</f>
        <v>0</v>
      </c>
      <c r="Z1008" s="3">
        <f>SUMIFS(EVENTOS!$D:$D, EVENTOS!$B:$B, D1008, EVENTOS!$E:$E, "*GirMed*")</f>
        <v>0</v>
      </c>
      <c r="AA1008" s="3">
        <f>SUMIFS(EVENTOS!$D:$D, EVENTOS!$B:$B, D1008, EVENTOS!$E:$E, "*GirBajo*")</f>
        <v>0</v>
      </c>
      <c r="AB1008" s="3">
        <f>IFERROR(INDEX(EVENTOS!$D:$D,MATCH(SCORE!AB$2&amp;" "&amp;SCORE!$D1008,EVENTOS!$F:$F,0)),0)</f>
        <v>0</v>
      </c>
      <c r="AC1008" s="3">
        <f>IFERROR(INDEX(EVENTOS!$D:$D,MATCH(SCORE!AC$2&amp;" "&amp;SCORE!$D1008,EVENTOS!$F:$F,0)),0)</f>
        <v>0</v>
      </c>
      <c r="AD1008" s="3">
        <f>IFERROR(INDEX(EVENTOS!$D:$D,MATCH(SCORE!AD$2&amp;" "&amp;SCORE!$D1008,EVENTOS!$F:$F,0)),0)</f>
        <v>0</v>
      </c>
      <c r="AE1008" s="3">
        <f t="shared" si="45"/>
        <v>0</v>
      </c>
      <c r="AF1008" s="10" t="e">
        <f t="shared" si="46"/>
        <v>#N/A</v>
      </c>
      <c r="AG1008" s="3" t="str">
        <f t="shared" si="47"/>
        <v/>
      </c>
    </row>
    <row r="1009" spans="1:33" x14ac:dyDescent="0.25">
      <c r="A1009" s="7"/>
      <c r="B1009" s="8"/>
      <c r="C1009" s="3"/>
      <c r="D1009" s="3"/>
      <c r="E1009" s="3" t="e">
        <f>VLOOKUP(D1009,VIAJES!$D:$E,2,FALSE)</f>
        <v>#N/A</v>
      </c>
      <c r="F1009" s="9" t="e">
        <f>VLOOKUP(D1009,VIAJES!$D:$F,3,FALSE)</f>
        <v>#N/A</v>
      </c>
      <c r="G1009" s="9" t="e">
        <f>VLOOKUP(D1009,VIAJES!$D:$G,4,FALSE)</f>
        <v>#N/A</v>
      </c>
      <c r="H1009" s="3" t="e">
        <f>VLOOKUP(D1009,VIAJES!$D:$H,5,FALSE)</f>
        <v>#N/A</v>
      </c>
      <c r="S1009" s="3">
        <f>IFERROR(INDEX(EVENTOS!$D:$D,MATCH(SCORE!S$2&amp;" "&amp;SCORE!$D1009,EVENTOS!$F:$F,0)),0)</f>
        <v>0</v>
      </c>
      <c r="T1009" s="3">
        <f>IFERROR(INDEX(EVENTOS!$D:$D,MATCH(SCORE!T$2&amp;" "&amp;SCORE!$D1009,EVENTOS!$F:$F,0)),0)</f>
        <v>0</v>
      </c>
      <c r="U1009" s="3">
        <f>IFERROR(INDEX(EVENTOS!$D:$D,MATCH(SCORE!U$2&amp;" "&amp;SCORE!$D1009,EVENTOS!$F:$F,0)),0)</f>
        <v>0</v>
      </c>
      <c r="V1009" s="3">
        <f>IFERROR(INDEX(EVENTOS!$D:$D,MATCH(SCORE!V$2&amp;" "&amp;SCORE!$D1009,EVENTOS!$F:$F,0)),0)</f>
        <v>0</v>
      </c>
      <c r="W1009" s="3">
        <f>IFERROR(INDEX(EVENTOS!$D:$D,MATCH(SCORE!W$2&amp;" "&amp;SCORE!$D1009,EVENTOS!$F:$F,0)),0)</f>
        <v>0</v>
      </c>
      <c r="X1009" s="3">
        <f>IFERROR(INDEX(EVENTOS!$D:$D,MATCH(SCORE!X$2&amp;" "&amp;SCORE!$D1009,EVENTOS!$F:$F,0)),0)</f>
        <v>0</v>
      </c>
      <c r="Y1009" s="3">
        <f>SUMIFS(EVENTOS!$D:$D, EVENTOS!$B:$B, D1009, EVENTOS!$E:$E, "*GirAlto*")</f>
        <v>0</v>
      </c>
      <c r="Z1009" s="3">
        <f>SUMIFS(EVENTOS!$D:$D, EVENTOS!$B:$B, D1009, EVENTOS!$E:$E, "*GirMed*")</f>
        <v>0</v>
      </c>
      <c r="AA1009" s="3">
        <f>SUMIFS(EVENTOS!$D:$D, EVENTOS!$B:$B, D1009, EVENTOS!$E:$E, "*GirBajo*")</f>
        <v>0</v>
      </c>
      <c r="AB1009" s="3">
        <f>IFERROR(INDEX(EVENTOS!$D:$D,MATCH(SCORE!AB$2&amp;" "&amp;SCORE!$D1009,EVENTOS!$F:$F,0)),0)</f>
        <v>0</v>
      </c>
      <c r="AC1009" s="3">
        <f>IFERROR(INDEX(EVENTOS!$D:$D,MATCH(SCORE!AC$2&amp;" "&amp;SCORE!$D1009,EVENTOS!$F:$F,0)),0)</f>
        <v>0</v>
      </c>
      <c r="AD1009" s="3">
        <f>IFERROR(INDEX(EVENTOS!$D:$D,MATCH(SCORE!AD$2&amp;" "&amp;SCORE!$D1009,EVENTOS!$F:$F,0)),0)</f>
        <v>0</v>
      </c>
      <c r="AE1009" s="3">
        <f t="shared" si="45"/>
        <v>0</v>
      </c>
      <c r="AF1009" s="10" t="e">
        <f t="shared" si="46"/>
        <v>#N/A</v>
      </c>
      <c r="AG1009" s="3" t="str">
        <f t="shared" si="47"/>
        <v/>
      </c>
    </row>
    <row r="1010" spans="1:33" x14ac:dyDescent="0.25">
      <c r="A1010" s="7"/>
      <c r="B1010" s="8"/>
      <c r="C1010" s="3"/>
      <c r="D1010" s="3"/>
      <c r="E1010" s="3" t="e">
        <f>VLOOKUP(D1010,VIAJES!$D:$E,2,FALSE)</f>
        <v>#N/A</v>
      </c>
      <c r="F1010" s="9" t="e">
        <f>VLOOKUP(D1010,VIAJES!$D:$F,3,FALSE)</f>
        <v>#N/A</v>
      </c>
      <c r="G1010" s="9" t="e">
        <f>VLOOKUP(D1010,VIAJES!$D:$G,4,FALSE)</f>
        <v>#N/A</v>
      </c>
      <c r="H1010" s="3" t="e">
        <f>VLOOKUP(D1010,VIAJES!$D:$H,5,FALSE)</f>
        <v>#N/A</v>
      </c>
      <c r="S1010" s="3">
        <f>IFERROR(INDEX(EVENTOS!$D:$D,MATCH(SCORE!S$2&amp;" "&amp;SCORE!$D1010,EVENTOS!$F:$F,0)),0)</f>
        <v>0</v>
      </c>
      <c r="T1010" s="3">
        <f>IFERROR(INDEX(EVENTOS!$D:$D,MATCH(SCORE!T$2&amp;" "&amp;SCORE!$D1010,EVENTOS!$F:$F,0)),0)</f>
        <v>0</v>
      </c>
      <c r="U1010" s="3">
        <f>IFERROR(INDEX(EVENTOS!$D:$D,MATCH(SCORE!U$2&amp;" "&amp;SCORE!$D1010,EVENTOS!$F:$F,0)),0)</f>
        <v>0</v>
      </c>
      <c r="V1010" s="3">
        <f>IFERROR(INDEX(EVENTOS!$D:$D,MATCH(SCORE!V$2&amp;" "&amp;SCORE!$D1010,EVENTOS!$F:$F,0)),0)</f>
        <v>0</v>
      </c>
      <c r="W1010" s="3">
        <f>IFERROR(INDEX(EVENTOS!$D:$D,MATCH(SCORE!W$2&amp;" "&amp;SCORE!$D1010,EVENTOS!$F:$F,0)),0)</f>
        <v>0</v>
      </c>
      <c r="X1010" s="3">
        <f>IFERROR(INDEX(EVENTOS!$D:$D,MATCH(SCORE!X$2&amp;" "&amp;SCORE!$D1010,EVENTOS!$F:$F,0)),0)</f>
        <v>0</v>
      </c>
      <c r="Y1010" s="3">
        <f>SUMIFS(EVENTOS!$D:$D, EVENTOS!$B:$B, D1010, EVENTOS!$E:$E, "*GirAlto*")</f>
        <v>0</v>
      </c>
      <c r="Z1010" s="3">
        <f>SUMIFS(EVENTOS!$D:$D, EVENTOS!$B:$B, D1010, EVENTOS!$E:$E, "*GirMed*")</f>
        <v>0</v>
      </c>
      <c r="AA1010" s="3">
        <f>SUMIFS(EVENTOS!$D:$D, EVENTOS!$B:$B, D1010, EVENTOS!$E:$E, "*GirBajo*")</f>
        <v>0</v>
      </c>
      <c r="AB1010" s="3">
        <f>IFERROR(INDEX(EVENTOS!$D:$D,MATCH(SCORE!AB$2&amp;" "&amp;SCORE!$D1010,EVENTOS!$F:$F,0)),0)</f>
        <v>0</v>
      </c>
      <c r="AC1010" s="3">
        <f>IFERROR(INDEX(EVENTOS!$D:$D,MATCH(SCORE!AC$2&amp;" "&amp;SCORE!$D1010,EVENTOS!$F:$F,0)),0)</f>
        <v>0</v>
      </c>
      <c r="AD1010" s="3">
        <f>IFERROR(INDEX(EVENTOS!$D:$D,MATCH(SCORE!AD$2&amp;" "&amp;SCORE!$D1010,EVENTOS!$F:$F,0)),0)</f>
        <v>0</v>
      </c>
      <c r="AE1010" s="3">
        <f t="shared" si="45"/>
        <v>0</v>
      </c>
      <c r="AF1010" s="10" t="e">
        <f t="shared" si="46"/>
        <v>#N/A</v>
      </c>
      <c r="AG1010" s="3" t="str">
        <f t="shared" si="47"/>
        <v/>
      </c>
    </row>
    <row r="1011" spans="1:33" x14ac:dyDescent="0.25">
      <c r="A1011" s="7"/>
      <c r="B1011" s="8"/>
      <c r="C1011" s="3"/>
      <c r="D1011" s="3"/>
      <c r="E1011" s="3" t="e">
        <f>VLOOKUP(D1011,VIAJES!$D:$E,2,FALSE)</f>
        <v>#N/A</v>
      </c>
      <c r="F1011" s="9" t="e">
        <f>VLOOKUP(D1011,VIAJES!$D:$F,3,FALSE)</f>
        <v>#N/A</v>
      </c>
      <c r="G1011" s="9" t="e">
        <f>VLOOKUP(D1011,VIAJES!$D:$G,4,FALSE)</f>
        <v>#N/A</v>
      </c>
      <c r="H1011" s="3" t="e">
        <f>VLOOKUP(D1011,VIAJES!$D:$H,5,FALSE)</f>
        <v>#N/A</v>
      </c>
      <c r="S1011" s="3">
        <f>IFERROR(INDEX(EVENTOS!$D:$D,MATCH(SCORE!S$2&amp;" "&amp;SCORE!$D1011,EVENTOS!$F:$F,0)),0)</f>
        <v>0</v>
      </c>
      <c r="T1011" s="3">
        <f>IFERROR(INDEX(EVENTOS!$D:$D,MATCH(SCORE!T$2&amp;" "&amp;SCORE!$D1011,EVENTOS!$F:$F,0)),0)</f>
        <v>0</v>
      </c>
      <c r="U1011" s="3">
        <f>IFERROR(INDEX(EVENTOS!$D:$D,MATCH(SCORE!U$2&amp;" "&amp;SCORE!$D1011,EVENTOS!$F:$F,0)),0)</f>
        <v>0</v>
      </c>
      <c r="V1011" s="3">
        <f>IFERROR(INDEX(EVENTOS!$D:$D,MATCH(SCORE!V$2&amp;" "&amp;SCORE!$D1011,EVENTOS!$F:$F,0)),0)</f>
        <v>0</v>
      </c>
      <c r="W1011" s="3">
        <f>IFERROR(INDEX(EVENTOS!$D:$D,MATCH(SCORE!W$2&amp;" "&amp;SCORE!$D1011,EVENTOS!$F:$F,0)),0)</f>
        <v>0</v>
      </c>
      <c r="X1011" s="3">
        <f>IFERROR(INDEX(EVENTOS!$D:$D,MATCH(SCORE!X$2&amp;" "&amp;SCORE!$D1011,EVENTOS!$F:$F,0)),0)</f>
        <v>0</v>
      </c>
      <c r="Y1011" s="3">
        <f>SUMIFS(EVENTOS!$D:$D, EVENTOS!$B:$B, D1011, EVENTOS!$E:$E, "*GirAlto*")</f>
        <v>0</v>
      </c>
      <c r="Z1011" s="3">
        <f>SUMIFS(EVENTOS!$D:$D, EVENTOS!$B:$B, D1011, EVENTOS!$E:$E, "*GirMed*")</f>
        <v>0</v>
      </c>
      <c r="AA1011" s="3">
        <f>SUMIFS(EVENTOS!$D:$D, EVENTOS!$B:$B, D1011, EVENTOS!$E:$E, "*GirBajo*")</f>
        <v>0</v>
      </c>
      <c r="AB1011" s="3">
        <f>IFERROR(INDEX(EVENTOS!$D:$D,MATCH(SCORE!AB$2&amp;" "&amp;SCORE!$D1011,EVENTOS!$F:$F,0)),0)</f>
        <v>0</v>
      </c>
      <c r="AC1011" s="3">
        <f>IFERROR(INDEX(EVENTOS!$D:$D,MATCH(SCORE!AC$2&amp;" "&amp;SCORE!$D1011,EVENTOS!$F:$F,0)),0)</f>
        <v>0</v>
      </c>
      <c r="AD1011" s="3">
        <f>IFERROR(INDEX(EVENTOS!$D:$D,MATCH(SCORE!AD$2&amp;" "&amp;SCORE!$D1011,EVENTOS!$F:$F,0)),0)</f>
        <v>0</v>
      </c>
      <c r="AE1011" s="3">
        <f t="shared" si="45"/>
        <v>0</v>
      </c>
      <c r="AF1011" s="10" t="e">
        <f t="shared" si="46"/>
        <v>#N/A</v>
      </c>
      <c r="AG1011" s="3" t="str">
        <f t="shared" si="47"/>
        <v/>
      </c>
    </row>
    <row r="1012" spans="1:33" x14ac:dyDescent="0.25">
      <c r="A1012" s="7"/>
      <c r="B1012" s="8"/>
      <c r="C1012" s="3"/>
      <c r="D1012" s="3"/>
      <c r="E1012" s="3" t="e">
        <f>VLOOKUP(D1012,VIAJES!$D:$E,2,FALSE)</f>
        <v>#N/A</v>
      </c>
      <c r="F1012" s="9" t="e">
        <f>VLOOKUP(D1012,VIAJES!$D:$F,3,FALSE)</f>
        <v>#N/A</v>
      </c>
      <c r="G1012" s="9" t="e">
        <f>VLOOKUP(D1012,VIAJES!$D:$G,4,FALSE)</f>
        <v>#N/A</v>
      </c>
      <c r="H1012" s="3" t="e">
        <f>VLOOKUP(D1012,VIAJES!$D:$H,5,FALSE)</f>
        <v>#N/A</v>
      </c>
      <c r="S1012" s="3">
        <f>IFERROR(INDEX(EVENTOS!$D:$D,MATCH(SCORE!S$2&amp;" "&amp;SCORE!$D1012,EVENTOS!$F:$F,0)),0)</f>
        <v>0</v>
      </c>
      <c r="T1012" s="3">
        <f>IFERROR(INDEX(EVENTOS!$D:$D,MATCH(SCORE!T$2&amp;" "&amp;SCORE!$D1012,EVENTOS!$F:$F,0)),0)</f>
        <v>0</v>
      </c>
      <c r="U1012" s="3">
        <f>IFERROR(INDEX(EVENTOS!$D:$D,MATCH(SCORE!U$2&amp;" "&amp;SCORE!$D1012,EVENTOS!$F:$F,0)),0)</f>
        <v>0</v>
      </c>
      <c r="V1012" s="3">
        <f>IFERROR(INDEX(EVENTOS!$D:$D,MATCH(SCORE!V$2&amp;" "&amp;SCORE!$D1012,EVENTOS!$F:$F,0)),0)</f>
        <v>0</v>
      </c>
      <c r="W1012" s="3">
        <f>IFERROR(INDEX(EVENTOS!$D:$D,MATCH(SCORE!W$2&amp;" "&amp;SCORE!$D1012,EVENTOS!$F:$F,0)),0)</f>
        <v>0</v>
      </c>
      <c r="X1012" s="3">
        <f>IFERROR(INDEX(EVENTOS!$D:$D,MATCH(SCORE!X$2&amp;" "&amp;SCORE!$D1012,EVENTOS!$F:$F,0)),0)</f>
        <v>0</v>
      </c>
      <c r="Y1012" s="3">
        <f>SUMIFS(EVENTOS!$D:$D, EVENTOS!$B:$B, D1012, EVENTOS!$E:$E, "*GirAlto*")</f>
        <v>0</v>
      </c>
      <c r="Z1012" s="3">
        <f>SUMIFS(EVENTOS!$D:$D, EVENTOS!$B:$B, D1012, EVENTOS!$E:$E, "*GirMed*")</f>
        <v>0</v>
      </c>
      <c r="AA1012" s="3">
        <f>SUMIFS(EVENTOS!$D:$D, EVENTOS!$B:$B, D1012, EVENTOS!$E:$E, "*GirBajo*")</f>
        <v>0</v>
      </c>
      <c r="AB1012" s="3">
        <f>IFERROR(INDEX(EVENTOS!$D:$D,MATCH(SCORE!AB$2&amp;" "&amp;SCORE!$D1012,EVENTOS!$F:$F,0)),0)</f>
        <v>0</v>
      </c>
      <c r="AC1012" s="3">
        <f>IFERROR(INDEX(EVENTOS!$D:$D,MATCH(SCORE!AC$2&amp;" "&amp;SCORE!$D1012,EVENTOS!$F:$F,0)),0)</f>
        <v>0</v>
      </c>
      <c r="AD1012" s="3">
        <f>IFERROR(INDEX(EVENTOS!$D:$D,MATCH(SCORE!AD$2&amp;" "&amp;SCORE!$D1012,EVENTOS!$F:$F,0)),0)</f>
        <v>0</v>
      </c>
      <c r="AE1012" s="3">
        <f t="shared" si="45"/>
        <v>0</v>
      </c>
      <c r="AF1012" s="10" t="e">
        <f t="shared" si="46"/>
        <v>#N/A</v>
      </c>
      <c r="AG1012" s="3" t="str">
        <f t="shared" si="47"/>
        <v/>
      </c>
    </row>
    <row r="1013" spans="1:33" x14ac:dyDescent="0.25">
      <c r="A1013" s="7"/>
      <c r="B1013" s="8"/>
      <c r="C1013" s="3"/>
      <c r="D1013" s="3"/>
      <c r="E1013" s="3" t="e">
        <f>VLOOKUP(D1013,VIAJES!$D:$E,2,FALSE)</f>
        <v>#N/A</v>
      </c>
      <c r="F1013" s="9" t="e">
        <f>VLOOKUP(D1013,VIAJES!$D:$F,3,FALSE)</f>
        <v>#N/A</v>
      </c>
      <c r="G1013" s="9" t="e">
        <f>VLOOKUP(D1013,VIAJES!$D:$G,4,FALSE)</f>
        <v>#N/A</v>
      </c>
      <c r="H1013" s="3" t="e">
        <f>VLOOKUP(D1013,VIAJES!$D:$H,5,FALSE)</f>
        <v>#N/A</v>
      </c>
      <c r="S1013" s="3">
        <f>IFERROR(INDEX(EVENTOS!$D:$D,MATCH(SCORE!S$2&amp;" "&amp;SCORE!$D1013,EVENTOS!$F:$F,0)),0)</f>
        <v>0</v>
      </c>
      <c r="T1013" s="3">
        <f>IFERROR(INDEX(EVENTOS!$D:$D,MATCH(SCORE!T$2&amp;" "&amp;SCORE!$D1013,EVENTOS!$F:$F,0)),0)</f>
        <v>0</v>
      </c>
      <c r="U1013" s="3">
        <f>IFERROR(INDEX(EVENTOS!$D:$D,MATCH(SCORE!U$2&amp;" "&amp;SCORE!$D1013,EVENTOS!$F:$F,0)),0)</f>
        <v>0</v>
      </c>
      <c r="V1013" s="3">
        <f>IFERROR(INDEX(EVENTOS!$D:$D,MATCH(SCORE!V$2&amp;" "&amp;SCORE!$D1013,EVENTOS!$F:$F,0)),0)</f>
        <v>0</v>
      </c>
      <c r="W1013" s="3">
        <f>IFERROR(INDEX(EVENTOS!$D:$D,MATCH(SCORE!W$2&amp;" "&amp;SCORE!$D1013,EVENTOS!$F:$F,0)),0)</f>
        <v>0</v>
      </c>
      <c r="X1013" s="3">
        <f>IFERROR(INDEX(EVENTOS!$D:$D,MATCH(SCORE!X$2&amp;" "&amp;SCORE!$D1013,EVENTOS!$F:$F,0)),0)</f>
        <v>0</v>
      </c>
      <c r="Y1013" s="3">
        <f>SUMIFS(EVENTOS!$D:$D, EVENTOS!$B:$B, D1013, EVENTOS!$E:$E, "*GirAlto*")</f>
        <v>0</v>
      </c>
      <c r="Z1013" s="3">
        <f>SUMIFS(EVENTOS!$D:$D, EVENTOS!$B:$B, D1013, EVENTOS!$E:$E, "*GirMed*")</f>
        <v>0</v>
      </c>
      <c r="AA1013" s="3">
        <f>SUMIFS(EVENTOS!$D:$D, EVENTOS!$B:$B, D1013, EVENTOS!$E:$E, "*GirBajo*")</f>
        <v>0</v>
      </c>
      <c r="AB1013" s="3">
        <f>IFERROR(INDEX(EVENTOS!$D:$D,MATCH(SCORE!AB$2&amp;" "&amp;SCORE!$D1013,EVENTOS!$F:$F,0)),0)</f>
        <v>0</v>
      </c>
      <c r="AC1013" s="3">
        <f>IFERROR(INDEX(EVENTOS!$D:$D,MATCH(SCORE!AC$2&amp;" "&amp;SCORE!$D1013,EVENTOS!$F:$F,0)),0)</f>
        <v>0</v>
      </c>
      <c r="AD1013" s="3">
        <f>IFERROR(INDEX(EVENTOS!$D:$D,MATCH(SCORE!AD$2&amp;" "&amp;SCORE!$D1013,EVENTOS!$F:$F,0)),0)</f>
        <v>0</v>
      </c>
      <c r="AE1013" s="3">
        <f t="shared" si="45"/>
        <v>0</v>
      </c>
      <c r="AF1013" s="10" t="e">
        <f t="shared" si="46"/>
        <v>#N/A</v>
      </c>
      <c r="AG1013" s="3" t="str">
        <f t="shared" si="47"/>
        <v/>
      </c>
    </row>
    <row r="1014" spans="1:33" x14ac:dyDescent="0.25">
      <c r="A1014" s="7"/>
      <c r="B1014" s="8"/>
      <c r="C1014" s="3"/>
      <c r="D1014" s="3"/>
      <c r="E1014" s="3" t="e">
        <f>VLOOKUP(D1014,VIAJES!$D:$E,2,FALSE)</f>
        <v>#N/A</v>
      </c>
      <c r="F1014" s="9" t="e">
        <f>VLOOKUP(D1014,VIAJES!$D:$F,3,FALSE)</f>
        <v>#N/A</v>
      </c>
      <c r="G1014" s="9" t="e">
        <f>VLOOKUP(D1014,VIAJES!$D:$G,4,FALSE)</f>
        <v>#N/A</v>
      </c>
      <c r="H1014" s="3" t="e">
        <f>VLOOKUP(D1014,VIAJES!$D:$H,5,FALSE)</f>
        <v>#N/A</v>
      </c>
      <c r="S1014" s="3">
        <f>IFERROR(INDEX(EVENTOS!$D:$D,MATCH(SCORE!S$2&amp;" "&amp;SCORE!$D1014,EVENTOS!$F:$F,0)),0)</f>
        <v>0</v>
      </c>
      <c r="T1014" s="3">
        <f>IFERROR(INDEX(EVENTOS!$D:$D,MATCH(SCORE!T$2&amp;" "&amp;SCORE!$D1014,EVENTOS!$F:$F,0)),0)</f>
        <v>0</v>
      </c>
      <c r="U1014" s="3">
        <f>IFERROR(INDEX(EVENTOS!$D:$D,MATCH(SCORE!U$2&amp;" "&amp;SCORE!$D1014,EVENTOS!$F:$F,0)),0)</f>
        <v>0</v>
      </c>
      <c r="V1014" s="3">
        <f>IFERROR(INDEX(EVENTOS!$D:$D,MATCH(SCORE!V$2&amp;" "&amp;SCORE!$D1014,EVENTOS!$F:$F,0)),0)</f>
        <v>0</v>
      </c>
      <c r="W1014" s="3">
        <f>IFERROR(INDEX(EVENTOS!$D:$D,MATCH(SCORE!W$2&amp;" "&amp;SCORE!$D1014,EVENTOS!$F:$F,0)),0)</f>
        <v>0</v>
      </c>
      <c r="X1014" s="3">
        <f>IFERROR(INDEX(EVENTOS!$D:$D,MATCH(SCORE!X$2&amp;" "&amp;SCORE!$D1014,EVENTOS!$F:$F,0)),0)</f>
        <v>0</v>
      </c>
      <c r="Y1014" s="3">
        <f>SUMIFS(EVENTOS!$D:$D, EVENTOS!$B:$B, D1014, EVENTOS!$E:$E, "*GirAlto*")</f>
        <v>0</v>
      </c>
      <c r="Z1014" s="3">
        <f>SUMIFS(EVENTOS!$D:$D, EVENTOS!$B:$B, D1014, EVENTOS!$E:$E, "*GirMed*")</f>
        <v>0</v>
      </c>
      <c r="AA1014" s="3">
        <f>SUMIFS(EVENTOS!$D:$D, EVENTOS!$B:$B, D1014, EVENTOS!$E:$E, "*GirBajo*")</f>
        <v>0</v>
      </c>
      <c r="AB1014" s="3">
        <f>IFERROR(INDEX(EVENTOS!$D:$D,MATCH(SCORE!AB$2&amp;" "&amp;SCORE!$D1014,EVENTOS!$F:$F,0)),0)</f>
        <v>0</v>
      </c>
      <c r="AC1014" s="3">
        <f>IFERROR(INDEX(EVENTOS!$D:$D,MATCH(SCORE!AC$2&amp;" "&amp;SCORE!$D1014,EVENTOS!$F:$F,0)),0)</f>
        <v>0</v>
      </c>
      <c r="AD1014" s="3">
        <f>IFERROR(INDEX(EVENTOS!$D:$D,MATCH(SCORE!AD$2&amp;" "&amp;SCORE!$D1014,EVENTOS!$F:$F,0)),0)</f>
        <v>0</v>
      </c>
      <c r="AE1014" s="3">
        <f t="shared" si="45"/>
        <v>0</v>
      </c>
      <c r="AF1014" s="10" t="e">
        <f t="shared" si="46"/>
        <v>#N/A</v>
      </c>
      <c r="AG1014" s="3" t="str">
        <f t="shared" si="47"/>
        <v/>
      </c>
    </row>
    <row r="1015" spans="1:33" x14ac:dyDescent="0.25">
      <c r="A1015" s="7"/>
      <c r="B1015" s="8"/>
      <c r="C1015" s="3"/>
      <c r="D1015" s="3"/>
      <c r="E1015" s="3" t="e">
        <f>VLOOKUP(D1015,VIAJES!$D:$E,2,FALSE)</f>
        <v>#N/A</v>
      </c>
      <c r="F1015" s="9" t="e">
        <f>VLOOKUP(D1015,VIAJES!$D:$F,3,FALSE)</f>
        <v>#N/A</v>
      </c>
      <c r="G1015" s="9" t="e">
        <f>VLOOKUP(D1015,VIAJES!$D:$G,4,FALSE)</f>
        <v>#N/A</v>
      </c>
      <c r="H1015" s="3" t="e">
        <f>VLOOKUP(D1015,VIAJES!$D:$H,5,FALSE)</f>
        <v>#N/A</v>
      </c>
      <c r="S1015" s="3">
        <f>IFERROR(INDEX(EVENTOS!$D:$D,MATCH(SCORE!S$2&amp;" "&amp;SCORE!$D1015,EVENTOS!$F:$F,0)),0)</f>
        <v>0</v>
      </c>
      <c r="T1015" s="3">
        <f>IFERROR(INDEX(EVENTOS!$D:$D,MATCH(SCORE!T$2&amp;" "&amp;SCORE!$D1015,EVENTOS!$F:$F,0)),0)</f>
        <v>0</v>
      </c>
      <c r="U1015" s="3">
        <f>IFERROR(INDEX(EVENTOS!$D:$D,MATCH(SCORE!U$2&amp;" "&amp;SCORE!$D1015,EVENTOS!$F:$F,0)),0)</f>
        <v>0</v>
      </c>
      <c r="V1015" s="3">
        <f>IFERROR(INDEX(EVENTOS!$D:$D,MATCH(SCORE!V$2&amp;" "&amp;SCORE!$D1015,EVENTOS!$F:$F,0)),0)</f>
        <v>0</v>
      </c>
      <c r="W1015" s="3">
        <f>IFERROR(INDEX(EVENTOS!$D:$D,MATCH(SCORE!W$2&amp;" "&amp;SCORE!$D1015,EVENTOS!$F:$F,0)),0)</f>
        <v>0</v>
      </c>
      <c r="X1015" s="3">
        <f>IFERROR(INDEX(EVENTOS!$D:$D,MATCH(SCORE!X$2&amp;" "&amp;SCORE!$D1015,EVENTOS!$F:$F,0)),0)</f>
        <v>0</v>
      </c>
      <c r="Y1015" s="3">
        <f>SUMIFS(EVENTOS!$D:$D, EVENTOS!$B:$B, D1015, EVENTOS!$E:$E, "*GirAlto*")</f>
        <v>0</v>
      </c>
      <c r="Z1015" s="3">
        <f>SUMIFS(EVENTOS!$D:$D, EVENTOS!$B:$B, D1015, EVENTOS!$E:$E, "*GirMed*")</f>
        <v>0</v>
      </c>
      <c r="AA1015" s="3">
        <f>SUMIFS(EVENTOS!$D:$D, EVENTOS!$B:$B, D1015, EVENTOS!$E:$E, "*GirBajo*")</f>
        <v>0</v>
      </c>
      <c r="AB1015" s="3">
        <f>IFERROR(INDEX(EVENTOS!$D:$D,MATCH(SCORE!AB$2&amp;" "&amp;SCORE!$D1015,EVENTOS!$F:$F,0)),0)</f>
        <v>0</v>
      </c>
      <c r="AC1015" s="3">
        <f>IFERROR(INDEX(EVENTOS!$D:$D,MATCH(SCORE!AC$2&amp;" "&amp;SCORE!$D1015,EVENTOS!$F:$F,0)),0)</f>
        <v>0</v>
      </c>
      <c r="AD1015" s="3">
        <f>IFERROR(INDEX(EVENTOS!$D:$D,MATCH(SCORE!AD$2&amp;" "&amp;SCORE!$D1015,EVENTOS!$F:$F,0)),0)</f>
        <v>0</v>
      </c>
      <c r="AE1015" s="3">
        <f t="shared" si="45"/>
        <v>0</v>
      </c>
      <c r="AF1015" s="10" t="e">
        <f t="shared" si="46"/>
        <v>#N/A</v>
      </c>
      <c r="AG1015" s="3" t="str">
        <f t="shared" si="47"/>
        <v/>
      </c>
    </row>
    <row r="1016" spans="1:33" x14ac:dyDescent="0.25">
      <c r="A1016" s="7"/>
      <c r="B1016" s="8"/>
      <c r="C1016" s="3"/>
      <c r="D1016" s="3"/>
      <c r="E1016" s="3" t="e">
        <f>VLOOKUP(D1016,VIAJES!$D:$E,2,FALSE)</f>
        <v>#N/A</v>
      </c>
      <c r="F1016" s="9" t="e">
        <f>VLOOKUP(D1016,VIAJES!$D:$F,3,FALSE)</f>
        <v>#N/A</v>
      </c>
      <c r="G1016" s="9" t="e">
        <f>VLOOKUP(D1016,VIAJES!$D:$G,4,FALSE)</f>
        <v>#N/A</v>
      </c>
      <c r="H1016" s="3" t="e">
        <f>VLOOKUP(D1016,VIAJES!$D:$H,5,FALSE)</f>
        <v>#N/A</v>
      </c>
      <c r="S1016" s="3">
        <f>IFERROR(INDEX(EVENTOS!$D:$D,MATCH(SCORE!S$2&amp;" "&amp;SCORE!$D1016,EVENTOS!$F:$F,0)),0)</f>
        <v>0</v>
      </c>
      <c r="T1016" s="3">
        <f>IFERROR(INDEX(EVENTOS!$D:$D,MATCH(SCORE!T$2&amp;" "&amp;SCORE!$D1016,EVENTOS!$F:$F,0)),0)</f>
        <v>0</v>
      </c>
      <c r="U1016" s="3">
        <f>IFERROR(INDEX(EVENTOS!$D:$D,MATCH(SCORE!U$2&amp;" "&amp;SCORE!$D1016,EVENTOS!$F:$F,0)),0)</f>
        <v>0</v>
      </c>
      <c r="V1016" s="3">
        <f>IFERROR(INDEX(EVENTOS!$D:$D,MATCH(SCORE!V$2&amp;" "&amp;SCORE!$D1016,EVENTOS!$F:$F,0)),0)</f>
        <v>0</v>
      </c>
      <c r="W1016" s="3">
        <f>IFERROR(INDEX(EVENTOS!$D:$D,MATCH(SCORE!W$2&amp;" "&amp;SCORE!$D1016,EVENTOS!$F:$F,0)),0)</f>
        <v>0</v>
      </c>
      <c r="X1016" s="3">
        <f>IFERROR(INDEX(EVENTOS!$D:$D,MATCH(SCORE!X$2&amp;" "&amp;SCORE!$D1016,EVENTOS!$F:$F,0)),0)</f>
        <v>0</v>
      </c>
      <c r="Y1016" s="3">
        <f>SUMIFS(EVENTOS!$D:$D, EVENTOS!$B:$B, D1016, EVENTOS!$E:$E, "*GirAlto*")</f>
        <v>0</v>
      </c>
      <c r="Z1016" s="3">
        <f>SUMIFS(EVENTOS!$D:$D, EVENTOS!$B:$B, D1016, EVENTOS!$E:$E, "*GirMed*")</f>
        <v>0</v>
      </c>
      <c r="AA1016" s="3">
        <f>SUMIFS(EVENTOS!$D:$D, EVENTOS!$B:$B, D1016, EVENTOS!$E:$E, "*GirBajo*")</f>
        <v>0</v>
      </c>
      <c r="AB1016" s="3">
        <f>IFERROR(INDEX(EVENTOS!$D:$D,MATCH(SCORE!AB$2&amp;" "&amp;SCORE!$D1016,EVENTOS!$F:$F,0)),0)</f>
        <v>0</v>
      </c>
      <c r="AC1016" s="3">
        <f>IFERROR(INDEX(EVENTOS!$D:$D,MATCH(SCORE!AC$2&amp;" "&amp;SCORE!$D1016,EVENTOS!$F:$F,0)),0)</f>
        <v>0</v>
      </c>
      <c r="AD1016" s="3">
        <f>IFERROR(INDEX(EVENTOS!$D:$D,MATCH(SCORE!AD$2&amp;" "&amp;SCORE!$D1016,EVENTOS!$F:$F,0)),0)</f>
        <v>0</v>
      </c>
      <c r="AE1016" s="3">
        <f t="shared" si="45"/>
        <v>0</v>
      </c>
      <c r="AF1016" s="10" t="e">
        <f t="shared" si="46"/>
        <v>#N/A</v>
      </c>
      <c r="AG1016" s="3" t="str">
        <f t="shared" si="47"/>
        <v/>
      </c>
    </row>
    <row r="1017" spans="1:33" x14ac:dyDescent="0.25">
      <c r="A1017" s="7"/>
      <c r="B1017" s="8"/>
      <c r="C1017" s="3"/>
      <c r="D1017" s="3"/>
      <c r="E1017" s="3" t="e">
        <f>VLOOKUP(D1017,VIAJES!$D:$E,2,FALSE)</f>
        <v>#N/A</v>
      </c>
      <c r="F1017" s="9" t="e">
        <f>VLOOKUP(D1017,VIAJES!$D:$F,3,FALSE)</f>
        <v>#N/A</v>
      </c>
      <c r="G1017" s="9" t="e">
        <f>VLOOKUP(D1017,VIAJES!$D:$G,4,FALSE)</f>
        <v>#N/A</v>
      </c>
      <c r="H1017" s="3" t="e">
        <f>VLOOKUP(D1017,VIAJES!$D:$H,5,FALSE)</f>
        <v>#N/A</v>
      </c>
      <c r="S1017" s="3">
        <f>IFERROR(INDEX(EVENTOS!$D:$D,MATCH(SCORE!S$2&amp;" "&amp;SCORE!$D1017,EVENTOS!$F:$F,0)),0)</f>
        <v>0</v>
      </c>
      <c r="T1017" s="3">
        <f>IFERROR(INDEX(EVENTOS!$D:$D,MATCH(SCORE!T$2&amp;" "&amp;SCORE!$D1017,EVENTOS!$F:$F,0)),0)</f>
        <v>0</v>
      </c>
      <c r="U1017" s="3">
        <f>IFERROR(INDEX(EVENTOS!$D:$D,MATCH(SCORE!U$2&amp;" "&amp;SCORE!$D1017,EVENTOS!$F:$F,0)),0)</f>
        <v>0</v>
      </c>
      <c r="V1017" s="3">
        <f>IFERROR(INDEX(EVENTOS!$D:$D,MATCH(SCORE!V$2&amp;" "&amp;SCORE!$D1017,EVENTOS!$F:$F,0)),0)</f>
        <v>0</v>
      </c>
      <c r="W1017" s="3">
        <f>IFERROR(INDEX(EVENTOS!$D:$D,MATCH(SCORE!W$2&amp;" "&amp;SCORE!$D1017,EVENTOS!$F:$F,0)),0)</f>
        <v>0</v>
      </c>
      <c r="X1017" s="3">
        <f>IFERROR(INDEX(EVENTOS!$D:$D,MATCH(SCORE!X$2&amp;" "&amp;SCORE!$D1017,EVENTOS!$F:$F,0)),0)</f>
        <v>0</v>
      </c>
      <c r="Y1017" s="3">
        <f>SUMIFS(EVENTOS!$D:$D, EVENTOS!$B:$B, D1017, EVENTOS!$E:$E, "*GirAlto*")</f>
        <v>0</v>
      </c>
      <c r="Z1017" s="3">
        <f>SUMIFS(EVENTOS!$D:$D, EVENTOS!$B:$B, D1017, EVENTOS!$E:$E, "*GirMed*")</f>
        <v>0</v>
      </c>
      <c r="AA1017" s="3">
        <f>SUMIFS(EVENTOS!$D:$D, EVENTOS!$B:$B, D1017, EVENTOS!$E:$E, "*GirBajo*")</f>
        <v>0</v>
      </c>
      <c r="AB1017" s="3">
        <f>IFERROR(INDEX(EVENTOS!$D:$D,MATCH(SCORE!AB$2&amp;" "&amp;SCORE!$D1017,EVENTOS!$F:$F,0)),0)</f>
        <v>0</v>
      </c>
      <c r="AC1017" s="3">
        <f>IFERROR(INDEX(EVENTOS!$D:$D,MATCH(SCORE!AC$2&amp;" "&amp;SCORE!$D1017,EVENTOS!$F:$F,0)),0)</f>
        <v>0</v>
      </c>
      <c r="AD1017" s="3">
        <f>IFERROR(INDEX(EVENTOS!$D:$D,MATCH(SCORE!AD$2&amp;" "&amp;SCORE!$D1017,EVENTOS!$F:$F,0)),0)</f>
        <v>0</v>
      </c>
      <c r="AE1017" s="3">
        <f t="shared" si="45"/>
        <v>0</v>
      </c>
      <c r="AF1017" s="10" t="e">
        <f t="shared" si="46"/>
        <v>#N/A</v>
      </c>
      <c r="AG1017" s="3" t="str">
        <f t="shared" si="47"/>
        <v/>
      </c>
    </row>
    <row r="1018" spans="1:33" x14ac:dyDescent="0.25">
      <c r="A1018" s="7"/>
      <c r="B1018" s="8"/>
      <c r="C1018" s="3"/>
      <c r="D1018" s="3"/>
      <c r="E1018" s="3" t="e">
        <f>VLOOKUP(D1018,VIAJES!$D:$E,2,FALSE)</f>
        <v>#N/A</v>
      </c>
      <c r="F1018" s="9" t="e">
        <f>VLOOKUP(D1018,VIAJES!$D:$F,3,FALSE)</f>
        <v>#N/A</v>
      </c>
      <c r="G1018" s="9" t="e">
        <f>VLOOKUP(D1018,VIAJES!$D:$G,4,FALSE)</f>
        <v>#N/A</v>
      </c>
      <c r="H1018" s="3" t="e">
        <f>VLOOKUP(D1018,VIAJES!$D:$H,5,FALSE)</f>
        <v>#N/A</v>
      </c>
      <c r="S1018" s="3">
        <f>IFERROR(INDEX(EVENTOS!$D:$D,MATCH(SCORE!S$2&amp;" "&amp;SCORE!$D1018,EVENTOS!$F:$F,0)),0)</f>
        <v>0</v>
      </c>
      <c r="T1018" s="3">
        <f>IFERROR(INDEX(EVENTOS!$D:$D,MATCH(SCORE!T$2&amp;" "&amp;SCORE!$D1018,EVENTOS!$F:$F,0)),0)</f>
        <v>0</v>
      </c>
      <c r="U1018" s="3">
        <f>IFERROR(INDEX(EVENTOS!$D:$D,MATCH(SCORE!U$2&amp;" "&amp;SCORE!$D1018,EVENTOS!$F:$F,0)),0)</f>
        <v>0</v>
      </c>
      <c r="V1018" s="3">
        <f>IFERROR(INDEX(EVENTOS!$D:$D,MATCH(SCORE!V$2&amp;" "&amp;SCORE!$D1018,EVENTOS!$F:$F,0)),0)</f>
        <v>0</v>
      </c>
      <c r="W1018" s="3">
        <f>IFERROR(INDEX(EVENTOS!$D:$D,MATCH(SCORE!W$2&amp;" "&amp;SCORE!$D1018,EVENTOS!$F:$F,0)),0)</f>
        <v>0</v>
      </c>
      <c r="X1018" s="3">
        <f>IFERROR(INDEX(EVENTOS!$D:$D,MATCH(SCORE!X$2&amp;" "&amp;SCORE!$D1018,EVENTOS!$F:$F,0)),0)</f>
        <v>0</v>
      </c>
      <c r="Y1018" s="3">
        <f>SUMIFS(EVENTOS!$D:$D, EVENTOS!$B:$B, D1018, EVENTOS!$E:$E, "*GirAlto*")</f>
        <v>0</v>
      </c>
      <c r="Z1018" s="3">
        <f>SUMIFS(EVENTOS!$D:$D, EVENTOS!$B:$B, D1018, EVENTOS!$E:$E, "*GirMed*")</f>
        <v>0</v>
      </c>
      <c r="AA1018" s="3">
        <f>SUMIFS(EVENTOS!$D:$D, EVENTOS!$B:$B, D1018, EVENTOS!$E:$E, "*GirBajo*")</f>
        <v>0</v>
      </c>
      <c r="AB1018" s="3">
        <f>IFERROR(INDEX(EVENTOS!$D:$D,MATCH(SCORE!AB$2&amp;" "&amp;SCORE!$D1018,EVENTOS!$F:$F,0)),0)</f>
        <v>0</v>
      </c>
      <c r="AC1018" s="3">
        <f>IFERROR(INDEX(EVENTOS!$D:$D,MATCH(SCORE!AC$2&amp;" "&amp;SCORE!$D1018,EVENTOS!$F:$F,0)),0)</f>
        <v>0</v>
      </c>
      <c r="AD1018" s="3">
        <f>IFERROR(INDEX(EVENTOS!$D:$D,MATCH(SCORE!AD$2&amp;" "&amp;SCORE!$D1018,EVENTOS!$F:$F,0)),0)</f>
        <v>0</v>
      </c>
      <c r="AE1018" s="3">
        <f t="shared" si="45"/>
        <v>0</v>
      </c>
      <c r="AF1018" s="10" t="e">
        <f t="shared" si="46"/>
        <v>#N/A</v>
      </c>
      <c r="AG1018" s="3" t="str">
        <f t="shared" si="47"/>
        <v/>
      </c>
    </row>
    <row r="1019" spans="1:33" x14ac:dyDescent="0.25">
      <c r="A1019" s="7"/>
      <c r="B1019" s="8"/>
      <c r="C1019" s="3"/>
      <c r="D1019" s="3"/>
      <c r="E1019" s="3" t="e">
        <f>VLOOKUP(D1019,VIAJES!$D:$E,2,FALSE)</f>
        <v>#N/A</v>
      </c>
      <c r="F1019" s="9" t="e">
        <f>VLOOKUP(D1019,VIAJES!$D:$F,3,FALSE)</f>
        <v>#N/A</v>
      </c>
      <c r="G1019" s="9" t="e">
        <f>VLOOKUP(D1019,VIAJES!$D:$G,4,FALSE)</f>
        <v>#N/A</v>
      </c>
      <c r="H1019" s="3" t="e">
        <f>VLOOKUP(D1019,VIAJES!$D:$H,5,FALSE)</f>
        <v>#N/A</v>
      </c>
      <c r="S1019" s="3">
        <f>IFERROR(INDEX(EVENTOS!$D:$D,MATCH(SCORE!S$2&amp;" "&amp;SCORE!$D1019,EVENTOS!$F:$F,0)),0)</f>
        <v>0</v>
      </c>
      <c r="T1019" s="3">
        <f>IFERROR(INDEX(EVENTOS!$D:$D,MATCH(SCORE!T$2&amp;" "&amp;SCORE!$D1019,EVENTOS!$F:$F,0)),0)</f>
        <v>0</v>
      </c>
      <c r="U1019" s="3">
        <f>IFERROR(INDEX(EVENTOS!$D:$D,MATCH(SCORE!U$2&amp;" "&amp;SCORE!$D1019,EVENTOS!$F:$F,0)),0)</f>
        <v>0</v>
      </c>
      <c r="V1019" s="3">
        <f>IFERROR(INDEX(EVENTOS!$D:$D,MATCH(SCORE!V$2&amp;" "&amp;SCORE!$D1019,EVENTOS!$F:$F,0)),0)</f>
        <v>0</v>
      </c>
      <c r="W1019" s="3">
        <f>IFERROR(INDEX(EVENTOS!$D:$D,MATCH(SCORE!W$2&amp;" "&amp;SCORE!$D1019,EVENTOS!$F:$F,0)),0)</f>
        <v>0</v>
      </c>
      <c r="X1019" s="3">
        <f>IFERROR(INDEX(EVENTOS!$D:$D,MATCH(SCORE!X$2&amp;" "&amp;SCORE!$D1019,EVENTOS!$F:$F,0)),0)</f>
        <v>0</v>
      </c>
      <c r="Y1019" s="3">
        <f>SUMIFS(EVENTOS!$D:$D, EVENTOS!$B:$B, D1019, EVENTOS!$E:$E, "*GirAlto*")</f>
        <v>0</v>
      </c>
      <c r="Z1019" s="3">
        <f>SUMIFS(EVENTOS!$D:$D, EVENTOS!$B:$B, D1019, EVENTOS!$E:$E, "*GirMed*")</f>
        <v>0</v>
      </c>
      <c r="AA1019" s="3">
        <f>SUMIFS(EVENTOS!$D:$D, EVENTOS!$B:$B, D1019, EVENTOS!$E:$E, "*GirBajo*")</f>
        <v>0</v>
      </c>
      <c r="AB1019" s="3">
        <f>IFERROR(INDEX(EVENTOS!$D:$D,MATCH(SCORE!AB$2&amp;" "&amp;SCORE!$D1019,EVENTOS!$F:$F,0)),0)</f>
        <v>0</v>
      </c>
      <c r="AC1019" s="3">
        <f>IFERROR(INDEX(EVENTOS!$D:$D,MATCH(SCORE!AC$2&amp;" "&amp;SCORE!$D1019,EVENTOS!$F:$F,0)),0)</f>
        <v>0</v>
      </c>
      <c r="AD1019" s="3">
        <f>IFERROR(INDEX(EVENTOS!$D:$D,MATCH(SCORE!AD$2&amp;" "&amp;SCORE!$D1019,EVENTOS!$F:$F,0)),0)</f>
        <v>0</v>
      </c>
      <c r="AE1019" s="3">
        <f t="shared" si="45"/>
        <v>0</v>
      </c>
      <c r="AF1019" s="10" t="e">
        <f t="shared" si="46"/>
        <v>#N/A</v>
      </c>
      <c r="AG1019" s="3" t="str">
        <f t="shared" si="47"/>
        <v/>
      </c>
    </row>
    <row r="1020" spans="1:33" x14ac:dyDescent="0.25">
      <c r="A1020" s="7"/>
      <c r="B1020" s="8"/>
      <c r="C1020" s="3"/>
      <c r="D1020" s="3"/>
      <c r="E1020" s="3" t="e">
        <f>VLOOKUP(D1020,VIAJES!$D:$E,2,FALSE)</f>
        <v>#N/A</v>
      </c>
      <c r="F1020" s="9" t="e">
        <f>VLOOKUP(D1020,VIAJES!$D:$F,3,FALSE)</f>
        <v>#N/A</v>
      </c>
      <c r="G1020" s="9" t="e">
        <f>VLOOKUP(D1020,VIAJES!$D:$G,4,FALSE)</f>
        <v>#N/A</v>
      </c>
      <c r="H1020" s="3" t="e">
        <f>VLOOKUP(D1020,VIAJES!$D:$H,5,FALSE)</f>
        <v>#N/A</v>
      </c>
      <c r="S1020" s="3">
        <f>IFERROR(INDEX(EVENTOS!$D:$D,MATCH(SCORE!S$2&amp;" "&amp;SCORE!$D1020,EVENTOS!$F:$F,0)),0)</f>
        <v>0</v>
      </c>
      <c r="T1020" s="3">
        <f>IFERROR(INDEX(EVENTOS!$D:$D,MATCH(SCORE!T$2&amp;" "&amp;SCORE!$D1020,EVENTOS!$F:$F,0)),0)</f>
        <v>0</v>
      </c>
      <c r="U1020" s="3">
        <f>IFERROR(INDEX(EVENTOS!$D:$D,MATCH(SCORE!U$2&amp;" "&amp;SCORE!$D1020,EVENTOS!$F:$F,0)),0)</f>
        <v>0</v>
      </c>
      <c r="V1020" s="3">
        <f>IFERROR(INDEX(EVENTOS!$D:$D,MATCH(SCORE!V$2&amp;" "&amp;SCORE!$D1020,EVENTOS!$F:$F,0)),0)</f>
        <v>0</v>
      </c>
      <c r="W1020" s="3">
        <f>IFERROR(INDEX(EVENTOS!$D:$D,MATCH(SCORE!W$2&amp;" "&amp;SCORE!$D1020,EVENTOS!$F:$F,0)),0)</f>
        <v>0</v>
      </c>
      <c r="X1020" s="3">
        <f>IFERROR(INDEX(EVENTOS!$D:$D,MATCH(SCORE!X$2&amp;" "&amp;SCORE!$D1020,EVENTOS!$F:$F,0)),0)</f>
        <v>0</v>
      </c>
      <c r="Y1020" s="3">
        <f>SUMIFS(EVENTOS!$D:$D, EVENTOS!$B:$B, D1020, EVENTOS!$E:$E, "*GirAlto*")</f>
        <v>0</v>
      </c>
      <c r="Z1020" s="3">
        <f>SUMIFS(EVENTOS!$D:$D, EVENTOS!$B:$B, D1020, EVENTOS!$E:$E, "*GirMed*")</f>
        <v>0</v>
      </c>
      <c r="AA1020" s="3">
        <f>SUMIFS(EVENTOS!$D:$D, EVENTOS!$B:$B, D1020, EVENTOS!$E:$E, "*GirBajo*")</f>
        <v>0</v>
      </c>
      <c r="AB1020" s="3">
        <f>IFERROR(INDEX(EVENTOS!$D:$D,MATCH(SCORE!AB$2&amp;" "&amp;SCORE!$D1020,EVENTOS!$F:$F,0)),0)</f>
        <v>0</v>
      </c>
      <c r="AC1020" s="3">
        <f>IFERROR(INDEX(EVENTOS!$D:$D,MATCH(SCORE!AC$2&amp;" "&amp;SCORE!$D1020,EVENTOS!$F:$F,0)),0)</f>
        <v>0</v>
      </c>
      <c r="AD1020" s="3">
        <f>IFERROR(INDEX(EVENTOS!$D:$D,MATCH(SCORE!AD$2&amp;" "&amp;SCORE!$D1020,EVENTOS!$F:$F,0)),0)</f>
        <v>0</v>
      </c>
      <c r="AE1020" s="3">
        <f t="shared" si="45"/>
        <v>0</v>
      </c>
      <c r="AF1020" s="10" t="e">
        <f t="shared" si="46"/>
        <v>#N/A</v>
      </c>
      <c r="AG1020" s="3" t="str">
        <f t="shared" si="47"/>
        <v/>
      </c>
    </row>
    <row r="1021" spans="1:33" x14ac:dyDescent="0.25">
      <c r="A1021" s="7"/>
      <c r="B1021" s="8"/>
      <c r="C1021" s="3"/>
      <c r="D1021" s="3"/>
      <c r="E1021" s="3" t="e">
        <f>VLOOKUP(D1021,VIAJES!$D:$E,2,FALSE)</f>
        <v>#N/A</v>
      </c>
      <c r="F1021" s="9" t="e">
        <f>VLOOKUP(D1021,VIAJES!$D:$F,3,FALSE)</f>
        <v>#N/A</v>
      </c>
      <c r="G1021" s="9" t="e">
        <f>VLOOKUP(D1021,VIAJES!$D:$G,4,FALSE)</f>
        <v>#N/A</v>
      </c>
      <c r="H1021" s="3" t="e">
        <f>VLOOKUP(D1021,VIAJES!$D:$H,5,FALSE)</f>
        <v>#N/A</v>
      </c>
      <c r="S1021" s="3">
        <f>IFERROR(INDEX(EVENTOS!$D:$D,MATCH(SCORE!S$2&amp;" "&amp;SCORE!$D1021,EVENTOS!$F:$F,0)),0)</f>
        <v>0</v>
      </c>
      <c r="T1021" s="3">
        <f>IFERROR(INDEX(EVENTOS!$D:$D,MATCH(SCORE!T$2&amp;" "&amp;SCORE!$D1021,EVENTOS!$F:$F,0)),0)</f>
        <v>0</v>
      </c>
      <c r="U1021" s="3">
        <f>IFERROR(INDEX(EVENTOS!$D:$D,MATCH(SCORE!U$2&amp;" "&amp;SCORE!$D1021,EVENTOS!$F:$F,0)),0)</f>
        <v>0</v>
      </c>
      <c r="V1021" s="3">
        <f>IFERROR(INDEX(EVENTOS!$D:$D,MATCH(SCORE!V$2&amp;" "&amp;SCORE!$D1021,EVENTOS!$F:$F,0)),0)</f>
        <v>0</v>
      </c>
      <c r="W1021" s="3">
        <f>IFERROR(INDEX(EVENTOS!$D:$D,MATCH(SCORE!W$2&amp;" "&amp;SCORE!$D1021,EVENTOS!$F:$F,0)),0)</f>
        <v>0</v>
      </c>
      <c r="X1021" s="3">
        <f>IFERROR(INDEX(EVENTOS!$D:$D,MATCH(SCORE!X$2&amp;" "&amp;SCORE!$D1021,EVENTOS!$F:$F,0)),0)</f>
        <v>0</v>
      </c>
      <c r="Y1021" s="3">
        <f>SUMIFS(EVENTOS!$D:$D, EVENTOS!$B:$B, D1021, EVENTOS!$E:$E, "*GirAlto*")</f>
        <v>0</v>
      </c>
      <c r="Z1021" s="3">
        <f>SUMIFS(EVENTOS!$D:$D, EVENTOS!$B:$B, D1021, EVENTOS!$E:$E, "*GirMed*")</f>
        <v>0</v>
      </c>
      <c r="AA1021" s="3">
        <f>SUMIFS(EVENTOS!$D:$D, EVENTOS!$B:$B, D1021, EVENTOS!$E:$E, "*GirBajo*")</f>
        <v>0</v>
      </c>
      <c r="AB1021" s="3">
        <f>IFERROR(INDEX(EVENTOS!$D:$D,MATCH(SCORE!AB$2&amp;" "&amp;SCORE!$D1021,EVENTOS!$F:$F,0)),0)</f>
        <v>0</v>
      </c>
      <c r="AC1021" s="3">
        <f>IFERROR(INDEX(EVENTOS!$D:$D,MATCH(SCORE!AC$2&amp;" "&amp;SCORE!$D1021,EVENTOS!$F:$F,0)),0)</f>
        <v>0</v>
      </c>
      <c r="AD1021" s="3">
        <f>IFERROR(INDEX(EVENTOS!$D:$D,MATCH(SCORE!AD$2&amp;" "&amp;SCORE!$D1021,EVENTOS!$F:$F,0)),0)</f>
        <v>0</v>
      </c>
      <c r="AE1021" s="3">
        <f t="shared" si="45"/>
        <v>0</v>
      </c>
      <c r="AF1021" s="10" t="e">
        <f t="shared" si="46"/>
        <v>#N/A</v>
      </c>
      <c r="AG1021" s="3" t="str">
        <f t="shared" si="47"/>
        <v/>
      </c>
    </row>
    <row r="1022" spans="1:33" x14ac:dyDescent="0.25">
      <c r="A1022" s="7"/>
      <c r="B1022" s="8"/>
      <c r="C1022" s="3"/>
      <c r="D1022" s="3"/>
      <c r="E1022" s="3" t="e">
        <f>VLOOKUP(D1022,VIAJES!$D:$E,2,FALSE)</f>
        <v>#N/A</v>
      </c>
      <c r="F1022" s="9" t="e">
        <f>VLOOKUP(D1022,VIAJES!$D:$F,3,FALSE)</f>
        <v>#N/A</v>
      </c>
      <c r="G1022" s="9" t="e">
        <f>VLOOKUP(D1022,VIAJES!$D:$G,4,FALSE)</f>
        <v>#N/A</v>
      </c>
      <c r="H1022" s="3" t="e">
        <f>VLOOKUP(D1022,VIAJES!$D:$H,5,FALSE)</f>
        <v>#N/A</v>
      </c>
      <c r="S1022" s="3">
        <f>IFERROR(INDEX(EVENTOS!$D:$D,MATCH(SCORE!S$2&amp;" "&amp;SCORE!$D1022,EVENTOS!$F:$F,0)),0)</f>
        <v>0</v>
      </c>
      <c r="T1022" s="3">
        <f>IFERROR(INDEX(EVENTOS!$D:$D,MATCH(SCORE!T$2&amp;" "&amp;SCORE!$D1022,EVENTOS!$F:$F,0)),0)</f>
        <v>0</v>
      </c>
      <c r="U1022" s="3">
        <f>IFERROR(INDEX(EVENTOS!$D:$D,MATCH(SCORE!U$2&amp;" "&amp;SCORE!$D1022,EVENTOS!$F:$F,0)),0)</f>
        <v>0</v>
      </c>
      <c r="V1022" s="3">
        <f>IFERROR(INDEX(EVENTOS!$D:$D,MATCH(SCORE!V$2&amp;" "&amp;SCORE!$D1022,EVENTOS!$F:$F,0)),0)</f>
        <v>0</v>
      </c>
      <c r="W1022" s="3">
        <f>IFERROR(INDEX(EVENTOS!$D:$D,MATCH(SCORE!W$2&amp;" "&amp;SCORE!$D1022,EVENTOS!$F:$F,0)),0)</f>
        <v>0</v>
      </c>
      <c r="X1022" s="3">
        <f>IFERROR(INDEX(EVENTOS!$D:$D,MATCH(SCORE!X$2&amp;" "&amp;SCORE!$D1022,EVENTOS!$F:$F,0)),0)</f>
        <v>0</v>
      </c>
      <c r="Y1022" s="3">
        <f>SUMIFS(EVENTOS!$D:$D, EVENTOS!$B:$B, D1022, EVENTOS!$E:$E, "*GirAlto*")</f>
        <v>0</v>
      </c>
      <c r="Z1022" s="3">
        <f>SUMIFS(EVENTOS!$D:$D, EVENTOS!$B:$B, D1022, EVENTOS!$E:$E, "*GirMed*")</f>
        <v>0</v>
      </c>
      <c r="AA1022" s="3">
        <f>SUMIFS(EVENTOS!$D:$D, EVENTOS!$B:$B, D1022, EVENTOS!$E:$E, "*GirBajo*")</f>
        <v>0</v>
      </c>
      <c r="AB1022" s="3">
        <f>IFERROR(INDEX(EVENTOS!$D:$D,MATCH(SCORE!AB$2&amp;" "&amp;SCORE!$D1022,EVENTOS!$F:$F,0)),0)</f>
        <v>0</v>
      </c>
      <c r="AC1022" s="3">
        <f>IFERROR(INDEX(EVENTOS!$D:$D,MATCH(SCORE!AC$2&amp;" "&amp;SCORE!$D1022,EVENTOS!$F:$F,0)),0)</f>
        <v>0</v>
      </c>
      <c r="AD1022" s="3">
        <f>IFERROR(INDEX(EVENTOS!$D:$D,MATCH(SCORE!AD$2&amp;" "&amp;SCORE!$D1022,EVENTOS!$F:$F,0)),0)</f>
        <v>0</v>
      </c>
      <c r="AE1022" s="3">
        <f t="shared" si="45"/>
        <v>0</v>
      </c>
      <c r="AF1022" s="10" t="e">
        <f t="shared" si="46"/>
        <v>#N/A</v>
      </c>
      <c r="AG1022" s="3" t="str">
        <f t="shared" si="47"/>
        <v/>
      </c>
    </row>
    <row r="1023" spans="1:33" x14ac:dyDescent="0.25">
      <c r="A1023" s="7"/>
      <c r="B1023" s="8"/>
      <c r="C1023" s="3"/>
      <c r="D1023" s="3"/>
      <c r="E1023" s="3" t="e">
        <f>VLOOKUP(D1023,VIAJES!$D:$E,2,FALSE)</f>
        <v>#N/A</v>
      </c>
      <c r="F1023" s="9" t="e">
        <f>VLOOKUP(D1023,VIAJES!$D:$F,3,FALSE)</f>
        <v>#N/A</v>
      </c>
      <c r="G1023" s="9" t="e">
        <f>VLOOKUP(D1023,VIAJES!$D:$G,4,FALSE)</f>
        <v>#N/A</v>
      </c>
      <c r="H1023" s="3" t="e">
        <f>VLOOKUP(D1023,VIAJES!$D:$H,5,FALSE)</f>
        <v>#N/A</v>
      </c>
      <c r="S1023" s="3">
        <f>IFERROR(INDEX(EVENTOS!$D:$D,MATCH(SCORE!S$2&amp;" "&amp;SCORE!$D1023,EVENTOS!$F:$F,0)),0)</f>
        <v>0</v>
      </c>
      <c r="T1023" s="3">
        <f>IFERROR(INDEX(EVENTOS!$D:$D,MATCH(SCORE!T$2&amp;" "&amp;SCORE!$D1023,EVENTOS!$F:$F,0)),0)</f>
        <v>0</v>
      </c>
      <c r="U1023" s="3">
        <f>IFERROR(INDEX(EVENTOS!$D:$D,MATCH(SCORE!U$2&amp;" "&amp;SCORE!$D1023,EVENTOS!$F:$F,0)),0)</f>
        <v>0</v>
      </c>
      <c r="V1023" s="3">
        <f>IFERROR(INDEX(EVENTOS!$D:$D,MATCH(SCORE!V$2&amp;" "&amp;SCORE!$D1023,EVENTOS!$F:$F,0)),0)</f>
        <v>0</v>
      </c>
      <c r="W1023" s="3">
        <f>IFERROR(INDEX(EVENTOS!$D:$D,MATCH(SCORE!W$2&amp;" "&amp;SCORE!$D1023,EVENTOS!$F:$F,0)),0)</f>
        <v>0</v>
      </c>
      <c r="X1023" s="3">
        <f>IFERROR(INDEX(EVENTOS!$D:$D,MATCH(SCORE!X$2&amp;" "&amp;SCORE!$D1023,EVENTOS!$F:$F,0)),0)</f>
        <v>0</v>
      </c>
      <c r="Y1023" s="3">
        <f>SUMIFS(EVENTOS!$D:$D, EVENTOS!$B:$B, D1023, EVENTOS!$E:$E, "*GirAlto*")</f>
        <v>0</v>
      </c>
      <c r="Z1023" s="3">
        <f>SUMIFS(EVENTOS!$D:$D, EVENTOS!$B:$B, D1023, EVENTOS!$E:$E, "*GirMed*")</f>
        <v>0</v>
      </c>
      <c r="AA1023" s="3">
        <f>SUMIFS(EVENTOS!$D:$D, EVENTOS!$B:$B, D1023, EVENTOS!$E:$E, "*GirBajo*")</f>
        <v>0</v>
      </c>
      <c r="AB1023" s="3">
        <f>IFERROR(INDEX(EVENTOS!$D:$D,MATCH(SCORE!AB$2&amp;" "&amp;SCORE!$D1023,EVENTOS!$F:$F,0)),0)</f>
        <v>0</v>
      </c>
      <c r="AC1023" s="3">
        <f>IFERROR(INDEX(EVENTOS!$D:$D,MATCH(SCORE!AC$2&amp;" "&amp;SCORE!$D1023,EVENTOS!$F:$F,0)),0)</f>
        <v>0</v>
      </c>
      <c r="AD1023" s="3">
        <f>IFERROR(INDEX(EVENTOS!$D:$D,MATCH(SCORE!AD$2&amp;" "&amp;SCORE!$D1023,EVENTOS!$F:$F,0)),0)</f>
        <v>0</v>
      </c>
      <c r="AE1023" s="3">
        <f t="shared" si="45"/>
        <v>0</v>
      </c>
      <c r="AF1023" s="10" t="e">
        <f t="shared" si="46"/>
        <v>#N/A</v>
      </c>
      <c r="AG1023" s="3" t="str">
        <f t="shared" si="47"/>
        <v/>
      </c>
    </row>
    <row r="1024" spans="1:33" x14ac:dyDescent="0.25">
      <c r="A1024" s="7"/>
      <c r="B1024" s="8"/>
      <c r="C1024" s="3"/>
      <c r="D1024" s="3"/>
      <c r="E1024" s="3" t="e">
        <f>VLOOKUP(D1024,VIAJES!$D:$E,2,FALSE)</f>
        <v>#N/A</v>
      </c>
      <c r="F1024" s="9" t="e">
        <f>VLOOKUP(D1024,VIAJES!$D:$F,3,FALSE)</f>
        <v>#N/A</v>
      </c>
      <c r="G1024" s="9" t="e">
        <f>VLOOKUP(D1024,VIAJES!$D:$G,4,FALSE)</f>
        <v>#N/A</v>
      </c>
      <c r="H1024" s="3" t="e">
        <f>VLOOKUP(D1024,VIAJES!$D:$H,5,FALSE)</f>
        <v>#N/A</v>
      </c>
      <c r="S1024" s="3">
        <f>IFERROR(INDEX(EVENTOS!$D:$D,MATCH(SCORE!S$2&amp;" "&amp;SCORE!$D1024,EVENTOS!$F:$F,0)),0)</f>
        <v>0</v>
      </c>
      <c r="T1024" s="3">
        <f>IFERROR(INDEX(EVENTOS!$D:$D,MATCH(SCORE!T$2&amp;" "&amp;SCORE!$D1024,EVENTOS!$F:$F,0)),0)</f>
        <v>0</v>
      </c>
      <c r="U1024" s="3">
        <f>IFERROR(INDEX(EVENTOS!$D:$D,MATCH(SCORE!U$2&amp;" "&amp;SCORE!$D1024,EVENTOS!$F:$F,0)),0)</f>
        <v>0</v>
      </c>
      <c r="V1024" s="3">
        <f>IFERROR(INDEX(EVENTOS!$D:$D,MATCH(SCORE!V$2&amp;" "&amp;SCORE!$D1024,EVENTOS!$F:$F,0)),0)</f>
        <v>0</v>
      </c>
      <c r="W1024" s="3">
        <f>IFERROR(INDEX(EVENTOS!$D:$D,MATCH(SCORE!W$2&amp;" "&amp;SCORE!$D1024,EVENTOS!$F:$F,0)),0)</f>
        <v>0</v>
      </c>
      <c r="X1024" s="3">
        <f>IFERROR(INDEX(EVENTOS!$D:$D,MATCH(SCORE!X$2&amp;" "&amp;SCORE!$D1024,EVENTOS!$F:$F,0)),0)</f>
        <v>0</v>
      </c>
      <c r="Y1024" s="3">
        <f>SUMIFS(EVENTOS!$D:$D, EVENTOS!$B:$B, D1024, EVENTOS!$E:$E, "*GirAlto*")</f>
        <v>0</v>
      </c>
      <c r="Z1024" s="3">
        <f>SUMIFS(EVENTOS!$D:$D, EVENTOS!$B:$B, D1024, EVENTOS!$E:$E, "*GirMed*")</f>
        <v>0</v>
      </c>
      <c r="AA1024" s="3">
        <f>SUMIFS(EVENTOS!$D:$D, EVENTOS!$B:$B, D1024, EVENTOS!$E:$E, "*GirBajo*")</f>
        <v>0</v>
      </c>
      <c r="AB1024" s="3">
        <f>IFERROR(INDEX(EVENTOS!$D:$D,MATCH(SCORE!AB$2&amp;" "&amp;SCORE!$D1024,EVENTOS!$F:$F,0)),0)</f>
        <v>0</v>
      </c>
      <c r="AC1024" s="3">
        <f>IFERROR(INDEX(EVENTOS!$D:$D,MATCH(SCORE!AC$2&amp;" "&amp;SCORE!$D1024,EVENTOS!$F:$F,0)),0)</f>
        <v>0</v>
      </c>
      <c r="AD1024" s="3">
        <f>IFERROR(INDEX(EVENTOS!$D:$D,MATCH(SCORE!AD$2&amp;" "&amp;SCORE!$D1024,EVENTOS!$F:$F,0)),0)</f>
        <v>0</v>
      </c>
      <c r="AE1024" s="3">
        <f t="shared" si="45"/>
        <v>0</v>
      </c>
      <c r="AF1024" s="10" t="e">
        <f t="shared" si="46"/>
        <v>#N/A</v>
      </c>
      <c r="AG1024" s="3" t="str">
        <f t="shared" si="47"/>
        <v/>
      </c>
    </row>
    <row r="1025" spans="1:33" x14ac:dyDescent="0.25">
      <c r="A1025" s="7"/>
      <c r="B1025" s="8"/>
      <c r="C1025" s="3"/>
      <c r="D1025" s="3"/>
      <c r="E1025" s="3" t="e">
        <f>VLOOKUP(D1025,VIAJES!$D:$E,2,FALSE)</f>
        <v>#N/A</v>
      </c>
      <c r="F1025" s="9" t="e">
        <f>VLOOKUP(D1025,VIAJES!$D:$F,3,FALSE)</f>
        <v>#N/A</v>
      </c>
      <c r="G1025" s="9" t="e">
        <f>VLOOKUP(D1025,VIAJES!$D:$G,4,FALSE)</f>
        <v>#N/A</v>
      </c>
      <c r="H1025" s="3" t="e">
        <f>VLOOKUP(D1025,VIAJES!$D:$H,5,FALSE)</f>
        <v>#N/A</v>
      </c>
      <c r="S1025" s="3">
        <f>IFERROR(INDEX(EVENTOS!$D:$D,MATCH(SCORE!S$2&amp;" "&amp;SCORE!$D1025,EVENTOS!$F:$F,0)),0)</f>
        <v>0</v>
      </c>
      <c r="T1025" s="3">
        <f>IFERROR(INDEX(EVENTOS!$D:$D,MATCH(SCORE!T$2&amp;" "&amp;SCORE!$D1025,EVENTOS!$F:$F,0)),0)</f>
        <v>0</v>
      </c>
      <c r="U1025" s="3">
        <f>IFERROR(INDEX(EVENTOS!$D:$D,MATCH(SCORE!U$2&amp;" "&amp;SCORE!$D1025,EVENTOS!$F:$F,0)),0)</f>
        <v>0</v>
      </c>
      <c r="V1025" s="3">
        <f>IFERROR(INDEX(EVENTOS!$D:$D,MATCH(SCORE!V$2&amp;" "&amp;SCORE!$D1025,EVENTOS!$F:$F,0)),0)</f>
        <v>0</v>
      </c>
      <c r="W1025" s="3">
        <f>IFERROR(INDEX(EVENTOS!$D:$D,MATCH(SCORE!W$2&amp;" "&amp;SCORE!$D1025,EVENTOS!$F:$F,0)),0)</f>
        <v>0</v>
      </c>
      <c r="X1025" s="3">
        <f>IFERROR(INDEX(EVENTOS!$D:$D,MATCH(SCORE!X$2&amp;" "&amp;SCORE!$D1025,EVENTOS!$F:$F,0)),0)</f>
        <v>0</v>
      </c>
      <c r="Y1025" s="3">
        <f>SUMIFS(EVENTOS!$D:$D, EVENTOS!$B:$B, D1025, EVENTOS!$E:$E, "*GirAlto*")</f>
        <v>0</v>
      </c>
      <c r="Z1025" s="3">
        <f>SUMIFS(EVENTOS!$D:$D, EVENTOS!$B:$B, D1025, EVENTOS!$E:$E, "*GirMed*")</f>
        <v>0</v>
      </c>
      <c r="AA1025" s="3">
        <f>SUMIFS(EVENTOS!$D:$D, EVENTOS!$B:$B, D1025, EVENTOS!$E:$E, "*GirBajo*")</f>
        <v>0</v>
      </c>
      <c r="AB1025" s="3">
        <f>IFERROR(INDEX(EVENTOS!$D:$D,MATCH(SCORE!AB$2&amp;" "&amp;SCORE!$D1025,EVENTOS!$F:$F,0)),0)</f>
        <v>0</v>
      </c>
      <c r="AC1025" s="3">
        <f>IFERROR(INDEX(EVENTOS!$D:$D,MATCH(SCORE!AC$2&amp;" "&amp;SCORE!$D1025,EVENTOS!$F:$F,0)),0)</f>
        <v>0</v>
      </c>
      <c r="AD1025" s="3">
        <f>IFERROR(INDEX(EVENTOS!$D:$D,MATCH(SCORE!AD$2&amp;" "&amp;SCORE!$D1025,EVENTOS!$F:$F,0)),0)</f>
        <v>0</v>
      </c>
      <c r="AE1025" s="3">
        <f t="shared" si="45"/>
        <v>0</v>
      </c>
      <c r="AF1025" s="10" t="e">
        <f t="shared" si="46"/>
        <v>#N/A</v>
      </c>
      <c r="AG1025" s="3" t="str">
        <f t="shared" si="47"/>
        <v/>
      </c>
    </row>
    <row r="1026" spans="1:33" x14ac:dyDescent="0.25">
      <c r="A1026" s="7"/>
      <c r="B1026" s="8"/>
      <c r="C1026" s="3"/>
      <c r="D1026" s="3"/>
      <c r="E1026" s="3" t="e">
        <f>VLOOKUP(D1026,VIAJES!$D:$E,2,FALSE)</f>
        <v>#N/A</v>
      </c>
      <c r="F1026" s="9" t="e">
        <f>VLOOKUP(D1026,VIAJES!$D:$F,3,FALSE)</f>
        <v>#N/A</v>
      </c>
      <c r="G1026" s="9" t="e">
        <f>VLOOKUP(D1026,VIAJES!$D:$G,4,FALSE)</f>
        <v>#N/A</v>
      </c>
      <c r="H1026" s="3" t="e">
        <f>VLOOKUP(D1026,VIAJES!$D:$H,5,FALSE)</f>
        <v>#N/A</v>
      </c>
      <c r="S1026" s="3">
        <f>IFERROR(INDEX(EVENTOS!$D:$D,MATCH(SCORE!S$2&amp;" "&amp;SCORE!$D1026,EVENTOS!$F:$F,0)),0)</f>
        <v>0</v>
      </c>
      <c r="T1026" s="3">
        <f>IFERROR(INDEX(EVENTOS!$D:$D,MATCH(SCORE!T$2&amp;" "&amp;SCORE!$D1026,EVENTOS!$F:$F,0)),0)</f>
        <v>0</v>
      </c>
      <c r="U1026" s="3">
        <f>IFERROR(INDEX(EVENTOS!$D:$D,MATCH(SCORE!U$2&amp;" "&amp;SCORE!$D1026,EVENTOS!$F:$F,0)),0)</f>
        <v>0</v>
      </c>
      <c r="V1026" s="3">
        <f>IFERROR(INDEX(EVENTOS!$D:$D,MATCH(SCORE!V$2&amp;" "&amp;SCORE!$D1026,EVENTOS!$F:$F,0)),0)</f>
        <v>0</v>
      </c>
      <c r="W1026" s="3">
        <f>IFERROR(INDEX(EVENTOS!$D:$D,MATCH(SCORE!W$2&amp;" "&amp;SCORE!$D1026,EVENTOS!$F:$F,0)),0)</f>
        <v>0</v>
      </c>
      <c r="X1026" s="3">
        <f>IFERROR(INDEX(EVENTOS!$D:$D,MATCH(SCORE!X$2&amp;" "&amp;SCORE!$D1026,EVENTOS!$F:$F,0)),0)</f>
        <v>0</v>
      </c>
      <c r="Y1026" s="3">
        <f>SUMIFS(EVENTOS!$D:$D, EVENTOS!$B:$B, D1026, EVENTOS!$E:$E, "*GirAlto*")</f>
        <v>0</v>
      </c>
      <c r="Z1026" s="3">
        <f>SUMIFS(EVENTOS!$D:$D, EVENTOS!$B:$B, D1026, EVENTOS!$E:$E, "*GirMed*")</f>
        <v>0</v>
      </c>
      <c r="AA1026" s="3">
        <f>SUMIFS(EVENTOS!$D:$D, EVENTOS!$B:$B, D1026, EVENTOS!$E:$E, "*GirBajo*")</f>
        <v>0</v>
      </c>
      <c r="AB1026" s="3">
        <f>IFERROR(INDEX(EVENTOS!$D:$D,MATCH(SCORE!AB$2&amp;" "&amp;SCORE!$D1026,EVENTOS!$F:$F,0)),0)</f>
        <v>0</v>
      </c>
      <c r="AC1026" s="3">
        <f>IFERROR(INDEX(EVENTOS!$D:$D,MATCH(SCORE!AC$2&amp;" "&amp;SCORE!$D1026,EVENTOS!$F:$F,0)),0)</f>
        <v>0</v>
      </c>
      <c r="AD1026" s="3">
        <f>IFERROR(INDEX(EVENTOS!$D:$D,MATCH(SCORE!AD$2&amp;" "&amp;SCORE!$D1026,EVENTOS!$F:$F,0)),0)</f>
        <v>0</v>
      </c>
      <c r="AE1026" s="3">
        <f t="shared" si="45"/>
        <v>0</v>
      </c>
      <c r="AF1026" s="10" t="e">
        <f t="shared" si="46"/>
        <v>#N/A</v>
      </c>
      <c r="AG1026" s="3" t="str">
        <f t="shared" si="47"/>
        <v/>
      </c>
    </row>
    <row r="1027" spans="1:33" x14ac:dyDescent="0.25">
      <c r="A1027" s="7"/>
      <c r="B1027" s="8"/>
      <c r="C1027" s="3"/>
      <c r="D1027" s="3"/>
      <c r="E1027" s="3" t="e">
        <f>VLOOKUP(D1027,VIAJES!$D:$E,2,FALSE)</f>
        <v>#N/A</v>
      </c>
      <c r="F1027" s="9" t="e">
        <f>VLOOKUP(D1027,VIAJES!$D:$F,3,FALSE)</f>
        <v>#N/A</v>
      </c>
      <c r="G1027" s="9" t="e">
        <f>VLOOKUP(D1027,VIAJES!$D:$G,4,FALSE)</f>
        <v>#N/A</v>
      </c>
      <c r="H1027" s="3" t="e">
        <f>VLOOKUP(D1027,VIAJES!$D:$H,5,FALSE)</f>
        <v>#N/A</v>
      </c>
      <c r="S1027" s="3">
        <f>IFERROR(INDEX(EVENTOS!$D:$D,MATCH(SCORE!S$2&amp;" "&amp;SCORE!$D1027,EVENTOS!$F:$F,0)),0)</f>
        <v>0</v>
      </c>
      <c r="T1027" s="3">
        <f>IFERROR(INDEX(EVENTOS!$D:$D,MATCH(SCORE!T$2&amp;" "&amp;SCORE!$D1027,EVENTOS!$F:$F,0)),0)</f>
        <v>0</v>
      </c>
      <c r="U1027" s="3">
        <f>IFERROR(INDEX(EVENTOS!$D:$D,MATCH(SCORE!U$2&amp;" "&amp;SCORE!$D1027,EVENTOS!$F:$F,0)),0)</f>
        <v>0</v>
      </c>
      <c r="V1027" s="3">
        <f>IFERROR(INDEX(EVENTOS!$D:$D,MATCH(SCORE!V$2&amp;" "&amp;SCORE!$D1027,EVENTOS!$F:$F,0)),0)</f>
        <v>0</v>
      </c>
      <c r="W1027" s="3">
        <f>IFERROR(INDEX(EVENTOS!$D:$D,MATCH(SCORE!W$2&amp;" "&amp;SCORE!$D1027,EVENTOS!$F:$F,0)),0)</f>
        <v>0</v>
      </c>
      <c r="X1027" s="3">
        <f>IFERROR(INDEX(EVENTOS!$D:$D,MATCH(SCORE!X$2&amp;" "&amp;SCORE!$D1027,EVENTOS!$F:$F,0)),0)</f>
        <v>0</v>
      </c>
      <c r="Y1027" s="3">
        <f>SUMIFS(EVENTOS!$D:$D, EVENTOS!$B:$B, D1027, EVENTOS!$E:$E, "*GirAlto*")</f>
        <v>0</v>
      </c>
      <c r="Z1027" s="3">
        <f>SUMIFS(EVENTOS!$D:$D, EVENTOS!$B:$B, D1027, EVENTOS!$E:$E, "*GirMed*")</f>
        <v>0</v>
      </c>
      <c r="AA1027" s="3">
        <f>SUMIFS(EVENTOS!$D:$D, EVENTOS!$B:$B, D1027, EVENTOS!$E:$E, "*GirBajo*")</f>
        <v>0</v>
      </c>
      <c r="AB1027" s="3">
        <f>IFERROR(INDEX(EVENTOS!$D:$D,MATCH(SCORE!AB$2&amp;" "&amp;SCORE!$D1027,EVENTOS!$F:$F,0)),0)</f>
        <v>0</v>
      </c>
      <c r="AC1027" s="3">
        <f>IFERROR(INDEX(EVENTOS!$D:$D,MATCH(SCORE!AC$2&amp;" "&amp;SCORE!$D1027,EVENTOS!$F:$F,0)),0)</f>
        <v>0</v>
      </c>
      <c r="AD1027" s="3">
        <f>IFERROR(INDEX(EVENTOS!$D:$D,MATCH(SCORE!AD$2&amp;" "&amp;SCORE!$D1027,EVENTOS!$F:$F,0)),0)</f>
        <v>0</v>
      </c>
      <c r="AE1027" s="3">
        <f t="shared" ref="AE1027:AE1090" si="48">((S1027+V1027+Y1027+AB1027)*50)+((T1027+W1027+Z1027+AC1027)*25)+((U1027+X1027+AA1027+AD1027)*5)</f>
        <v>0</v>
      </c>
      <c r="AF1027" s="10" t="e">
        <f t="shared" ref="AF1027:AF1090" si="49">AE1027/(G1027*24)*100</f>
        <v>#N/A</v>
      </c>
      <c r="AG1027" s="3" t="str">
        <f t="shared" ref="AG1027:AG1090" si="50">IF(D1027&lt;&gt;"",IF(AF1027&gt;=30000,5,ROUNDDOWN((((5-95)*(AF1027-0))/(30000-0))+95,0)),"")</f>
        <v/>
      </c>
    </row>
    <row r="1028" spans="1:33" x14ac:dyDescent="0.25">
      <c r="A1028" s="7"/>
      <c r="B1028" s="8"/>
      <c r="C1028" s="3"/>
      <c r="D1028" s="3"/>
      <c r="E1028" s="3" t="e">
        <f>VLOOKUP(D1028,VIAJES!$D:$E,2,FALSE)</f>
        <v>#N/A</v>
      </c>
      <c r="F1028" s="9" t="e">
        <f>VLOOKUP(D1028,VIAJES!$D:$F,3,FALSE)</f>
        <v>#N/A</v>
      </c>
      <c r="G1028" s="9" t="e">
        <f>VLOOKUP(D1028,VIAJES!$D:$G,4,FALSE)</f>
        <v>#N/A</v>
      </c>
      <c r="H1028" s="3" t="e">
        <f>VLOOKUP(D1028,VIAJES!$D:$H,5,FALSE)</f>
        <v>#N/A</v>
      </c>
      <c r="S1028" s="3">
        <f>IFERROR(INDEX(EVENTOS!$D:$D,MATCH(SCORE!S$2&amp;" "&amp;SCORE!$D1028,EVENTOS!$F:$F,0)),0)</f>
        <v>0</v>
      </c>
      <c r="T1028" s="3">
        <f>IFERROR(INDEX(EVENTOS!$D:$D,MATCH(SCORE!T$2&amp;" "&amp;SCORE!$D1028,EVENTOS!$F:$F,0)),0)</f>
        <v>0</v>
      </c>
      <c r="U1028" s="3">
        <f>IFERROR(INDEX(EVENTOS!$D:$D,MATCH(SCORE!U$2&amp;" "&amp;SCORE!$D1028,EVENTOS!$F:$F,0)),0)</f>
        <v>0</v>
      </c>
      <c r="V1028" s="3">
        <f>IFERROR(INDEX(EVENTOS!$D:$D,MATCH(SCORE!V$2&amp;" "&amp;SCORE!$D1028,EVENTOS!$F:$F,0)),0)</f>
        <v>0</v>
      </c>
      <c r="W1028" s="3">
        <f>IFERROR(INDEX(EVENTOS!$D:$D,MATCH(SCORE!W$2&amp;" "&amp;SCORE!$D1028,EVENTOS!$F:$F,0)),0)</f>
        <v>0</v>
      </c>
      <c r="X1028" s="3">
        <f>IFERROR(INDEX(EVENTOS!$D:$D,MATCH(SCORE!X$2&amp;" "&amp;SCORE!$D1028,EVENTOS!$F:$F,0)),0)</f>
        <v>0</v>
      </c>
      <c r="Y1028" s="3">
        <f>SUMIFS(EVENTOS!$D:$D, EVENTOS!$B:$B, D1028, EVENTOS!$E:$E, "*GirAlto*")</f>
        <v>0</v>
      </c>
      <c r="Z1028" s="3">
        <f>SUMIFS(EVENTOS!$D:$D, EVENTOS!$B:$B, D1028, EVENTOS!$E:$E, "*GirMed*")</f>
        <v>0</v>
      </c>
      <c r="AA1028" s="3">
        <f>SUMIFS(EVENTOS!$D:$D, EVENTOS!$B:$B, D1028, EVENTOS!$E:$E, "*GirBajo*")</f>
        <v>0</v>
      </c>
      <c r="AB1028" s="3">
        <f>IFERROR(INDEX(EVENTOS!$D:$D,MATCH(SCORE!AB$2&amp;" "&amp;SCORE!$D1028,EVENTOS!$F:$F,0)),0)</f>
        <v>0</v>
      </c>
      <c r="AC1028" s="3">
        <f>IFERROR(INDEX(EVENTOS!$D:$D,MATCH(SCORE!AC$2&amp;" "&amp;SCORE!$D1028,EVENTOS!$F:$F,0)),0)</f>
        <v>0</v>
      </c>
      <c r="AD1028" s="3">
        <f>IFERROR(INDEX(EVENTOS!$D:$D,MATCH(SCORE!AD$2&amp;" "&amp;SCORE!$D1028,EVENTOS!$F:$F,0)),0)</f>
        <v>0</v>
      </c>
      <c r="AE1028" s="3">
        <f t="shared" si="48"/>
        <v>0</v>
      </c>
      <c r="AF1028" s="10" t="e">
        <f t="shared" si="49"/>
        <v>#N/A</v>
      </c>
      <c r="AG1028" s="3" t="str">
        <f t="shared" si="50"/>
        <v/>
      </c>
    </row>
    <row r="1029" spans="1:33" x14ac:dyDescent="0.25">
      <c r="A1029" s="7"/>
      <c r="B1029" s="8"/>
      <c r="C1029" s="3"/>
      <c r="D1029" s="3"/>
      <c r="E1029" s="3" t="e">
        <f>VLOOKUP(D1029,VIAJES!$D:$E,2,FALSE)</f>
        <v>#N/A</v>
      </c>
      <c r="F1029" s="9" t="e">
        <f>VLOOKUP(D1029,VIAJES!$D:$F,3,FALSE)</f>
        <v>#N/A</v>
      </c>
      <c r="G1029" s="9" t="e">
        <f>VLOOKUP(D1029,VIAJES!$D:$G,4,FALSE)</f>
        <v>#N/A</v>
      </c>
      <c r="H1029" s="3" t="e">
        <f>VLOOKUP(D1029,VIAJES!$D:$H,5,FALSE)</f>
        <v>#N/A</v>
      </c>
      <c r="S1029" s="3">
        <f>IFERROR(INDEX(EVENTOS!$D:$D,MATCH(SCORE!S$2&amp;" "&amp;SCORE!$D1029,EVENTOS!$F:$F,0)),0)</f>
        <v>0</v>
      </c>
      <c r="T1029" s="3">
        <f>IFERROR(INDEX(EVENTOS!$D:$D,MATCH(SCORE!T$2&amp;" "&amp;SCORE!$D1029,EVENTOS!$F:$F,0)),0)</f>
        <v>0</v>
      </c>
      <c r="U1029" s="3">
        <f>IFERROR(INDEX(EVENTOS!$D:$D,MATCH(SCORE!U$2&amp;" "&amp;SCORE!$D1029,EVENTOS!$F:$F,0)),0)</f>
        <v>0</v>
      </c>
      <c r="V1029" s="3">
        <f>IFERROR(INDEX(EVENTOS!$D:$D,MATCH(SCORE!V$2&amp;" "&amp;SCORE!$D1029,EVENTOS!$F:$F,0)),0)</f>
        <v>0</v>
      </c>
      <c r="W1029" s="3">
        <f>IFERROR(INDEX(EVENTOS!$D:$D,MATCH(SCORE!W$2&amp;" "&amp;SCORE!$D1029,EVENTOS!$F:$F,0)),0)</f>
        <v>0</v>
      </c>
      <c r="X1029" s="3">
        <f>IFERROR(INDEX(EVENTOS!$D:$D,MATCH(SCORE!X$2&amp;" "&amp;SCORE!$D1029,EVENTOS!$F:$F,0)),0)</f>
        <v>0</v>
      </c>
      <c r="Y1029" s="3">
        <f>SUMIFS(EVENTOS!$D:$D, EVENTOS!$B:$B, D1029, EVENTOS!$E:$E, "*GirAlto*")</f>
        <v>0</v>
      </c>
      <c r="Z1029" s="3">
        <f>SUMIFS(EVENTOS!$D:$D, EVENTOS!$B:$B, D1029, EVENTOS!$E:$E, "*GirMed*")</f>
        <v>0</v>
      </c>
      <c r="AA1029" s="3">
        <f>SUMIFS(EVENTOS!$D:$D, EVENTOS!$B:$B, D1029, EVENTOS!$E:$E, "*GirBajo*")</f>
        <v>0</v>
      </c>
      <c r="AB1029" s="3">
        <f>IFERROR(INDEX(EVENTOS!$D:$D,MATCH(SCORE!AB$2&amp;" "&amp;SCORE!$D1029,EVENTOS!$F:$F,0)),0)</f>
        <v>0</v>
      </c>
      <c r="AC1029" s="3">
        <f>IFERROR(INDEX(EVENTOS!$D:$D,MATCH(SCORE!AC$2&amp;" "&amp;SCORE!$D1029,EVENTOS!$F:$F,0)),0)</f>
        <v>0</v>
      </c>
      <c r="AD1029" s="3">
        <f>IFERROR(INDEX(EVENTOS!$D:$D,MATCH(SCORE!AD$2&amp;" "&amp;SCORE!$D1029,EVENTOS!$F:$F,0)),0)</f>
        <v>0</v>
      </c>
      <c r="AE1029" s="3">
        <f t="shared" si="48"/>
        <v>0</v>
      </c>
      <c r="AF1029" s="10" t="e">
        <f t="shared" si="49"/>
        <v>#N/A</v>
      </c>
      <c r="AG1029" s="3" t="str">
        <f t="shared" si="50"/>
        <v/>
      </c>
    </row>
    <row r="1030" spans="1:33" x14ac:dyDescent="0.25">
      <c r="A1030" s="7"/>
      <c r="B1030" s="8"/>
      <c r="C1030" s="3"/>
      <c r="D1030" s="3"/>
      <c r="E1030" s="3" t="e">
        <f>VLOOKUP(D1030,VIAJES!$D:$E,2,FALSE)</f>
        <v>#N/A</v>
      </c>
      <c r="F1030" s="9" t="e">
        <f>VLOOKUP(D1030,VIAJES!$D:$F,3,FALSE)</f>
        <v>#N/A</v>
      </c>
      <c r="G1030" s="9" t="e">
        <f>VLOOKUP(D1030,VIAJES!$D:$G,4,FALSE)</f>
        <v>#N/A</v>
      </c>
      <c r="H1030" s="3" t="e">
        <f>VLOOKUP(D1030,VIAJES!$D:$H,5,FALSE)</f>
        <v>#N/A</v>
      </c>
      <c r="S1030" s="3">
        <f>IFERROR(INDEX(EVENTOS!$D:$D,MATCH(SCORE!S$2&amp;" "&amp;SCORE!$D1030,EVENTOS!$F:$F,0)),0)</f>
        <v>0</v>
      </c>
      <c r="T1030" s="3">
        <f>IFERROR(INDEX(EVENTOS!$D:$D,MATCH(SCORE!T$2&amp;" "&amp;SCORE!$D1030,EVENTOS!$F:$F,0)),0)</f>
        <v>0</v>
      </c>
      <c r="U1030" s="3">
        <f>IFERROR(INDEX(EVENTOS!$D:$D,MATCH(SCORE!U$2&amp;" "&amp;SCORE!$D1030,EVENTOS!$F:$F,0)),0)</f>
        <v>0</v>
      </c>
      <c r="V1030" s="3">
        <f>IFERROR(INDEX(EVENTOS!$D:$D,MATCH(SCORE!V$2&amp;" "&amp;SCORE!$D1030,EVENTOS!$F:$F,0)),0)</f>
        <v>0</v>
      </c>
      <c r="W1030" s="3">
        <f>IFERROR(INDEX(EVENTOS!$D:$D,MATCH(SCORE!W$2&amp;" "&amp;SCORE!$D1030,EVENTOS!$F:$F,0)),0)</f>
        <v>0</v>
      </c>
      <c r="X1030" s="3">
        <f>IFERROR(INDEX(EVENTOS!$D:$D,MATCH(SCORE!X$2&amp;" "&amp;SCORE!$D1030,EVENTOS!$F:$F,0)),0)</f>
        <v>0</v>
      </c>
      <c r="Y1030" s="3">
        <f>SUMIFS(EVENTOS!$D:$D, EVENTOS!$B:$B, D1030, EVENTOS!$E:$E, "*GirAlto*")</f>
        <v>0</v>
      </c>
      <c r="Z1030" s="3">
        <f>SUMIFS(EVENTOS!$D:$D, EVENTOS!$B:$B, D1030, EVENTOS!$E:$E, "*GirMed*")</f>
        <v>0</v>
      </c>
      <c r="AA1030" s="3">
        <f>SUMIFS(EVENTOS!$D:$D, EVENTOS!$B:$B, D1030, EVENTOS!$E:$E, "*GirBajo*")</f>
        <v>0</v>
      </c>
      <c r="AB1030" s="3">
        <f>IFERROR(INDEX(EVENTOS!$D:$D,MATCH(SCORE!AB$2&amp;" "&amp;SCORE!$D1030,EVENTOS!$F:$F,0)),0)</f>
        <v>0</v>
      </c>
      <c r="AC1030" s="3">
        <f>IFERROR(INDEX(EVENTOS!$D:$D,MATCH(SCORE!AC$2&amp;" "&amp;SCORE!$D1030,EVENTOS!$F:$F,0)),0)</f>
        <v>0</v>
      </c>
      <c r="AD1030" s="3">
        <f>IFERROR(INDEX(EVENTOS!$D:$D,MATCH(SCORE!AD$2&amp;" "&amp;SCORE!$D1030,EVENTOS!$F:$F,0)),0)</f>
        <v>0</v>
      </c>
      <c r="AE1030" s="3">
        <f t="shared" si="48"/>
        <v>0</v>
      </c>
      <c r="AF1030" s="10" t="e">
        <f t="shared" si="49"/>
        <v>#N/A</v>
      </c>
      <c r="AG1030" s="3" t="str">
        <f t="shared" si="50"/>
        <v/>
      </c>
    </row>
    <row r="1031" spans="1:33" x14ac:dyDescent="0.25">
      <c r="A1031" s="7"/>
      <c r="B1031" s="8"/>
      <c r="C1031" s="3"/>
      <c r="D1031" s="3"/>
      <c r="E1031" s="3" t="e">
        <f>VLOOKUP(D1031,VIAJES!$D:$E,2,FALSE)</f>
        <v>#N/A</v>
      </c>
      <c r="F1031" s="9" t="e">
        <f>VLOOKUP(D1031,VIAJES!$D:$F,3,FALSE)</f>
        <v>#N/A</v>
      </c>
      <c r="G1031" s="9" t="e">
        <f>VLOOKUP(D1031,VIAJES!$D:$G,4,FALSE)</f>
        <v>#N/A</v>
      </c>
      <c r="H1031" s="3" t="e">
        <f>VLOOKUP(D1031,VIAJES!$D:$H,5,FALSE)</f>
        <v>#N/A</v>
      </c>
      <c r="S1031" s="3">
        <f>IFERROR(INDEX(EVENTOS!$D:$D,MATCH(SCORE!S$2&amp;" "&amp;SCORE!$D1031,EVENTOS!$F:$F,0)),0)</f>
        <v>0</v>
      </c>
      <c r="T1031" s="3">
        <f>IFERROR(INDEX(EVENTOS!$D:$D,MATCH(SCORE!T$2&amp;" "&amp;SCORE!$D1031,EVENTOS!$F:$F,0)),0)</f>
        <v>0</v>
      </c>
      <c r="U1031" s="3">
        <f>IFERROR(INDEX(EVENTOS!$D:$D,MATCH(SCORE!U$2&amp;" "&amp;SCORE!$D1031,EVENTOS!$F:$F,0)),0)</f>
        <v>0</v>
      </c>
      <c r="V1031" s="3">
        <f>IFERROR(INDEX(EVENTOS!$D:$D,MATCH(SCORE!V$2&amp;" "&amp;SCORE!$D1031,EVENTOS!$F:$F,0)),0)</f>
        <v>0</v>
      </c>
      <c r="W1031" s="3">
        <f>IFERROR(INDEX(EVENTOS!$D:$D,MATCH(SCORE!W$2&amp;" "&amp;SCORE!$D1031,EVENTOS!$F:$F,0)),0)</f>
        <v>0</v>
      </c>
      <c r="X1031" s="3">
        <f>IFERROR(INDEX(EVENTOS!$D:$D,MATCH(SCORE!X$2&amp;" "&amp;SCORE!$D1031,EVENTOS!$F:$F,0)),0)</f>
        <v>0</v>
      </c>
      <c r="Y1031" s="3">
        <f>SUMIFS(EVENTOS!$D:$D, EVENTOS!$B:$B, D1031, EVENTOS!$E:$E, "*GirAlto*")</f>
        <v>0</v>
      </c>
      <c r="Z1031" s="3">
        <f>SUMIFS(EVENTOS!$D:$D, EVENTOS!$B:$B, D1031, EVENTOS!$E:$E, "*GirMed*")</f>
        <v>0</v>
      </c>
      <c r="AA1031" s="3">
        <f>SUMIFS(EVENTOS!$D:$D, EVENTOS!$B:$B, D1031, EVENTOS!$E:$E, "*GirBajo*")</f>
        <v>0</v>
      </c>
      <c r="AB1031" s="3">
        <f>IFERROR(INDEX(EVENTOS!$D:$D,MATCH(SCORE!AB$2&amp;" "&amp;SCORE!$D1031,EVENTOS!$F:$F,0)),0)</f>
        <v>0</v>
      </c>
      <c r="AC1031" s="3">
        <f>IFERROR(INDEX(EVENTOS!$D:$D,MATCH(SCORE!AC$2&amp;" "&amp;SCORE!$D1031,EVENTOS!$F:$F,0)),0)</f>
        <v>0</v>
      </c>
      <c r="AD1031" s="3">
        <f>IFERROR(INDEX(EVENTOS!$D:$D,MATCH(SCORE!AD$2&amp;" "&amp;SCORE!$D1031,EVENTOS!$F:$F,0)),0)</f>
        <v>0</v>
      </c>
      <c r="AE1031" s="3">
        <f t="shared" si="48"/>
        <v>0</v>
      </c>
      <c r="AF1031" s="10" t="e">
        <f t="shared" si="49"/>
        <v>#N/A</v>
      </c>
      <c r="AG1031" s="3" t="str">
        <f t="shared" si="50"/>
        <v/>
      </c>
    </row>
    <row r="1032" spans="1:33" x14ac:dyDescent="0.25">
      <c r="A1032" s="7"/>
      <c r="B1032" s="8"/>
      <c r="C1032" s="3"/>
      <c r="D1032" s="3"/>
      <c r="E1032" s="3" t="e">
        <f>VLOOKUP(D1032,VIAJES!$D:$E,2,FALSE)</f>
        <v>#N/A</v>
      </c>
      <c r="F1032" s="9" t="e">
        <f>VLOOKUP(D1032,VIAJES!$D:$F,3,FALSE)</f>
        <v>#N/A</v>
      </c>
      <c r="G1032" s="9" t="e">
        <f>VLOOKUP(D1032,VIAJES!$D:$G,4,FALSE)</f>
        <v>#N/A</v>
      </c>
      <c r="H1032" s="3" t="e">
        <f>VLOOKUP(D1032,VIAJES!$D:$H,5,FALSE)</f>
        <v>#N/A</v>
      </c>
      <c r="S1032" s="3">
        <f>IFERROR(INDEX(EVENTOS!$D:$D,MATCH(SCORE!S$2&amp;" "&amp;SCORE!$D1032,EVENTOS!$F:$F,0)),0)</f>
        <v>0</v>
      </c>
      <c r="T1032" s="3">
        <f>IFERROR(INDEX(EVENTOS!$D:$D,MATCH(SCORE!T$2&amp;" "&amp;SCORE!$D1032,EVENTOS!$F:$F,0)),0)</f>
        <v>0</v>
      </c>
      <c r="U1032" s="3">
        <f>IFERROR(INDEX(EVENTOS!$D:$D,MATCH(SCORE!U$2&amp;" "&amp;SCORE!$D1032,EVENTOS!$F:$F,0)),0)</f>
        <v>0</v>
      </c>
      <c r="V1032" s="3">
        <f>IFERROR(INDEX(EVENTOS!$D:$D,MATCH(SCORE!V$2&amp;" "&amp;SCORE!$D1032,EVENTOS!$F:$F,0)),0)</f>
        <v>0</v>
      </c>
      <c r="W1032" s="3">
        <f>IFERROR(INDEX(EVENTOS!$D:$D,MATCH(SCORE!W$2&amp;" "&amp;SCORE!$D1032,EVENTOS!$F:$F,0)),0)</f>
        <v>0</v>
      </c>
      <c r="X1032" s="3">
        <f>IFERROR(INDEX(EVENTOS!$D:$D,MATCH(SCORE!X$2&amp;" "&amp;SCORE!$D1032,EVENTOS!$F:$F,0)),0)</f>
        <v>0</v>
      </c>
      <c r="Y1032" s="3">
        <f>SUMIFS(EVENTOS!$D:$D, EVENTOS!$B:$B, D1032, EVENTOS!$E:$E, "*GirAlto*")</f>
        <v>0</v>
      </c>
      <c r="Z1032" s="3">
        <f>SUMIFS(EVENTOS!$D:$D, EVENTOS!$B:$B, D1032, EVENTOS!$E:$E, "*GirMed*")</f>
        <v>0</v>
      </c>
      <c r="AA1032" s="3">
        <f>SUMIFS(EVENTOS!$D:$D, EVENTOS!$B:$B, D1032, EVENTOS!$E:$E, "*GirBajo*")</f>
        <v>0</v>
      </c>
      <c r="AB1032" s="3">
        <f>IFERROR(INDEX(EVENTOS!$D:$D,MATCH(SCORE!AB$2&amp;" "&amp;SCORE!$D1032,EVENTOS!$F:$F,0)),0)</f>
        <v>0</v>
      </c>
      <c r="AC1032" s="3">
        <f>IFERROR(INDEX(EVENTOS!$D:$D,MATCH(SCORE!AC$2&amp;" "&amp;SCORE!$D1032,EVENTOS!$F:$F,0)),0)</f>
        <v>0</v>
      </c>
      <c r="AD1032" s="3">
        <f>IFERROR(INDEX(EVENTOS!$D:$D,MATCH(SCORE!AD$2&amp;" "&amp;SCORE!$D1032,EVENTOS!$F:$F,0)),0)</f>
        <v>0</v>
      </c>
      <c r="AE1032" s="3">
        <f t="shared" si="48"/>
        <v>0</v>
      </c>
      <c r="AF1032" s="10" t="e">
        <f t="shared" si="49"/>
        <v>#N/A</v>
      </c>
      <c r="AG1032" s="3" t="str">
        <f t="shared" si="50"/>
        <v/>
      </c>
    </row>
    <row r="1033" spans="1:33" x14ac:dyDescent="0.25">
      <c r="A1033" s="7"/>
      <c r="B1033" s="8"/>
      <c r="C1033" s="3"/>
      <c r="D1033" s="3"/>
      <c r="E1033" s="3" t="e">
        <f>VLOOKUP(D1033,VIAJES!$D:$E,2,FALSE)</f>
        <v>#N/A</v>
      </c>
      <c r="F1033" s="9" t="e">
        <f>VLOOKUP(D1033,VIAJES!$D:$F,3,FALSE)</f>
        <v>#N/A</v>
      </c>
      <c r="G1033" s="9" t="e">
        <f>VLOOKUP(D1033,VIAJES!$D:$G,4,FALSE)</f>
        <v>#N/A</v>
      </c>
      <c r="H1033" s="3" t="e">
        <f>VLOOKUP(D1033,VIAJES!$D:$H,5,FALSE)</f>
        <v>#N/A</v>
      </c>
      <c r="S1033" s="3">
        <f>IFERROR(INDEX(EVENTOS!$D:$D,MATCH(SCORE!S$2&amp;" "&amp;SCORE!$D1033,EVENTOS!$F:$F,0)),0)</f>
        <v>0</v>
      </c>
      <c r="T1033" s="3">
        <f>IFERROR(INDEX(EVENTOS!$D:$D,MATCH(SCORE!T$2&amp;" "&amp;SCORE!$D1033,EVENTOS!$F:$F,0)),0)</f>
        <v>0</v>
      </c>
      <c r="U1033" s="3">
        <f>IFERROR(INDEX(EVENTOS!$D:$D,MATCH(SCORE!U$2&amp;" "&amp;SCORE!$D1033,EVENTOS!$F:$F,0)),0)</f>
        <v>0</v>
      </c>
      <c r="V1033" s="3">
        <f>IFERROR(INDEX(EVENTOS!$D:$D,MATCH(SCORE!V$2&amp;" "&amp;SCORE!$D1033,EVENTOS!$F:$F,0)),0)</f>
        <v>0</v>
      </c>
      <c r="W1033" s="3">
        <f>IFERROR(INDEX(EVENTOS!$D:$D,MATCH(SCORE!W$2&amp;" "&amp;SCORE!$D1033,EVENTOS!$F:$F,0)),0)</f>
        <v>0</v>
      </c>
      <c r="X1033" s="3">
        <f>IFERROR(INDEX(EVENTOS!$D:$D,MATCH(SCORE!X$2&amp;" "&amp;SCORE!$D1033,EVENTOS!$F:$F,0)),0)</f>
        <v>0</v>
      </c>
      <c r="Y1033" s="3">
        <f>SUMIFS(EVENTOS!$D:$D, EVENTOS!$B:$B, D1033, EVENTOS!$E:$E, "*GirAlto*")</f>
        <v>0</v>
      </c>
      <c r="Z1033" s="3">
        <f>SUMIFS(EVENTOS!$D:$D, EVENTOS!$B:$B, D1033, EVENTOS!$E:$E, "*GirMed*")</f>
        <v>0</v>
      </c>
      <c r="AA1033" s="3">
        <f>SUMIFS(EVENTOS!$D:$D, EVENTOS!$B:$B, D1033, EVENTOS!$E:$E, "*GirBajo*")</f>
        <v>0</v>
      </c>
      <c r="AB1033" s="3">
        <f>IFERROR(INDEX(EVENTOS!$D:$D,MATCH(SCORE!AB$2&amp;" "&amp;SCORE!$D1033,EVENTOS!$F:$F,0)),0)</f>
        <v>0</v>
      </c>
      <c r="AC1033" s="3">
        <f>IFERROR(INDEX(EVENTOS!$D:$D,MATCH(SCORE!AC$2&amp;" "&amp;SCORE!$D1033,EVENTOS!$F:$F,0)),0)</f>
        <v>0</v>
      </c>
      <c r="AD1033" s="3">
        <f>IFERROR(INDEX(EVENTOS!$D:$D,MATCH(SCORE!AD$2&amp;" "&amp;SCORE!$D1033,EVENTOS!$F:$F,0)),0)</f>
        <v>0</v>
      </c>
      <c r="AE1033" s="3">
        <f t="shared" si="48"/>
        <v>0</v>
      </c>
      <c r="AF1033" s="10" t="e">
        <f t="shared" si="49"/>
        <v>#N/A</v>
      </c>
      <c r="AG1033" s="3" t="str">
        <f t="shared" si="50"/>
        <v/>
      </c>
    </row>
    <row r="1034" spans="1:33" x14ac:dyDescent="0.25">
      <c r="A1034" s="7"/>
      <c r="B1034" s="8"/>
      <c r="C1034" s="3"/>
      <c r="D1034" s="3"/>
      <c r="E1034" s="3" t="e">
        <f>VLOOKUP(D1034,VIAJES!$D:$E,2,FALSE)</f>
        <v>#N/A</v>
      </c>
      <c r="F1034" s="9" t="e">
        <f>VLOOKUP(D1034,VIAJES!$D:$F,3,FALSE)</f>
        <v>#N/A</v>
      </c>
      <c r="G1034" s="9" t="e">
        <f>VLOOKUP(D1034,VIAJES!$D:$G,4,FALSE)</f>
        <v>#N/A</v>
      </c>
      <c r="H1034" s="3" t="e">
        <f>VLOOKUP(D1034,VIAJES!$D:$H,5,FALSE)</f>
        <v>#N/A</v>
      </c>
      <c r="S1034" s="3">
        <f>IFERROR(INDEX(EVENTOS!$D:$D,MATCH(SCORE!S$2&amp;" "&amp;SCORE!$D1034,EVENTOS!$F:$F,0)),0)</f>
        <v>0</v>
      </c>
      <c r="T1034" s="3">
        <f>IFERROR(INDEX(EVENTOS!$D:$D,MATCH(SCORE!T$2&amp;" "&amp;SCORE!$D1034,EVENTOS!$F:$F,0)),0)</f>
        <v>0</v>
      </c>
      <c r="U1034" s="3">
        <f>IFERROR(INDEX(EVENTOS!$D:$D,MATCH(SCORE!U$2&amp;" "&amp;SCORE!$D1034,EVENTOS!$F:$F,0)),0)</f>
        <v>0</v>
      </c>
      <c r="V1034" s="3">
        <f>IFERROR(INDEX(EVENTOS!$D:$D,MATCH(SCORE!V$2&amp;" "&amp;SCORE!$D1034,EVENTOS!$F:$F,0)),0)</f>
        <v>0</v>
      </c>
      <c r="W1034" s="3">
        <f>IFERROR(INDEX(EVENTOS!$D:$D,MATCH(SCORE!W$2&amp;" "&amp;SCORE!$D1034,EVENTOS!$F:$F,0)),0)</f>
        <v>0</v>
      </c>
      <c r="X1034" s="3">
        <f>IFERROR(INDEX(EVENTOS!$D:$D,MATCH(SCORE!X$2&amp;" "&amp;SCORE!$D1034,EVENTOS!$F:$F,0)),0)</f>
        <v>0</v>
      </c>
      <c r="Y1034" s="3">
        <f>SUMIFS(EVENTOS!$D:$D, EVENTOS!$B:$B, D1034, EVENTOS!$E:$E, "*GirAlto*")</f>
        <v>0</v>
      </c>
      <c r="Z1034" s="3">
        <f>SUMIFS(EVENTOS!$D:$D, EVENTOS!$B:$B, D1034, EVENTOS!$E:$E, "*GirMed*")</f>
        <v>0</v>
      </c>
      <c r="AA1034" s="3">
        <f>SUMIFS(EVENTOS!$D:$D, EVENTOS!$B:$B, D1034, EVENTOS!$E:$E, "*GirBajo*")</f>
        <v>0</v>
      </c>
      <c r="AB1034" s="3">
        <f>IFERROR(INDEX(EVENTOS!$D:$D,MATCH(SCORE!AB$2&amp;" "&amp;SCORE!$D1034,EVENTOS!$F:$F,0)),0)</f>
        <v>0</v>
      </c>
      <c r="AC1034" s="3">
        <f>IFERROR(INDEX(EVENTOS!$D:$D,MATCH(SCORE!AC$2&amp;" "&amp;SCORE!$D1034,EVENTOS!$F:$F,0)),0)</f>
        <v>0</v>
      </c>
      <c r="AD1034" s="3">
        <f>IFERROR(INDEX(EVENTOS!$D:$D,MATCH(SCORE!AD$2&amp;" "&amp;SCORE!$D1034,EVENTOS!$F:$F,0)),0)</f>
        <v>0</v>
      </c>
      <c r="AE1034" s="3">
        <f t="shared" si="48"/>
        <v>0</v>
      </c>
      <c r="AF1034" s="10" t="e">
        <f t="shared" si="49"/>
        <v>#N/A</v>
      </c>
      <c r="AG1034" s="3" t="str">
        <f t="shared" si="50"/>
        <v/>
      </c>
    </row>
    <row r="1035" spans="1:33" x14ac:dyDescent="0.25">
      <c r="A1035" s="7"/>
      <c r="B1035" s="8"/>
      <c r="C1035" s="3"/>
      <c r="D1035" s="3"/>
      <c r="E1035" s="3" t="e">
        <f>VLOOKUP(D1035,VIAJES!$D:$E,2,FALSE)</f>
        <v>#N/A</v>
      </c>
      <c r="F1035" s="9" t="e">
        <f>VLOOKUP(D1035,VIAJES!$D:$F,3,FALSE)</f>
        <v>#N/A</v>
      </c>
      <c r="G1035" s="9" t="e">
        <f>VLOOKUP(D1035,VIAJES!$D:$G,4,FALSE)</f>
        <v>#N/A</v>
      </c>
      <c r="H1035" s="3" t="e">
        <f>VLOOKUP(D1035,VIAJES!$D:$H,5,FALSE)</f>
        <v>#N/A</v>
      </c>
      <c r="S1035" s="3">
        <f>IFERROR(INDEX(EVENTOS!$D:$D,MATCH(SCORE!S$2&amp;" "&amp;SCORE!$D1035,EVENTOS!$F:$F,0)),0)</f>
        <v>0</v>
      </c>
      <c r="T1035" s="3">
        <f>IFERROR(INDEX(EVENTOS!$D:$D,MATCH(SCORE!T$2&amp;" "&amp;SCORE!$D1035,EVENTOS!$F:$F,0)),0)</f>
        <v>0</v>
      </c>
      <c r="U1035" s="3">
        <f>IFERROR(INDEX(EVENTOS!$D:$D,MATCH(SCORE!U$2&amp;" "&amp;SCORE!$D1035,EVENTOS!$F:$F,0)),0)</f>
        <v>0</v>
      </c>
      <c r="V1035" s="3">
        <f>IFERROR(INDEX(EVENTOS!$D:$D,MATCH(SCORE!V$2&amp;" "&amp;SCORE!$D1035,EVENTOS!$F:$F,0)),0)</f>
        <v>0</v>
      </c>
      <c r="W1035" s="3">
        <f>IFERROR(INDEX(EVENTOS!$D:$D,MATCH(SCORE!W$2&amp;" "&amp;SCORE!$D1035,EVENTOS!$F:$F,0)),0)</f>
        <v>0</v>
      </c>
      <c r="X1035" s="3">
        <f>IFERROR(INDEX(EVENTOS!$D:$D,MATCH(SCORE!X$2&amp;" "&amp;SCORE!$D1035,EVENTOS!$F:$F,0)),0)</f>
        <v>0</v>
      </c>
      <c r="Y1035" s="3">
        <f>SUMIFS(EVENTOS!$D:$D, EVENTOS!$B:$B, D1035, EVENTOS!$E:$E, "*GirAlto*")</f>
        <v>0</v>
      </c>
      <c r="Z1035" s="3">
        <f>SUMIFS(EVENTOS!$D:$D, EVENTOS!$B:$B, D1035, EVENTOS!$E:$E, "*GirMed*")</f>
        <v>0</v>
      </c>
      <c r="AA1035" s="3">
        <f>SUMIFS(EVENTOS!$D:$D, EVENTOS!$B:$B, D1035, EVENTOS!$E:$E, "*GirBajo*")</f>
        <v>0</v>
      </c>
      <c r="AB1035" s="3">
        <f>IFERROR(INDEX(EVENTOS!$D:$D,MATCH(SCORE!AB$2&amp;" "&amp;SCORE!$D1035,EVENTOS!$F:$F,0)),0)</f>
        <v>0</v>
      </c>
      <c r="AC1035" s="3">
        <f>IFERROR(INDEX(EVENTOS!$D:$D,MATCH(SCORE!AC$2&amp;" "&amp;SCORE!$D1035,EVENTOS!$F:$F,0)),0)</f>
        <v>0</v>
      </c>
      <c r="AD1035" s="3">
        <f>IFERROR(INDEX(EVENTOS!$D:$D,MATCH(SCORE!AD$2&amp;" "&amp;SCORE!$D1035,EVENTOS!$F:$F,0)),0)</f>
        <v>0</v>
      </c>
      <c r="AE1035" s="3">
        <f t="shared" si="48"/>
        <v>0</v>
      </c>
      <c r="AF1035" s="10" t="e">
        <f t="shared" si="49"/>
        <v>#N/A</v>
      </c>
      <c r="AG1035" s="3" t="str">
        <f t="shared" si="50"/>
        <v/>
      </c>
    </row>
    <row r="1036" spans="1:33" x14ac:dyDescent="0.25">
      <c r="A1036" s="7"/>
      <c r="B1036" s="8"/>
      <c r="C1036" s="3"/>
      <c r="D1036" s="3"/>
      <c r="E1036" s="3" t="e">
        <f>VLOOKUP(D1036,VIAJES!$D:$E,2,FALSE)</f>
        <v>#N/A</v>
      </c>
      <c r="F1036" s="9" t="e">
        <f>VLOOKUP(D1036,VIAJES!$D:$F,3,FALSE)</f>
        <v>#N/A</v>
      </c>
      <c r="G1036" s="9" t="e">
        <f>VLOOKUP(D1036,VIAJES!$D:$G,4,FALSE)</f>
        <v>#N/A</v>
      </c>
      <c r="H1036" s="3" t="e">
        <f>VLOOKUP(D1036,VIAJES!$D:$H,5,FALSE)</f>
        <v>#N/A</v>
      </c>
      <c r="S1036" s="3">
        <f>IFERROR(INDEX(EVENTOS!$D:$D,MATCH(SCORE!S$2&amp;" "&amp;SCORE!$D1036,EVENTOS!$F:$F,0)),0)</f>
        <v>0</v>
      </c>
      <c r="T1036" s="3">
        <f>IFERROR(INDEX(EVENTOS!$D:$D,MATCH(SCORE!T$2&amp;" "&amp;SCORE!$D1036,EVENTOS!$F:$F,0)),0)</f>
        <v>0</v>
      </c>
      <c r="U1036" s="3">
        <f>IFERROR(INDEX(EVENTOS!$D:$D,MATCH(SCORE!U$2&amp;" "&amp;SCORE!$D1036,EVENTOS!$F:$F,0)),0)</f>
        <v>0</v>
      </c>
      <c r="V1036" s="3">
        <f>IFERROR(INDEX(EVENTOS!$D:$D,MATCH(SCORE!V$2&amp;" "&amp;SCORE!$D1036,EVENTOS!$F:$F,0)),0)</f>
        <v>0</v>
      </c>
      <c r="W1036" s="3">
        <f>IFERROR(INDEX(EVENTOS!$D:$D,MATCH(SCORE!W$2&amp;" "&amp;SCORE!$D1036,EVENTOS!$F:$F,0)),0)</f>
        <v>0</v>
      </c>
      <c r="X1036" s="3">
        <f>IFERROR(INDEX(EVENTOS!$D:$D,MATCH(SCORE!X$2&amp;" "&amp;SCORE!$D1036,EVENTOS!$F:$F,0)),0)</f>
        <v>0</v>
      </c>
      <c r="Y1036" s="3">
        <f>SUMIFS(EVENTOS!$D:$D, EVENTOS!$B:$B, D1036, EVENTOS!$E:$E, "*GirAlto*")</f>
        <v>0</v>
      </c>
      <c r="Z1036" s="3">
        <f>SUMIFS(EVENTOS!$D:$D, EVENTOS!$B:$B, D1036, EVENTOS!$E:$E, "*GirMed*")</f>
        <v>0</v>
      </c>
      <c r="AA1036" s="3">
        <f>SUMIFS(EVENTOS!$D:$D, EVENTOS!$B:$B, D1036, EVENTOS!$E:$E, "*GirBajo*")</f>
        <v>0</v>
      </c>
      <c r="AB1036" s="3">
        <f>IFERROR(INDEX(EVENTOS!$D:$D,MATCH(SCORE!AB$2&amp;" "&amp;SCORE!$D1036,EVENTOS!$F:$F,0)),0)</f>
        <v>0</v>
      </c>
      <c r="AC1036" s="3">
        <f>IFERROR(INDEX(EVENTOS!$D:$D,MATCH(SCORE!AC$2&amp;" "&amp;SCORE!$D1036,EVENTOS!$F:$F,0)),0)</f>
        <v>0</v>
      </c>
      <c r="AD1036" s="3">
        <f>IFERROR(INDEX(EVENTOS!$D:$D,MATCH(SCORE!AD$2&amp;" "&amp;SCORE!$D1036,EVENTOS!$F:$F,0)),0)</f>
        <v>0</v>
      </c>
      <c r="AE1036" s="3">
        <f t="shared" si="48"/>
        <v>0</v>
      </c>
      <c r="AF1036" s="10" t="e">
        <f t="shared" si="49"/>
        <v>#N/A</v>
      </c>
      <c r="AG1036" s="3" t="str">
        <f t="shared" si="50"/>
        <v/>
      </c>
    </row>
    <row r="1037" spans="1:33" x14ac:dyDescent="0.25">
      <c r="A1037" s="7"/>
      <c r="B1037" s="8"/>
      <c r="C1037" s="3"/>
      <c r="D1037" s="3"/>
      <c r="E1037" s="3" t="e">
        <f>VLOOKUP(D1037,VIAJES!$D:$E,2,FALSE)</f>
        <v>#N/A</v>
      </c>
      <c r="F1037" s="9" t="e">
        <f>VLOOKUP(D1037,VIAJES!$D:$F,3,FALSE)</f>
        <v>#N/A</v>
      </c>
      <c r="G1037" s="9" t="e">
        <f>VLOOKUP(D1037,VIAJES!$D:$G,4,FALSE)</f>
        <v>#N/A</v>
      </c>
      <c r="H1037" s="3" t="e">
        <f>VLOOKUP(D1037,VIAJES!$D:$H,5,FALSE)</f>
        <v>#N/A</v>
      </c>
      <c r="S1037" s="3">
        <f>IFERROR(INDEX(EVENTOS!$D:$D,MATCH(SCORE!S$2&amp;" "&amp;SCORE!$D1037,EVENTOS!$F:$F,0)),0)</f>
        <v>0</v>
      </c>
      <c r="T1037" s="3">
        <f>IFERROR(INDEX(EVENTOS!$D:$D,MATCH(SCORE!T$2&amp;" "&amp;SCORE!$D1037,EVENTOS!$F:$F,0)),0)</f>
        <v>0</v>
      </c>
      <c r="U1037" s="3">
        <f>IFERROR(INDEX(EVENTOS!$D:$D,MATCH(SCORE!U$2&amp;" "&amp;SCORE!$D1037,EVENTOS!$F:$F,0)),0)</f>
        <v>0</v>
      </c>
      <c r="V1037" s="3">
        <f>IFERROR(INDEX(EVENTOS!$D:$D,MATCH(SCORE!V$2&amp;" "&amp;SCORE!$D1037,EVENTOS!$F:$F,0)),0)</f>
        <v>0</v>
      </c>
      <c r="W1037" s="3">
        <f>IFERROR(INDEX(EVENTOS!$D:$D,MATCH(SCORE!W$2&amp;" "&amp;SCORE!$D1037,EVENTOS!$F:$F,0)),0)</f>
        <v>0</v>
      </c>
      <c r="X1037" s="3">
        <f>IFERROR(INDEX(EVENTOS!$D:$D,MATCH(SCORE!X$2&amp;" "&amp;SCORE!$D1037,EVENTOS!$F:$F,0)),0)</f>
        <v>0</v>
      </c>
      <c r="Y1037" s="3">
        <f>SUMIFS(EVENTOS!$D:$D, EVENTOS!$B:$B, D1037, EVENTOS!$E:$E, "*GirAlto*")</f>
        <v>0</v>
      </c>
      <c r="Z1037" s="3">
        <f>SUMIFS(EVENTOS!$D:$D, EVENTOS!$B:$B, D1037, EVENTOS!$E:$E, "*GirMed*")</f>
        <v>0</v>
      </c>
      <c r="AA1037" s="3">
        <f>SUMIFS(EVENTOS!$D:$D, EVENTOS!$B:$B, D1037, EVENTOS!$E:$E, "*GirBajo*")</f>
        <v>0</v>
      </c>
      <c r="AB1037" s="3">
        <f>IFERROR(INDEX(EVENTOS!$D:$D,MATCH(SCORE!AB$2&amp;" "&amp;SCORE!$D1037,EVENTOS!$F:$F,0)),0)</f>
        <v>0</v>
      </c>
      <c r="AC1037" s="3">
        <f>IFERROR(INDEX(EVENTOS!$D:$D,MATCH(SCORE!AC$2&amp;" "&amp;SCORE!$D1037,EVENTOS!$F:$F,0)),0)</f>
        <v>0</v>
      </c>
      <c r="AD1037" s="3">
        <f>IFERROR(INDEX(EVENTOS!$D:$D,MATCH(SCORE!AD$2&amp;" "&amp;SCORE!$D1037,EVENTOS!$F:$F,0)),0)</f>
        <v>0</v>
      </c>
      <c r="AE1037" s="3">
        <f t="shared" si="48"/>
        <v>0</v>
      </c>
      <c r="AF1037" s="10" t="e">
        <f t="shared" si="49"/>
        <v>#N/A</v>
      </c>
      <c r="AG1037" s="3" t="str">
        <f t="shared" si="50"/>
        <v/>
      </c>
    </row>
    <row r="1038" spans="1:33" x14ac:dyDescent="0.25">
      <c r="A1038" s="7"/>
      <c r="B1038" s="8"/>
      <c r="C1038" s="3"/>
      <c r="D1038" s="3"/>
      <c r="E1038" s="3" t="e">
        <f>VLOOKUP(D1038,VIAJES!$D:$E,2,FALSE)</f>
        <v>#N/A</v>
      </c>
      <c r="F1038" s="9" t="e">
        <f>VLOOKUP(D1038,VIAJES!$D:$F,3,FALSE)</f>
        <v>#N/A</v>
      </c>
      <c r="G1038" s="9" t="e">
        <f>VLOOKUP(D1038,VIAJES!$D:$G,4,FALSE)</f>
        <v>#N/A</v>
      </c>
      <c r="H1038" s="3" t="e">
        <f>VLOOKUP(D1038,VIAJES!$D:$H,5,FALSE)</f>
        <v>#N/A</v>
      </c>
      <c r="S1038" s="3">
        <f>IFERROR(INDEX(EVENTOS!$D:$D,MATCH(SCORE!S$2&amp;" "&amp;SCORE!$D1038,EVENTOS!$F:$F,0)),0)</f>
        <v>0</v>
      </c>
      <c r="T1038" s="3">
        <f>IFERROR(INDEX(EVENTOS!$D:$D,MATCH(SCORE!T$2&amp;" "&amp;SCORE!$D1038,EVENTOS!$F:$F,0)),0)</f>
        <v>0</v>
      </c>
      <c r="U1038" s="3">
        <f>IFERROR(INDEX(EVENTOS!$D:$D,MATCH(SCORE!U$2&amp;" "&amp;SCORE!$D1038,EVENTOS!$F:$F,0)),0)</f>
        <v>0</v>
      </c>
      <c r="V1038" s="3">
        <f>IFERROR(INDEX(EVENTOS!$D:$D,MATCH(SCORE!V$2&amp;" "&amp;SCORE!$D1038,EVENTOS!$F:$F,0)),0)</f>
        <v>0</v>
      </c>
      <c r="W1038" s="3">
        <f>IFERROR(INDEX(EVENTOS!$D:$D,MATCH(SCORE!W$2&amp;" "&amp;SCORE!$D1038,EVENTOS!$F:$F,0)),0)</f>
        <v>0</v>
      </c>
      <c r="X1038" s="3">
        <f>IFERROR(INDEX(EVENTOS!$D:$D,MATCH(SCORE!X$2&amp;" "&amp;SCORE!$D1038,EVENTOS!$F:$F,0)),0)</f>
        <v>0</v>
      </c>
      <c r="Y1038" s="3">
        <f>SUMIFS(EVENTOS!$D:$D, EVENTOS!$B:$B, D1038, EVENTOS!$E:$E, "*GirAlto*")</f>
        <v>0</v>
      </c>
      <c r="Z1038" s="3">
        <f>SUMIFS(EVENTOS!$D:$D, EVENTOS!$B:$B, D1038, EVENTOS!$E:$E, "*GirMed*")</f>
        <v>0</v>
      </c>
      <c r="AA1038" s="3">
        <f>SUMIFS(EVENTOS!$D:$D, EVENTOS!$B:$B, D1038, EVENTOS!$E:$E, "*GirBajo*")</f>
        <v>0</v>
      </c>
      <c r="AB1038" s="3">
        <f>IFERROR(INDEX(EVENTOS!$D:$D,MATCH(SCORE!AB$2&amp;" "&amp;SCORE!$D1038,EVENTOS!$F:$F,0)),0)</f>
        <v>0</v>
      </c>
      <c r="AC1038" s="3">
        <f>IFERROR(INDEX(EVENTOS!$D:$D,MATCH(SCORE!AC$2&amp;" "&amp;SCORE!$D1038,EVENTOS!$F:$F,0)),0)</f>
        <v>0</v>
      </c>
      <c r="AD1038" s="3">
        <f>IFERROR(INDEX(EVENTOS!$D:$D,MATCH(SCORE!AD$2&amp;" "&amp;SCORE!$D1038,EVENTOS!$F:$F,0)),0)</f>
        <v>0</v>
      </c>
      <c r="AE1038" s="3">
        <f t="shared" si="48"/>
        <v>0</v>
      </c>
      <c r="AF1038" s="10" t="e">
        <f t="shared" si="49"/>
        <v>#N/A</v>
      </c>
      <c r="AG1038" s="3" t="str">
        <f t="shared" si="50"/>
        <v/>
      </c>
    </row>
    <row r="1039" spans="1:33" x14ac:dyDescent="0.25">
      <c r="A1039" s="7"/>
      <c r="B1039" s="8"/>
      <c r="C1039" s="3"/>
      <c r="D1039" s="3"/>
      <c r="E1039" s="3" t="e">
        <f>VLOOKUP(D1039,VIAJES!$D:$E,2,FALSE)</f>
        <v>#N/A</v>
      </c>
      <c r="F1039" s="9" t="e">
        <f>VLOOKUP(D1039,VIAJES!$D:$F,3,FALSE)</f>
        <v>#N/A</v>
      </c>
      <c r="G1039" s="9" t="e">
        <f>VLOOKUP(D1039,VIAJES!$D:$G,4,FALSE)</f>
        <v>#N/A</v>
      </c>
      <c r="H1039" s="3" t="e">
        <f>VLOOKUP(D1039,VIAJES!$D:$H,5,FALSE)</f>
        <v>#N/A</v>
      </c>
      <c r="S1039" s="3">
        <f>IFERROR(INDEX(EVENTOS!$D:$D,MATCH(SCORE!S$2&amp;" "&amp;SCORE!$D1039,EVENTOS!$F:$F,0)),0)</f>
        <v>0</v>
      </c>
      <c r="T1039" s="3">
        <f>IFERROR(INDEX(EVENTOS!$D:$D,MATCH(SCORE!T$2&amp;" "&amp;SCORE!$D1039,EVENTOS!$F:$F,0)),0)</f>
        <v>0</v>
      </c>
      <c r="U1039" s="3">
        <f>IFERROR(INDEX(EVENTOS!$D:$D,MATCH(SCORE!U$2&amp;" "&amp;SCORE!$D1039,EVENTOS!$F:$F,0)),0)</f>
        <v>0</v>
      </c>
      <c r="V1039" s="3">
        <f>IFERROR(INDEX(EVENTOS!$D:$D,MATCH(SCORE!V$2&amp;" "&amp;SCORE!$D1039,EVENTOS!$F:$F,0)),0)</f>
        <v>0</v>
      </c>
      <c r="W1039" s="3">
        <f>IFERROR(INDEX(EVENTOS!$D:$D,MATCH(SCORE!W$2&amp;" "&amp;SCORE!$D1039,EVENTOS!$F:$F,0)),0)</f>
        <v>0</v>
      </c>
      <c r="X1039" s="3">
        <f>IFERROR(INDEX(EVENTOS!$D:$D,MATCH(SCORE!X$2&amp;" "&amp;SCORE!$D1039,EVENTOS!$F:$F,0)),0)</f>
        <v>0</v>
      </c>
      <c r="Y1039" s="3">
        <f>SUMIFS(EVENTOS!$D:$D, EVENTOS!$B:$B, D1039, EVENTOS!$E:$E, "*GirAlto*")</f>
        <v>0</v>
      </c>
      <c r="Z1039" s="3">
        <f>SUMIFS(EVENTOS!$D:$D, EVENTOS!$B:$B, D1039, EVENTOS!$E:$E, "*GirMed*")</f>
        <v>0</v>
      </c>
      <c r="AA1039" s="3">
        <f>SUMIFS(EVENTOS!$D:$D, EVENTOS!$B:$B, D1039, EVENTOS!$E:$E, "*GirBajo*")</f>
        <v>0</v>
      </c>
      <c r="AB1039" s="3">
        <f>IFERROR(INDEX(EVENTOS!$D:$D,MATCH(SCORE!AB$2&amp;" "&amp;SCORE!$D1039,EVENTOS!$F:$F,0)),0)</f>
        <v>0</v>
      </c>
      <c r="AC1039" s="3">
        <f>IFERROR(INDEX(EVENTOS!$D:$D,MATCH(SCORE!AC$2&amp;" "&amp;SCORE!$D1039,EVENTOS!$F:$F,0)),0)</f>
        <v>0</v>
      </c>
      <c r="AD1039" s="3">
        <f>IFERROR(INDEX(EVENTOS!$D:$D,MATCH(SCORE!AD$2&amp;" "&amp;SCORE!$D1039,EVENTOS!$F:$F,0)),0)</f>
        <v>0</v>
      </c>
      <c r="AE1039" s="3">
        <f t="shared" si="48"/>
        <v>0</v>
      </c>
      <c r="AF1039" s="10" t="e">
        <f t="shared" si="49"/>
        <v>#N/A</v>
      </c>
      <c r="AG1039" s="3" t="str">
        <f t="shared" si="50"/>
        <v/>
      </c>
    </row>
    <row r="1040" spans="1:33" x14ac:dyDescent="0.25">
      <c r="A1040" s="7"/>
      <c r="B1040" s="8"/>
      <c r="C1040" s="3"/>
      <c r="D1040" s="3"/>
      <c r="E1040" s="3" t="e">
        <f>VLOOKUP(D1040,VIAJES!$D:$E,2,FALSE)</f>
        <v>#N/A</v>
      </c>
      <c r="F1040" s="9" t="e">
        <f>VLOOKUP(D1040,VIAJES!$D:$F,3,FALSE)</f>
        <v>#N/A</v>
      </c>
      <c r="G1040" s="9" t="e">
        <f>VLOOKUP(D1040,VIAJES!$D:$G,4,FALSE)</f>
        <v>#N/A</v>
      </c>
      <c r="H1040" s="3" t="e">
        <f>VLOOKUP(D1040,VIAJES!$D:$H,5,FALSE)</f>
        <v>#N/A</v>
      </c>
      <c r="S1040" s="3">
        <f>IFERROR(INDEX(EVENTOS!$D:$D,MATCH(SCORE!S$2&amp;" "&amp;SCORE!$D1040,EVENTOS!$F:$F,0)),0)</f>
        <v>0</v>
      </c>
      <c r="T1040" s="3">
        <f>IFERROR(INDEX(EVENTOS!$D:$D,MATCH(SCORE!T$2&amp;" "&amp;SCORE!$D1040,EVENTOS!$F:$F,0)),0)</f>
        <v>0</v>
      </c>
      <c r="U1040" s="3">
        <f>IFERROR(INDEX(EVENTOS!$D:$D,MATCH(SCORE!U$2&amp;" "&amp;SCORE!$D1040,EVENTOS!$F:$F,0)),0)</f>
        <v>0</v>
      </c>
      <c r="V1040" s="3">
        <f>IFERROR(INDEX(EVENTOS!$D:$D,MATCH(SCORE!V$2&amp;" "&amp;SCORE!$D1040,EVENTOS!$F:$F,0)),0)</f>
        <v>0</v>
      </c>
      <c r="W1040" s="3">
        <f>IFERROR(INDEX(EVENTOS!$D:$D,MATCH(SCORE!W$2&amp;" "&amp;SCORE!$D1040,EVENTOS!$F:$F,0)),0)</f>
        <v>0</v>
      </c>
      <c r="X1040" s="3">
        <f>IFERROR(INDEX(EVENTOS!$D:$D,MATCH(SCORE!X$2&amp;" "&amp;SCORE!$D1040,EVENTOS!$F:$F,0)),0)</f>
        <v>0</v>
      </c>
      <c r="Y1040" s="3">
        <f>SUMIFS(EVENTOS!$D:$D, EVENTOS!$B:$B, D1040, EVENTOS!$E:$E, "*GirAlto*")</f>
        <v>0</v>
      </c>
      <c r="Z1040" s="3">
        <f>SUMIFS(EVENTOS!$D:$D, EVENTOS!$B:$B, D1040, EVENTOS!$E:$E, "*GirMed*")</f>
        <v>0</v>
      </c>
      <c r="AA1040" s="3">
        <f>SUMIFS(EVENTOS!$D:$D, EVENTOS!$B:$B, D1040, EVENTOS!$E:$E, "*GirBajo*")</f>
        <v>0</v>
      </c>
      <c r="AB1040" s="3">
        <f>IFERROR(INDEX(EVENTOS!$D:$D,MATCH(SCORE!AB$2&amp;" "&amp;SCORE!$D1040,EVENTOS!$F:$F,0)),0)</f>
        <v>0</v>
      </c>
      <c r="AC1040" s="3">
        <f>IFERROR(INDEX(EVENTOS!$D:$D,MATCH(SCORE!AC$2&amp;" "&amp;SCORE!$D1040,EVENTOS!$F:$F,0)),0)</f>
        <v>0</v>
      </c>
      <c r="AD1040" s="3">
        <f>IFERROR(INDEX(EVENTOS!$D:$D,MATCH(SCORE!AD$2&amp;" "&amp;SCORE!$D1040,EVENTOS!$F:$F,0)),0)</f>
        <v>0</v>
      </c>
      <c r="AE1040" s="3">
        <f t="shared" si="48"/>
        <v>0</v>
      </c>
      <c r="AF1040" s="10" t="e">
        <f t="shared" si="49"/>
        <v>#N/A</v>
      </c>
      <c r="AG1040" s="3" t="str">
        <f t="shared" si="50"/>
        <v/>
      </c>
    </row>
    <row r="1041" spans="1:33" x14ac:dyDescent="0.25">
      <c r="A1041" s="7"/>
      <c r="B1041" s="8"/>
      <c r="C1041" s="3"/>
      <c r="D1041" s="3"/>
      <c r="E1041" s="3" t="e">
        <f>VLOOKUP(D1041,VIAJES!$D:$E,2,FALSE)</f>
        <v>#N/A</v>
      </c>
      <c r="F1041" s="9" t="e">
        <f>VLOOKUP(D1041,VIAJES!$D:$F,3,FALSE)</f>
        <v>#N/A</v>
      </c>
      <c r="G1041" s="9" t="e">
        <f>VLOOKUP(D1041,VIAJES!$D:$G,4,FALSE)</f>
        <v>#N/A</v>
      </c>
      <c r="H1041" s="3" t="e">
        <f>VLOOKUP(D1041,VIAJES!$D:$H,5,FALSE)</f>
        <v>#N/A</v>
      </c>
      <c r="S1041" s="3">
        <f>IFERROR(INDEX(EVENTOS!$D:$D,MATCH(SCORE!S$2&amp;" "&amp;SCORE!$D1041,EVENTOS!$F:$F,0)),0)</f>
        <v>0</v>
      </c>
      <c r="T1041" s="3">
        <f>IFERROR(INDEX(EVENTOS!$D:$D,MATCH(SCORE!T$2&amp;" "&amp;SCORE!$D1041,EVENTOS!$F:$F,0)),0)</f>
        <v>0</v>
      </c>
      <c r="U1041" s="3">
        <f>IFERROR(INDEX(EVENTOS!$D:$D,MATCH(SCORE!U$2&amp;" "&amp;SCORE!$D1041,EVENTOS!$F:$F,0)),0)</f>
        <v>0</v>
      </c>
      <c r="V1041" s="3">
        <f>IFERROR(INDEX(EVENTOS!$D:$D,MATCH(SCORE!V$2&amp;" "&amp;SCORE!$D1041,EVENTOS!$F:$F,0)),0)</f>
        <v>0</v>
      </c>
      <c r="W1041" s="3">
        <f>IFERROR(INDEX(EVENTOS!$D:$D,MATCH(SCORE!W$2&amp;" "&amp;SCORE!$D1041,EVENTOS!$F:$F,0)),0)</f>
        <v>0</v>
      </c>
      <c r="X1041" s="3">
        <f>IFERROR(INDEX(EVENTOS!$D:$D,MATCH(SCORE!X$2&amp;" "&amp;SCORE!$D1041,EVENTOS!$F:$F,0)),0)</f>
        <v>0</v>
      </c>
      <c r="Y1041" s="3">
        <f>SUMIFS(EVENTOS!$D:$D, EVENTOS!$B:$B, D1041, EVENTOS!$E:$E, "*GirAlto*")</f>
        <v>0</v>
      </c>
      <c r="Z1041" s="3">
        <f>SUMIFS(EVENTOS!$D:$D, EVENTOS!$B:$B, D1041, EVENTOS!$E:$E, "*GirMed*")</f>
        <v>0</v>
      </c>
      <c r="AA1041" s="3">
        <f>SUMIFS(EVENTOS!$D:$D, EVENTOS!$B:$B, D1041, EVENTOS!$E:$E, "*GirBajo*")</f>
        <v>0</v>
      </c>
      <c r="AB1041" s="3">
        <f>IFERROR(INDEX(EVENTOS!$D:$D,MATCH(SCORE!AB$2&amp;" "&amp;SCORE!$D1041,EVENTOS!$F:$F,0)),0)</f>
        <v>0</v>
      </c>
      <c r="AC1041" s="3">
        <f>IFERROR(INDEX(EVENTOS!$D:$D,MATCH(SCORE!AC$2&amp;" "&amp;SCORE!$D1041,EVENTOS!$F:$F,0)),0)</f>
        <v>0</v>
      </c>
      <c r="AD1041" s="3">
        <f>IFERROR(INDEX(EVENTOS!$D:$D,MATCH(SCORE!AD$2&amp;" "&amp;SCORE!$D1041,EVENTOS!$F:$F,0)),0)</f>
        <v>0</v>
      </c>
      <c r="AE1041" s="3">
        <f t="shared" si="48"/>
        <v>0</v>
      </c>
      <c r="AF1041" s="10" t="e">
        <f t="shared" si="49"/>
        <v>#N/A</v>
      </c>
      <c r="AG1041" s="3" t="str">
        <f t="shared" si="50"/>
        <v/>
      </c>
    </row>
    <row r="1042" spans="1:33" x14ac:dyDescent="0.25">
      <c r="A1042" s="7"/>
      <c r="B1042" s="8"/>
      <c r="C1042" s="3"/>
      <c r="D1042" s="3"/>
      <c r="E1042" s="3" t="e">
        <f>VLOOKUP(D1042,VIAJES!$D:$E,2,FALSE)</f>
        <v>#N/A</v>
      </c>
      <c r="F1042" s="9" t="e">
        <f>VLOOKUP(D1042,VIAJES!$D:$F,3,FALSE)</f>
        <v>#N/A</v>
      </c>
      <c r="G1042" s="9" t="e">
        <f>VLOOKUP(D1042,VIAJES!$D:$G,4,FALSE)</f>
        <v>#N/A</v>
      </c>
      <c r="H1042" s="3" t="e">
        <f>VLOOKUP(D1042,VIAJES!$D:$H,5,FALSE)</f>
        <v>#N/A</v>
      </c>
      <c r="S1042" s="3">
        <f>IFERROR(INDEX(EVENTOS!$D:$D,MATCH(SCORE!S$2&amp;" "&amp;SCORE!$D1042,EVENTOS!$F:$F,0)),0)</f>
        <v>0</v>
      </c>
      <c r="T1042" s="3">
        <f>IFERROR(INDEX(EVENTOS!$D:$D,MATCH(SCORE!T$2&amp;" "&amp;SCORE!$D1042,EVENTOS!$F:$F,0)),0)</f>
        <v>0</v>
      </c>
      <c r="U1042" s="3">
        <f>IFERROR(INDEX(EVENTOS!$D:$D,MATCH(SCORE!U$2&amp;" "&amp;SCORE!$D1042,EVENTOS!$F:$F,0)),0)</f>
        <v>0</v>
      </c>
      <c r="V1042" s="3">
        <f>IFERROR(INDEX(EVENTOS!$D:$D,MATCH(SCORE!V$2&amp;" "&amp;SCORE!$D1042,EVENTOS!$F:$F,0)),0)</f>
        <v>0</v>
      </c>
      <c r="W1042" s="3">
        <f>IFERROR(INDEX(EVENTOS!$D:$D,MATCH(SCORE!W$2&amp;" "&amp;SCORE!$D1042,EVENTOS!$F:$F,0)),0)</f>
        <v>0</v>
      </c>
      <c r="X1042" s="3">
        <f>IFERROR(INDEX(EVENTOS!$D:$D,MATCH(SCORE!X$2&amp;" "&amp;SCORE!$D1042,EVENTOS!$F:$F,0)),0)</f>
        <v>0</v>
      </c>
      <c r="Y1042" s="3">
        <f>SUMIFS(EVENTOS!$D:$D, EVENTOS!$B:$B, D1042, EVENTOS!$E:$E, "*GirAlto*")</f>
        <v>0</v>
      </c>
      <c r="Z1042" s="3">
        <f>SUMIFS(EVENTOS!$D:$D, EVENTOS!$B:$B, D1042, EVENTOS!$E:$E, "*GirMed*")</f>
        <v>0</v>
      </c>
      <c r="AA1042" s="3">
        <f>SUMIFS(EVENTOS!$D:$D, EVENTOS!$B:$B, D1042, EVENTOS!$E:$E, "*GirBajo*")</f>
        <v>0</v>
      </c>
      <c r="AB1042" s="3">
        <f>IFERROR(INDEX(EVENTOS!$D:$D,MATCH(SCORE!AB$2&amp;" "&amp;SCORE!$D1042,EVENTOS!$F:$F,0)),0)</f>
        <v>0</v>
      </c>
      <c r="AC1042" s="3">
        <f>IFERROR(INDEX(EVENTOS!$D:$D,MATCH(SCORE!AC$2&amp;" "&amp;SCORE!$D1042,EVENTOS!$F:$F,0)),0)</f>
        <v>0</v>
      </c>
      <c r="AD1042" s="3">
        <f>IFERROR(INDEX(EVENTOS!$D:$D,MATCH(SCORE!AD$2&amp;" "&amp;SCORE!$D1042,EVENTOS!$F:$F,0)),0)</f>
        <v>0</v>
      </c>
      <c r="AE1042" s="3">
        <f t="shared" si="48"/>
        <v>0</v>
      </c>
      <c r="AF1042" s="10" t="e">
        <f t="shared" si="49"/>
        <v>#N/A</v>
      </c>
      <c r="AG1042" s="3" t="str">
        <f t="shared" si="50"/>
        <v/>
      </c>
    </row>
    <row r="1043" spans="1:33" x14ac:dyDescent="0.25">
      <c r="A1043" s="7"/>
      <c r="B1043" s="8"/>
      <c r="C1043" s="3"/>
      <c r="D1043" s="3"/>
      <c r="E1043" s="3" t="e">
        <f>VLOOKUP(D1043,VIAJES!$D:$E,2,FALSE)</f>
        <v>#N/A</v>
      </c>
      <c r="F1043" s="9" t="e">
        <f>VLOOKUP(D1043,VIAJES!$D:$F,3,FALSE)</f>
        <v>#N/A</v>
      </c>
      <c r="G1043" s="9" t="e">
        <f>VLOOKUP(D1043,VIAJES!$D:$G,4,FALSE)</f>
        <v>#N/A</v>
      </c>
      <c r="H1043" s="3" t="e">
        <f>VLOOKUP(D1043,VIAJES!$D:$H,5,FALSE)</f>
        <v>#N/A</v>
      </c>
      <c r="S1043" s="3">
        <f>IFERROR(INDEX(EVENTOS!$D:$D,MATCH(SCORE!S$2&amp;" "&amp;SCORE!$D1043,EVENTOS!$F:$F,0)),0)</f>
        <v>0</v>
      </c>
      <c r="T1043" s="3">
        <f>IFERROR(INDEX(EVENTOS!$D:$D,MATCH(SCORE!T$2&amp;" "&amp;SCORE!$D1043,EVENTOS!$F:$F,0)),0)</f>
        <v>0</v>
      </c>
      <c r="U1043" s="3">
        <f>IFERROR(INDEX(EVENTOS!$D:$D,MATCH(SCORE!U$2&amp;" "&amp;SCORE!$D1043,EVENTOS!$F:$F,0)),0)</f>
        <v>0</v>
      </c>
      <c r="V1043" s="3">
        <f>IFERROR(INDEX(EVENTOS!$D:$D,MATCH(SCORE!V$2&amp;" "&amp;SCORE!$D1043,EVENTOS!$F:$F,0)),0)</f>
        <v>0</v>
      </c>
      <c r="W1043" s="3">
        <f>IFERROR(INDEX(EVENTOS!$D:$D,MATCH(SCORE!W$2&amp;" "&amp;SCORE!$D1043,EVENTOS!$F:$F,0)),0)</f>
        <v>0</v>
      </c>
      <c r="X1043" s="3">
        <f>IFERROR(INDEX(EVENTOS!$D:$D,MATCH(SCORE!X$2&amp;" "&amp;SCORE!$D1043,EVENTOS!$F:$F,0)),0)</f>
        <v>0</v>
      </c>
      <c r="Y1043" s="3">
        <f>SUMIFS(EVENTOS!$D:$D, EVENTOS!$B:$B, D1043, EVENTOS!$E:$E, "*GirAlto*")</f>
        <v>0</v>
      </c>
      <c r="Z1043" s="3">
        <f>SUMIFS(EVENTOS!$D:$D, EVENTOS!$B:$B, D1043, EVENTOS!$E:$E, "*GirMed*")</f>
        <v>0</v>
      </c>
      <c r="AA1043" s="3">
        <f>SUMIFS(EVENTOS!$D:$D, EVENTOS!$B:$B, D1043, EVENTOS!$E:$E, "*GirBajo*")</f>
        <v>0</v>
      </c>
      <c r="AB1043" s="3">
        <f>IFERROR(INDEX(EVENTOS!$D:$D,MATCH(SCORE!AB$2&amp;" "&amp;SCORE!$D1043,EVENTOS!$F:$F,0)),0)</f>
        <v>0</v>
      </c>
      <c r="AC1043" s="3">
        <f>IFERROR(INDEX(EVENTOS!$D:$D,MATCH(SCORE!AC$2&amp;" "&amp;SCORE!$D1043,EVENTOS!$F:$F,0)),0)</f>
        <v>0</v>
      </c>
      <c r="AD1043" s="3">
        <f>IFERROR(INDEX(EVENTOS!$D:$D,MATCH(SCORE!AD$2&amp;" "&amp;SCORE!$D1043,EVENTOS!$F:$F,0)),0)</f>
        <v>0</v>
      </c>
      <c r="AE1043" s="3">
        <f t="shared" si="48"/>
        <v>0</v>
      </c>
      <c r="AF1043" s="10" t="e">
        <f t="shared" si="49"/>
        <v>#N/A</v>
      </c>
      <c r="AG1043" s="3" t="str">
        <f t="shared" si="50"/>
        <v/>
      </c>
    </row>
    <row r="1044" spans="1:33" x14ac:dyDescent="0.25">
      <c r="A1044" s="7"/>
      <c r="B1044" s="8"/>
      <c r="C1044" s="3"/>
      <c r="D1044" s="3"/>
      <c r="E1044" s="3" t="e">
        <f>VLOOKUP(D1044,VIAJES!$D:$E,2,FALSE)</f>
        <v>#N/A</v>
      </c>
      <c r="F1044" s="9" t="e">
        <f>VLOOKUP(D1044,VIAJES!$D:$F,3,FALSE)</f>
        <v>#N/A</v>
      </c>
      <c r="G1044" s="9" t="e">
        <f>VLOOKUP(D1044,VIAJES!$D:$G,4,FALSE)</f>
        <v>#N/A</v>
      </c>
      <c r="H1044" s="3" t="e">
        <f>VLOOKUP(D1044,VIAJES!$D:$H,5,FALSE)</f>
        <v>#N/A</v>
      </c>
      <c r="S1044" s="3">
        <f>IFERROR(INDEX(EVENTOS!$D:$D,MATCH(SCORE!S$2&amp;" "&amp;SCORE!$D1044,EVENTOS!$F:$F,0)),0)</f>
        <v>0</v>
      </c>
      <c r="T1044" s="3">
        <f>IFERROR(INDEX(EVENTOS!$D:$D,MATCH(SCORE!T$2&amp;" "&amp;SCORE!$D1044,EVENTOS!$F:$F,0)),0)</f>
        <v>0</v>
      </c>
      <c r="U1044" s="3">
        <f>IFERROR(INDEX(EVENTOS!$D:$D,MATCH(SCORE!U$2&amp;" "&amp;SCORE!$D1044,EVENTOS!$F:$F,0)),0)</f>
        <v>0</v>
      </c>
      <c r="V1044" s="3">
        <f>IFERROR(INDEX(EVENTOS!$D:$D,MATCH(SCORE!V$2&amp;" "&amp;SCORE!$D1044,EVENTOS!$F:$F,0)),0)</f>
        <v>0</v>
      </c>
      <c r="W1044" s="3">
        <f>IFERROR(INDEX(EVENTOS!$D:$D,MATCH(SCORE!W$2&amp;" "&amp;SCORE!$D1044,EVENTOS!$F:$F,0)),0)</f>
        <v>0</v>
      </c>
      <c r="X1044" s="3">
        <f>IFERROR(INDEX(EVENTOS!$D:$D,MATCH(SCORE!X$2&amp;" "&amp;SCORE!$D1044,EVENTOS!$F:$F,0)),0)</f>
        <v>0</v>
      </c>
      <c r="Y1044" s="3">
        <f>SUMIFS(EVENTOS!$D:$D, EVENTOS!$B:$B, D1044, EVENTOS!$E:$E, "*GirAlto*")</f>
        <v>0</v>
      </c>
      <c r="Z1044" s="3">
        <f>SUMIFS(EVENTOS!$D:$D, EVENTOS!$B:$B, D1044, EVENTOS!$E:$E, "*GirMed*")</f>
        <v>0</v>
      </c>
      <c r="AA1044" s="3">
        <f>SUMIFS(EVENTOS!$D:$D, EVENTOS!$B:$B, D1044, EVENTOS!$E:$E, "*GirBajo*")</f>
        <v>0</v>
      </c>
      <c r="AB1044" s="3">
        <f>IFERROR(INDEX(EVENTOS!$D:$D,MATCH(SCORE!AB$2&amp;" "&amp;SCORE!$D1044,EVENTOS!$F:$F,0)),0)</f>
        <v>0</v>
      </c>
      <c r="AC1044" s="3">
        <f>IFERROR(INDEX(EVENTOS!$D:$D,MATCH(SCORE!AC$2&amp;" "&amp;SCORE!$D1044,EVENTOS!$F:$F,0)),0)</f>
        <v>0</v>
      </c>
      <c r="AD1044" s="3">
        <f>IFERROR(INDEX(EVENTOS!$D:$D,MATCH(SCORE!AD$2&amp;" "&amp;SCORE!$D1044,EVENTOS!$F:$F,0)),0)</f>
        <v>0</v>
      </c>
      <c r="AE1044" s="3">
        <f t="shared" si="48"/>
        <v>0</v>
      </c>
      <c r="AF1044" s="10" t="e">
        <f t="shared" si="49"/>
        <v>#N/A</v>
      </c>
      <c r="AG1044" s="3" t="str">
        <f t="shared" si="50"/>
        <v/>
      </c>
    </row>
    <row r="1045" spans="1:33" x14ac:dyDescent="0.25">
      <c r="A1045" s="7"/>
      <c r="B1045" s="8"/>
      <c r="C1045" s="3"/>
      <c r="D1045" s="3"/>
      <c r="E1045" s="3" t="e">
        <f>VLOOKUP(D1045,VIAJES!$D:$E,2,FALSE)</f>
        <v>#N/A</v>
      </c>
      <c r="F1045" s="9" t="e">
        <f>VLOOKUP(D1045,VIAJES!$D:$F,3,FALSE)</f>
        <v>#N/A</v>
      </c>
      <c r="G1045" s="9" t="e">
        <f>VLOOKUP(D1045,VIAJES!$D:$G,4,FALSE)</f>
        <v>#N/A</v>
      </c>
      <c r="H1045" s="3" t="e">
        <f>VLOOKUP(D1045,VIAJES!$D:$H,5,FALSE)</f>
        <v>#N/A</v>
      </c>
      <c r="S1045" s="3">
        <f>IFERROR(INDEX(EVENTOS!$D:$D,MATCH(SCORE!S$2&amp;" "&amp;SCORE!$D1045,EVENTOS!$F:$F,0)),0)</f>
        <v>0</v>
      </c>
      <c r="T1045" s="3">
        <f>IFERROR(INDEX(EVENTOS!$D:$D,MATCH(SCORE!T$2&amp;" "&amp;SCORE!$D1045,EVENTOS!$F:$F,0)),0)</f>
        <v>0</v>
      </c>
      <c r="U1045" s="3">
        <f>IFERROR(INDEX(EVENTOS!$D:$D,MATCH(SCORE!U$2&amp;" "&amp;SCORE!$D1045,EVENTOS!$F:$F,0)),0)</f>
        <v>0</v>
      </c>
      <c r="V1045" s="3">
        <f>IFERROR(INDEX(EVENTOS!$D:$D,MATCH(SCORE!V$2&amp;" "&amp;SCORE!$D1045,EVENTOS!$F:$F,0)),0)</f>
        <v>0</v>
      </c>
      <c r="W1045" s="3">
        <f>IFERROR(INDEX(EVENTOS!$D:$D,MATCH(SCORE!W$2&amp;" "&amp;SCORE!$D1045,EVENTOS!$F:$F,0)),0)</f>
        <v>0</v>
      </c>
      <c r="X1045" s="3">
        <f>IFERROR(INDEX(EVENTOS!$D:$D,MATCH(SCORE!X$2&amp;" "&amp;SCORE!$D1045,EVENTOS!$F:$F,0)),0)</f>
        <v>0</v>
      </c>
      <c r="Y1045" s="3">
        <f>SUMIFS(EVENTOS!$D:$D, EVENTOS!$B:$B, D1045, EVENTOS!$E:$E, "*GirAlto*")</f>
        <v>0</v>
      </c>
      <c r="Z1045" s="3">
        <f>SUMIFS(EVENTOS!$D:$D, EVENTOS!$B:$B, D1045, EVENTOS!$E:$E, "*GirMed*")</f>
        <v>0</v>
      </c>
      <c r="AA1045" s="3">
        <f>SUMIFS(EVENTOS!$D:$D, EVENTOS!$B:$B, D1045, EVENTOS!$E:$E, "*GirBajo*")</f>
        <v>0</v>
      </c>
      <c r="AB1045" s="3">
        <f>IFERROR(INDEX(EVENTOS!$D:$D,MATCH(SCORE!AB$2&amp;" "&amp;SCORE!$D1045,EVENTOS!$F:$F,0)),0)</f>
        <v>0</v>
      </c>
      <c r="AC1045" s="3">
        <f>IFERROR(INDEX(EVENTOS!$D:$D,MATCH(SCORE!AC$2&amp;" "&amp;SCORE!$D1045,EVENTOS!$F:$F,0)),0)</f>
        <v>0</v>
      </c>
      <c r="AD1045" s="3">
        <f>IFERROR(INDEX(EVENTOS!$D:$D,MATCH(SCORE!AD$2&amp;" "&amp;SCORE!$D1045,EVENTOS!$F:$F,0)),0)</f>
        <v>0</v>
      </c>
      <c r="AE1045" s="3">
        <f t="shared" si="48"/>
        <v>0</v>
      </c>
      <c r="AF1045" s="10" t="e">
        <f t="shared" si="49"/>
        <v>#N/A</v>
      </c>
      <c r="AG1045" s="3" t="str">
        <f t="shared" si="50"/>
        <v/>
      </c>
    </row>
    <row r="1046" spans="1:33" x14ac:dyDescent="0.25">
      <c r="A1046" s="7"/>
      <c r="B1046" s="8"/>
      <c r="C1046" s="3"/>
      <c r="D1046" s="3"/>
      <c r="E1046" s="3" t="e">
        <f>VLOOKUP(D1046,VIAJES!$D:$E,2,FALSE)</f>
        <v>#N/A</v>
      </c>
      <c r="F1046" s="9" t="e">
        <f>VLOOKUP(D1046,VIAJES!$D:$F,3,FALSE)</f>
        <v>#N/A</v>
      </c>
      <c r="G1046" s="9" t="e">
        <f>VLOOKUP(D1046,VIAJES!$D:$G,4,FALSE)</f>
        <v>#N/A</v>
      </c>
      <c r="H1046" s="3" t="e">
        <f>VLOOKUP(D1046,VIAJES!$D:$H,5,FALSE)</f>
        <v>#N/A</v>
      </c>
      <c r="S1046" s="3">
        <f>IFERROR(INDEX(EVENTOS!$D:$D,MATCH(SCORE!S$2&amp;" "&amp;SCORE!$D1046,EVENTOS!$F:$F,0)),0)</f>
        <v>0</v>
      </c>
      <c r="T1046" s="3">
        <f>IFERROR(INDEX(EVENTOS!$D:$D,MATCH(SCORE!T$2&amp;" "&amp;SCORE!$D1046,EVENTOS!$F:$F,0)),0)</f>
        <v>0</v>
      </c>
      <c r="U1046" s="3">
        <f>IFERROR(INDEX(EVENTOS!$D:$D,MATCH(SCORE!U$2&amp;" "&amp;SCORE!$D1046,EVENTOS!$F:$F,0)),0)</f>
        <v>0</v>
      </c>
      <c r="V1046" s="3">
        <f>IFERROR(INDEX(EVENTOS!$D:$D,MATCH(SCORE!V$2&amp;" "&amp;SCORE!$D1046,EVENTOS!$F:$F,0)),0)</f>
        <v>0</v>
      </c>
      <c r="W1046" s="3">
        <f>IFERROR(INDEX(EVENTOS!$D:$D,MATCH(SCORE!W$2&amp;" "&amp;SCORE!$D1046,EVENTOS!$F:$F,0)),0)</f>
        <v>0</v>
      </c>
      <c r="X1046" s="3">
        <f>IFERROR(INDEX(EVENTOS!$D:$D,MATCH(SCORE!X$2&amp;" "&amp;SCORE!$D1046,EVENTOS!$F:$F,0)),0)</f>
        <v>0</v>
      </c>
      <c r="Y1046" s="3">
        <f>SUMIFS(EVENTOS!$D:$D, EVENTOS!$B:$B, D1046, EVENTOS!$E:$E, "*GirAlto*")</f>
        <v>0</v>
      </c>
      <c r="Z1046" s="3">
        <f>SUMIFS(EVENTOS!$D:$D, EVENTOS!$B:$B, D1046, EVENTOS!$E:$E, "*GirMed*")</f>
        <v>0</v>
      </c>
      <c r="AA1046" s="3">
        <f>SUMIFS(EVENTOS!$D:$D, EVENTOS!$B:$B, D1046, EVENTOS!$E:$E, "*GirBajo*")</f>
        <v>0</v>
      </c>
      <c r="AB1046" s="3">
        <f>IFERROR(INDEX(EVENTOS!$D:$D,MATCH(SCORE!AB$2&amp;" "&amp;SCORE!$D1046,EVENTOS!$F:$F,0)),0)</f>
        <v>0</v>
      </c>
      <c r="AC1046" s="3">
        <f>IFERROR(INDEX(EVENTOS!$D:$D,MATCH(SCORE!AC$2&amp;" "&amp;SCORE!$D1046,EVENTOS!$F:$F,0)),0)</f>
        <v>0</v>
      </c>
      <c r="AD1046" s="3">
        <f>IFERROR(INDEX(EVENTOS!$D:$D,MATCH(SCORE!AD$2&amp;" "&amp;SCORE!$D1046,EVENTOS!$F:$F,0)),0)</f>
        <v>0</v>
      </c>
      <c r="AE1046" s="3">
        <f t="shared" si="48"/>
        <v>0</v>
      </c>
      <c r="AF1046" s="10" t="e">
        <f t="shared" si="49"/>
        <v>#N/A</v>
      </c>
      <c r="AG1046" s="3" t="str">
        <f t="shared" si="50"/>
        <v/>
      </c>
    </row>
    <row r="1047" spans="1:33" x14ac:dyDescent="0.25">
      <c r="A1047" s="7"/>
      <c r="B1047" s="8"/>
      <c r="C1047" s="3"/>
      <c r="D1047" s="3"/>
      <c r="E1047" s="3" t="e">
        <f>VLOOKUP(D1047,VIAJES!$D:$E,2,FALSE)</f>
        <v>#N/A</v>
      </c>
      <c r="F1047" s="9" t="e">
        <f>VLOOKUP(D1047,VIAJES!$D:$F,3,FALSE)</f>
        <v>#N/A</v>
      </c>
      <c r="G1047" s="9" t="e">
        <f>VLOOKUP(D1047,VIAJES!$D:$G,4,FALSE)</f>
        <v>#N/A</v>
      </c>
      <c r="H1047" s="3" t="e">
        <f>VLOOKUP(D1047,VIAJES!$D:$H,5,FALSE)</f>
        <v>#N/A</v>
      </c>
      <c r="S1047" s="3">
        <f>IFERROR(INDEX(EVENTOS!$D:$D,MATCH(SCORE!S$2&amp;" "&amp;SCORE!$D1047,EVENTOS!$F:$F,0)),0)</f>
        <v>0</v>
      </c>
      <c r="T1047" s="3">
        <f>IFERROR(INDEX(EVENTOS!$D:$D,MATCH(SCORE!T$2&amp;" "&amp;SCORE!$D1047,EVENTOS!$F:$F,0)),0)</f>
        <v>0</v>
      </c>
      <c r="U1047" s="3">
        <f>IFERROR(INDEX(EVENTOS!$D:$D,MATCH(SCORE!U$2&amp;" "&amp;SCORE!$D1047,EVENTOS!$F:$F,0)),0)</f>
        <v>0</v>
      </c>
      <c r="V1047" s="3">
        <f>IFERROR(INDEX(EVENTOS!$D:$D,MATCH(SCORE!V$2&amp;" "&amp;SCORE!$D1047,EVENTOS!$F:$F,0)),0)</f>
        <v>0</v>
      </c>
      <c r="W1047" s="3">
        <f>IFERROR(INDEX(EVENTOS!$D:$D,MATCH(SCORE!W$2&amp;" "&amp;SCORE!$D1047,EVENTOS!$F:$F,0)),0)</f>
        <v>0</v>
      </c>
      <c r="X1047" s="3">
        <f>IFERROR(INDEX(EVENTOS!$D:$D,MATCH(SCORE!X$2&amp;" "&amp;SCORE!$D1047,EVENTOS!$F:$F,0)),0)</f>
        <v>0</v>
      </c>
      <c r="Y1047" s="3">
        <f>SUMIFS(EVENTOS!$D:$D, EVENTOS!$B:$B, D1047, EVENTOS!$E:$E, "*GirAlto*")</f>
        <v>0</v>
      </c>
      <c r="Z1047" s="3">
        <f>SUMIFS(EVENTOS!$D:$D, EVENTOS!$B:$B, D1047, EVENTOS!$E:$E, "*GirMed*")</f>
        <v>0</v>
      </c>
      <c r="AA1047" s="3">
        <f>SUMIFS(EVENTOS!$D:$D, EVENTOS!$B:$B, D1047, EVENTOS!$E:$E, "*GirBajo*")</f>
        <v>0</v>
      </c>
      <c r="AB1047" s="3">
        <f>IFERROR(INDEX(EVENTOS!$D:$D,MATCH(SCORE!AB$2&amp;" "&amp;SCORE!$D1047,EVENTOS!$F:$F,0)),0)</f>
        <v>0</v>
      </c>
      <c r="AC1047" s="3">
        <f>IFERROR(INDEX(EVENTOS!$D:$D,MATCH(SCORE!AC$2&amp;" "&amp;SCORE!$D1047,EVENTOS!$F:$F,0)),0)</f>
        <v>0</v>
      </c>
      <c r="AD1047" s="3">
        <f>IFERROR(INDEX(EVENTOS!$D:$D,MATCH(SCORE!AD$2&amp;" "&amp;SCORE!$D1047,EVENTOS!$F:$F,0)),0)</f>
        <v>0</v>
      </c>
      <c r="AE1047" s="3">
        <f t="shared" si="48"/>
        <v>0</v>
      </c>
      <c r="AF1047" s="10" t="e">
        <f t="shared" si="49"/>
        <v>#N/A</v>
      </c>
      <c r="AG1047" s="3" t="str">
        <f t="shared" si="50"/>
        <v/>
      </c>
    </row>
    <row r="1048" spans="1:33" x14ac:dyDescent="0.25">
      <c r="A1048" s="7"/>
      <c r="B1048" s="8"/>
      <c r="C1048" s="3"/>
      <c r="D1048" s="3"/>
      <c r="E1048" s="3" t="e">
        <f>VLOOKUP(D1048,VIAJES!$D:$E,2,FALSE)</f>
        <v>#N/A</v>
      </c>
      <c r="F1048" s="9" t="e">
        <f>VLOOKUP(D1048,VIAJES!$D:$F,3,FALSE)</f>
        <v>#N/A</v>
      </c>
      <c r="G1048" s="9" t="e">
        <f>VLOOKUP(D1048,VIAJES!$D:$G,4,FALSE)</f>
        <v>#N/A</v>
      </c>
      <c r="H1048" s="3" t="e">
        <f>VLOOKUP(D1048,VIAJES!$D:$H,5,FALSE)</f>
        <v>#N/A</v>
      </c>
      <c r="S1048" s="3">
        <f>IFERROR(INDEX(EVENTOS!$D:$D,MATCH(SCORE!S$2&amp;" "&amp;SCORE!$D1048,EVENTOS!$F:$F,0)),0)</f>
        <v>0</v>
      </c>
      <c r="T1048" s="3">
        <f>IFERROR(INDEX(EVENTOS!$D:$D,MATCH(SCORE!T$2&amp;" "&amp;SCORE!$D1048,EVENTOS!$F:$F,0)),0)</f>
        <v>0</v>
      </c>
      <c r="U1048" s="3">
        <f>IFERROR(INDEX(EVENTOS!$D:$D,MATCH(SCORE!U$2&amp;" "&amp;SCORE!$D1048,EVENTOS!$F:$F,0)),0)</f>
        <v>0</v>
      </c>
      <c r="V1048" s="3">
        <f>IFERROR(INDEX(EVENTOS!$D:$D,MATCH(SCORE!V$2&amp;" "&amp;SCORE!$D1048,EVENTOS!$F:$F,0)),0)</f>
        <v>0</v>
      </c>
      <c r="W1048" s="3">
        <f>IFERROR(INDEX(EVENTOS!$D:$D,MATCH(SCORE!W$2&amp;" "&amp;SCORE!$D1048,EVENTOS!$F:$F,0)),0)</f>
        <v>0</v>
      </c>
      <c r="X1048" s="3">
        <f>IFERROR(INDEX(EVENTOS!$D:$D,MATCH(SCORE!X$2&amp;" "&amp;SCORE!$D1048,EVENTOS!$F:$F,0)),0)</f>
        <v>0</v>
      </c>
      <c r="Y1048" s="3">
        <f>SUMIFS(EVENTOS!$D:$D, EVENTOS!$B:$B, D1048, EVENTOS!$E:$E, "*GirAlto*")</f>
        <v>0</v>
      </c>
      <c r="Z1048" s="3">
        <f>SUMIFS(EVENTOS!$D:$D, EVENTOS!$B:$B, D1048, EVENTOS!$E:$E, "*GirMed*")</f>
        <v>0</v>
      </c>
      <c r="AA1048" s="3">
        <f>SUMIFS(EVENTOS!$D:$D, EVENTOS!$B:$B, D1048, EVENTOS!$E:$E, "*GirBajo*")</f>
        <v>0</v>
      </c>
      <c r="AB1048" s="3">
        <f>IFERROR(INDEX(EVENTOS!$D:$D,MATCH(SCORE!AB$2&amp;" "&amp;SCORE!$D1048,EVENTOS!$F:$F,0)),0)</f>
        <v>0</v>
      </c>
      <c r="AC1048" s="3">
        <f>IFERROR(INDEX(EVENTOS!$D:$D,MATCH(SCORE!AC$2&amp;" "&amp;SCORE!$D1048,EVENTOS!$F:$F,0)),0)</f>
        <v>0</v>
      </c>
      <c r="AD1048" s="3">
        <f>IFERROR(INDEX(EVENTOS!$D:$D,MATCH(SCORE!AD$2&amp;" "&amp;SCORE!$D1048,EVENTOS!$F:$F,0)),0)</f>
        <v>0</v>
      </c>
      <c r="AE1048" s="3">
        <f t="shared" si="48"/>
        <v>0</v>
      </c>
      <c r="AF1048" s="10" t="e">
        <f t="shared" si="49"/>
        <v>#N/A</v>
      </c>
      <c r="AG1048" s="3" t="str">
        <f t="shared" si="50"/>
        <v/>
      </c>
    </row>
    <row r="1049" spans="1:33" x14ac:dyDescent="0.25">
      <c r="A1049" s="7"/>
      <c r="B1049" s="8"/>
      <c r="C1049" s="3"/>
      <c r="D1049" s="3"/>
      <c r="E1049" s="3" t="e">
        <f>VLOOKUP(D1049,VIAJES!$D:$E,2,FALSE)</f>
        <v>#N/A</v>
      </c>
      <c r="F1049" s="9" t="e">
        <f>VLOOKUP(D1049,VIAJES!$D:$F,3,FALSE)</f>
        <v>#N/A</v>
      </c>
      <c r="G1049" s="9" t="e">
        <f>VLOOKUP(D1049,VIAJES!$D:$G,4,FALSE)</f>
        <v>#N/A</v>
      </c>
      <c r="H1049" s="3" t="e">
        <f>VLOOKUP(D1049,VIAJES!$D:$H,5,FALSE)</f>
        <v>#N/A</v>
      </c>
      <c r="S1049" s="3">
        <f>IFERROR(INDEX(EVENTOS!$D:$D,MATCH(SCORE!S$2&amp;" "&amp;SCORE!$D1049,EVENTOS!$F:$F,0)),0)</f>
        <v>0</v>
      </c>
      <c r="T1049" s="3">
        <f>IFERROR(INDEX(EVENTOS!$D:$D,MATCH(SCORE!T$2&amp;" "&amp;SCORE!$D1049,EVENTOS!$F:$F,0)),0)</f>
        <v>0</v>
      </c>
      <c r="U1049" s="3">
        <f>IFERROR(INDEX(EVENTOS!$D:$D,MATCH(SCORE!U$2&amp;" "&amp;SCORE!$D1049,EVENTOS!$F:$F,0)),0)</f>
        <v>0</v>
      </c>
      <c r="V1049" s="3">
        <f>IFERROR(INDEX(EVENTOS!$D:$D,MATCH(SCORE!V$2&amp;" "&amp;SCORE!$D1049,EVENTOS!$F:$F,0)),0)</f>
        <v>0</v>
      </c>
      <c r="W1049" s="3">
        <f>IFERROR(INDEX(EVENTOS!$D:$D,MATCH(SCORE!W$2&amp;" "&amp;SCORE!$D1049,EVENTOS!$F:$F,0)),0)</f>
        <v>0</v>
      </c>
      <c r="X1049" s="3">
        <f>IFERROR(INDEX(EVENTOS!$D:$D,MATCH(SCORE!X$2&amp;" "&amp;SCORE!$D1049,EVENTOS!$F:$F,0)),0)</f>
        <v>0</v>
      </c>
      <c r="Y1049" s="3">
        <f>SUMIFS(EVENTOS!$D:$D, EVENTOS!$B:$B, D1049, EVENTOS!$E:$E, "*GirAlto*")</f>
        <v>0</v>
      </c>
      <c r="Z1049" s="3">
        <f>SUMIFS(EVENTOS!$D:$D, EVENTOS!$B:$B, D1049, EVENTOS!$E:$E, "*GirMed*")</f>
        <v>0</v>
      </c>
      <c r="AA1049" s="3">
        <f>SUMIFS(EVENTOS!$D:$D, EVENTOS!$B:$B, D1049, EVENTOS!$E:$E, "*GirBajo*")</f>
        <v>0</v>
      </c>
      <c r="AB1049" s="3">
        <f>IFERROR(INDEX(EVENTOS!$D:$D,MATCH(SCORE!AB$2&amp;" "&amp;SCORE!$D1049,EVENTOS!$F:$F,0)),0)</f>
        <v>0</v>
      </c>
      <c r="AC1049" s="3">
        <f>IFERROR(INDEX(EVENTOS!$D:$D,MATCH(SCORE!AC$2&amp;" "&amp;SCORE!$D1049,EVENTOS!$F:$F,0)),0)</f>
        <v>0</v>
      </c>
      <c r="AD1049" s="3">
        <f>IFERROR(INDEX(EVENTOS!$D:$D,MATCH(SCORE!AD$2&amp;" "&amp;SCORE!$D1049,EVENTOS!$F:$F,0)),0)</f>
        <v>0</v>
      </c>
      <c r="AE1049" s="3">
        <f t="shared" si="48"/>
        <v>0</v>
      </c>
      <c r="AF1049" s="10" t="e">
        <f t="shared" si="49"/>
        <v>#N/A</v>
      </c>
      <c r="AG1049" s="3" t="str">
        <f t="shared" si="50"/>
        <v/>
      </c>
    </row>
    <row r="1050" spans="1:33" x14ac:dyDescent="0.25">
      <c r="A1050" s="7"/>
      <c r="B1050" s="8"/>
      <c r="C1050" s="3"/>
      <c r="D1050" s="3"/>
      <c r="E1050" s="3" t="e">
        <f>VLOOKUP(D1050,VIAJES!$D:$E,2,FALSE)</f>
        <v>#N/A</v>
      </c>
      <c r="F1050" s="9" t="e">
        <f>VLOOKUP(D1050,VIAJES!$D:$F,3,FALSE)</f>
        <v>#N/A</v>
      </c>
      <c r="G1050" s="9" t="e">
        <f>VLOOKUP(D1050,VIAJES!$D:$G,4,FALSE)</f>
        <v>#N/A</v>
      </c>
      <c r="H1050" s="3" t="e">
        <f>VLOOKUP(D1050,VIAJES!$D:$H,5,FALSE)</f>
        <v>#N/A</v>
      </c>
      <c r="S1050" s="3">
        <f>IFERROR(INDEX(EVENTOS!$D:$D,MATCH(SCORE!S$2&amp;" "&amp;SCORE!$D1050,EVENTOS!$F:$F,0)),0)</f>
        <v>0</v>
      </c>
      <c r="T1050" s="3">
        <f>IFERROR(INDEX(EVENTOS!$D:$D,MATCH(SCORE!T$2&amp;" "&amp;SCORE!$D1050,EVENTOS!$F:$F,0)),0)</f>
        <v>0</v>
      </c>
      <c r="U1050" s="3">
        <f>IFERROR(INDEX(EVENTOS!$D:$D,MATCH(SCORE!U$2&amp;" "&amp;SCORE!$D1050,EVENTOS!$F:$F,0)),0)</f>
        <v>0</v>
      </c>
      <c r="V1050" s="3">
        <f>IFERROR(INDEX(EVENTOS!$D:$D,MATCH(SCORE!V$2&amp;" "&amp;SCORE!$D1050,EVENTOS!$F:$F,0)),0)</f>
        <v>0</v>
      </c>
      <c r="W1050" s="3">
        <f>IFERROR(INDEX(EVENTOS!$D:$D,MATCH(SCORE!W$2&amp;" "&amp;SCORE!$D1050,EVENTOS!$F:$F,0)),0)</f>
        <v>0</v>
      </c>
      <c r="X1050" s="3">
        <f>IFERROR(INDEX(EVENTOS!$D:$D,MATCH(SCORE!X$2&amp;" "&amp;SCORE!$D1050,EVENTOS!$F:$F,0)),0)</f>
        <v>0</v>
      </c>
      <c r="Y1050" s="3">
        <f>SUMIFS(EVENTOS!$D:$D, EVENTOS!$B:$B, D1050, EVENTOS!$E:$E, "*GirAlto*")</f>
        <v>0</v>
      </c>
      <c r="Z1050" s="3">
        <f>SUMIFS(EVENTOS!$D:$D, EVENTOS!$B:$B, D1050, EVENTOS!$E:$E, "*GirMed*")</f>
        <v>0</v>
      </c>
      <c r="AA1050" s="3">
        <f>SUMIFS(EVENTOS!$D:$D, EVENTOS!$B:$B, D1050, EVENTOS!$E:$E, "*GirBajo*")</f>
        <v>0</v>
      </c>
      <c r="AB1050" s="3">
        <f>IFERROR(INDEX(EVENTOS!$D:$D,MATCH(SCORE!AB$2&amp;" "&amp;SCORE!$D1050,EVENTOS!$F:$F,0)),0)</f>
        <v>0</v>
      </c>
      <c r="AC1050" s="3">
        <f>IFERROR(INDEX(EVENTOS!$D:$D,MATCH(SCORE!AC$2&amp;" "&amp;SCORE!$D1050,EVENTOS!$F:$F,0)),0)</f>
        <v>0</v>
      </c>
      <c r="AD1050" s="3">
        <f>IFERROR(INDEX(EVENTOS!$D:$D,MATCH(SCORE!AD$2&amp;" "&amp;SCORE!$D1050,EVENTOS!$F:$F,0)),0)</f>
        <v>0</v>
      </c>
      <c r="AE1050" s="3">
        <f t="shared" si="48"/>
        <v>0</v>
      </c>
      <c r="AF1050" s="10" t="e">
        <f t="shared" si="49"/>
        <v>#N/A</v>
      </c>
      <c r="AG1050" s="3" t="str">
        <f t="shared" si="50"/>
        <v/>
      </c>
    </row>
    <row r="1051" spans="1:33" x14ac:dyDescent="0.25">
      <c r="A1051" s="7"/>
      <c r="B1051" s="8"/>
      <c r="C1051" s="3"/>
      <c r="D1051" s="3"/>
      <c r="E1051" s="3" t="e">
        <f>VLOOKUP(D1051,VIAJES!$D:$E,2,FALSE)</f>
        <v>#N/A</v>
      </c>
      <c r="F1051" s="9" t="e">
        <f>VLOOKUP(D1051,VIAJES!$D:$F,3,FALSE)</f>
        <v>#N/A</v>
      </c>
      <c r="G1051" s="9" t="e">
        <f>VLOOKUP(D1051,VIAJES!$D:$G,4,FALSE)</f>
        <v>#N/A</v>
      </c>
      <c r="H1051" s="3" t="e">
        <f>VLOOKUP(D1051,VIAJES!$D:$H,5,FALSE)</f>
        <v>#N/A</v>
      </c>
      <c r="S1051" s="3">
        <f>IFERROR(INDEX(EVENTOS!$D:$D,MATCH(SCORE!S$2&amp;" "&amp;SCORE!$D1051,EVENTOS!$F:$F,0)),0)</f>
        <v>0</v>
      </c>
      <c r="T1051" s="3">
        <f>IFERROR(INDEX(EVENTOS!$D:$D,MATCH(SCORE!T$2&amp;" "&amp;SCORE!$D1051,EVENTOS!$F:$F,0)),0)</f>
        <v>0</v>
      </c>
      <c r="U1051" s="3">
        <f>IFERROR(INDEX(EVENTOS!$D:$D,MATCH(SCORE!U$2&amp;" "&amp;SCORE!$D1051,EVENTOS!$F:$F,0)),0)</f>
        <v>0</v>
      </c>
      <c r="V1051" s="3">
        <f>IFERROR(INDEX(EVENTOS!$D:$D,MATCH(SCORE!V$2&amp;" "&amp;SCORE!$D1051,EVENTOS!$F:$F,0)),0)</f>
        <v>0</v>
      </c>
      <c r="W1051" s="3">
        <f>IFERROR(INDEX(EVENTOS!$D:$D,MATCH(SCORE!W$2&amp;" "&amp;SCORE!$D1051,EVENTOS!$F:$F,0)),0)</f>
        <v>0</v>
      </c>
      <c r="X1051" s="3">
        <f>IFERROR(INDEX(EVENTOS!$D:$D,MATCH(SCORE!X$2&amp;" "&amp;SCORE!$D1051,EVENTOS!$F:$F,0)),0)</f>
        <v>0</v>
      </c>
      <c r="Y1051" s="3">
        <f>SUMIFS(EVENTOS!$D:$D, EVENTOS!$B:$B, D1051, EVENTOS!$E:$E, "*GirAlto*")</f>
        <v>0</v>
      </c>
      <c r="Z1051" s="3">
        <f>SUMIFS(EVENTOS!$D:$D, EVENTOS!$B:$B, D1051, EVENTOS!$E:$E, "*GirMed*")</f>
        <v>0</v>
      </c>
      <c r="AA1051" s="3">
        <f>SUMIFS(EVENTOS!$D:$D, EVENTOS!$B:$B, D1051, EVENTOS!$E:$E, "*GirBajo*")</f>
        <v>0</v>
      </c>
      <c r="AB1051" s="3">
        <f>IFERROR(INDEX(EVENTOS!$D:$D,MATCH(SCORE!AB$2&amp;" "&amp;SCORE!$D1051,EVENTOS!$F:$F,0)),0)</f>
        <v>0</v>
      </c>
      <c r="AC1051" s="3">
        <f>IFERROR(INDEX(EVENTOS!$D:$D,MATCH(SCORE!AC$2&amp;" "&amp;SCORE!$D1051,EVENTOS!$F:$F,0)),0)</f>
        <v>0</v>
      </c>
      <c r="AD1051" s="3">
        <f>IFERROR(INDEX(EVENTOS!$D:$D,MATCH(SCORE!AD$2&amp;" "&amp;SCORE!$D1051,EVENTOS!$F:$F,0)),0)</f>
        <v>0</v>
      </c>
      <c r="AE1051" s="3">
        <f t="shared" si="48"/>
        <v>0</v>
      </c>
      <c r="AF1051" s="10" t="e">
        <f t="shared" si="49"/>
        <v>#N/A</v>
      </c>
      <c r="AG1051" s="3" t="str">
        <f t="shared" si="50"/>
        <v/>
      </c>
    </row>
    <row r="1052" spans="1:33" x14ac:dyDescent="0.25">
      <c r="A1052" s="7"/>
      <c r="B1052" s="8"/>
      <c r="C1052" s="3"/>
      <c r="D1052" s="3"/>
      <c r="E1052" s="3" t="e">
        <f>VLOOKUP(D1052,VIAJES!$D:$E,2,FALSE)</f>
        <v>#N/A</v>
      </c>
      <c r="F1052" s="9" t="e">
        <f>VLOOKUP(D1052,VIAJES!$D:$F,3,FALSE)</f>
        <v>#N/A</v>
      </c>
      <c r="G1052" s="9" t="e">
        <f>VLOOKUP(D1052,VIAJES!$D:$G,4,FALSE)</f>
        <v>#N/A</v>
      </c>
      <c r="H1052" s="3" t="e">
        <f>VLOOKUP(D1052,VIAJES!$D:$H,5,FALSE)</f>
        <v>#N/A</v>
      </c>
      <c r="S1052" s="3">
        <f>IFERROR(INDEX(EVENTOS!$D:$D,MATCH(SCORE!S$2&amp;" "&amp;SCORE!$D1052,EVENTOS!$F:$F,0)),0)</f>
        <v>0</v>
      </c>
      <c r="T1052" s="3">
        <f>IFERROR(INDEX(EVENTOS!$D:$D,MATCH(SCORE!T$2&amp;" "&amp;SCORE!$D1052,EVENTOS!$F:$F,0)),0)</f>
        <v>0</v>
      </c>
      <c r="U1052" s="3">
        <f>IFERROR(INDEX(EVENTOS!$D:$D,MATCH(SCORE!U$2&amp;" "&amp;SCORE!$D1052,EVENTOS!$F:$F,0)),0)</f>
        <v>0</v>
      </c>
      <c r="V1052" s="3">
        <f>IFERROR(INDEX(EVENTOS!$D:$D,MATCH(SCORE!V$2&amp;" "&amp;SCORE!$D1052,EVENTOS!$F:$F,0)),0)</f>
        <v>0</v>
      </c>
      <c r="W1052" s="3">
        <f>IFERROR(INDEX(EVENTOS!$D:$D,MATCH(SCORE!W$2&amp;" "&amp;SCORE!$D1052,EVENTOS!$F:$F,0)),0)</f>
        <v>0</v>
      </c>
      <c r="X1052" s="3">
        <f>IFERROR(INDEX(EVENTOS!$D:$D,MATCH(SCORE!X$2&amp;" "&amp;SCORE!$D1052,EVENTOS!$F:$F,0)),0)</f>
        <v>0</v>
      </c>
      <c r="Y1052" s="3">
        <f>SUMIFS(EVENTOS!$D:$D, EVENTOS!$B:$B, D1052, EVENTOS!$E:$E, "*GirAlto*")</f>
        <v>0</v>
      </c>
      <c r="Z1052" s="3">
        <f>SUMIFS(EVENTOS!$D:$D, EVENTOS!$B:$B, D1052, EVENTOS!$E:$E, "*GirMed*")</f>
        <v>0</v>
      </c>
      <c r="AA1052" s="3">
        <f>SUMIFS(EVENTOS!$D:$D, EVENTOS!$B:$B, D1052, EVENTOS!$E:$E, "*GirBajo*")</f>
        <v>0</v>
      </c>
      <c r="AB1052" s="3">
        <f>IFERROR(INDEX(EVENTOS!$D:$D,MATCH(SCORE!AB$2&amp;" "&amp;SCORE!$D1052,EVENTOS!$F:$F,0)),0)</f>
        <v>0</v>
      </c>
      <c r="AC1052" s="3">
        <f>IFERROR(INDEX(EVENTOS!$D:$D,MATCH(SCORE!AC$2&amp;" "&amp;SCORE!$D1052,EVENTOS!$F:$F,0)),0)</f>
        <v>0</v>
      </c>
      <c r="AD1052" s="3">
        <f>IFERROR(INDEX(EVENTOS!$D:$D,MATCH(SCORE!AD$2&amp;" "&amp;SCORE!$D1052,EVENTOS!$F:$F,0)),0)</f>
        <v>0</v>
      </c>
      <c r="AE1052" s="3">
        <f t="shared" si="48"/>
        <v>0</v>
      </c>
      <c r="AF1052" s="10" t="e">
        <f t="shared" si="49"/>
        <v>#N/A</v>
      </c>
      <c r="AG1052" s="3" t="str">
        <f t="shared" si="50"/>
        <v/>
      </c>
    </row>
    <row r="1053" spans="1:33" x14ac:dyDescent="0.25">
      <c r="A1053" s="7"/>
      <c r="B1053" s="8"/>
      <c r="C1053" s="3"/>
      <c r="D1053" s="3"/>
      <c r="E1053" s="3" t="e">
        <f>VLOOKUP(D1053,VIAJES!$D:$E,2,FALSE)</f>
        <v>#N/A</v>
      </c>
      <c r="F1053" s="9" t="e">
        <f>VLOOKUP(D1053,VIAJES!$D:$F,3,FALSE)</f>
        <v>#N/A</v>
      </c>
      <c r="G1053" s="9" t="e">
        <f>VLOOKUP(D1053,VIAJES!$D:$G,4,FALSE)</f>
        <v>#N/A</v>
      </c>
      <c r="H1053" s="3" t="e">
        <f>VLOOKUP(D1053,VIAJES!$D:$H,5,FALSE)</f>
        <v>#N/A</v>
      </c>
      <c r="S1053" s="3">
        <f>IFERROR(INDEX(EVENTOS!$D:$D,MATCH(SCORE!S$2&amp;" "&amp;SCORE!$D1053,EVENTOS!$F:$F,0)),0)</f>
        <v>0</v>
      </c>
      <c r="T1053" s="3">
        <f>IFERROR(INDEX(EVENTOS!$D:$D,MATCH(SCORE!T$2&amp;" "&amp;SCORE!$D1053,EVENTOS!$F:$F,0)),0)</f>
        <v>0</v>
      </c>
      <c r="U1053" s="3">
        <f>IFERROR(INDEX(EVENTOS!$D:$D,MATCH(SCORE!U$2&amp;" "&amp;SCORE!$D1053,EVENTOS!$F:$F,0)),0)</f>
        <v>0</v>
      </c>
      <c r="V1053" s="3">
        <f>IFERROR(INDEX(EVENTOS!$D:$D,MATCH(SCORE!V$2&amp;" "&amp;SCORE!$D1053,EVENTOS!$F:$F,0)),0)</f>
        <v>0</v>
      </c>
      <c r="W1053" s="3">
        <f>IFERROR(INDEX(EVENTOS!$D:$D,MATCH(SCORE!W$2&amp;" "&amp;SCORE!$D1053,EVENTOS!$F:$F,0)),0)</f>
        <v>0</v>
      </c>
      <c r="X1053" s="3">
        <f>IFERROR(INDEX(EVENTOS!$D:$D,MATCH(SCORE!X$2&amp;" "&amp;SCORE!$D1053,EVENTOS!$F:$F,0)),0)</f>
        <v>0</v>
      </c>
      <c r="Y1053" s="3">
        <f>SUMIFS(EVENTOS!$D:$D, EVENTOS!$B:$B, D1053, EVENTOS!$E:$E, "*GirAlto*")</f>
        <v>0</v>
      </c>
      <c r="Z1053" s="3">
        <f>SUMIFS(EVENTOS!$D:$D, EVENTOS!$B:$B, D1053, EVENTOS!$E:$E, "*GirMed*")</f>
        <v>0</v>
      </c>
      <c r="AA1053" s="3">
        <f>SUMIFS(EVENTOS!$D:$D, EVENTOS!$B:$B, D1053, EVENTOS!$E:$E, "*GirBajo*")</f>
        <v>0</v>
      </c>
      <c r="AB1053" s="3">
        <f>IFERROR(INDEX(EVENTOS!$D:$D,MATCH(SCORE!AB$2&amp;" "&amp;SCORE!$D1053,EVENTOS!$F:$F,0)),0)</f>
        <v>0</v>
      </c>
      <c r="AC1053" s="3">
        <f>IFERROR(INDEX(EVENTOS!$D:$D,MATCH(SCORE!AC$2&amp;" "&amp;SCORE!$D1053,EVENTOS!$F:$F,0)),0)</f>
        <v>0</v>
      </c>
      <c r="AD1053" s="3">
        <f>IFERROR(INDEX(EVENTOS!$D:$D,MATCH(SCORE!AD$2&amp;" "&amp;SCORE!$D1053,EVENTOS!$F:$F,0)),0)</f>
        <v>0</v>
      </c>
      <c r="AE1053" s="3">
        <f t="shared" si="48"/>
        <v>0</v>
      </c>
      <c r="AF1053" s="10" t="e">
        <f t="shared" si="49"/>
        <v>#N/A</v>
      </c>
      <c r="AG1053" s="3" t="str">
        <f t="shared" si="50"/>
        <v/>
      </c>
    </row>
    <row r="1054" spans="1:33" x14ac:dyDescent="0.25">
      <c r="A1054" s="7"/>
      <c r="B1054" s="8"/>
      <c r="C1054" s="3"/>
      <c r="D1054" s="3"/>
      <c r="E1054" s="3" t="e">
        <f>VLOOKUP(D1054,VIAJES!$D:$E,2,FALSE)</f>
        <v>#N/A</v>
      </c>
      <c r="F1054" s="9" t="e">
        <f>VLOOKUP(D1054,VIAJES!$D:$F,3,FALSE)</f>
        <v>#N/A</v>
      </c>
      <c r="G1054" s="9" t="e">
        <f>VLOOKUP(D1054,VIAJES!$D:$G,4,FALSE)</f>
        <v>#N/A</v>
      </c>
      <c r="H1054" s="3" t="e">
        <f>VLOOKUP(D1054,VIAJES!$D:$H,5,FALSE)</f>
        <v>#N/A</v>
      </c>
      <c r="S1054" s="3">
        <f>IFERROR(INDEX(EVENTOS!$D:$D,MATCH(SCORE!S$2&amp;" "&amp;SCORE!$D1054,EVENTOS!$F:$F,0)),0)</f>
        <v>0</v>
      </c>
      <c r="T1054" s="3">
        <f>IFERROR(INDEX(EVENTOS!$D:$D,MATCH(SCORE!T$2&amp;" "&amp;SCORE!$D1054,EVENTOS!$F:$F,0)),0)</f>
        <v>0</v>
      </c>
      <c r="U1054" s="3">
        <f>IFERROR(INDEX(EVENTOS!$D:$D,MATCH(SCORE!U$2&amp;" "&amp;SCORE!$D1054,EVENTOS!$F:$F,0)),0)</f>
        <v>0</v>
      </c>
      <c r="V1054" s="3">
        <f>IFERROR(INDEX(EVENTOS!$D:$D,MATCH(SCORE!V$2&amp;" "&amp;SCORE!$D1054,EVENTOS!$F:$F,0)),0)</f>
        <v>0</v>
      </c>
      <c r="W1054" s="3">
        <f>IFERROR(INDEX(EVENTOS!$D:$D,MATCH(SCORE!W$2&amp;" "&amp;SCORE!$D1054,EVENTOS!$F:$F,0)),0)</f>
        <v>0</v>
      </c>
      <c r="X1054" s="3">
        <f>IFERROR(INDEX(EVENTOS!$D:$D,MATCH(SCORE!X$2&amp;" "&amp;SCORE!$D1054,EVENTOS!$F:$F,0)),0)</f>
        <v>0</v>
      </c>
      <c r="Y1054" s="3">
        <f>SUMIFS(EVENTOS!$D:$D, EVENTOS!$B:$B, D1054, EVENTOS!$E:$E, "*GirAlto*")</f>
        <v>0</v>
      </c>
      <c r="Z1054" s="3">
        <f>SUMIFS(EVENTOS!$D:$D, EVENTOS!$B:$B, D1054, EVENTOS!$E:$E, "*GirMed*")</f>
        <v>0</v>
      </c>
      <c r="AA1054" s="3">
        <f>SUMIFS(EVENTOS!$D:$D, EVENTOS!$B:$B, D1054, EVENTOS!$E:$E, "*GirBajo*")</f>
        <v>0</v>
      </c>
      <c r="AB1054" s="3">
        <f>IFERROR(INDEX(EVENTOS!$D:$D,MATCH(SCORE!AB$2&amp;" "&amp;SCORE!$D1054,EVENTOS!$F:$F,0)),0)</f>
        <v>0</v>
      </c>
      <c r="AC1054" s="3">
        <f>IFERROR(INDEX(EVENTOS!$D:$D,MATCH(SCORE!AC$2&amp;" "&amp;SCORE!$D1054,EVENTOS!$F:$F,0)),0)</f>
        <v>0</v>
      </c>
      <c r="AD1054" s="3">
        <f>IFERROR(INDEX(EVENTOS!$D:$D,MATCH(SCORE!AD$2&amp;" "&amp;SCORE!$D1054,EVENTOS!$F:$F,0)),0)</f>
        <v>0</v>
      </c>
      <c r="AE1054" s="3">
        <f t="shared" si="48"/>
        <v>0</v>
      </c>
      <c r="AF1054" s="10" t="e">
        <f t="shared" si="49"/>
        <v>#N/A</v>
      </c>
      <c r="AG1054" s="3" t="str">
        <f t="shared" si="50"/>
        <v/>
      </c>
    </row>
    <row r="1055" spans="1:33" x14ac:dyDescent="0.25">
      <c r="A1055" s="7"/>
      <c r="B1055" s="8"/>
      <c r="C1055" s="3"/>
      <c r="D1055" s="3"/>
      <c r="E1055" s="3" t="e">
        <f>VLOOKUP(D1055,VIAJES!$D:$E,2,FALSE)</f>
        <v>#N/A</v>
      </c>
      <c r="F1055" s="9" t="e">
        <f>VLOOKUP(D1055,VIAJES!$D:$F,3,FALSE)</f>
        <v>#N/A</v>
      </c>
      <c r="G1055" s="9" t="e">
        <f>VLOOKUP(D1055,VIAJES!$D:$G,4,FALSE)</f>
        <v>#N/A</v>
      </c>
      <c r="H1055" s="3" t="e">
        <f>VLOOKUP(D1055,VIAJES!$D:$H,5,FALSE)</f>
        <v>#N/A</v>
      </c>
      <c r="S1055" s="3">
        <f>IFERROR(INDEX(EVENTOS!$D:$D,MATCH(SCORE!S$2&amp;" "&amp;SCORE!$D1055,EVENTOS!$F:$F,0)),0)</f>
        <v>0</v>
      </c>
      <c r="T1055" s="3">
        <f>IFERROR(INDEX(EVENTOS!$D:$D,MATCH(SCORE!T$2&amp;" "&amp;SCORE!$D1055,EVENTOS!$F:$F,0)),0)</f>
        <v>0</v>
      </c>
      <c r="U1055" s="3">
        <f>IFERROR(INDEX(EVENTOS!$D:$D,MATCH(SCORE!U$2&amp;" "&amp;SCORE!$D1055,EVENTOS!$F:$F,0)),0)</f>
        <v>0</v>
      </c>
      <c r="V1055" s="3">
        <f>IFERROR(INDEX(EVENTOS!$D:$D,MATCH(SCORE!V$2&amp;" "&amp;SCORE!$D1055,EVENTOS!$F:$F,0)),0)</f>
        <v>0</v>
      </c>
      <c r="W1055" s="3">
        <f>IFERROR(INDEX(EVENTOS!$D:$D,MATCH(SCORE!W$2&amp;" "&amp;SCORE!$D1055,EVENTOS!$F:$F,0)),0)</f>
        <v>0</v>
      </c>
      <c r="X1055" s="3">
        <f>IFERROR(INDEX(EVENTOS!$D:$D,MATCH(SCORE!X$2&amp;" "&amp;SCORE!$D1055,EVENTOS!$F:$F,0)),0)</f>
        <v>0</v>
      </c>
      <c r="Y1055" s="3">
        <f>SUMIFS(EVENTOS!$D:$D, EVENTOS!$B:$B, D1055, EVENTOS!$E:$E, "*GirAlto*")</f>
        <v>0</v>
      </c>
      <c r="Z1055" s="3">
        <f>SUMIFS(EVENTOS!$D:$D, EVENTOS!$B:$B, D1055, EVENTOS!$E:$E, "*GirMed*")</f>
        <v>0</v>
      </c>
      <c r="AA1055" s="3">
        <f>SUMIFS(EVENTOS!$D:$D, EVENTOS!$B:$B, D1055, EVENTOS!$E:$E, "*GirBajo*")</f>
        <v>0</v>
      </c>
      <c r="AB1055" s="3">
        <f>IFERROR(INDEX(EVENTOS!$D:$D,MATCH(SCORE!AB$2&amp;" "&amp;SCORE!$D1055,EVENTOS!$F:$F,0)),0)</f>
        <v>0</v>
      </c>
      <c r="AC1055" s="3">
        <f>IFERROR(INDEX(EVENTOS!$D:$D,MATCH(SCORE!AC$2&amp;" "&amp;SCORE!$D1055,EVENTOS!$F:$F,0)),0)</f>
        <v>0</v>
      </c>
      <c r="AD1055" s="3">
        <f>IFERROR(INDEX(EVENTOS!$D:$D,MATCH(SCORE!AD$2&amp;" "&amp;SCORE!$D1055,EVENTOS!$F:$F,0)),0)</f>
        <v>0</v>
      </c>
      <c r="AE1055" s="3">
        <f t="shared" si="48"/>
        <v>0</v>
      </c>
      <c r="AF1055" s="10" t="e">
        <f t="shared" si="49"/>
        <v>#N/A</v>
      </c>
      <c r="AG1055" s="3" t="str">
        <f t="shared" si="50"/>
        <v/>
      </c>
    </row>
    <row r="1056" spans="1:33" x14ac:dyDescent="0.25">
      <c r="A1056" s="7"/>
      <c r="B1056" s="8"/>
      <c r="C1056" s="3"/>
      <c r="D1056" s="3"/>
      <c r="E1056" s="3" t="e">
        <f>VLOOKUP(D1056,VIAJES!$D:$E,2,FALSE)</f>
        <v>#N/A</v>
      </c>
      <c r="F1056" s="9" t="e">
        <f>VLOOKUP(D1056,VIAJES!$D:$F,3,FALSE)</f>
        <v>#N/A</v>
      </c>
      <c r="G1056" s="9" t="e">
        <f>VLOOKUP(D1056,VIAJES!$D:$G,4,FALSE)</f>
        <v>#N/A</v>
      </c>
      <c r="H1056" s="3" t="e">
        <f>VLOOKUP(D1056,VIAJES!$D:$H,5,FALSE)</f>
        <v>#N/A</v>
      </c>
      <c r="S1056" s="3">
        <f>IFERROR(INDEX(EVENTOS!$D:$D,MATCH(SCORE!S$2&amp;" "&amp;SCORE!$D1056,EVENTOS!$F:$F,0)),0)</f>
        <v>0</v>
      </c>
      <c r="T1056" s="3">
        <f>IFERROR(INDEX(EVENTOS!$D:$D,MATCH(SCORE!T$2&amp;" "&amp;SCORE!$D1056,EVENTOS!$F:$F,0)),0)</f>
        <v>0</v>
      </c>
      <c r="U1056" s="3">
        <f>IFERROR(INDEX(EVENTOS!$D:$D,MATCH(SCORE!U$2&amp;" "&amp;SCORE!$D1056,EVENTOS!$F:$F,0)),0)</f>
        <v>0</v>
      </c>
      <c r="V1056" s="3">
        <f>IFERROR(INDEX(EVENTOS!$D:$D,MATCH(SCORE!V$2&amp;" "&amp;SCORE!$D1056,EVENTOS!$F:$F,0)),0)</f>
        <v>0</v>
      </c>
      <c r="W1056" s="3">
        <f>IFERROR(INDEX(EVENTOS!$D:$D,MATCH(SCORE!W$2&amp;" "&amp;SCORE!$D1056,EVENTOS!$F:$F,0)),0)</f>
        <v>0</v>
      </c>
      <c r="X1056" s="3">
        <f>IFERROR(INDEX(EVENTOS!$D:$D,MATCH(SCORE!X$2&amp;" "&amp;SCORE!$D1056,EVENTOS!$F:$F,0)),0)</f>
        <v>0</v>
      </c>
      <c r="Y1056" s="3">
        <f>SUMIFS(EVENTOS!$D:$D, EVENTOS!$B:$B, D1056, EVENTOS!$E:$E, "*GirAlto*")</f>
        <v>0</v>
      </c>
      <c r="Z1056" s="3">
        <f>SUMIFS(EVENTOS!$D:$D, EVENTOS!$B:$B, D1056, EVENTOS!$E:$E, "*GirMed*")</f>
        <v>0</v>
      </c>
      <c r="AA1056" s="3">
        <f>SUMIFS(EVENTOS!$D:$D, EVENTOS!$B:$B, D1056, EVENTOS!$E:$E, "*GirBajo*")</f>
        <v>0</v>
      </c>
      <c r="AB1056" s="3">
        <f>IFERROR(INDEX(EVENTOS!$D:$D,MATCH(SCORE!AB$2&amp;" "&amp;SCORE!$D1056,EVENTOS!$F:$F,0)),0)</f>
        <v>0</v>
      </c>
      <c r="AC1056" s="3">
        <f>IFERROR(INDEX(EVENTOS!$D:$D,MATCH(SCORE!AC$2&amp;" "&amp;SCORE!$D1056,EVENTOS!$F:$F,0)),0)</f>
        <v>0</v>
      </c>
      <c r="AD1056" s="3">
        <f>IFERROR(INDEX(EVENTOS!$D:$D,MATCH(SCORE!AD$2&amp;" "&amp;SCORE!$D1056,EVENTOS!$F:$F,0)),0)</f>
        <v>0</v>
      </c>
      <c r="AE1056" s="3">
        <f t="shared" si="48"/>
        <v>0</v>
      </c>
      <c r="AF1056" s="10" t="e">
        <f t="shared" si="49"/>
        <v>#N/A</v>
      </c>
      <c r="AG1056" s="3" t="str">
        <f t="shared" si="50"/>
        <v/>
      </c>
    </row>
    <row r="1057" spans="1:33" x14ac:dyDescent="0.25">
      <c r="A1057" s="7"/>
      <c r="B1057" s="8"/>
      <c r="C1057" s="3"/>
      <c r="D1057" s="3"/>
      <c r="E1057" s="3" t="e">
        <f>VLOOKUP(D1057,VIAJES!$D:$E,2,FALSE)</f>
        <v>#N/A</v>
      </c>
      <c r="F1057" s="9" t="e">
        <f>VLOOKUP(D1057,VIAJES!$D:$F,3,FALSE)</f>
        <v>#N/A</v>
      </c>
      <c r="G1057" s="9" t="e">
        <f>VLOOKUP(D1057,VIAJES!$D:$G,4,FALSE)</f>
        <v>#N/A</v>
      </c>
      <c r="H1057" s="3" t="e">
        <f>VLOOKUP(D1057,VIAJES!$D:$H,5,FALSE)</f>
        <v>#N/A</v>
      </c>
      <c r="S1057" s="3">
        <f>IFERROR(INDEX(EVENTOS!$D:$D,MATCH(SCORE!S$2&amp;" "&amp;SCORE!$D1057,EVENTOS!$F:$F,0)),0)</f>
        <v>0</v>
      </c>
      <c r="T1057" s="3">
        <f>IFERROR(INDEX(EVENTOS!$D:$D,MATCH(SCORE!T$2&amp;" "&amp;SCORE!$D1057,EVENTOS!$F:$F,0)),0)</f>
        <v>0</v>
      </c>
      <c r="U1057" s="3">
        <f>IFERROR(INDEX(EVENTOS!$D:$D,MATCH(SCORE!U$2&amp;" "&amp;SCORE!$D1057,EVENTOS!$F:$F,0)),0)</f>
        <v>0</v>
      </c>
      <c r="V1057" s="3">
        <f>IFERROR(INDEX(EVENTOS!$D:$D,MATCH(SCORE!V$2&amp;" "&amp;SCORE!$D1057,EVENTOS!$F:$F,0)),0)</f>
        <v>0</v>
      </c>
      <c r="W1057" s="3">
        <f>IFERROR(INDEX(EVENTOS!$D:$D,MATCH(SCORE!W$2&amp;" "&amp;SCORE!$D1057,EVENTOS!$F:$F,0)),0)</f>
        <v>0</v>
      </c>
      <c r="X1057" s="3">
        <f>IFERROR(INDEX(EVENTOS!$D:$D,MATCH(SCORE!X$2&amp;" "&amp;SCORE!$D1057,EVENTOS!$F:$F,0)),0)</f>
        <v>0</v>
      </c>
      <c r="Y1057" s="3">
        <f>SUMIFS(EVENTOS!$D:$D, EVENTOS!$B:$B, D1057, EVENTOS!$E:$E, "*GirAlto*")</f>
        <v>0</v>
      </c>
      <c r="Z1057" s="3">
        <f>SUMIFS(EVENTOS!$D:$D, EVENTOS!$B:$B, D1057, EVENTOS!$E:$E, "*GirMed*")</f>
        <v>0</v>
      </c>
      <c r="AA1057" s="3">
        <f>SUMIFS(EVENTOS!$D:$D, EVENTOS!$B:$B, D1057, EVENTOS!$E:$E, "*GirBajo*")</f>
        <v>0</v>
      </c>
      <c r="AB1057" s="3">
        <f>IFERROR(INDEX(EVENTOS!$D:$D,MATCH(SCORE!AB$2&amp;" "&amp;SCORE!$D1057,EVENTOS!$F:$F,0)),0)</f>
        <v>0</v>
      </c>
      <c r="AC1057" s="3">
        <f>IFERROR(INDEX(EVENTOS!$D:$D,MATCH(SCORE!AC$2&amp;" "&amp;SCORE!$D1057,EVENTOS!$F:$F,0)),0)</f>
        <v>0</v>
      </c>
      <c r="AD1057" s="3">
        <f>IFERROR(INDEX(EVENTOS!$D:$D,MATCH(SCORE!AD$2&amp;" "&amp;SCORE!$D1057,EVENTOS!$F:$F,0)),0)</f>
        <v>0</v>
      </c>
      <c r="AE1057" s="3">
        <f t="shared" si="48"/>
        <v>0</v>
      </c>
      <c r="AF1057" s="10" t="e">
        <f t="shared" si="49"/>
        <v>#N/A</v>
      </c>
      <c r="AG1057" s="3" t="str">
        <f t="shared" si="50"/>
        <v/>
      </c>
    </row>
    <row r="1058" spans="1:33" x14ac:dyDescent="0.25">
      <c r="A1058" s="7"/>
      <c r="B1058" s="8"/>
      <c r="C1058" s="3"/>
      <c r="D1058" s="3"/>
      <c r="E1058" s="3" t="e">
        <f>VLOOKUP(D1058,VIAJES!$D:$E,2,FALSE)</f>
        <v>#N/A</v>
      </c>
      <c r="F1058" s="9" t="e">
        <f>VLOOKUP(D1058,VIAJES!$D:$F,3,FALSE)</f>
        <v>#N/A</v>
      </c>
      <c r="G1058" s="9" t="e">
        <f>VLOOKUP(D1058,VIAJES!$D:$G,4,FALSE)</f>
        <v>#N/A</v>
      </c>
      <c r="H1058" s="3" t="e">
        <f>VLOOKUP(D1058,VIAJES!$D:$H,5,FALSE)</f>
        <v>#N/A</v>
      </c>
      <c r="S1058" s="3">
        <f>IFERROR(INDEX(EVENTOS!$D:$D,MATCH(SCORE!S$2&amp;" "&amp;SCORE!$D1058,EVENTOS!$F:$F,0)),0)</f>
        <v>0</v>
      </c>
      <c r="T1058" s="3">
        <f>IFERROR(INDEX(EVENTOS!$D:$D,MATCH(SCORE!T$2&amp;" "&amp;SCORE!$D1058,EVENTOS!$F:$F,0)),0)</f>
        <v>0</v>
      </c>
      <c r="U1058" s="3">
        <f>IFERROR(INDEX(EVENTOS!$D:$D,MATCH(SCORE!U$2&amp;" "&amp;SCORE!$D1058,EVENTOS!$F:$F,0)),0)</f>
        <v>0</v>
      </c>
      <c r="V1058" s="3">
        <f>IFERROR(INDEX(EVENTOS!$D:$D,MATCH(SCORE!V$2&amp;" "&amp;SCORE!$D1058,EVENTOS!$F:$F,0)),0)</f>
        <v>0</v>
      </c>
      <c r="W1058" s="3">
        <f>IFERROR(INDEX(EVENTOS!$D:$D,MATCH(SCORE!W$2&amp;" "&amp;SCORE!$D1058,EVENTOS!$F:$F,0)),0)</f>
        <v>0</v>
      </c>
      <c r="X1058" s="3">
        <f>IFERROR(INDEX(EVENTOS!$D:$D,MATCH(SCORE!X$2&amp;" "&amp;SCORE!$D1058,EVENTOS!$F:$F,0)),0)</f>
        <v>0</v>
      </c>
      <c r="Y1058" s="3">
        <f>SUMIFS(EVENTOS!$D:$D, EVENTOS!$B:$B, D1058, EVENTOS!$E:$E, "*GirAlto*")</f>
        <v>0</v>
      </c>
      <c r="Z1058" s="3">
        <f>SUMIFS(EVENTOS!$D:$D, EVENTOS!$B:$B, D1058, EVENTOS!$E:$E, "*GirMed*")</f>
        <v>0</v>
      </c>
      <c r="AA1058" s="3">
        <f>SUMIFS(EVENTOS!$D:$D, EVENTOS!$B:$B, D1058, EVENTOS!$E:$E, "*GirBajo*")</f>
        <v>0</v>
      </c>
      <c r="AB1058" s="3">
        <f>IFERROR(INDEX(EVENTOS!$D:$D,MATCH(SCORE!AB$2&amp;" "&amp;SCORE!$D1058,EVENTOS!$F:$F,0)),0)</f>
        <v>0</v>
      </c>
      <c r="AC1058" s="3">
        <f>IFERROR(INDEX(EVENTOS!$D:$D,MATCH(SCORE!AC$2&amp;" "&amp;SCORE!$D1058,EVENTOS!$F:$F,0)),0)</f>
        <v>0</v>
      </c>
      <c r="AD1058" s="3">
        <f>IFERROR(INDEX(EVENTOS!$D:$D,MATCH(SCORE!AD$2&amp;" "&amp;SCORE!$D1058,EVENTOS!$F:$F,0)),0)</f>
        <v>0</v>
      </c>
      <c r="AE1058" s="3">
        <f t="shared" si="48"/>
        <v>0</v>
      </c>
      <c r="AF1058" s="10" t="e">
        <f t="shared" si="49"/>
        <v>#N/A</v>
      </c>
      <c r="AG1058" s="3" t="str">
        <f t="shared" si="50"/>
        <v/>
      </c>
    </row>
    <row r="1059" spans="1:33" x14ac:dyDescent="0.25">
      <c r="A1059" s="7"/>
      <c r="B1059" s="8"/>
      <c r="C1059" s="3"/>
      <c r="D1059" s="3"/>
      <c r="E1059" s="3" t="e">
        <f>VLOOKUP(D1059,VIAJES!$D:$E,2,FALSE)</f>
        <v>#N/A</v>
      </c>
      <c r="F1059" s="9" t="e">
        <f>VLOOKUP(D1059,VIAJES!$D:$F,3,FALSE)</f>
        <v>#N/A</v>
      </c>
      <c r="G1059" s="9" t="e">
        <f>VLOOKUP(D1059,VIAJES!$D:$G,4,FALSE)</f>
        <v>#N/A</v>
      </c>
      <c r="H1059" s="3" t="e">
        <f>VLOOKUP(D1059,VIAJES!$D:$H,5,FALSE)</f>
        <v>#N/A</v>
      </c>
      <c r="S1059" s="3">
        <f>IFERROR(INDEX(EVENTOS!$D:$D,MATCH(SCORE!S$2&amp;" "&amp;SCORE!$D1059,EVENTOS!$F:$F,0)),0)</f>
        <v>0</v>
      </c>
      <c r="T1059" s="3">
        <f>IFERROR(INDEX(EVENTOS!$D:$D,MATCH(SCORE!T$2&amp;" "&amp;SCORE!$D1059,EVENTOS!$F:$F,0)),0)</f>
        <v>0</v>
      </c>
      <c r="U1059" s="3">
        <f>IFERROR(INDEX(EVENTOS!$D:$D,MATCH(SCORE!U$2&amp;" "&amp;SCORE!$D1059,EVENTOS!$F:$F,0)),0)</f>
        <v>0</v>
      </c>
      <c r="V1059" s="3">
        <f>IFERROR(INDEX(EVENTOS!$D:$D,MATCH(SCORE!V$2&amp;" "&amp;SCORE!$D1059,EVENTOS!$F:$F,0)),0)</f>
        <v>0</v>
      </c>
      <c r="W1059" s="3">
        <f>IFERROR(INDEX(EVENTOS!$D:$D,MATCH(SCORE!W$2&amp;" "&amp;SCORE!$D1059,EVENTOS!$F:$F,0)),0)</f>
        <v>0</v>
      </c>
      <c r="X1059" s="3">
        <f>IFERROR(INDEX(EVENTOS!$D:$D,MATCH(SCORE!X$2&amp;" "&amp;SCORE!$D1059,EVENTOS!$F:$F,0)),0)</f>
        <v>0</v>
      </c>
      <c r="Y1059" s="3">
        <f>SUMIFS(EVENTOS!$D:$D, EVENTOS!$B:$B, D1059, EVENTOS!$E:$E, "*GirAlto*")</f>
        <v>0</v>
      </c>
      <c r="Z1059" s="3">
        <f>SUMIFS(EVENTOS!$D:$D, EVENTOS!$B:$B, D1059, EVENTOS!$E:$E, "*GirMed*")</f>
        <v>0</v>
      </c>
      <c r="AA1059" s="3">
        <f>SUMIFS(EVENTOS!$D:$D, EVENTOS!$B:$B, D1059, EVENTOS!$E:$E, "*GirBajo*")</f>
        <v>0</v>
      </c>
      <c r="AB1059" s="3">
        <f>IFERROR(INDEX(EVENTOS!$D:$D,MATCH(SCORE!AB$2&amp;" "&amp;SCORE!$D1059,EVENTOS!$F:$F,0)),0)</f>
        <v>0</v>
      </c>
      <c r="AC1059" s="3">
        <f>IFERROR(INDEX(EVENTOS!$D:$D,MATCH(SCORE!AC$2&amp;" "&amp;SCORE!$D1059,EVENTOS!$F:$F,0)),0)</f>
        <v>0</v>
      </c>
      <c r="AD1059" s="3">
        <f>IFERROR(INDEX(EVENTOS!$D:$D,MATCH(SCORE!AD$2&amp;" "&amp;SCORE!$D1059,EVENTOS!$F:$F,0)),0)</f>
        <v>0</v>
      </c>
      <c r="AE1059" s="3">
        <f t="shared" si="48"/>
        <v>0</v>
      </c>
      <c r="AF1059" s="10" t="e">
        <f t="shared" si="49"/>
        <v>#N/A</v>
      </c>
      <c r="AG1059" s="3" t="str">
        <f t="shared" si="50"/>
        <v/>
      </c>
    </row>
    <row r="1060" spans="1:33" x14ac:dyDescent="0.25">
      <c r="A1060" s="7"/>
      <c r="B1060" s="8"/>
      <c r="C1060" s="3"/>
      <c r="D1060" s="3"/>
      <c r="E1060" s="3" t="e">
        <f>VLOOKUP(D1060,VIAJES!$D:$E,2,FALSE)</f>
        <v>#N/A</v>
      </c>
      <c r="F1060" s="9" t="e">
        <f>VLOOKUP(D1060,VIAJES!$D:$F,3,FALSE)</f>
        <v>#N/A</v>
      </c>
      <c r="G1060" s="9" t="e">
        <f>VLOOKUP(D1060,VIAJES!$D:$G,4,FALSE)</f>
        <v>#N/A</v>
      </c>
      <c r="H1060" s="3" t="e">
        <f>VLOOKUP(D1060,VIAJES!$D:$H,5,FALSE)</f>
        <v>#N/A</v>
      </c>
      <c r="S1060" s="3">
        <f>IFERROR(INDEX(EVENTOS!$D:$D,MATCH(SCORE!S$2&amp;" "&amp;SCORE!$D1060,EVENTOS!$F:$F,0)),0)</f>
        <v>0</v>
      </c>
      <c r="T1060" s="3">
        <f>IFERROR(INDEX(EVENTOS!$D:$D,MATCH(SCORE!T$2&amp;" "&amp;SCORE!$D1060,EVENTOS!$F:$F,0)),0)</f>
        <v>0</v>
      </c>
      <c r="U1060" s="3">
        <f>IFERROR(INDEX(EVENTOS!$D:$D,MATCH(SCORE!U$2&amp;" "&amp;SCORE!$D1060,EVENTOS!$F:$F,0)),0)</f>
        <v>0</v>
      </c>
      <c r="V1060" s="3">
        <f>IFERROR(INDEX(EVENTOS!$D:$D,MATCH(SCORE!V$2&amp;" "&amp;SCORE!$D1060,EVENTOS!$F:$F,0)),0)</f>
        <v>0</v>
      </c>
      <c r="W1060" s="3">
        <f>IFERROR(INDEX(EVENTOS!$D:$D,MATCH(SCORE!W$2&amp;" "&amp;SCORE!$D1060,EVENTOS!$F:$F,0)),0)</f>
        <v>0</v>
      </c>
      <c r="X1060" s="3">
        <f>IFERROR(INDEX(EVENTOS!$D:$D,MATCH(SCORE!X$2&amp;" "&amp;SCORE!$D1060,EVENTOS!$F:$F,0)),0)</f>
        <v>0</v>
      </c>
      <c r="Y1060" s="3">
        <f>SUMIFS(EVENTOS!$D:$D, EVENTOS!$B:$B, D1060, EVENTOS!$E:$E, "*GirAlto*")</f>
        <v>0</v>
      </c>
      <c r="Z1060" s="3">
        <f>SUMIFS(EVENTOS!$D:$D, EVENTOS!$B:$B, D1060, EVENTOS!$E:$E, "*GirMed*")</f>
        <v>0</v>
      </c>
      <c r="AA1060" s="3">
        <f>SUMIFS(EVENTOS!$D:$D, EVENTOS!$B:$B, D1060, EVENTOS!$E:$E, "*GirBajo*")</f>
        <v>0</v>
      </c>
      <c r="AB1060" s="3">
        <f>IFERROR(INDEX(EVENTOS!$D:$D,MATCH(SCORE!AB$2&amp;" "&amp;SCORE!$D1060,EVENTOS!$F:$F,0)),0)</f>
        <v>0</v>
      </c>
      <c r="AC1060" s="3">
        <f>IFERROR(INDEX(EVENTOS!$D:$D,MATCH(SCORE!AC$2&amp;" "&amp;SCORE!$D1060,EVENTOS!$F:$F,0)),0)</f>
        <v>0</v>
      </c>
      <c r="AD1060" s="3">
        <f>IFERROR(INDEX(EVENTOS!$D:$D,MATCH(SCORE!AD$2&amp;" "&amp;SCORE!$D1060,EVENTOS!$F:$F,0)),0)</f>
        <v>0</v>
      </c>
      <c r="AE1060" s="3">
        <f t="shared" si="48"/>
        <v>0</v>
      </c>
      <c r="AF1060" s="10" t="e">
        <f t="shared" si="49"/>
        <v>#N/A</v>
      </c>
      <c r="AG1060" s="3" t="str">
        <f t="shared" si="50"/>
        <v/>
      </c>
    </row>
    <row r="1061" spans="1:33" x14ac:dyDescent="0.25">
      <c r="A1061" s="7"/>
      <c r="B1061" s="8"/>
      <c r="C1061" s="3"/>
      <c r="D1061" s="3"/>
      <c r="E1061" s="3" t="e">
        <f>VLOOKUP(D1061,VIAJES!$D:$E,2,FALSE)</f>
        <v>#N/A</v>
      </c>
      <c r="F1061" s="9" t="e">
        <f>VLOOKUP(D1061,VIAJES!$D:$F,3,FALSE)</f>
        <v>#N/A</v>
      </c>
      <c r="G1061" s="9" t="e">
        <f>VLOOKUP(D1061,VIAJES!$D:$G,4,FALSE)</f>
        <v>#N/A</v>
      </c>
      <c r="H1061" s="3" t="e">
        <f>VLOOKUP(D1061,VIAJES!$D:$H,5,FALSE)</f>
        <v>#N/A</v>
      </c>
      <c r="S1061" s="3">
        <f>IFERROR(INDEX(EVENTOS!$D:$D,MATCH(SCORE!S$2&amp;" "&amp;SCORE!$D1061,EVENTOS!$F:$F,0)),0)</f>
        <v>0</v>
      </c>
      <c r="T1061" s="3">
        <f>IFERROR(INDEX(EVENTOS!$D:$D,MATCH(SCORE!T$2&amp;" "&amp;SCORE!$D1061,EVENTOS!$F:$F,0)),0)</f>
        <v>0</v>
      </c>
      <c r="U1061" s="3">
        <f>IFERROR(INDEX(EVENTOS!$D:$D,MATCH(SCORE!U$2&amp;" "&amp;SCORE!$D1061,EVENTOS!$F:$F,0)),0)</f>
        <v>0</v>
      </c>
      <c r="V1061" s="3">
        <f>IFERROR(INDEX(EVENTOS!$D:$D,MATCH(SCORE!V$2&amp;" "&amp;SCORE!$D1061,EVENTOS!$F:$F,0)),0)</f>
        <v>0</v>
      </c>
      <c r="W1061" s="3">
        <f>IFERROR(INDEX(EVENTOS!$D:$D,MATCH(SCORE!W$2&amp;" "&amp;SCORE!$D1061,EVENTOS!$F:$F,0)),0)</f>
        <v>0</v>
      </c>
      <c r="X1061" s="3">
        <f>IFERROR(INDEX(EVENTOS!$D:$D,MATCH(SCORE!X$2&amp;" "&amp;SCORE!$D1061,EVENTOS!$F:$F,0)),0)</f>
        <v>0</v>
      </c>
      <c r="Y1061" s="3">
        <f>SUMIFS(EVENTOS!$D:$D, EVENTOS!$B:$B, D1061, EVENTOS!$E:$E, "*GirAlto*")</f>
        <v>0</v>
      </c>
      <c r="Z1061" s="3">
        <f>SUMIFS(EVENTOS!$D:$D, EVENTOS!$B:$B, D1061, EVENTOS!$E:$E, "*GirMed*")</f>
        <v>0</v>
      </c>
      <c r="AA1061" s="3">
        <f>SUMIFS(EVENTOS!$D:$D, EVENTOS!$B:$B, D1061, EVENTOS!$E:$E, "*GirBajo*")</f>
        <v>0</v>
      </c>
      <c r="AB1061" s="3">
        <f>IFERROR(INDEX(EVENTOS!$D:$D,MATCH(SCORE!AB$2&amp;" "&amp;SCORE!$D1061,EVENTOS!$F:$F,0)),0)</f>
        <v>0</v>
      </c>
      <c r="AC1061" s="3">
        <f>IFERROR(INDEX(EVENTOS!$D:$D,MATCH(SCORE!AC$2&amp;" "&amp;SCORE!$D1061,EVENTOS!$F:$F,0)),0)</f>
        <v>0</v>
      </c>
      <c r="AD1061" s="3">
        <f>IFERROR(INDEX(EVENTOS!$D:$D,MATCH(SCORE!AD$2&amp;" "&amp;SCORE!$D1061,EVENTOS!$F:$F,0)),0)</f>
        <v>0</v>
      </c>
      <c r="AE1061" s="3">
        <f t="shared" si="48"/>
        <v>0</v>
      </c>
      <c r="AF1061" s="10" t="e">
        <f t="shared" si="49"/>
        <v>#N/A</v>
      </c>
      <c r="AG1061" s="3" t="str">
        <f t="shared" si="50"/>
        <v/>
      </c>
    </row>
    <row r="1062" spans="1:33" x14ac:dyDescent="0.25">
      <c r="A1062" s="7"/>
      <c r="B1062" s="8"/>
      <c r="C1062" s="3"/>
      <c r="D1062" s="3"/>
      <c r="E1062" s="3" t="e">
        <f>VLOOKUP(D1062,VIAJES!$D:$E,2,FALSE)</f>
        <v>#N/A</v>
      </c>
      <c r="F1062" s="9" t="e">
        <f>VLOOKUP(D1062,VIAJES!$D:$F,3,FALSE)</f>
        <v>#N/A</v>
      </c>
      <c r="G1062" s="9" t="e">
        <f>VLOOKUP(D1062,VIAJES!$D:$G,4,FALSE)</f>
        <v>#N/A</v>
      </c>
      <c r="H1062" s="3" t="e">
        <f>VLOOKUP(D1062,VIAJES!$D:$H,5,FALSE)</f>
        <v>#N/A</v>
      </c>
      <c r="S1062" s="3">
        <f>IFERROR(INDEX(EVENTOS!$D:$D,MATCH(SCORE!S$2&amp;" "&amp;SCORE!$D1062,EVENTOS!$F:$F,0)),0)</f>
        <v>0</v>
      </c>
      <c r="T1062" s="3">
        <f>IFERROR(INDEX(EVENTOS!$D:$D,MATCH(SCORE!T$2&amp;" "&amp;SCORE!$D1062,EVENTOS!$F:$F,0)),0)</f>
        <v>0</v>
      </c>
      <c r="U1062" s="3">
        <f>IFERROR(INDEX(EVENTOS!$D:$D,MATCH(SCORE!U$2&amp;" "&amp;SCORE!$D1062,EVENTOS!$F:$F,0)),0)</f>
        <v>0</v>
      </c>
      <c r="V1062" s="3">
        <f>IFERROR(INDEX(EVENTOS!$D:$D,MATCH(SCORE!V$2&amp;" "&amp;SCORE!$D1062,EVENTOS!$F:$F,0)),0)</f>
        <v>0</v>
      </c>
      <c r="W1062" s="3">
        <f>IFERROR(INDEX(EVENTOS!$D:$D,MATCH(SCORE!W$2&amp;" "&amp;SCORE!$D1062,EVENTOS!$F:$F,0)),0)</f>
        <v>0</v>
      </c>
      <c r="X1062" s="3">
        <f>IFERROR(INDEX(EVENTOS!$D:$D,MATCH(SCORE!X$2&amp;" "&amp;SCORE!$D1062,EVENTOS!$F:$F,0)),0)</f>
        <v>0</v>
      </c>
      <c r="Y1062" s="3">
        <f>SUMIFS(EVENTOS!$D:$D, EVENTOS!$B:$B, D1062, EVENTOS!$E:$E, "*GirAlto*")</f>
        <v>0</v>
      </c>
      <c r="Z1062" s="3">
        <f>SUMIFS(EVENTOS!$D:$D, EVENTOS!$B:$B, D1062, EVENTOS!$E:$E, "*GirMed*")</f>
        <v>0</v>
      </c>
      <c r="AA1062" s="3">
        <f>SUMIFS(EVENTOS!$D:$D, EVENTOS!$B:$B, D1062, EVENTOS!$E:$E, "*GirBajo*")</f>
        <v>0</v>
      </c>
      <c r="AB1062" s="3">
        <f>IFERROR(INDEX(EVENTOS!$D:$D,MATCH(SCORE!AB$2&amp;" "&amp;SCORE!$D1062,EVENTOS!$F:$F,0)),0)</f>
        <v>0</v>
      </c>
      <c r="AC1062" s="3">
        <f>IFERROR(INDEX(EVENTOS!$D:$D,MATCH(SCORE!AC$2&amp;" "&amp;SCORE!$D1062,EVENTOS!$F:$F,0)),0)</f>
        <v>0</v>
      </c>
      <c r="AD1062" s="3">
        <f>IFERROR(INDEX(EVENTOS!$D:$D,MATCH(SCORE!AD$2&amp;" "&amp;SCORE!$D1062,EVENTOS!$F:$F,0)),0)</f>
        <v>0</v>
      </c>
      <c r="AE1062" s="3">
        <f t="shared" si="48"/>
        <v>0</v>
      </c>
      <c r="AF1062" s="10" t="e">
        <f t="shared" si="49"/>
        <v>#N/A</v>
      </c>
      <c r="AG1062" s="3" t="str">
        <f t="shared" si="50"/>
        <v/>
      </c>
    </row>
    <row r="1063" spans="1:33" x14ac:dyDescent="0.25">
      <c r="A1063" s="7"/>
      <c r="B1063" s="8"/>
      <c r="C1063" s="3"/>
      <c r="D1063" s="3"/>
      <c r="E1063" s="3" t="e">
        <f>VLOOKUP(D1063,VIAJES!$D:$E,2,FALSE)</f>
        <v>#N/A</v>
      </c>
      <c r="F1063" s="9" t="e">
        <f>VLOOKUP(D1063,VIAJES!$D:$F,3,FALSE)</f>
        <v>#N/A</v>
      </c>
      <c r="G1063" s="9" t="e">
        <f>VLOOKUP(D1063,VIAJES!$D:$G,4,FALSE)</f>
        <v>#N/A</v>
      </c>
      <c r="H1063" s="3" t="e">
        <f>VLOOKUP(D1063,VIAJES!$D:$H,5,FALSE)</f>
        <v>#N/A</v>
      </c>
      <c r="S1063" s="3">
        <f>IFERROR(INDEX(EVENTOS!$D:$D,MATCH(SCORE!S$2&amp;" "&amp;SCORE!$D1063,EVENTOS!$F:$F,0)),0)</f>
        <v>0</v>
      </c>
      <c r="T1063" s="3">
        <f>IFERROR(INDEX(EVENTOS!$D:$D,MATCH(SCORE!T$2&amp;" "&amp;SCORE!$D1063,EVENTOS!$F:$F,0)),0)</f>
        <v>0</v>
      </c>
      <c r="U1063" s="3">
        <f>IFERROR(INDEX(EVENTOS!$D:$D,MATCH(SCORE!U$2&amp;" "&amp;SCORE!$D1063,EVENTOS!$F:$F,0)),0)</f>
        <v>0</v>
      </c>
      <c r="V1063" s="3">
        <f>IFERROR(INDEX(EVENTOS!$D:$D,MATCH(SCORE!V$2&amp;" "&amp;SCORE!$D1063,EVENTOS!$F:$F,0)),0)</f>
        <v>0</v>
      </c>
      <c r="W1063" s="3">
        <f>IFERROR(INDEX(EVENTOS!$D:$D,MATCH(SCORE!W$2&amp;" "&amp;SCORE!$D1063,EVENTOS!$F:$F,0)),0)</f>
        <v>0</v>
      </c>
      <c r="X1063" s="3">
        <f>IFERROR(INDEX(EVENTOS!$D:$D,MATCH(SCORE!X$2&amp;" "&amp;SCORE!$D1063,EVENTOS!$F:$F,0)),0)</f>
        <v>0</v>
      </c>
      <c r="Y1063" s="3">
        <f>SUMIFS(EVENTOS!$D:$D, EVENTOS!$B:$B, D1063, EVENTOS!$E:$E, "*GirAlto*")</f>
        <v>0</v>
      </c>
      <c r="Z1063" s="3">
        <f>SUMIFS(EVENTOS!$D:$D, EVENTOS!$B:$B, D1063, EVENTOS!$E:$E, "*GirMed*")</f>
        <v>0</v>
      </c>
      <c r="AA1063" s="3">
        <f>SUMIFS(EVENTOS!$D:$D, EVENTOS!$B:$B, D1063, EVENTOS!$E:$E, "*GirBajo*")</f>
        <v>0</v>
      </c>
      <c r="AB1063" s="3">
        <f>IFERROR(INDEX(EVENTOS!$D:$D,MATCH(SCORE!AB$2&amp;" "&amp;SCORE!$D1063,EVENTOS!$F:$F,0)),0)</f>
        <v>0</v>
      </c>
      <c r="AC1063" s="3">
        <f>IFERROR(INDEX(EVENTOS!$D:$D,MATCH(SCORE!AC$2&amp;" "&amp;SCORE!$D1063,EVENTOS!$F:$F,0)),0)</f>
        <v>0</v>
      </c>
      <c r="AD1063" s="3">
        <f>IFERROR(INDEX(EVENTOS!$D:$D,MATCH(SCORE!AD$2&amp;" "&amp;SCORE!$D1063,EVENTOS!$F:$F,0)),0)</f>
        <v>0</v>
      </c>
      <c r="AE1063" s="3">
        <f t="shared" si="48"/>
        <v>0</v>
      </c>
      <c r="AF1063" s="10" t="e">
        <f t="shared" si="49"/>
        <v>#N/A</v>
      </c>
      <c r="AG1063" s="3" t="str">
        <f t="shared" si="50"/>
        <v/>
      </c>
    </row>
    <row r="1064" spans="1:33" x14ac:dyDescent="0.25">
      <c r="A1064" s="7"/>
      <c r="B1064" s="8"/>
      <c r="C1064" s="3"/>
      <c r="D1064" s="3"/>
      <c r="E1064" s="3" t="e">
        <f>VLOOKUP(D1064,VIAJES!$D:$E,2,FALSE)</f>
        <v>#N/A</v>
      </c>
      <c r="F1064" s="9" t="e">
        <f>VLOOKUP(D1064,VIAJES!$D:$F,3,FALSE)</f>
        <v>#N/A</v>
      </c>
      <c r="G1064" s="9" t="e">
        <f>VLOOKUP(D1064,VIAJES!$D:$G,4,FALSE)</f>
        <v>#N/A</v>
      </c>
      <c r="H1064" s="3" t="e">
        <f>VLOOKUP(D1064,VIAJES!$D:$H,5,FALSE)</f>
        <v>#N/A</v>
      </c>
      <c r="S1064" s="3">
        <f>IFERROR(INDEX(EVENTOS!$D:$D,MATCH(SCORE!S$2&amp;" "&amp;SCORE!$D1064,EVENTOS!$F:$F,0)),0)</f>
        <v>0</v>
      </c>
      <c r="T1064" s="3">
        <f>IFERROR(INDEX(EVENTOS!$D:$D,MATCH(SCORE!T$2&amp;" "&amp;SCORE!$D1064,EVENTOS!$F:$F,0)),0)</f>
        <v>0</v>
      </c>
      <c r="U1064" s="3">
        <f>IFERROR(INDEX(EVENTOS!$D:$D,MATCH(SCORE!U$2&amp;" "&amp;SCORE!$D1064,EVENTOS!$F:$F,0)),0)</f>
        <v>0</v>
      </c>
      <c r="V1064" s="3">
        <f>IFERROR(INDEX(EVENTOS!$D:$D,MATCH(SCORE!V$2&amp;" "&amp;SCORE!$D1064,EVENTOS!$F:$F,0)),0)</f>
        <v>0</v>
      </c>
      <c r="W1064" s="3">
        <f>IFERROR(INDEX(EVENTOS!$D:$D,MATCH(SCORE!W$2&amp;" "&amp;SCORE!$D1064,EVENTOS!$F:$F,0)),0)</f>
        <v>0</v>
      </c>
      <c r="X1064" s="3">
        <f>IFERROR(INDEX(EVENTOS!$D:$D,MATCH(SCORE!X$2&amp;" "&amp;SCORE!$D1064,EVENTOS!$F:$F,0)),0)</f>
        <v>0</v>
      </c>
      <c r="Y1064" s="3">
        <f>SUMIFS(EVENTOS!$D:$D, EVENTOS!$B:$B, D1064, EVENTOS!$E:$E, "*GirAlto*")</f>
        <v>0</v>
      </c>
      <c r="Z1064" s="3">
        <f>SUMIFS(EVENTOS!$D:$D, EVENTOS!$B:$B, D1064, EVENTOS!$E:$E, "*GirMed*")</f>
        <v>0</v>
      </c>
      <c r="AA1064" s="3">
        <f>SUMIFS(EVENTOS!$D:$D, EVENTOS!$B:$B, D1064, EVENTOS!$E:$E, "*GirBajo*")</f>
        <v>0</v>
      </c>
      <c r="AB1064" s="3">
        <f>IFERROR(INDEX(EVENTOS!$D:$D,MATCH(SCORE!AB$2&amp;" "&amp;SCORE!$D1064,EVENTOS!$F:$F,0)),0)</f>
        <v>0</v>
      </c>
      <c r="AC1064" s="3">
        <f>IFERROR(INDEX(EVENTOS!$D:$D,MATCH(SCORE!AC$2&amp;" "&amp;SCORE!$D1064,EVENTOS!$F:$F,0)),0)</f>
        <v>0</v>
      </c>
      <c r="AD1064" s="3">
        <f>IFERROR(INDEX(EVENTOS!$D:$D,MATCH(SCORE!AD$2&amp;" "&amp;SCORE!$D1064,EVENTOS!$F:$F,0)),0)</f>
        <v>0</v>
      </c>
      <c r="AE1064" s="3">
        <f t="shared" si="48"/>
        <v>0</v>
      </c>
      <c r="AF1064" s="10" t="e">
        <f t="shared" si="49"/>
        <v>#N/A</v>
      </c>
      <c r="AG1064" s="3" t="str">
        <f t="shared" si="50"/>
        <v/>
      </c>
    </row>
    <row r="1065" spans="1:33" x14ac:dyDescent="0.25">
      <c r="A1065" s="7"/>
      <c r="B1065" s="8"/>
      <c r="C1065" s="3"/>
      <c r="D1065" s="3"/>
      <c r="E1065" s="3" t="e">
        <f>VLOOKUP(D1065,VIAJES!$D:$E,2,FALSE)</f>
        <v>#N/A</v>
      </c>
      <c r="F1065" s="9" t="e">
        <f>VLOOKUP(D1065,VIAJES!$D:$F,3,FALSE)</f>
        <v>#N/A</v>
      </c>
      <c r="G1065" s="9" t="e">
        <f>VLOOKUP(D1065,VIAJES!$D:$G,4,FALSE)</f>
        <v>#N/A</v>
      </c>
      <c r="H1065" s="3" t="e">
        <f>VLOOKUP(D1065,VIAJES!$D:$H,5,FALSE)</f>
        <v>#N/A</v>
      </c>
      <c r="S1065" s="3">
        <f>IFERROR(INDEX(EVENTOS!$D:$D,MATCH(SCORE!S$2&amp;" "&amp;SCORE!$D1065,EVENTOS!$F:$F,0)),0)</f>
        <v>0</v>
      </c>
      <c r="T1065" s="3">
        <f>IFERROR(INDEX(EVENTOS!$D:$D,MATCH(SCORE!T$2&amp;" "&amp;SCORE!$D1065,EVENTOS!$F:$F,0)),0)</f>
        <v>0</v>
      </c>
      <c r="U1065" s="3">
        <f>IFERROR(INDEX(EVENTOS!$D:$D,MATCH(SCORE!U$2&amp;" "&amp;SCORE!$D1065,EVENTOS!$F:$F,0)),0)</f>
        <v>0</v>
      </c>
      <c r="V1065" s="3">
        <f>IFERROR(INDEX(EVENTOS!$D:$D,MATCH(SCORE!V$2&amp;" "&amp;SCORE!$D1065,EVENTOS!$F:$F,0)),0)</f>
        <v>0</v>
      </c>
      <c r="W1065" s="3">
        <f>IFERROR(INDEX(EVENTOS!$D:$D,MATCH(SCORE!W$2&amp;" "&amp;SCORE!$D1065,EVENTOS!$F:$F,0)),0)</f>
        <v>0</v>
      </c>
      <c r="X1065" s="3">
        <f>IFERROR(INDEX(EVENTOS!$D:$D,MATCH(SCORE!X$2&amp;" "&amp;SCORE!$D1065,EVENTOS!$F:$F,0)),0)</f>
        <v>0</v>
      </c>
      <c r="Y1065" s="3">
        <f>SUMIFS(EVENTOS!$D:$D, EVENTOS!$B:$B, D1065, EVENTOS!$E:$E, "*GirAlto*")</f>
        <v>0</v>
      </c>
      <c r="Z1065" s="3">
        <f>SUMIFS(EVENTOS!$D:$D, EVENTOS!$B:$B, D1065, EVENTOS!$E:$E, "*GirMed*")</f>
        <v>0</v>
      </c>
      <c r="AA1065" s="3">
        <f>SUMIFS(EVENTOS!$D:$D, EVENTOS!$B:$B, D1065, EVENTOS!$E:$E, "*GirBajo*")</f>
        <v>0</v>
      </c>
      <c r="AB1065" s="3">
        <f>IFERROR(INDEX(EVENTOS!$D:$D,MATCH(SCORE!AB$2&amp;" "&amp;SCORE!$D1065,EVENTOS!$F:$F,0)),0)</f>
        <v>0</v>
      </c>
      <c r="AC1065" s="3">
        <f>IFERROR(INDEX(EVENTOS!$D:$D,MATCH(SCORE!AC$2&amp;" "&amp;SCORE!$D1065,EVENTOS!$F:$F,0)),0)</f>
        <v>0</v>
      </c>
      <c r="AD1065" s="3">
        <f>IFERROR(INDEX(EVENTOS!$D:$D,MATCH(SCORE!AD$2&amp;" "&amp;SCORE!$D1065,EVENTOS!$F:$F,0)),0)</f>
        <v>0</v>
      </c>
      <c r="AE1065" s="3">
        <f t="shared" si="48"/>
        <v>0</v>
      </c>
      <c r="AF1065" s="10" t="e">
        <f t="shared" si="49"/>
        <v>#N/A</v>
      </c>
      <c r="AG1065" s="3" t="str">
        <f t="shared" si="50"/>
        <v/>
      </c>
    </row>
    <row r="1066" spans="1:33" x14ac:dyDescent="0.25">
      <c r="A1066" s="7"/>
      <c r="B1066" s="8"/>
      <c r="C1066" s="3"/>
      <c r="D1066" s="3"/>
      <c r="E1066" s="3" t="e">
        <f>VLOOKUP(D1066,VIAJES!$D:$E,2,FALSE)</f>
        <v>#N/A</v>
      </c>
      <c r="F1066" s="9" t="e">
        <f>VLOOKUP(D1066,VIAJES!$D:$F,3,FALSE)</f>
        <v>#N/A</v>
      </c>
      <c r="G1066" s="9" t="e">
        <f>VLOOKUP(D1066,VIAJES!$D:$G,4,FALSE)</f>
        <v>#N/A</v>
      </c>
      <c r="H1066" s="3" t="e">
        <f>VLOOKUP(D1066,VIAJES!$D:$H,5,FALSE)</f>
        <v>#N/A</v>
      </c>
      <c r="S1066" s="3">
        <f>IFERROR(INDEX(EVENTOS!$D:$D,MATCH(SCORE!S$2&amp;" "&amp;SCORE!$D1066,EVENTOS!$F:$F,0)),0)</f>
        <v>0</v>
      </c>
      <c r="T1066" s="3">
        <f>IFERROR(INDEX(EVENTOS!$D:$D,MATCH(SCORE!T$2&amp;" "&amp;SCORE!$D1066,EVENTOS!$F:$F,0)),0)</f>
        <v>0</v>
      </c>
      <c r="U1066" s="3">
        <f>IFERROR(INDEX(EVENTOS!$D:$D,MATCH(SCORE!U$2&amp;" "&amp;SCORE!$D1066,EVENTOS!$F:$F,0)),0)</f>
        <v>0</v>
      </c>
      <c r="V1066" s="3">
        <f>IFERROR(INDEX(EVENTOS!$D:$D,MATCH(SCORE!V$2&amp;" "&amp;SCORE!$D1066,EVENTOS!$F:$F,0)),0)</f>
        <v>0</v>
      </c>
      <c r="W1066" s="3">
        <f>IFERROR(INDEX(EVENTOS!$D:$D,MATCH(SCORE!W$2&amp;" "&amp;SCORE!$D1066,EVENTOS!$F:$F,0)),0)</f>
        <v>0</v>
      </c>
      <c r="X1066" s="3">
        <f>IFERROR(INDEX(EVENTOS!$D:$D,MATCH(SCORE!X$2&amp;" "&amp;SCORE!$D1066,EVENTOS!$F:$F,0)),0)</f>
        <v>0</v>
      </c>
      <c r="Y1066" s="3">
        <f>SUMIFS(EVENTOS!$D:$D, EVENTOS!$B:$B, D1066, EVENTOS!$E:$E, "*GirAlto*")</f>
        <v>0</v>
      </c>
      <c r="Z1066" s="3">
        <f>SUMIFS(EVENTOS!$D:$D, EVENTOS!$B:$B, D1066, EVENTOS!$E:$E, "*GirMed*")</f>
        <v>0</v>
      </c>
      <c r="AA1066" s="3">
        <f>SUMIFS(EVENTOS!$D:$D, EVENTOS!$B:$B, D1066, EVENTOS!$E:$E, "*GirBajo*")</f>
        <v>0</v>
      </c>
      <c r="AB1066" s="3">
        <f>IFERROR(INDEX(EVENTOS!$D:$D,MATCH(SCORE!AB$2&amp;" "&amp;SCORE!$D1066,EVENTOS!$F:$F,0)),0)</f>
        <v>0</v>
      </c>
      <c r="AC1066" s="3">
        <f>IFERROR(INDEX(EVENTOS!$D:$D,MATCH(SCORE!AC$2&amp;" "&amp;SCORE!$D1066,EVENTOS!$F:$F,0)),0)</f>
        <v>0</v>
      </c>
      <c r="AD1066" s="3">
        <f>IFERROR(INDEX(EVENTOS!$D:$D,MATCH(SCORE!AD$2&amp;" "&amp;SCORE!$D1066,EVENTOS!$F:$F,0)),0)</f>
        <v>0</v>
      </c>
      <c r="AE1066" s="3">
        <f t="shared" si="48"/>
        <v>0</v>
      </c>
      <c r="AF1066" s="10" t="e">
        <f t="shared" si="49"/>
        <v>#N/A</v>
      </c>
      <c r="AG1066" s="3" t="str">
        <f t="shared" si="50"/>
        <v/>
      </c>
    </row>
    <row r="1067" spans="1:33" x14ac:dyDescent="0.25">
      <c r="A1067" s="7"/>
      <c r="B1067" s="8"/>
      <c r="C1067" s="3"/>
      <c r="D1067" s="3"/>
      <c r="E1067" s="3" t="e">
        <f>VLOOKUP(D1067,VIAJES!$D:$E,2,FALSE)</f>
        <v>#N/A</v>
      </c>
      <c r="F1067" s="9" t="e">
        <f>VLOOKUP(D1067,VIAJES!$D:$F,3,FALSE)</f>
        <v>#N/A</v>
      </c>
      <c r="G1067" s="9" t="e">
        <f>VLOOKUP(D1067,VIAJES!$D:$G,4,FALSE)</f>
        <v>#N/A</v>
      </c>
      <c r="H1067" s="3" t="e">
        <f>VLOOKUP(D1067,VIAJES!$D:$H,5,FALSE)</f>
        <v>#N/A</v>
      </c>
      <c r="S1067" s="3">
        <f>IFERROR(INDEX(EVENTOS!$D:$D,MATCH(SCORE!S$2&amp;" "&amp;SCORE!$D1067,EVENTOS!$F:$F,0)),0)</f>
        <v>0</v>
      </c>
      <c r="T1067" s="3">
        <f>IFERROR(INDEX(EVENTOS!$D:$D,MATCH(SCORE!T$2&amp;" "&amp;SCORE!$D1067,EVENTOS!$F:$F,0)),0)</f>
        <v>0</v>
      </c>
      <c r="U1067" s="3">
        <f>IFERROR(INDEX(EVENTOS!$D:$D,MATCH(SCORE!U$2&amp;" "&amp;SCORE!$D1067,EVENTOS!$F:$F,0)),0)</f>
        <v>0</v>
      </c>
      <c r="V1067" s="3">
        <f>IFERROR(INDEX(EVENTOS!$D:$D,MATCH(SCORE!V$2&amp;" "&amp;SCORE!$D1067,EVENTOS!$F:$F,0)),0)</f>
        <v>0</v>
      </c>
      <c r="W1067" s="3">
        <f>IFERROR(INDEX(EVENTOS!$D:$D,MATCH(SCORE!W$2&amp;" "&amp;SCORE!$D1067,EVENTOS!$F:$F,0)),0)</f>
        <v>0</v>
      </c>
      <c r="X1067" s="3">
        <f>IFERROR(INDEX(EVENTOS!$D:$D,MATCH(SCORE!X$2&amp;" "&amp;SCORE!$D1067,EVENTOS!$F:$F,0)),0)</f>
        <v>0</v>
      </c>
      <c r="Y1067" s="3">
        <f>SUMIFS(EVENTOS!$D:$D, EVENTOS!$B:$B, D1067, EVENTOS!$E:$E, "*GirAlto*")</f>
        <v>0</v>
      </c>
      <c r="Z1067" s="3">
        <f>SUMIFS(EVENTOS!$D:$D, EVENTOS!$B:$B, D1067, EVENTOS!$E:$E, "*GirMed*")</f>
        <v>0</v>
      </c>
      <c r="AA1067" s="3">
        <f>SUMIFS(EVENTOS!$D:$D, EVENTOS!$B:$B, D1067, EVENTOS!$E:$E, "*GirBajo*")</f>
        <v>0</v>
      </c>
      <c r="AB1067" s="3">
        <f>IFERROR(INDEX(EVENTOS!$D:$D,MATCH(SCORE!AB$2&amp;" "&amp;SCORE!$D1067,EVENTOS!$F:$F,0)),0)</f>
        <v>0</v>
      </c>
      <c r="AC1067" s="3">
        <f>IFERROR(INDEX(EVENTOS!$D:$D,MATCH(SCORE!AC$2&amp;" "&amp;SCORE!$D1067,EVENTOS!$F:$F,0)),0)</f>
        <v>0</v>
      </c>
      <c r="AD1067" s="3">
        <f>IFERROR(INDEX(EVENTOS!$D:$D,MATCH(SCORE!AD$2&amp;" "&amp;SCORE!$D1067,EVENTOS!$F:$F,0)),0)</f>
        <v>0</v>
      </c>
      <c r="AE1067" s="3">
        <f t="shared" si="48"/>
        <v>0</v>
      </c>
      <c r="AF1067" s="10" t="e">
        <f t="shared" si="49"/>
        <v>#N/A</v>
      </c>
      <c r="AG1067" s="3" t="str">
        <f t="shared" si="50"/>
        <v/>
      </c>
    </row>
    <row r="1068" spans="1:33" x14ac:dyDescent="0.25">
      <c r="A1068" s="7"/>
      <c r="B1068" s="8"/>
      <c r="C1068" s="3"/>
      <c r="D1068" s="3"/>
      <c r="E1068" s="3" t="e">
        <f>VLOOKUP(D1068,VIAJES!$D:$E,2,FALSE)</f>
        <v>#N/A</v>
      </c>
      <c r="F1068" s="9" t="e">
        <f>VLOOKUP(D1068,VIAJES!$D:$F,3,FALSE)</f>
        <v>#N/A</v>
      </c>
      <c r="G1068" s="9" t="e">
        <f>VLOOKUP(D1068,VIAJES!$D:$G,4,FALSE)</f>
        <v>#N/A</v>
      </c>
      <c r="H1068" s="3" t="e">
        <f>VLOOKUP(D1068,VIAJES!$D:$H,5,FALSE)</f>
        <v>#N/A</v>
      </c>
      <c r="S1068" s="3">
        <f>IFERROR(INDEX(EVENTOS!$D:$D,MATCH(SCORE!S$2&amp;" "&amp;SCORE!$D1068,EVENTOS!$F:$F,0)),0)</f>
        <v>0</v>
      </c>
      <c r="T1068" s="3">
        <f>IFERROR(INDEX(EVENTOS!$D:$D,MATCH(SCORE!T$2&amp;" "&amp;SCORE!$D1068,EVENTOS!$F:$F,0)),0)</f>
        <v>0</v>
      </c>
      <c r="U1068" s="3">
        <f>IFERROR(INDEX(EVENTOS!$D:$D,MATCH(SCORE!U$2&amp;" "&amp;SCORE!$D1068,EVENTOS!$F:$F,0)),0)</f>
        <v>0</v>
      </c>
      <c r="V1068" s="3">
        <f>IFERROR(INDEX(EVENTOS!$D:$D,MATCH(SCORE!V$2&amp;" "&amp;SCORE!$D1068,EVENTOS!$F:$F,0)),0)</f>
        <v>0</v>
      </c>
      <c r="W1068" s="3">
        <f>IFERROR(INDEX(EVENTOS!$D:$D,MATCH(SCORE!W$2&amp;" "&amp;SCORE!$D1068,EVENTOS!$F:$F,0)),0)</f>
        <v>0</v>
      </c>
      <c r="X1068" s="3">
        <f>IFERROR(INDEX(EVENTOS!$D:$D,MATCH(SCORE!X$2&amp;" "&amp;SCORE!$D1068,EVENTOS!$F:$F,0)),0)</f>
        <v>0</v>
      </c>
      <c r="Y1068" s="3">
        <f>SUMIFS(EVENTOS!$D:$D, EVENTOS!$B:$B, D1068, EVENTOS!$E:$E, "*GirAlto*")</f>
        <v>0</v>
      </c>
      <c r="Z1068" s="3">
        <f>SUMIFS(EVENTOS!$D:$D, EVENTOS!$B:$B, D1068, EVENTOS!$E:$E, "*GirMed*")</f>
        <v>0</v>
      </c>
      <c r="AA1068" s="3">
        <f>SUMIFS(EVENTOS!$D:$D, EVENTOS!$B:$B, D1068, EVENTOS!$E:$E, "*GirBajo*")</f>
        <v>0</v>
      </c>
      <c r="AB1068" s="3">
        <f>IFERROR(INDEX(EVENTOS!$D:$D,MATCH(SCORE!AB$2&amp;" "&amp;SCORE!$D1068,EVENTOS!$F:$F,0)),0)</f>
        <v>0</v>
      </c>
      <c r="AC1068" s="3">
        <f>IFERROR(INDEX(EVENTOS!$D:$D,MATCH(SCORE!AC$2&amp;" "&amp;SCORE!$D1068,EVENTOS!$F:$F,0)),0)</f>
        <v>0</v>
      </c>
      <c r="AD1068" s="3">
        <f>IFERROR(INDEX(EVENTOS!$D:$D,MATCH(SCORE!AD$2&amp;" "&amp;SCORE!$D1068,EVENTOS!$F:$F,0)),0)</f>
        <v>0</v>
      </c>
      <c r="AE1068" s="3">
        <f t="shared" si="48"/>
        <v>0</v>
      </c>
      <c r="AF1068" s="10" t="e">
        <f t="shared" si="49"/>
        <v>#N/A</v>
      </c>
      <c r="AG1068" s="3" t="str">
        <f t="shared" si="50"/>
        <v/>
      </c>
    </row>
    <row r="1069" spans="1:33" x14ac:dyDescent="0.25">
      <c r="A1069" s="7"/>
      <c r="B1069" s="8"/>
      <c r="C1069" s="3"/>
      <c r="D1069" s="3"/>
      <c r="E1069" s="3" t="e">
        <f>VLOOKUP(D1069,VIAJES!$D:$E,2,FALSE)</f>
        <v>#N/A</v>
      </c>
      <c r="F1069" s="9" t="e">
        <f>VLOOKUP(D1069,VIAJES!$D:$F,3,FALSE)</f>
        <v>#N/A</v>
      </c>
      <c r="G1069" s="9" t="e">
        <f>VLOOKUP(D1069,VIAJES!$D:$G,4,FALSE)</f>
        <v>#N/A</v>
      </c>
      <c r="H1069" s="3" t="e">
        <f>VLOOKUP(D1069,VIAJES!$D:$H,5,FALSE)</f>
        <v>#N/A</v>
      </c>
      <c r="S1069" s="3">
        <f>IFERROR(INDEX(EVENTOS!$D:$D,MATCH(SCORE!S$2&amp;" "&amp;SCORE!$D1069,EVENTOS!$F:$F,0)),0)</f>
        <v>0</v>
      </c>
      <c r="T1069" s="3">
        <f>IFERROR(INDEX(EVENTOS!$D:$D,MATCH(SCORE!T$2&amp;" "&amp;SCORE!$D1069,EVENTOS!$F:$F,0)),0)</f>
        <v>0</v>
      </c>
      <c r="U1069" s="3">
        <f>IFERROR(INDEX(EVENTOS!$D:$D,MATCH(SCORE!U$2&amp;" "&amp;SCORE!$D1069,EVENTOS!$F:$F,0)),0)</f>
        <v>0</v>
      </c>
      <c r="V1069" s="3">
        <f>IFERROR(INDEX(EVENTOS!$D:$D,MATCH(SCORE!V$2&amp;" "&amp;SCORE!$D1069,EVENTOS!$F:$F,0)),0)</f>
        <v>0</v>
      </c>
      <c r="W1069" s="3">
        <f>IFERROR(INDEX(EVENTOS!$D:$D,MATCH(SCORE!W$2&amp;" "&amp;SCORE!$D1069,EVENTOS!$F:$F,0)),0)</f>
        <v>0</v>
      </c>
      <c r="X1069" s="3">
        <f>IFERROR(INDEX(EVENTOS!$D:$D,MATCH(SCORE!X$2&amp;" "&amp;SCORE!$D1069,EVENTOS!$F:$F,0)),0)</f>
        <v>0</v>
      </c>
      <c r="Y1069" s="3">
        <f>SUMIFS(EVENTOS!$D:$D, EVENTOS!$B:$B, D1069, EVENTOS!$E:$E, "*GirAlto*")</f>
        <v>0</v>
      </c>
      <c r="Z1069" s="3">
        <f>SUMIFS(EVENTOS!$D:$D, EVENTOS!$B:$B, D1069, EVENTOS!$E:$E, "*GirMed*")</f>
        <v>0</v>
      </c>
      <c r="AA1069" s="3">
        <f>SUMIFS(EVENTOS!$D:$D, EVENTOS!$B:$B, D1069, EVENTOS!$E:$E, "*GirBajo*")</f>
        <v>0</v>
      </c>
      <c r="AB1069" s="3">
        <f>IFERROR(INDEX(EVENTOS!$D:$D,MATCH(SCORE!AB$2&amp;" "&amp;SCORE!$D1069,EVENTOS!$F:$F,0)),0)</f>
        <v>0</v>
      </c>
      <c r="AC1069" s="3">
        <f>IFERROR(INDEX(EVENTOS!$D:$D,MATCH(SCORE!AC$2&amp;" "&amp;SCORE!$D1069,EVENTOS!$F:$F,0)),0)</f>
        <v>0</v>
      </c>
      <c r="AD1069" s="3">
        <f>IFERROR(INDEX(EVENTOS!$D:$D,MATCH(SCORE!AD$2&amp;" "&amp;SCORE!$D1069,EVENTOS!$F:$F,0)),0)</f>
        <v>0</v>
      </c>
      <c r="AE1069" s="3">
        <f t="shared" si="48"/>
        <v>0</v>
      </c>
      <c r="AF1069" s="10" t="e">
        <f t="shared" si="49"/>
        <v>#N/A</v>
      </c>
      <c r="AG1069" s="3" t="str">
        <f t="shared" si="50"/>
        <v/>
      </c>
    </row>
    <row r="1070" spans="1:33" x14ac:dyDescent="0.25">
      <c r="A1070" s="7"/>
      <c r="B1070" s="8"/>
      <c r="C1070" s="3"/>
      <c r="D1070" s="3"/>
      <c r="E1070" s="3" t="e">
        <f>VLOOKUP(D1070,VIAJES!$D:$E,2,FALSE)</f>
        <v>#N/A</v>
      </c>
      <c r="F1070" s="9" t="e">
        <f>VLOOKUP(D1070,VIAJES!$D:$F,3,FALSE)</f>
        <v>#N/A</v>
      </c>
      <c r="G1070" s="9" t="e">
        <f>VLOOKUP(D1070,VIAJES!$D:$G,4,FALSE)</f>
        <v>#N/A</v>
      </c>
      <c r="H1070" s="3" t="e">
        <f>VLOOKUP(D1070,VIAJES!$D:$H,5,FALSE)</f>
        <v>#N/A</v>
      </c>
      <c r="S1070" s="3">
        <f>IFERROR(INDEX(EVENTOS!$D:$D,MATCH(SCORE!S$2&amp;" "&amp;SCORE!$D1070,EVENTOS!$F:$F,0)),0)</f>
        <v>0</v>
      </c>
      <c r="T1070" s="3">
        <f>IFERROR(INDEX(EVENTOS!$D:$D,MATCH(SCORE!T$2&amp;" "&amp;SCORE!$D1070,EVENTOS!$F:$F,0)),0)</f>
        <v>0</v>
      </c>
      <c r="U1070" s="3">
        <f>IFERROR(INDEX(EVENTOS!$D:$D,MATCH(SCORE!U$2&amp;" "&amp;SCORE!$D1070,EVENTOS!$F:$F,0)),0)</f>
        <v>0</v>
      </c>
      <c r="V1070" s="3">
        <f>IFERROR(INDEX(EVENTOS!$D:$D,MATCH(SCORE!V$2&amp;" "&amp;SCORE!$D1070,EVENTOS!$F:$F,0)),0)</f>
        <v>0</v>
      </c>
      <c r="W1070" s="3">
        <f>IFERROR(INDEX(EVENTOS!$D:$D,MATCH(SCORE!W$2&amp;" "&amp;SCORE!$D1070,EVENTOS!$F:$F,0)),0)</f>
        <v>0</v>
      </c>
      <c r="X1070" s="3">
        <f>IFERROR(INDEX(EVENTOS!$D:$D,MATCH(SCORE!X$2&amp;" "&amp;SCORE!$D1070,EVENTOS!$F:$F,0)),0)</f>
        <v>0</v>
      </c>
      <c r="Y1070" s="3">
        <f>SUMIFS(EVENTOS!$D:$D, EVENTOS!$B:$B, D1070, EVENTOS!$E:$E, "*GirAlto*")</f>
        <v>0</v>
      </c>
      <c r="Z1070" s="3">
        <f>SUMIFS(EVENTOS!$D:$D, EVENTOS!$B:$B, D1070, EVENTOS!$E:$E, "*GirMed*")</f>
        <v>0</v>
      </c>
      <c r="AA1070" s="3">
        <f>SUMIFS(EVENTOS!$D:$D, EVENTOS!$B:$B, D1070, EVENTOS!$E:$E, "*GirBajo*")</f>
        <v>0</v>
      </c>
      <c r="AB1070" s="3">
        <f>IFERROR(INDEX(EVENTOS!$D:$D,MATCH(SCORE!AB$2&amp;" "&amp;SCORE!$D1070,EVENTOS!$F:$F,0)),0)</f>
        <v>0</v>
      </c>
      <c r="AC1070" s="3">
        <f>IFERROR(INDEX(EVENTOS!$D:$D,MATCH(SCORE!AC$2&amp;" "&amp;SCORE!$D1070,EVENTOS!$F:$F,0)),0)</f>
        <v>0</v>
      </c>
      <c r="AD1070" s="3">
        <f>IFERROR(INDEX(EVENTOS!$D:$D,MATCH(SCORE!AD$2&amp;" "&amp;SCORE!$D1070,EVENTOS!$F:$F,0)),0)</f>
        <v>0</v>
      </c>
      <c r="AE1070" s="3">
        <f t="shared" si="48"/>
        <v>0</v>
      </c>
      <c r="AF1070" s="10" t="e">
        <f t="shared" si="49"/>
        <v>#N/A</v>
      </c>
      <c r="AG1070" s="3" t="str">
        <f t="shared" si="50"/>
        <v/>
      </c>
    </row>
    <row r="1071" spans="1:33" x14ac:dyDescent="0.25">
      <c r="A1071" s="7"/>
      <c r="B1071" s="8"/>
      <c r="C1071" s="3"/>
      <c r="D1071" s="3"/>
      <c r="E1071" s="3" t="e">
        <f>VLOOKUP(D1071,VIAJES!$D:$E,2,FALSE)</f>
        <v>#N/A</v>
      </c>
      <c r="F1071" s="9" t="e">
        <f>VLOOKUP(D1071,VIAJES!$D:$F,3,FALSE)</f>
        <v>#N/A</v>
      </c>
      <c r="G1071" s="9" t="e">
        <f>VLOOKUP(D1071,VIAJES!$D:$G,4,FALSE)</f>
        <v>#N/A</v>
      </c>
      <c r="H1071" s="3" t="e">
        <f>VLOOKUP(D1071,VIAJES!$D:$H,5,FALSE)</f>
        <v>#N/A</v>
      </c>
      <c r="S1071" s="3">
        <f>IFERROR(INDEX(EVENTOS!$D:$D,MATCH(SCORE!S$2&amp;" "&amp;SCORE!$D1071,EVENTOS!$F:$F,0)),0)</f>
        <v>0</v>
      </c>
      <c r="T1071" s="3">
        <f>IFERROR(INDEX(EVENTOS!$D:$D,MATCH(SCORE!T$2&amp;" "&amp;SCORE!$D1071,EVENTOS!$F:$F,0)),0)</f>
        <v>0</v>
      </c>
      <c r="U1071" s="3">
        <f>IFERROR(INDEX(EVENTOS!$D:$D,MATCH(SCORE!U$2&amp;" "&amp;SCORE!$D1071,EVENTOS!$F:$F,0)),0)</f>
        <v>0</v>
      </c>
      <c r="V1071" s="3">
        <f>IFERROR(INDEX(EVENTOS!$D:$D,MATCH(SCORE!V$2&amp;" "&amp;SCORE!$D1071,EVENTOS!$F:$F,0)),0)</f>
        <v>0</v>
      </c>
      <c r="W1071" s="3">
        <f>IFERROR(INDEX(EVENTOS!$D:$D,MATCH(SCORE!W$2&amp;" "&amp;SCORE!$D1071,EVENTOS!$F:$F,0)),0)</f>
        <v>0</v>
      </c>
      <c r="X1071" s="3">
        <f>IFERROR(INDEX(EVENTOS!$D:$D,MATCH(SCORE!X$2&amp;" "&amp;SCORE!$D1071,EVENTOS!$F:$F,0)),0)</f>
        <v>0</v>
      </c>
      <c r="Y1071" s="3">
        <f>SUMIFS(EVENTOS!$D:$D, EVENTOS!$B:$B, D1071, EVENTOS!$E:$E, "*GirAlto*")</f>
        <v>0</v>
      </c>
      <c r="Z1071" s="3">
        <f>SUMIFS(EVENTOS!$D:$D, EVENTOS!$B:$B, D1071, EVENTOS!$E:$E, "*GirMed*")</f>
        <v>0</v>
      </c>
      <c r="AA1071" s="3">
        <f>SUMIFS(EVENTOS!$D:$D, EVENTOS!$B:$B, D1071, EVENTOS!$E:$E, "*GirBajo*")</f>
        <v>0</v>
      </c>
      <c r="AB1071" s="3">
        <f>IFERROR(INDEX(EVENTOS!$D:$D,MATCH(SCORE!AB$2&amp;" "&amp;SCORE!$D1071,EVENTOS!$F:$F,0)),0)</f>
        <v>0</v>
      </c>
      <c r="AC1071" s="3">
        <f>IFERROR(INDEX(EVENTOS!$D:$D,MATCH(SCORE!AC$2&amp;" "&amp;SCORE!$D1071,EVENTOS!$F:$F,0)),0)</f>
        <v>0</v>
      </c>
      <c r="AD1071" s="3">
        <f>IFERROR(INDEX(EVENTOS!$D:$D,MATCH(SCORE!AD$2&amp;" "&amp;SCORE!$D1071,EVENTOS!$F:$F,0)),0)</f>
        <v>0</v>
      </c>
      <c r="AE1071" s="3">
        <f t="shared" si="48"/>
        <v>0</v>
      </c>
      <c r="AF1071" s="10" t="e">
        <f t="shared" si="49"/>
        <v>#N/A</v>
      </c>
      <c r="AG1071" s="3" t="str">
        <f t="shared" si="50"/>
        <v/>
      </c>
    </row>
    <row r="1072" spans="1:33" x14ac:dyDescent="0.25">
      <c r="A1072" s="7"/>
      <c r="B1072" s="8"/>
      <c r="C1072" s="3"/>
      <c r="D1072" s="3"/>
      <c r="E1072" s="3" t="e">
        <f>VLOOKUP(D1072,VIAJES!$D:$E,2,FALSE)</f>
        <v>#N/A</v>
      </c>
      <c r="F1072" s="9" t="e">
        <f>VLOOKUP(D1072,VIAJES!$D:$F,3,FALSE)</f>
        <v>#N/A</v>
      </c>
      <c r="G1072" s="9" t="e">
        <f>VLOOKUP(D1072,VIAJES!$D:$G,4,FALSE)</f>
        <v>#N/A</v>
      </c>
      <c r="H1072" s="3" t="e">
        <f>VLOOKUP(D1072,VIAJES!$D:$H,5,FALSE)</f>
        <v>#N/A</v>
      </c>
      <c r="S1072" s="3">
        <f>IFERROR(INDEX(EVENTOS!$D:$D,MATCH(SCORE!S$2&amp;" "&amp;SCORE!$D1072,EVENTOS!$F:$F,0)),0)</f>
        <v>0</v>
      </c>
      <c r="T1072" s="3">
        <f>IFERROR(INDEX(EVENTOS!$D:$D,MATCH(SCORE!T$2&amp;" "&amp;SCORE!$D1072,EVENTOS!$F:$F,0)),0)</f>
        <v>0</v>
      </c>
      <c r="U1072" s="3">
        <f>IFERROR(INDEX(EVENTOS!$D:$D,MATCH(SCORE!U$2&amp;" "&amp;SCORE!$D1072,EVENTOS!$F:$F,0)),0)</f>
        <v>0</v>
      </c>
      <c r="V1072" s="3">
        <f>IFERROR(INDEX(EVENTOS!$D:$D,MATCH(SCORE!V$2&amp;" "&amp;SCORE!$D1072,EVENTOS!$F:$F,0)),0)</f>
        <v>0</v>
      </c>
      <c r="W1072" s="3">
        <f>IFERROR(INDEX(EVENTOS!$D:$D,MATCH(SCORE!W$2&amp;" "&amp;SCORE!$D1072,EVENTOS!$F:$F,0)),0)</f>
        <v>0</v>
      </c>
      <c r="X1072" s="3">
        <f>IFERROR(INDEX(EVENTOS!$D:$D,MATCH(SCORE!X$2&amp;" "&amp;SCORE!$D1072,EVENTOS!$F:$F,0)),0)</f>
        <v>0</v>
      </c>
      <c r="Y1072" s="3">
        <f>SUMIFS(EVENTOS!$D:$D, EVENTOS!$B:$B, D1072, EVENTOS!$E:$E, "*GirAlto*")</f>
        <v>0</v>
      </c>
      <c r="Z1072" s="3">
        <f>SUMIFS(EVENTOS!$D:$D, EVENTOS!$B:$B, D1072, EVENTOS!$E:$E, "*GirMed*")</f>
        <v>0</v>
      </c>
      <c r="AA1072" s="3">
        <f>SUMIFS(EVENTOS!$D:$D, EVENTOS!$B:$B, D1072, EVENTOS!$E:$E, "*GirBajo*")</f>
        <v>0</v>
      </c>
      <c r="AB1072" s="3">
        <f>IFERROR(INDEX(EVENTOS!$D:$D,MATCH(SCORE!AB$2&amp;" "&amp;SCORE!$D1072,EVENTOS!$F:$F,0)),0)</f>
        <v>0</v>
      </c>
      <c r="AC1072" s="3">
        <f>IFERROR(INDEX(EVENTOS!$D:$D,MATCH(SCORE!AC$2&amp;" "&amp;SCORE!$D1072,EVENTOS!$F:$F,0)),0)</f>
        <v>0</v>
      </c>
      <c r="AD1072" s="3">
        <f>IFERROR(INDEX(EVENTOS!$D:$D,MATCH(SCORE!AD$2&amp;" "&amp;SCORE!$D1072,EVENTOS!$F:$F,0)),0)</f>
        <v>0</v>
      </c>
      <c r="AE1072" s="3">
        <f t="shared" si="48"/>
        <v>0</v>
      </c>
      <c r="AF1072" s="10" t="e">
        <f t="shared" si="49"/>
        <v>#N/A</v>
      </c>
      <c r="AG1072" s="3" t="str">
        <f t="shared" si="50"/>
        <v/>
      </c>
    </row>
    <row r="1073" spans="1:33" x14ac:dyDescent="0.25">
      <c r="A1073" s="7"/>
      <c r="B1073" s="8"/>
      <c r="C1073" s="3"/>
      <c r="D1073" s="3"/>
      <c r="E1073" s="3" t="e">
        <f>VLOOKUP(D1073,VIAJES!$D:$E,2,FALSE)</f>
        <v>#N/A</v>
      </c>
      <c r="F1073" s="9" t="e">
        <f>VLOOKUP(D1073,VIAJES!$D:$F,3,FALSE)</f>
        <v>#N/A</v>
      </c>
      <c r="G1073" s="9" t="e">
        <f>VLOOKUP(D1073,VIAJES!$D:$G,4,FALSE)</f>
        <v>#N/A</v>
      </c>
      <c r="H1073" s="3" t="e">
        <f>VLOOKUP(D1073,VIAJES!$D:$H,5,FALSE)</f>
        <v>#N/A</v>
      </c>
      <c r="S1073" s="3">
        <f>IFERROR(INDEX(EVENTOS!$D:$D,MATCH(SCORE!S$2&amp;" "&amp;SCORE!$D1073,EVENTOS!$F:$F,0)),0)</f>
        <v>0</v>
      </c>
      <c r="T1073" s="3">
        <f>IFERROR(INDEX(EVENTOS!$D:$D,MATCH(SCORE!T$2&amp;" "&amp;SCORE!$D1073,EVENTOS!$F:$F,0)),0)</f>
        <v>0</v>
      </c>
      <c r="U1073" s="3">
        <f>IFERROR(INDEX(EVENTOS!$D:$D,MATCH(SCORE!U$2&amp;" "&amp;SCORE!$D1073,EVENTOS!$F:$F,0)),0)</f>
        <v>0</v>
      </c>
      <c r="V1073" s="3">
        <f>IFERROR(INDEX(EVENTOS!$D:$D,MATCH(SCORE!V$2&amp;" "&amp;SCORE!$D1073,EVENTOS!$F:$F,0)),0)</f>
        <v>0</v>
      </c>
      <c r="W1073" s="3">
        <f>IFERROR(INDEX(EVENTOS!$D:$D,MATCH(SCORE!W$2&amp;" "&amp;SCORE!$D1073,EVENTOS!$F:$F,0)),0)</f>
        <v>0</v>
      </c>
      <c r="X1073" s="3">
        <f>IFERROR(INDEX(EVENTOS!$D:$D,MATCH(SCORE!X$2&amp;" "&amp;SCORE!$D1073,EVENTOS!$F:$F,0)),0)</f>
        <v>0</v>
      </c>
      <c r="Y1073" s="3">
        <f>SUMIFS(EVENTOS!$D:$D, EVENTOS!$B:$B, D1073, EVENTOS!$E:$E, "*GirAlto*")</f>
        <v>0</v>
      </c>
      <c r="Z1073" s="3">
        <f>SUMIFS(EVENTOS!$D:$D, EVENTOS!$B:$B, D1073, EVENTOS!$E:$E, "*GirMed*")</f>
        <v>0</v>
      </c>
      <c r="AA1073" s="3">
        <f>SUMIFS(EVENTOS!$D:$D, EVENTOS!$B:$B, D1073, EVENTOS!$E:$E, "*GirBajo*")</f>
        <v>0</v>
      </c>
      <c r="AB1073" s="3">
        <f>IFERROR(INDEX(EVENTOS!$D:$D,MATCH(SCORE!AB$2&amp;" "&amp;SCORE!$D1073,EVENTOS!$F:$F,0)),0)</f>
        <v>0</v>
      </c>
      <c r="AC1073" s="3">
        <f>IFERROR(INDEX(EVENTOS!$D:$D,MATCH(SCORE!AC$2&amp;" "&amp;SCORE!$D1073,EVENTOS!$F:$F,0)),0)</f>
        <v>0</v>
      </c>
      <c r="AD1073" s="3">
        <f>IFERROR(INDEX(EVENTOS!$D:$D,MATCH(SCORE!AD$2&amp;" "&amp;SCORE!$D1073,EVENTOS!$F:$F,0)),0)</f>
        <v>0</v>
      </c>
      <c r="AE1073" s="3">
        <f t="shared" si="48"/>
        <v>0</v>
      </c>
      <c r="AF1073" s="10" t="e">
        <f t="shared" si="49"/>
        <v>#N/A</v>
      </c>
      <c r="AG1073" s="3" t="str">
        <f t="shared" si="50"/>
        <v/>
      </c>
    </row>
    <row r="1074" spans="1:33" x14ac:dyDescent="0.25">
      <c r="A1074" s="7"/>
      <c r="B1074" s="8"/>
      <c r="C1074" s="3"/>
      <c r="D1074" s="3"/>
      <c r="E1074" s="3" t="e">
        <f>VLOOKUP(D1074,VIAJES!$D:$E,2,FALSE)</f>
        <v>#N/A</v>
      </c>
      <c r="F1074" s="9" t="e">
        <f>VLOOKUP(D1074,VIAJES!$D:$F,3,FALSE)</f>
        <v>#N/A</v>
      </c>
      <c r="G1074" s="9" t="e">
        <f>VLOOKUP(D1074,VIAJES!$D:$G,4,FALSE)</f>
        <v>#N/A</v>
      </c>
      <c r="H1074" s="3" t="e">
        <f>VLOOKUP(D1074,VIAJES!$D:$H,5,FALSE)</f>
        <v>#N/A</v>
      </c>
      <c r="S1074" s="3">
        <f>IFERROR(INDEX(EVENTOS!$D:$D,MATCH(SCORE!S$2&amp;" "&amp;SCORE!$D1074,EVENTOS!$F:$F,0)),0)</f>
        <v>0</v>
      </c>
      <c r="T1074" s="3">
        <f>IFERROR(INDEX(EVENTOS!$D:$D,MATCH(SCORE!T$2&amp;" "&amp;SCORE!$D1074,EVENTOS!$F:$F,0)),0)</f>
        <v>0</v>
      </c>
      <c r="U1074" s="3">
        <f>IFERROR(INDEX(EVENTOS!$D:$D,MATCH(SCORE!U$2&amp;" "&amp;SCORE!$D1074,EVENTOS!$F:$F,0)),0)</f>
        <v>0</v>
      </c>
      <c r="V1074" s="3">
        <f>IFERROR(INDEX(EVENTOS!$D:$D,MATCH(SCORE!V$2&amp;" "&amp;SCORE!$D1074,EVENTOS!$F:$F,0)),0)</f>
        <v>0</v>
      </c>
      <c r="W1074" s="3">
        <f>IFERROR(INDEX(EVENTOS!$D:$D,MATCH(SCORE!W$2&amp;" "&amp;SCORE!$D1074,EVENTOS!$F:$F,0)),0)</f>
        <v>0</v>
      </c>
      <c r="X1074" s="3">
        <f>IFERROR(INDEX(EVENTOS!$D:$D,MATCH(SCORE!X$2&amp;" "&amp;SCORE!$D1074,EVENTOS!$F:$F,0)),0)</f>
        <v>0</v>
      </c>
      <c r="Y1074" s="3">
        <f>SUMIFS(EVENTOS!$D:$D, EVENTOS!$B:$B, D1074, EVENTOS!$E:$E, "*GirAlto*")</f>
        <v>0</v>
      </c>
      <c r="Z1074" s="3">
        <f>SUMIFS(EVENTOS!$D:$D, EVENTOS!$B:$B, D1074, EVENTOS!$E:$E, "*GirMed*")</f>
        <v>0</v>
      </c>
      <c r="AA1074" s="3">
        <f>SUMIFS(EVENTOS!$D:$D, EVENTOS!$B:$B, D1074, EVENTOS!$E:$E, "*GirBajo*")</f>
        <v>0</v>
      </c>
      <c r="AB1074" s="3">
        <f>IFERROR(INDEX(EVENTOS!$D:$D,MATCH(SCORE!AB$2&amp;" "&amp;SCORE!$D1074,EVENTOS!$F:$F,0)),0)</f>
        <v>0</v>
      </c>
      <c r="AC1074" s="3">
        <f>IFERROR(INDEX(EVENTOS!$D:$D,MATCH(SCORE!AC$2&amp;" "&amp;SCORE!$D1074,EVENTOS!$F:$F,0)),0)</f>
        <v>0</v>
      </c>
      <c r="AD1074" s="3">
        <f>IFERROR(INDEX(EVENTOS!$D:$D,MATCH(SCORE!AD$2&amp;" "&amp;SCORE!$D1074,EVENTOS!$F:$F,0)),0)</f>
        <v>0</v>
      </c>
      <c r="AE1074" s="3">
        <f t="shared" si="48"/>
        <v>0</v>
      </c>
      <c r="AF1074" s="10" t="e">
        <f t="shared" si="49"/>
        <v>#N/A</v>
      </c>
      <c r="AG1074" s="3" t="str">
        <f t="shared" si="50"/>
        <v/>
      </c>
    </row>
    <row r="1075" spans="1:33" x14ac:dyDescent="0.25">
      <c r="A1075" s="7"/>
      <c r="B1075" s="8"/>
      <c r="C1075" s="3"/>
      <c r="D1075" s="3"/>
      <c r="E1075" s="3" t="e">
        <f>VLOOKUP(D1075,VIAJES!$D:$E,2,FALSE)</f>
        <v>#N/A</v>
      </c>
      <c r="F1075" s="9" t="e">
        <f>VLOOKUP(D1075,VIAJES!$D:$F,3,FALSE)</f>
        <v>#N/A</v>
      </c>
      <c r="G1075" s="9" t="e">
        <f>VLOOKUP(D1075,VIAJES!$D:$G,4,FALSE)</f>
        <v>#N/A</v>
      </c>
      <c r="H1075" s="3" t="e">
        <f>VLOOKUP(D1075,VIAJES!$D:$H,5,FALSE)</f>
        <v>#N/A</v>
      </c>
      <c r="S1075" s="3">
        <f>IFERROR(INDEX(EVENTOS!$D:$D,MATCH(SCORE!S$2&amp;" "&amp;SCORE!$D1075,EVENTOS!$F:$F,0)),0)</f>
        <v>0</v>
      </c>
      <c r="T1075" s="3">
        <f>IFERROR(INDEX(EVENTOS!$D:$D,MATCH(SCORE!T$2&amp;" "&amp;SCORE!$D1075,EVENTOS!$F:$F,0)),0)</f>
        <v>0</v>
      </c>
      <c r="U1075" s="3">
        <f>IFERROR(INDEX(EVENTOS!$D:$D,MATCH(SCORE!U$2&amp;" "&amp;SCORE!$D1075,EVENTOS!$F:$F,0)),0)</f>
        <v>0</v>
      </c>
      <c r="V1075" s="3">
        <f>IFERROR(INDEX(EVENTOS!$D:$D,MATCH(SCORE!V$2&amp;" "&amp;SCORE!$D1075,EVENTOS!$F:$F,0)),0)</f>
        <v>0</v>
      </c>
      <c r="W1075" s="3">
        <f>IFERROR(INDEX(EVENTOS!$D:$D,MATCH(SCORE!W$2&amp;" "&amp;SCORE!$D1075,EVENTOS!$F:$F,0)),0)</f>
        <v>0</v>
      </c>
      <c r="X1075" s="3">
        <f>IFERROR(INDEX(EVENTOS!$D:$D,MATCH(SCORE!X$2&amp;" "&amp;SCORE!$D1075,EVENTOS!$F:$F,0)),0)</f>
        <v>0</v>
      </c>
      <c r="Y1075" s="3">
        <f>SUMIFS(EVENTOS!$D:$D, EVENTOS!$B:$B, D1075, EVENTOS!$E:$E, "*GirAlto*")</f>
        <v>0</v>
      </c>
      <c r="Z1075" s="3">
        <f>SUMIFS(EVENTOS!$D:$D, EVENTOS!$B:$B, D1075, EVENTOS!$E:$E, "*GirMed*")</f>
        <v>0</v>
      </c>
      <c r="AA1075" s="3">
        <f>SUMIFS(EVENTOS!$D:$D, EVENTOS!$B:$B, D1075, EVENTOS!$E:$E, "*GirBajo*")</f>
        <v>0</v>
      </c>
      <c r="AB1075" s="3">
        <f>IFERROR(INDEX(EVENTOS!$D:$D,MATCH(SCORE!AB$2&amp;" "&amp;SCORE!$D1075,EVENTOS!$F:$F,0)),0)</f>
        <v>0</v>
      </c>
      <c r="AC1075" s="3">
        <f>IFERROR(INDEX(EVENTOS!$D:$D,MATCH(SCORE!AC$2&amp;" "&amp;SCORE!$D1075,EVENTOS!$F:$F,0)),0)</f>
        <v>0</v>
      </c>
      <c r="AD1075" s="3">
        <f>IFERROR(INDEX(EVENTOS!$D:$D,MATCH(SCORE!AD$2&amp;" "&amp;SCORE!$D1075,EVENTOS!$F:$F,0)),0)</f>
        <v>0</v>
      </c>
      <c r="AE1075" s="3">
        <f t="shared" si="48"/>
        <v>0</v>
      </c>
      <c r="AF1075" s="10" t="e">
        <f t="shared" si="49"/>
        <v>#N/A</v>
      </c>
      <c r="AG1075" s="3" t="str">
        <f t="shared" si="50"/>
        <v/>
      </c>
    </row>
    <row r="1076" spans="1:33" x14ac:dyDescent="0.25">
      <c r="A1076" s="7"/>
      <c r="B1076" s="8"/>
      <c r="C1076" s="3"/>
      <c r="D1076" s="3"/>
      <c r="E1076" s="3" t="e">
        <f>VLOOKUP(D1076,VIAJES!$D:$E,2,FALSE)</f>
        <v>#N/A</v>
      </c>
      <c r="F1076" s="9" t="e">
        <f>VLOOKUP(D1076,VIAJES!$D:$F,3,FALSE)</f>
        <v>#N/A</v>
      </c>
      <c r="G1076" s="9" t="e">
        <f>VLOOKUP(D1076,VIAJES!$D:$G,4,FALSE)</f>
        <v>#N/A</v>
      </c>
      <c r="H1076" s="3" t="e">
        <f>VLOOKUP(D1076,VIAJES!$D:$H,5,FALSE)</f>
        <v>#N/A</v>
      </c>
      <c r="S1076" s="3">
        <f>IFERROR(INDEX(EVENTOS!$D:$D,MATCH(SCORE!S$2&amp;" "&amp;SCORE!$D1076,EVENTOS!$F:$F,0)),0)</f>
        <v>0</v>
      </c>
      <c r="T1076" s="3">
        <f>IFERROR(INDEX(EVENTOS!$D:$D,MATCH(SCORE!T$2&amp;" "&amp;SCORE!$D1076,EVENTOS!$F:$F,0)),0)</f>
        <v>0</v>
      </c>
      <c r="U1076" s="3">
        <f>IFERROR(INDEX(EVENTOS!$D:$D,MATCH(SCORE!U$2&amp;" "&amp;SCORE!$D1076,EVENTOS!$F:$F,0)),0)</f>
        <v>0</v>
      </c>
      <c r="V1076" s="3">
        <f>IFERROR(INDEX(EVENTOS!$D:$D,MATCH(SCORE!V$2&amp;" "&amp;SCORE!$D1076,EVENTOS!$F:$F,0)),0)</f>
        <v>0</v>
      </c>
      <c r="W1076" s="3">
        <f>IFERROR(INDEX(EVENTOS!$D:$D,MATCH(SCORE!W$2&amp;" "&amp;SCORE!$D1076,EVENTOS!$F:$F,0)),0)</f>
        <v>0</v>
      </c>
      <c r="X1076" s="3">
        <f>IFERROR(INDEX(EVENTOS!$D:$D,MATCH(SCORE!X$2&amp;" "&amp;SCORE!$D1076,EVENTOS!$F:$F,0)),0)</f>
        <v>0</v>
      </c>
      <c r="Y1076" s="3">
        <f>SUMIFS(EVENTOS!$D:$D, EVENTOS!$B:$B, D1076, EVENTOS!$E:$E, "*GirAlto*")</f>
        <v>0</v>
      </c>
      <c r="Z1076" s="3">
        <f>SUMIFS(EVENTOS!$D:$D, EVENTOS!$B:$B, D1076, EVENTOS!$E:$E, "*GirMed*")</f>
        <v>0</v>
      </c>
      <c r="AA1076" s="3">
        <f>SUMIFS(EVENTOS!$D:$D, EVENTOS!$B:$B, D1076, EVENTOS!$E:$E, "*GirBajo*")</f>
        <v>0</v>
      </c>
      <c r="AB1076" s="3">
        <f>IFERROR(INDEX(EVENTOS!$D:$D,MATCH(SCORE!AB$2&amp;" "&amp;SCORE!$D1076,EVENTOS!$F:$F,0)),0)</f>
        <v>0</v>
      </c>
      <c r="AC1076" s="3">
        <f>IFERROR(INDEX(EVENTOS!$D:$D,MATCH(SCORE!AC$2&amp;" "&amp;SCORE!$D1076,EVENTOS!$F:$F,0)),0)</f>
        <v>0</v>
      </c>
      <c r="AD1076" s="3">
        <f>IFERROR(INDEX(EVENTOS!$D:$D,MATCH(SCORE!AD$2&amp;" "&amp;SCORE!$D1076,EVENTOS!$F:$F,0)),0)</f>
        <v>0</v>
      </c>
      <c r="AE1076" s="3">
        <f t="shared" si="48"/>
        <v>0</v>
      </c>
      <c r="AF1076" s="10" t="e">
        <f t="shared" si="49"/>
        <v>#N/A</v>
      </c>
      <c r="AG1076" s="3" t="str">
        <f t="shared" si="50"/>
        <v/>
      </c>
    </row>
    <row r="1077" spans="1:33" x14ac:dyDescent="0.25">
      <c r="A1077" s="7"/>
      <c r="B1077" s="8"/>
      <c r="C1077" s="3"/>
      <c r="D1077" s="3"/>
      <c r="E1077" s="3" t="e">
        <f>VLOOKUP(D1077,VIAJES!$D:$E,2,FALSE)</f>
        <v>#N/A</v>
      </c>
      <c r="F1077" s="9" t="e">
        <f>VLOOKUP(D1077,VIAJES!$D:$F,3,FALSE)</f>
        <v>#N/A</v>
      </c>
      <c r="G1077" s="9" t="e">
        <f>VLOOKUP(D1077,VIAJES!$D:$G,4,FALSE)</f>
        <v>#N/A</v>
      </c>
      <c r="H1077" s="3" t="e">
        <f>VLOOKUP(D1077,VIAJES!$D:$H,5,FALSE)</f>
        <v>#N/A</v>
      </c>
      <c r="S1077" s="3">
        <f>IFERROR(INDEX(EVENTOS!$D:$D,MATCH(SCORE!S$2&amp;" "&amp;SCORE!$D1077,EVENTOS!$F:$F,0)),0)</f>
        <v>0</v>
      </c>
      <c r="T1077" s="3">
        <f>IFERROR(INDEX(EVENTOS!$D:$D,MATCH(SCORE!T$2&amp;" "&amp;SCORE!$D1077,EVENTOS!$F:$F,0)),0)</f>
        <v>0</v>
      </c>
      <c r="U1077" s="3">
        <f>IFERROR(INDEX(EVENTOS!$D:$D,MATCH(SCORE!U$2&amp;" "&amp;SCORE!$D1077,EVENTOS!$F:$F,0)),0)</f>
        <v>0</v>
      </c>
      <c r="V1077" s="3">
        <f>IFERROR(INDEX(EVENTOS!$D:$D,MATCH(SCORE!V$2&amp;" "&amp;SCORE!$D1077,EVENTOS!$F:$F,0)),0)</f>
        <v>0</v>
      </c>
      <c r="W1077" s="3">
        <f>IFERROR(INDEX(EVENTOS!$D:$D,MATCH(SCORE!W$2&amp;" "&amp;SCORE!$D1077,EVENTOS!$F:$F,0)),0)</f>
        <v>0</v>
      </c>
      <c r="X1077" s="3">
        <f>IFERROR(INDEX(EVENTOS!$D:$D,MATCH(SCORE!X$2&amp;" "&amp;SCORE!$D1077,EVENTOS!$F:$F,0)),0)</f>
        <v>0</v>
      </c>
      <c r="Y1077" s="3">
        <f>SUMIFS(EVENTOS!$D:$D, EVENTOS!$B:$B, D1077, EVENTOS!$E:$E, "*GirAlto*")</f>
        <v>0</v>
      </c>
      <c r="Z1077" s="3">
        <f>SUMIFS(EVENTOS!$D:$D, EVENTOS!$B:$B, D1077, EVENTOS!$E:$E, "*GirMed*")</f>
        <v>0</v>
      </c>
      <c r="AA1077" s="3">
        <f>SUMIFS(EVENTOS!$D:$D, EVENTOS!$B:$B, D1077, EVENTOS!$E:$E, "*GirBajo*")</f>
        <v>0</v>
      </c>
      <c r="AB1077" s="3">
        <f>IFERROR(INDEX(EVENTOS!$D:$D,MATCH(SCORE!AB$2&amp;" "&amp;SCORE!$D1077,EVENTOS!$F:$F,0)),0)</f>
        <v>0</v>
      </c>
      <c r="AC1077" s="3">
        <f>IFERROR(INDEX(EVENTOS!$D:$D,MATCH(SCORE!AC$2&amp;" "&amp;SCORE!$D1077,EVENTOS!$F:$F,0)),0)</f>
        <v>0</v>
      </c>
      <c r="AD1077" s="3">
        <f>IFERROR(INDEX(EVENTOS!$D:$D,MATCH(SCORE!AD$2&amp;" "&amp;SCORE!$D1077,EVENTOS!$F:$F,0)),0)</f>
        <v>0</v>
      </c>
      <c r="AE1077" s="3">
        <f t="shared" si="48"/>
        <v>0</v>
      </c>
      <c r="AF1077" s="10" t="e">
        <f t="shared" si="49"/>
        <v>#N/A</v>
      </c>
      <c r="AG1077" s="3" t="str">
        <f t="shared" si="50"/>
        <v/>
      </c>
    </row>
    <row r="1078" spans="1:33" x14ac:dyDescent="0.25">
      <c r="A1078" s="7"/>
      <c r="B1078" s="8"/>
      <c r="C1078" s="3"/>
      <c r="D1078" s="3"/>
      <c r="E1078" s="3" t="e">
        <f>VLOOKUP(D1078,VIAJES!$D:$E,2,FALSE)</f>
        <v>#N/A</v>
      </c>
      <c r="F1078" s="9" t="e">
        <f>VLOOKUP(D1078,VIAJES!$D:$F,3,FALSE)</f>
        <v>#N/A</v>
      </c>
      <c r="G1078" s="9" t="e">
        <f>VLOOKUP(D1078,VIAJES!$D:$G,4,FALSE)</f>
        <v>#N/A</v>
      </c>
      <c r="H1078" s="3" t="e">
        <f>VLOOKUP(D1078,VIAJES!$D:$H,5,FALSE)</f>
        <v>#N/A</v>
      </c>
      <c r="S1078" s="3">
        <f>IFERROR(INDEX(EVENTOS!$D:$D,MATCH(SCORE!S$2&amp;" "&amp;SCORE!$D1078,EVENTOS!$F:$F,0)),0)</f>
        <v>0</v>
      </c>
      <c r="T1078" s="3">
        <f>IFERROR(INDEX(EVENTOS!$D:$D,MATCH(SCORE!T$2&amp;" "&amp;SCORE!$D1078,EVENTOS!$F:$F,0)),0)</f>
        <v>0</v>
      </c>
      <c r="U1078" s="3">
        <f>IFERROR(INDEX(EVENTOS!$D:$D,MATCH(SCORE!U$2&amp;" "&amp;SCORE!$D1078,EVENTOS!$F:$F,0)),0)</f>
        <v>0</v>
      </c>
      <c r="V1078" s="3">
        <f>IFERROR(INDEX(EVENTOS!$D:$D,MATCH(SCORE!V$2&amp;" "&amp;SCORE!$D1078,EVENTOS!$F:$F,0)),0)</f>
        <v>0</v>
      </c>
      <c r="W1078" s="3">
        <f>IFERROR(INDEX(EVENTOS!$D:$D,MATCH(SCORE!W$2&amp;" "&amp;SCORE!$D1078,EVENTOS!$F:$F,0)),0)</f>
        <v>0</v>
      </c>
      <c r="X1078" s="3">
        <f>IFERROR(INDEX(EVENTOS!$D:$D,MATCH(SCORE!X$2&amp;" "&amp;SCORE!$D1078,EVENTOS!$F:$F,0)),0)</f>
        <v>0</v>
      </c>
      <c r="Y1078" s="3">
        <f>SUMIFS(EVENTOS!$D:$D, EVENTOS!$B:$B, D1078, EVENTOS!$E:$E, "*GirAlto*")</f>
        <v>0</v>
      </c>
      <c r="Z1078" s="3">
        <f>SUMIFS(EVENTOS!$D:$D, EVENTOS!$B:$B, D1078, EVENTOS!$E:$E, "*GirMed*")</f>
        <v>0</v>
      </c>
      <c r="AA1078" s="3">
        <f>SUMIFS(EVENTOS!$D:$D, EVENTOS!$B:$B, D1078, EVENTOS!$E:$E, "*GirBajo*")</f>
        <v>0</v>
      </c>
      <c r="AB1078" s="3">
        <f>IFERROR(INDEX(EVENTOS!$D:$D,MATCH(SCORE!AB$2&amp;" "&amp;SCORE!$D1078,EVENTOS!$F:$F,0)),0)</f>
        <v>0</v>
      </c>
      <c r="AC1078" s="3">
        <f>IFERROR(INDEX(EVENTOS!$D:$D,MATCH(SCORE!AC$2&amp;" "&amp;SCORE!$D1078,EVENTOS!$F:$F,0)),0)</f>
        <v>0</v>
      </c>
      <c r="AD1078" s="3">
        <f>IFERROR(INDEX(EVENTOS!$D:$D,MATCH(SCORE!AD$2&amp;" "&amp;SCORE!$D1078,EVENTOS!$F:$F,0)),0)</f>
        <v>0</v>
      </c>
      <c r="AE1078" s="3">
        <f t="shared" si="48"/>
        <v>0</v>
      </c>
      <c r="AF1078" s="10" t="e">
        <f t="shared" si="49"/>
        <v>#N/A</v>
      </c>
      <c r="AG1078" s="3" t="str">
        <f t="shared" si="50"/>
        <v/>
      </c>
    </row>
    <row r="1079" spans="1:33" x14ac:dyDescent="0.25">
      <c r="A1079" s="7"/>
      <c r="B1079" s="8"/>
      <c r="C1079" s="3"/>
      <c r="D1079" s="3"/>
      <c r="E1079" s="3" t="e">
        <f>VLOOKUP(D1079,VIAJES!$D:$E,2,FALSE)</f>
        <v>#N/A</v>
      </c>
      <c r="F1079" s="9" t="e">
        <f>VLOOKUP(D1079,VIAJES!$D:$F,3,FALSE)</f>
        <v>#N/A</v>
      </c>
      <c r="G1079" s="9" t="e">
        <f>VLOOKUP(D1079,VIAJES!$D:$G,4,FALSE)</f>
        <v>#N/A</v>
      </c>
      <c r="H1079" s="3" t="e">
        <f>VLOOKUP(D1079,VIAJES!$D:$H,5,FALSE)</f>
        <v>#N/A</v>
      </c>
      <c r="S1079" s="3">
        <f>IFERROR(INDEX(EVENTOS!$D:$D,MATCH(SCORE!S$2&amp;" "&amp;SCORE!$D1079,EVENTOS!$F:$F,0)),0)</f>
        <v>0</v>
      </c>
      <c r="T1079" s="3">
        <f>IFERROR(INDEX(EVENTOS!$D:$D,MATCH(SCORE!T$2&amp;" "&amp;SCORE!$D1079,EVENTOS!$F:$F,0)),0)</f>
        <v>0</v>
      </c>
      <c r="U1079" s="3">
        <f>IFERROR(INDEX(EVENTOS!$D:$D,MATCH(SCORE!U$2&amp;" "&amp;SCORE!$D1079,EVENTOS!$F:$F,0)),0)</f>
        <v>0</v>
      </c>
      <c r="V1079" s="3">
        <f>IFERROR(INDEX(EVENTOS!$D:$D,MATCH(SCORE!V$2&amp;" "&amp;SCORE!$D1079,EVENTOS!$F:$F,0)),0)</f>
        <v>0</v>
      </c>
      <c r="W1079" s="3">
        <f>IFERROR(INDEX(EVENTOS!$D:$D,MATCH(SCORE!W$2&amp;" "&amp;SCORE!$D1079,EVENTOS!$F:$F,0)),0)</f>
        <v>0</v>
      </c>
      <c r="X1079" s="3">
        <f>IFERROR(INDEX(EVENTOS!$D:$D,MATCH(SCORE!X$2&amp;" "&amp;SCORE!$D1079,EVENTOS!$F:$F,0)),0)</f>
        <v>0</v>
      </c>
      <c r="Y1079" s="3">
        <f>SUMIFS(EVENTOS!$D:$D, EVENTOS!$B:$B, D1079, EVENTOS!$E:$E, "*GirAlto*")</f>
        <v>0</v>
      </c>
      <c r="Z1079" s="3">
        <f>SUMIFS(EVENTOS!$D:$D, EVENTOS!$B:$B, D1079, EVENTOS!$E:$E, "*GirMed*")</f>
        <v>0</v>
      </c>
      <c r="AA1079" s="3">
        <f>SUMIFS(EVENTOS!$D:$D, EVENTOS!$B:$B, D1079, EVENTOS!$E:$E, "*GirBajo*")</f>
        <v>0</v>
      </c>
      <c r="AB1079" s="3">
        <f>IFERROR(INDEX(EVENTOS!$D:$D,MATCH(SCORE!AB$2&amp;" "&amp;SCORE!$D1079,EVENTOS!$F:$F,0)),0)</f>
        <v>0</v>
      </c>
      <c r="AC1079" s="3">
        <f>IFERROR(INDEX(EVENTOS!$D:$D,MATCH(SCORE!AC$2&amp;" "&amp;SCORE!$D1079,EVENTOS!$F:$F,0)),0)</f>
        <v>0</v>
      </c>
      <c r="AD1079" s="3">
        <f>IFERROR(INDEX(EVENTOS!$D:$D,MATCH(SCORE!AD$2&amp;" "&amp;SCORE!$D1079,EVENTOS!$F:$F,0)),0)</f>
        <v>0</v>
      </c>
      <c r="AE1079" s="3">
        <f t="shared" si="48"/>
        <v>0</v>
      </c>
      <c r="AF1079" s="10" t="e">
        <f t="shared" si="49"/>
        <v>#N/A</v>
      </c>
      <c r="AG1079" s="3" t="str">
        <f t="shared" si="50"/>
        <v/>
      </c>
    </row>
    <row r="1080" spans="1:33" x14ac:dyDescent="0.25">
      <c r="A1080" s="7"/>
      <c r="B1080" s="8"/>
      <c r="C1080" s="3"/>
      <c r="D1080" s="3"/>
      <c r="E1080" s="3" t="e">
        <f>VLOOKUP(D1080,VIAJES!$D:$E,2,FALSE)</f>
        <v>#N/A</v>
      </c>
      <c r="F1080" s="9" t="e">
        <f>VLOOKUP(D1080,VIAJES!$D:$F,3,FALSE)</f>
        <v>#N/A</v>
      </c>
      <c r="G1080" s="9" t="e">
        <f>VLOOKUP(D1080,VIAJES!$D:$G,4,FALSE)</f>
        <v>#N/A</v>
      </c>
      <c r="H1080" s="3" t="e">
        <f>VLOOKUP(D1080,VIAJES!$D:$H,5,FALSE)</f>
        <v>#N/A</v>
      </c>
      <c r="S1080" s="3">
        <f>IFERROR(INDEX(EVENTOS!$D:$D,MATCH(SCORE!S$2&amp;" "&amp;SCORE!$D1080,EVENTOS!$F:$F,0)),0)</f>
        <v>0</v>
      </c>
      <c r="T1080" s="3">
        <f>IFERROR(INDEX(EVENTOS!$D:$D,MATCH(SCORE!T$2&amp;" "&amp;SCORE!$D1080,EVENTOS!$F:$F,0)),0)</f>
        <v>0</v>
      </c>
      <c r="U1080" s="3">
        <f>IFERROR(INDEX(EVENTOS!$D:$D,MATCH(SCORE!U$2&amp;" "&amp;SCORE!$D1080,EVENTOS!$F:$F,0)),0)</f>
        <v>0</v>
      </c>
      <c r="V1080" s="3">
        <f>IFERROR(INDEX(EVENTOS!$D:$D,MATCH(SCORE!V$2&amp;" "&amp;SCORE!$D1080,EVENTOS!$F:$F,0)),0)</f>
        <v>0</v>
      </c>
      <c r="W1080" s="3">
        <f>IFERROR(INDEX(EVENTOS!$D:$D,MATCH(SCORE!W$2&amp;" "&amp;SCORE!$D1080,EVENTOS!$F:$F,0)),0)</f>
        <v>0</v>
      </c>
      <c r="X1080" s="3">
        <f>IFERROR(INDEX(EVENTOS!$D:$D,MATCH(SCORE!X$2&amp;" "&amp;SCORE!$D1080,EVENTOS!$F:$F,0)),0)</f>
        <v>0</v>
      </c>
      <c r="Y1080" s="3">
        <f>SUMIFS(EVENTOS!$D:$D, EVENTOS!$B:$B, D1080, EVENTOS!$E:$E, "*GirAlto*")</f>
        <v>0</v>
      </c>
      <c r="Z1080" s="3">
        <f>SUMIFS(EVENTOS!$D:$D, EVENTOS!$B:$B, D1080, EVENTOS!$E:$E, "*GirMed*")</f>
        <v>0</v>
      </c>
      <c r="AA1080" s="3">
        <f>SUMIFS(EVENTOS!$D:$D, EVENTOS!$B:$B, D1080, EVENTOS!$E:$E, "*GirBajo*")</f>
        <v>0</v>
      </c>
      <c r="AB1080" s="3">
        <f>IFERROR(INDEX(EVENTOS!$D:$D,MATCH(SCORE!AB$2&amp;" "&amp;SCORE!$D1080,EVENTOS!$F:$F,0)),0)</f>
        <v>0</v>
      </c>
      <c r="AC1080" s="3">
        <f>IFERROR(INDEX(EVENTOS!$D:$D,MATCH(SCORE!AC$2&amp;" "&amp;SCORE!$D1080,EVENTOS!$F:$F,0)),0)</f>
        <v>0</v>
      </c>
      <c r="AD1080" s="3">
        <f>IFERROR(INDEX(EVENTOS!$D:$D,MATCH(SCORE!AD$2&amp;" "&amp;SCORE!$D1080,EVENTOS!$F:$F,0)),0)</f>
        <v>0</v>
      </c>
      <c r="AE1080" s="3">
        <f t="shared" si="48"/>
        <v>0</v>
      </c>
      <c r="AF1080" s="10" t="e">
        <f t="shared" si="49"/>
        <v>#N/A</v>
      </c>
      <c r="AG1080" s="3" t="str">
        <f t="shared" si="50"/>
        <v/>
      </c>
    </row>
    <row r="1081" spans="1:33" x14ac:dyDescent="0.25">
      <c r="A1081" s="7"/>
      <c r="B1081" s="8"/>
      <c r="C1081" s="3"/>
      <c r="D1081" s="3"/>
      <c r="E1081" s="3" t="e">
        <f>VLOOKUP(D1081,VIAJES!$D:$E,2,FALSE)</f>
        <v>#N/A</v>
      </c>
      <c r="F1081" s="9" t="e">
        <f>VLOOKUP(D1081,VIAJES!$D:$F,3,FALSE)</f>
        <v>#N/A</v>
      </c>
      <c r="G1081" s="9" t="e">
        <f>VLOOKUP(D1081,VIAJES!$D:$G,4,FALSE)</f>
        <v>#N/A</v>
      </c>
      <c r="H1081" s="3" t="e">
        <f>VLOOKUP(D1081,VIAJES!$D:$H,5,FALSE)</f>
        <v>#N/A</v>
      </c>
      <c r="S1081" s="3">
        <f>IFERROR(INDEX(EVENTOS!$D:$D,MATCH(SCORE!S$2&amp;" "&amp;SCORE!$D1081,EVENTOS!$F:$F,0)),0)</f>
        <v>0</v>
      </c>
      <c r="T1081" s="3">
        <f>IFERROR(INDEX(EVENTOS!$D:$D,MATCH(SCORE!T$2&amp;" "&amp;SCORE!$D1081,EVENTOS!$F:$F,0)),0)</f>
        <v>0</v>
      </c>
      <c r="U1081" s="3">
        <f>IFERROR(INDEX(EVENTOS!$D:$D,MATCH(SCORE!U$2&amp;" "&amp;SCORE!$D1081,EVENTOS!$F:$F,0)),0)</f>
        <v>0</v>
      </c>
      <c r="V1081" s="3">
        <f>IFERROR(INDEX(EVENTOS!$D:$D,MATCH(SCORE!V$2&amp;" "&amp;SCORE!$D1081,EVENTOS!$F:$F,0)),0)</f>
        <v>0</v>
      </c>
      <c r="W1081" s="3">
        <f>IFERROR(INDEX(EVENTOS!$D:$D,MATCH(SCORE!W$2&amp;" "&amp;SCORE!$D1081,EVENTOS!$F:$F,0)),0)</f>
        <v>0</v>
      </c>
      <c r="X1081" s="3">
        <f>IFERROR(INDEX(EVENTOS!$D:$D,MATCH(SCORE!X$2&amp;" "&amp;SCORE!$D1081,EVENTOS!$F:$F,0)),0)</f>
        <v>0</v>
      </c>
      <c r="Y1081" s="3">
        <f>SUMIFS(EVENTOS!$D:$D, EVENTOS!$B:$B, D1081, EVENTOS!$E:$E, "*GirAlto*")</f>
        <v>0</v>
      </c>
      <c r="Z1081" s="3">
        <f>SUMIFS(EVENTOS!$D:$D, EVENTOS!$B:$B, D1081, EVENTOS!$E:$E, "*GirMed*")</f>
        <v>0</v>
      </c>
      <c r="AA1081" s="3">
        <f>SUMIFS(EVENTOS!$D:$D, EVENTOS!$B:$B, D1081, EVENTOS!$E:$E, "*GirBajo*")</f>
        <v>0</v>
      </c>
      <c r="AB1081" s="3">
        <f>IFERROR(INDEX(EVENTOS!$D:$D,MATCH(SCORE!AB$2&amp;" "&amp;SCORE!$D1081,EVENTOS!$F:$F,0)),0)</f>
        <v>0</v>
      </c>
      <c r="AC1081" s="3">
        <f>IFERROR(INDEX(EVENTOS!$D:$D,MATCH(SCORE!AC$2&amp;" "&amp;SCORE!$D1081,EVENTOS!$F:$F,0)),0)</f>
        <v>0</v>
      </c>
      <c r="AD1081" s="3">
        <f>IFERROR(INDEX(EVENTOS!$D:$D,MATCH(SCORE!AD$2&amp;" "&amp;SCORE!$D1081,EVENTOS!$F:$F,0)),0)</f>
        <v>0</v>
      </c>
      <c r="AE1081" s="3">
        <f t="shared" si="48"/>
        <v>0</v>
      </c>
      <c r="AF1081" s="10" t="e">
        <f t="shared" si="49"/>
        <v>#N/A</v>
      </c>
      <c r="AG1081" s="3" t="str">
        <f t="shared" si="50"/>
        <v/>
      </c>
    </row>
    <row r="1082" spans="1:33" x14ac:dyDescent="0.25">
      <c r="A1082" s="7"/>
      <c r="B1082" s="8"/>
      <c r="C1082" s="3"/>
      <c r="D1082" s="3"/>
      <c r="E1082" s="3" t="e">
        <f>VLOOKUP(D1082,VIAJES!$D:$E,2,FALSE)</f>
        <v>#N/A</v>
      </c>
      <c r="F1082" s="9" t="e">
        <f>VLOOKUP(D1082,VIAJES!$D:$F,3,FALSE)</f>
        <v>#N/A</v>
      </c>
      <c r="G1082" s="9" t="e">
        <f>VLOOKUP(D1082,VIAJES!$D:$G,4,FALSE)</f>
        <v>#N/A</v>
      </c>
      <c r="H1082" s="3" t="e">
        <f>VLOOKUP(D1082,VIAJES!$D:$H,5,FALSE)</f>
        <v>#N/A</v>
      </c>
      <c r="S1082" s="3">
        <f>IFERROR(INDEX(EVENTOS!$D:$D,MATCH(SCORE!S$2&amp;" "&amp;SCORE!$D1082,EVENTOS!$F:$F,0)),0)</f>
        <v>0</v>
      </c>
      <c r="T1082" s="3">
        <f>IFERROR(INDEX(EVENTOS!$D:$D,MATCH(SCORE!T$2&amp;" "&amp;SCORE!$D1082,EVENTOS!$F:$F,0)),0)</f>
        <v>0</v>
      </c>
      <c r="U1082" s="3">
        <f>IFERROR(INDEX(EVENTOS!$D:$D,MATCH(SCORE!U$2&amp;" "&amp;SCORE!$D1082,EVENTOS!$F:$F,0)),0)</f>
        <v>0</v>
      </c>
      <c r="V1082" s="3">
        <f>IFERROR(INDEX(EVENTOS!$D:$D,MATCH(SCORE!V$2&amp;" "&amp;SCORE!$D1082,EVENTOS!$F:$F,0)),0)</f>
        <v>0</v>
      </c>
      <c r="W1082" s="3">
        <f>IFERROR(INDEX(EVENTOS!$D:$D,MATCH(SCORE!W$2&amp;" "&amp;SCORE!$D1082,EVENTOS!$F:$F,0)),0)</f>
        <v>0</v>
      </c>
      <c r="X1082" s="3">
        <f>IFERROR(INDEX(EVENTOS!$D:$D,MATCH(SCORE!X$2&amp;" "&amp;SCORE!$D1082,EVENTOS!$F:$F,0)),0)</f>
        <v>0</v>
      </c>
      <c r="Y1082" s="3">
        <f>SUMIFS(EVENTOS!$D:$D, EVENTOS!$B:$B, D1082, EVENTOS!$E:$E, "*GirAlto*")</f>
        <v>0</v>
      </c>
      <c r="Z1082" s="3">
        <f>SUMIFS(EVENTOS!$D:$D, EVENTOS!$B:$B, D1082, EVENTOS!$E:$E, "*GirMed*")</f>
        <v>0</v>
      </c>
      <c r="AA1082" s="3">
        <f>SUMIFS(EVENTOS!$D:$D, EVENTOS!$B:$B, D1082, EVENTOS!$E:$E, "*GirBajo*")</f>
        <v>0</v>
      </c>
      <c r="AB1082" s="3">
        <f>IFERROR(INDEX(EVENTOS!$D:$D,MATCH(SCORE!AB$2&amp;" "&amp;SCORE!$D1082,EVENTOS!$F:$F,0)),0)</f>
        <v>0</v>
      </c>
      <c r="AC1082" s="3">
        <f>IFERROR(INDEX(EVENTOS!$D:$D,MATCH(SCORE!AC$2&amp;" "&amp;SCORE!$D1082,EVENTOS!$F:$F,0)),0)</f>
        <v>0</v>
      </c>
      <c r="AD1082" s="3">
        <f>IFERROR(INDEX(EVENTOS!$D:$D,MATCH(SCORE!AD$2&amp;" "&amp;SCORE!$D1082,EVENTOS!$F:$F,0)),0)</f>
        <v>0</v>
      </c>
      <c r="AE1082" s="3">
        <f t="shared" si="48"/>
        <v>0</v>
      </c>
      <c r="AF1082" s="10" t="e">
        <f t="shared" si="49"/>
        <v>#N/A</v>
      </c>
      <c r="AG1082" s="3" t="str">
        <f t="shared" si="50"/>
        <v/>
      </c>
    </row>
    <row r="1083" spans="1:33" x14ac:dyDescent="0.25">
      <c r="A1083" s="7"/>
      <c r="B1083" s="8"/>
      <c r="C1083" s="3"/>
      <c r="D1083" s="3"/>
      <c r="E1083" s="3" t="e">
        <f>VLOOKUP(D1083,VIAJES!$D:$E,2,FALSE)</f>
        <v>#N/A</v>
      </c>
      <c r="F1083" s="9" t="e">
        <f>VLOOKUP(D1083,VIAJES!$D:$F,3,FALSE)</f>
        <v>#N/A</v>
      </c>
      <c r="G1083" s="9" t="e">
        <f>VLOOKUP(D1083,VIAJES!$D:$G,4,FALSE)</f>
        <v>#N/A</v>
      </c>
      <c r="H1083" s="3" t="e">
        <f>VLOOKUP(D1083,VIAJES!$D:$H,5,FALSE)</f>
        <v>#N/A</v>
      </c>
      <c r="S1083" s="3">
        <f>IFERROR(INDEX(EVENTOS!$D:$D,MATCH(SCORE!S$2&amp;" "&amp;SCORE!$D1083,EVENTOS!$F:$F,0)),0)</f>
        <v>0</v>
      </c>
      <c r="T1083" s="3">
        <f>IFERROR(INDEX(EVENTOS!$D:$D,MATCH(SCORE!T$2&amp;" "&amp;SCORE!$D1083,EVENTOS!$F:$F,0)),0)</f>
        <v>0</v>
      </c>
      <c r="U1083" s="3">
        <f>IFERROR(INDEX(EVENTOS!$D:$D,MATCH(SCORE!U$2&amp;" "&amp;SCORE!$D1083,EVENTOS!$F:$F,0)),0)</f>
        <v>0</v>
      </c>
      <c r="V1083" s="3">
        <f>IFERROR(INDEX(EVENTOS!$D:$D,MATCH(SCORE!V$2&amp;" "&amp;SCORE!$D1083,EVENTOS!$F:$F,0)),0)</f>
        <v>0</v>
      </c>
      <c r="W1083" s="3">
        <f>IFERROR(INDEX(EVENTOS!$D:$D,MATCH(SCORE!W$2&amp;" "&amp;SCORE!$D1083,EVENTOS!$F:$F,0)),0)</f>
        <v>0</v>
      </c>
      <c r="X1083" s="3">
        <f>IFERROR(INDEX(EVENTOS!$D:$D,MATCH(SCORE!X$2&amp;" "&amp;SCORE!$D1083,EVENTOS!$F:$F,0)),0)</f>
        <v>0</v>
      </c>
      <c r="Y1083" s="3">
        <f>SUMIFS(EVENTOS!$D:$D, EVENTOS!$B:$B, D1083, EVENTOS!$E:$E, "*GirAlto*")</f>
        <v>0</v>
      </c>
      <c r="Z1083" s="3">
        <f>SUMIFS(EVENTOS!$D:$D, EVENTOS!$B:$B, D1083, EVENTOS!$E:$E, "*GirMed*")</f>
        <v>0</v>
      </c>
      <c r="AA1083" s="3">
        <f>SUMIFS(EVENTOS!$D:$D, EVENTOS!$B:$B, D1083, EVENTOS!$E:$E, "*GirBajo*")</f>
        <v>0</v>
      </c>
      <c r="AB1083" s="3">
        <f>IFERROR(INDEX(EVENTOS!$D:$D,MATCH(SCORE!AB$2&amp;" "&amp;SCORE!$D1083,EVENTOS!$F:$F,0)),0)</f>
        <v>0</v>
      </c>
      <c r="AC1083" s="3">
        <f>IFERROR(INDEX(EVENTOS!$D:$D,MATCH(SCORE!AC$2&amp;" "&amp;SCORE!$D1083,EVENTOS!$F:$F,0)),0)</f>
        <v>0</v>
      </c>
      <c r="AD1083" s="3">
        <f>IFERROR(INDEX(EVENTOS!$D:$D,MATCH(SCORE!AD$2&amp;" "&amp;SCORE!$D1083,EVENTOS!$F:$F,0)),0)</f>
        <v>0</v>
      </c>
      <c r="AE1083" s="3">
        <f t="shared" si="48"/>
        <v>0</v>
      </c>
      <c r="AF1083" s="10" t="e">
        <f t="shared" si="49"/>
        <v>#N/A</v>
      </c>
      <c r="AG1083" s="3" t="str">
        <f t="shared" si="50"/>
        <v/>
      </c>
    </row>
    <row r="1084" spans="1:33" x14ac:dyDescent="0.25">
      <c r="A1084" s="7"/>
      <c r="B1084" s="8"/>
      <c r="C1084" s="3"/>
      <c r="D1084" s="3"/>
      <c r="E1084" s="3" t="e">
        <f>VLOOKUP(D1084,VIAJES!$D:$E,2,FALSE)</f>
        <v>#N/A</v>
      </c>
      <c r="F1084" s="9" t="e">
        <f>VLOOKUP(D1084,VIAJES!$D:$F,3,FALSE)</f>
        <v>#N/A</v>
      </c>
      <c r="G1084" s="9" t="e">
        <f>VLOOKUP(D1084,VIAJES!$D:$G,4,FALSE)</f>
        <v>#N/A</v>
      </c>
      <c r="H1084" s="3" t="e">
        <f>VLOOKUP(D1084,VIAJES!$D:$H,5,FALSE)</f>
        <v>#N/A</v>
      </c>
      <c r="S1084" s="3">
        <f>IFERROR(INDEX(EVENTOS!$D:$D,MATCH(SCORE!S$2&amp;" "&amp;SCORE!$D1084,EVENTOS!$F:$F,0)),0)</f>
        <v>0</v>
      </c>
      <c r="T1084" s="3">
        <f>IFERROR(INDEX(EVENTOS!$D:$D,MATCH(SCORE!T$2&amp;" "&amp;SCORE!$D1084,EVENTOS!$F:$F,0)),0)</f>
        <v>0</v>
      </c>
      <c r="U1084" s="3">
        <f>IFERROR(INDEX(EVENTOS!$D:$D,MATCH(SCORE!U$2&amp;" "&amp;SCORE!$D1084,EVENTOS!$F:$F,0)),0)</f>
        <v>0</v>
      </c>
      <c r="V1084" s="3">
        <f>IFERROR(INDEX(EVENTOS!$D:$D,MATCH(SCORE!V$2&amp;" "&amp;SCORE!$D1084,EVENTOS!$F:$F,0)),0)</f>
        <v>0</v>
      </c>
      <c r="W1084" s="3">
        <f>IFERROR(INDEX(EVENTOS!$D:$D,MATCH(SCORE!W$2&amp;" "&amp;SCORE!$D1084,EVENTOS!$F:$F,0)),0)</f>
        <v>0</v>
      </c>
      <c r="X1084" s="3">
        <f>IFERROR(INDEX(EVENTOS!$D:$D,MATCH(SCORE!X$2&amp;" "&amp;SCORE!$D1084,EVENTOS!$F:$F,0)),0)</f>
        <v>0</v>
      </c>
      <c r="Y1084" s="3">
        <f>SUMIFS(EVENTOS!$D:$D, EVENTOS!$B:$B, D1084, EVENTOS!$E:$E, "*GirAlto*")</f>
        <v>0</v>
      </c>
      <c r="Z1084" s="3">
        <f>SUMIFS(EVENTOS!$D:$D, EVENTOS!$B:$B, D1084, EVENTOS!$E:$E, "*GirMed*")</f>
        <v>0</v>
      </c>
      <c r="AA1084" s="3">
        <f>SUMIFS(EVENTOS!$D:$D, EVENTOS!$B:$B, D1084, EVENTOS!$E:$E, "*GirBajo*")</f>
        <v>0</v>
      </c>
      <c r="AB1084" s="3">
        <f>IFERROR(INDEX(EVENTOS!$D:$D,MATCH(SCORE!AB$2&amp;" "&amp;SCORE!$D1084,EVENTOS!$F:$F,0)),0)</f>
        <v>0</v>
      </c>
      <c r="AC1084" s="3">
        <f>IFERROR(INDEX(EVENTOS!$D:$D,MATCH(SCORE!AC$2&amp;" "&amp;SCORE!$D1084,EVENTOS!$F:$F,0)),0)</f>
        <v>0</v>
      </c>
      <c r="AD1084" s="3">
        <f>IFERROR(INDEX(EVENTOS!$D:$D,MATCH(SCORE!AD$2&amp;" "&amp;SCORE!$D1084,EVENTOS!$F:$F,0)),0)</f>
        <v>0</v>
      </c>
      <c r="AE1084" s="3">
        <f t="shared" si="48"/>
        <v>0</v>
      </c>
      <c r="AF1084" s="10" t="e">
        <f t="shared" si="49"/>
        <v>#N/A</v>
      </c>
      <c r="AG1084" s="3" t="str">
        <f t="shared" si="50"/>
        <v/>
      </c>
    </row>
    <row r="1085" spans="1:33" x14ac:dyDescent="0.25">
      <c r="A1085" s="7"/>
      <c r="B1085" s="8"/>
      <c r="C1085" s="3"/>
      <c r="D1085" s="3"/>
      <c r="E1085" s="3" t="e">
        <f>VLOOKUP(D1085,VIAJES!$D:$E,2,FALSE)</f>
        <v>#N/A</v>
      </c>
      <c r="F1085" s="9" t="e">
        <f>VLOOKUP(D1085,VIAJES!$D:$F,3,FALSE)</f>
        <v>#N/A</v>
      </c>
      <c r="G1085" s="9" t="e">
        <f>VLOOKUP(D1085,VIAJES!$D:$G,4,FALSE)</f>
        <v>#N/A</v>
      </c>
      <c r="H1085" s="3" t="e">
        <f>VLOOKUP(D1085,VIAJES!$D:$H,5,FALSE)</f>
        <v>#N/A</v>
      </c>
      <c r="S1085" s="3">
        <f>IFERROR(INDEX(EVENTOS!$D:$D,MATCH(SCORE!S$2&amp;" "&amp;SCORE!$D1085,EVENTOS!$F:$F,0)),0)</f>
        <v>0</v>
      </c>
      <c r="T1085" s="3">
        <f>IFERROR(INDEX(EVENTOS!$D:$D,MATCH(SCORE!T$2&amp;" "&amp;SCORE!$D1085,EVENTOS!$F:$F,0)),0)</f>
        <v>0</v>
      </c>
      <c r="U1085" s="3">
        <f>IFERROR(INDEX(EVENTOS!$D:$D,MATCH(SCORE!U$2&amp;" "&amp;SCORE!$D1085,EVENTOS!$F:$F,0)),0)</f>
        <v>0</v>
      </c>
      <c r="V1085" s="3">
        <f>IFERROR(INDEX(EVENTOS!$D:$D,MATCH(SCORE!V$2&amp;" "&amp;SCORE!$D1085,EVENTOS!$F:$F,0)),0)</f>
        <v>0</v>
      </c>
      <c r="W1085" s="3">
        <f>IFERROR(INDEX(EVENTOS!$D:$D,MATCH(SCORE!W$2&amp;" "&amp;SCORE!$D1085,EVENTOS!$F:$F,0)),0)</f>
        <v>0</v>
      </c>
      <c r="X1085" s="3">
        <f>IFERROR(INDEX(EVENTOS!$D:$D,MATCH(SCORE!X$2&amp;" "&amp;SCORE!$D1085,EVENTOS!$F:$F,0)),0)</f>
        <v>0</v>
      </c>
      <c r="Y1085" s="3">
        <f>SUMIFS(EVENTOS!$D:$D, EVENTOS!$B:$B, D1085, EVENTOS!$E:$E, "*GirAlto*")</f>
        <v>0</v>
      </c>
      <c r="Z1085" s="3">
        <f>SUMIFS(EVENTOS!$D:$D, EVENTOS!$B:$B, D1085, EVENTOS!$E:$E, "*GirMed*")</f>
        <v>0</v>
      </c>
      <c r="AA1085" s="3">
        <f>SUMIFS(EVENTOS!$D:$D, EVENTOS!$B:$B, D1085, EVENTOS!$E:$E, "*GirBajo*")</f>
        <v>0</v>
      </c>
      <c r="AB1085" s="3">
        <f>IFERROR(INDEX(EVENTOS!$D:$D,MATCH(SCORE!AB$2&amp;" "&amp;SCORE!$D1085,EVENTOS!$F:$F,0)),0)</f>
        <v>0</v>
      </c>
      <c r="AC1085" s="3">
        <f>IFERROR(INDEX(EVENTOS!$D:$D,MATCH(SCORE!AC$2&amp;" "&amp;SCORE!$D1085,EVENTOS!$F:$F,0)),0)</f>
        <v>0</v>
      </c>
      <c r="AD1085" s="3">
        <f>IFERROR(INDEX(EVENTOS!$D:$D,MATCH(SCORE!AD$2&amp;" "&amp;SCORE!$D1085,EVENTOS!$F:$F,0)),0)</f>
        <v>0</v>
      </c>
      <c r="AE1085" s="3">
        <f t="shared" si="48"/>
        <v>0</v>
      </c>
      <c r="AF1085" s="10" t="e">
        <f t="shared" si="49"/>
        <v>#N/A</v>
      </c>
      <c r="AG1085" s="3" t="str">
        <f t="shared" si="50"/>
        <v/>
      </c>
    </row>
    <row r="1086" spans="1:33" x14ac:dyDescent="0.25">
      <c r="A1086" s="7"/>
      <c r="B1086" s="8"/>
      <c r="C1086" s="3"/>
      <c r="D1086" s="3"/>
      <c r="E1086" s="3" t="e">
        <f>VLOOKUP(D1086,VIAJES!$D:$E,2,FALSE)</f>
        <v>#N/A</v>
      </c>
      <c r="F1086" s="9" t="e">
        <f>VLOOKUP(D1086,VIAJES!$D:$F,3,FALSE)</f>
        <v>#N/A</v>
      </c>
      <c r="G1086" s="9" t="e">
        <f>VLOOKUP(D1086,VIAJES!$D:$G,4,FALSE)</f>
        <v>#N/A</v>
      </c>
      <c r="H1086" s="3" t="e">
        <f>VLOOKUP(D1086,VIAJES!$D:$H,5,FALSE)</f>
        <v>#N/A</v>
      </c>
      <c r="S1086" s="3">
        <f>IFERROR(INDEX(EVENTOS!$D:$D,MATCH(SCORE!S$2&amp;" "&amp;SCORE!$D1086,EVENTOS!$F:$F,0)),0)</f>
        <v>0</v>
      </c>
      <c r="T1086" s="3">
        <f>IFERROR(INDEX(EVENTOS!$D:$D,MATCH(SCORE!T$2&amp;" "&amp;SCORE!$D1086,EVENTOS!$F:$F,0)),0)</f>
        <v>0</v>
      </c>
      <c r="U1086" s="3">
        <f>IFERROR(INDEX(EVENTOS!$D:$D,MATCH(SCORE!U$2&amp;" "&amp;SCORE!$D1086,EVENTOS!$F:$F,0)),0)</f>
        <v>0</v>
      </c>
      <c r="V1086" s="3">
        <f>IFERROR(INDEX(EVENTOS!$D:$D,MATCH(SCORE!V$2&amp;" "&amp;SCORE!$D1086,EVENTOS!$F:$F,0)),0)</f>
        <v>0</v>
      </c>
      <c r="W1086" s="3">
        <f>IFERROR(INDEX(EVENTOS!$D:$D,MATCH(SCORE!W$2&amp;" "&amp;SCORE!$D1086,EVENTOS!$F:$F,0)),0)</f>
        <v>0</v>
      </c>
      <c r="X1086" s="3">
        <f>IFERROR(INDEX(EVENTOS!$D:$D,MATCH(SCORE!X$2&amp;" "&amp;SCORE!$D1086,EVENTOS!$F:$F,0)),0)</f>
        <v>0</v>
      </c>
      <c r="Y1086" s="3">
        <f>SUMIFS(EVENTOS!$D:$D, EVENTOS!$B:$B, D1086, EVENTOS!$E:$E, "*GirAlto*")</f>
        <v>0</v>
      </c>
      <c r="Z1086" s="3">
        <f>SUMIFS(EVENTOS!$D:$D, EVENTOS!$B:$B, D1086, EVENTOS!$E:$E, "*GirMed*")</f>
        <v>0</v>
      </c>
      <c r="AA1086" s="3">
        <f>SUMIFS(EVENTOS!$D:$D, EVENTOS!$B:$B, D1086, EVENTOS!$E:$E, "*GirBajo*")</f>
        <v>0</v>
      </c>
      <c r="AB1086" s="3">
        <f>IFERROR(INDEX(EVENTOS!$D:$D,MATCH(SCORE!AB$2&amp;" "&amp;SCORE!$D1086,EVENTOS!$F:$F,0)),0)</f>
        <v>0</v>
      </c>
      <c r="AC1086" s="3">
        <f>IFERROR(INDEX(EVENTOS!$D:$D,MATCH(SCORE!AC$2&amp;" "&amp;SCORE!$D1086,EVENTOS!$F:$F,0)),0)</f>
        <v>0</v>
      </c>
      <c r="AD1086" s="3">
        <f>IFERROR(INDEX(EVENTOS!$D:$D,MATCH(SCORE!AD$2&amp;" "&amp;SCORE!$D1086,EVENTOS!$F:$F,0)),0)</f>
        <v>0</v>
      </c>
      <c r="AE1086" s="3">
        <f t="shared" si="48"/>
        <v>0</v>
      </c>
      <c r="AF1086" s="10" t="e">
        <f t="shared" si="49"/>
        <v>#N/A</v>
      </c>
      <c r="AG1086" s="3" t="str">
        <f t="shared" si="50"/>
        <v/>
      </c>
    </row>
    <row r="1087" spans="1:33" x14ac:dyDescent="0.25">
      <c r="A1087" s="7"/>
      <c r="B1087" s="8"/>
      <c r="C1087" s="3"/>
      <c r="D1087" s="3"/>
      <c r="E1087" s="3" t="e">
        <f>VLOOKUP(D1087,VIAJES!$D:$E,2,FALSE)</f>
        <v>#N/A</v>
      </c>
      <c r="F1087" s="9" t="e">
        <f>VLOOKUP(D1087,VIAJES!$D:$F,3,FALSE)</f>
        <v>#N/A</v>
      </c>
      <c r="G1087" s="9" t="e">
        <f>VLOOKUP(D1087,VIAJES!$D:$G,4,FALSE)</f>
        <v>#N/A</v>
      </c>
      <c r="H1087" s="3" t="e">
        <f>VLOOKUP(D1087,VIAJES!$D:$H,5,FALSE)</f>
        <v>#N/A</v>
      </c>
      <c r="S1087" s="3">
        <f>IFERROR(INDEX(EVENTOS!$D:$D,MATCH(SCORE!S$2&amp;" "&amp;SCORE!$D1087,EVENTOS!$F:$F,0)),0)</f>
        <v>0</v>
      </c>
      <c r="T1087" s="3">
        <f>IFERROR(INDEX(EVENTOS!$D:$D,MATCH(SCORE!T$2&amp;" "&amp;SCORE!$D1087,EVENTOS!$F:$F,0)),0)</f>
        <v>0</v>
      </c>
      <c r="U1087" s="3">
        <f>IFERROR(INDEX(EVENTOS!$D:$D,MATCH(SCORE!U$2&amp;" "&amp;SCORE!$D1087,EVENTOS!$F:$F,0)),0)</f>
        <v>0</v>
      </c>
      <c r="V1087" s="3">
        <f>IFERROR(INDEX(EVENTOS!$D:$D,MATCH(SCORE!V$2&amp;" "&amp;SCORE!$D1087,EVENTOS!$F:$F,0)),0)</f>
        <v>0</v>
      </c>
      <c r="W1087" s="3">
        <f>IFERROR(INDEX(EVENTOS!$D:$D,MATCH(SCORE!W$2&amp;" "&amp;SCORE!$D1087,EVENTOS!$F:$F,0)),0)</f>
        <v>0</v>
      </c>
      <c r="X1087" s="3">
        <f>IFERROR(INDEX(EVENTOS!$D:$D,MATCH(SCORE!X$2&amp;" "&amp;SCORE!$D1087,EVENTOS!$F:$F,0)),0)</f>
        <v>0</v>
      </c>
      <c r="Y1087" s="3">
        <f>SUMIFS(EVENTOS!$D:$D, EVENTOS!$B:$B, D1087, EVENTOS!$E:$E, "*GirAlto*")</f>
        <v>0</v>
      </c>
      <c r="Z1087" s="3">
        <f>SUMIFS(EVENTOS!$D:$D, EVENTOS!$B:$B, D1087, EVENTOS!$E:$E, "*GirMed*")</f>
        <v>0</v>
      </c>
      <c r="AA1087" s="3">
        <f>SUMIFS(EVENTOS!$D:$D, EVENTOS!$B:$B, D1087, EVENTOS!$E:$E, "*GirBajo*")</f>
        <v>0</v>
      </c>
      <c r="AB1087" s="3">
        <f>IFERROR(INDEX(EVENTOS!$D:$D,MATCH(SCORE!AB$2&amp;" "&amp;SCORE!$D1087,EVENTOS!$F:$F,0)),0)</f>
        <v>0</v>
      </c>
      <c r="AC1087" s="3">
        <f>IFERROR(INDEX(EVENTOS!$D:$D,MATCH(SCORE!AC$2&amp;" "&amp;SCORE!$D1087,EVENTOS!$F:$F,0)),0)</f>
        <v>0</v>
      </c>
      <c r="AD1087" s="3">
        <f>IFERROR(INDEX(EVENTOS!$D:$D,MATCH(SCORE!AD$2&amp;" "&amp;SCORE!$D1087,EVENTOS!$F:$F,0)),0)</f>
        <v>0</v>
      </c>
      <c r="AE1087" s="3">
        <f t="shared" si="48"/>
        <v>0</v>
      </c>
      <c r="AF1087" s="10" t="e">
        <f t="shared" si="49"/>
        <v>#N/A</v>
      </c>
      <c r="AG1087" s="3" t="str">
        <f t="shared" si="50"/>
        <v/>
      </c>
    </row>
    <row r="1088" spans="1:33" x14ac:dyDescent="0.25">
      <c r="A1088" s="7"/>
      <c r="B1088" s="8"/>
      <c r="C1088" s="3"/>
      <c r="D1088" s="3"/>
      <c r="E1088" s="3" t="e">
        <f>VLOOKUP(D1088,VIAJES!$D:$E,2,FALSE)</f>
        <v>#N/A</v>
      </c>
      <c r="F1088" s="9" t="e">
        <f>VLOOKUP(D1088,VIAJES!$D:$F,3,FALSE)</f>
        <v>#N/A</v>
      </c>
      <c r="G1088" s="9" t="e">
        <f>VLOOKUP(D1088,VIAJES!$D:$G,4,FALSE)</f>
        <v>#N/A</v>
      </c>
      <c r="H1088" s="3" t="e">
        <f>VLOOKUP(D1088,VIAJES!$D:$H,5,FALSE)</f>
        <v>#N/A</v>
      </c>
      <c r="S1088" s="3">
        <f>IFERROR(INDEX(EVENTOS!$D:$D,MATCH(SCORE!S$2&amp;" "&amp;SCORE!$D1088,EVENTOS!$F:$F,0)),0)</f>
        <v>0</v>
      </c>
      <c r="T1088" s="3">
        <f>IFERROR(INDEX(EVENTOS!$D:$D,MATCH(SCORE!T$2&amp;" "&amp;SCORE!$D1088,EVENTOS!$F:$F,0)),0)</f>
        <v>0</v>
      </c>
      <c r="U1088" s="3">
        <f>IFERROR(INDEX(EVENTOS!$D:$D,MATCH(SCORE!U$2&amp;" "&amp;SCORE!$D1088,EVENTOS!$F:$F,0)),0)</f>
        <v>0</v>
      </c>
      <c r="V1088" s="3">
        <f>IFERROR(INDEX(EVENTOS!$D:$D,MATCH(SCORE!V$2&amp;" "&amp;SCORE!$D1088,EVENTOS!$F:$F,0)),0)</f>
        <v>0</v>
      </c>
      <c r="W1088" s="3">
        <f>IFERROR(INDEX(EVENTOS!$D:$D,MATCH(SCORE!W$2&amp;" "&amp;SCORE!$D1088,EVENTOS!$F:$F,0)),0)</f>
        <v>0</v>
      </c>
      <c r="X1088" s="3">
        <f>IFERROR(INDEX(EVENTOS!$D:$D,MATCH(SCORE!X$2&amp;" "&amp;SCORE!$D1088,EVENTOS!$F:$F,0)),0)</f>
        <v>0</v>
      </c>
      <c r="Y1088" s="3">
        <f>SUMIFS(EVENTOS!$D:$D, EVENTOS!$B:$B, D1088, EVENTOS!$E:$E, "*GirAlto*")</f>
        <v>0</v>
      </c>
      <c r="Z1088" s="3">
        <f>SUMIFS(EVENTOS!$D:$D, EVENTOS!$B:$B, D1088, EVENTOS!$E:$E, "*GirMed*")</f>
        <v>0</v>
      </c>
      <c r="AA1088" s="3">
        <f>SUMIFS(EVENTOS!$D:$D, EVENTOS!$B:$B, D1088, EVENTOS!$E:$E, "*GirBajo*")</f>
        <v>0</v>
      </c>
      <c r="AB1088" s="3">
        <f>IFERROR(INDEX(EVENTOS!$D:$D,MATCH(SCORE!AB$2&amp;" "&amp;SCORE!$D1088,EVENTOS!$F:$F,0)),0)</f>
        <v>0</v>
      </c>
      <c r="AC1088" s="3">
        <f>IFERROR(INDEX(EVENTOS!$D:$D,MATCH(SCORE!AC$2&amp;" "&amp;SCORE!$D1088,EVENTOS!$F:$F,0)),0)</f>
        <v>0</v>
      </c>
      <c r="AD1088" s="3">
        <f>IFERROR(INDEX(EVENTOS!$D:$D,MATCH(SCORE!AD$2&amp;" "&amp;SCORE!$D1088,EVENTOS!$F:$F,0)),0)</f>
        <v>0</v>
      </c>
      <c r="AE1088" s="3">
        <f t="shared" si="48"/>
        <v>0</v>
      </c>
      <c r="AF1088" s="10" t="e">
        <f t="shared" si="49"/>
        <v>#N/A</v>
      </c>
      <c r="AG1088" s="3" t="str">
        <f t="shared" si="50"/>
        <v/>
      </c>
    </row>
    <row r="1089" spans="1:33" x14ac:dyDescent="0.25">
      <c r="A1089" s="7"/>
      <c r="B1089" s="8"/>
      <c r="C1089" s="3"/>
      <c r="D1089" s="3"/>
      <c r="E1089" s="3" t="e">
        <f>VLOOKUP(D1089,VIAJES!$D:$E,2,FALSE)</f>
        <v>#N/A</v>
      </c>
      <c r="F1089" s="9" t="e">
        <f>VLOOKUP(D1089,VIAJES!$D:$F,3,FALSE)</f>
        <v>#N/A</v>
      </c>
      <c r="G1089" s="9" t="e">
        <f>VLOOKUP(D1089,VIAJES!$D:$G,4,FALSE)</f>
        <v>#N/A</v>
      </c>
      <c r="H1089" s="3" t="e">
        <f>VLOOKUP(D1089,VIAJES!$D:$H,5,FALSE)</f>
        <v>#N/A</v>
      </c>
      <c r="S1089" s="3">
        <f>IFERROR(INDEX(EVENTOS!$D:$D,MATCH(SCORE!S$2&amp;" "&amp;SCORE!$D1089,EVENTOS!$F:$F,0)),0)</f>
        <v>0</v>
      </c>
      <c r="T1089" s="3">
        <f>IFERROR(INDEX(EVENTOS!$D:$D,MATCH(SCORE!T$2&amp;" "&amp;SCORE!$D1089,EVENTOS!$F:$F,0)),0)</f>
        <v>0</v>
      </c>
      <c r="U1089" s="3">
        <f>IFERROR(INDEX(EVENTOS!$D:$D,MATCH(SCORE!U$2&amp;" "&amp;SCORE!$D1089,EVENTOS!$F:$F,0)),0)</f>
        <v>0</v>
      </c>
      <c r="V1089" s="3">
        <f>IFERROR(INDEX(EVENTOS!$D:$D,MATCH(SCORE!V$2&amp;" "&amp;SCORE!$D1089,EVENTOS!$F:$F,0)),0)</f>
        <v>0</v>
      </c>
      <c r="W1089" s="3">
        <f>IFERROR(INDEX(EVENTOS!$D:$D,MATCH(SCORE!W$2&amp;" "&amp;SCORE!$D1089,EVENTOS!$F:$F,0)),0)</f>
        <v>0</v>
      </c>
      <c r="X1089" s="3">
        <f>IFERROR(INDEX(EVENTOS!$D:$D,MATCH(SCORE!X$2&amp;" "&amp;SCORE!$D1089,EVENTOS!$F:$F,0)),0)</f>
        <v>0</v>
      </c>
      <c r="Y1089" s="3">
        <f>SUMIFS(EVENTOS!$D:$D, EVENTOS!$B:$B, D1089, EVENTOS!$E:$E, "*GirAlto*")</f>
        <v>0</v>
      </c>
      <c r="Z1089" s="3">
        <f>SUMIFS(EVENTOS!$D:$D, EVENTOS!$B:$B, D1089, EVENTOS!$E:$E, "*GirMed*")</f>
        <v>0</v>
      </c>
      <c r="AA1089" s="3">
        <f>SUMIFS(EVENTOS!$D:$D, EVENTOS!$B:$B, D1089, EVENTOS!$E:$E, "*GirBajo*")</f>
        <v>0</v>
      </c>
      <c r="AB1089" s="3">
        <f>IFERROR(INDEX(EVENTOS!$D:$D,MATCH(SCORE!AB$2&amp;" "&amp;SCORE!$D1089,EVENTOS!$F:$F,0)),0)</f>
        <v>0</v>
      </c>
      <c r="AC1089" s="3">
        <f>IFERROR(INDEX(EVENTOS!$D:$D,MATCH(SCORE!AC$2&amp;" "&amp;SCORE!$D1089,EVENTOS!$F:$F,0)),0)</f>
        <v>0</v>
      </c>
      <c r="AD1089" s="3">
        <f>IFERROR(INDEX(EVENTOS!$D:$D,MATCH(SCORE!AD$2&amp;" "&amp;SCORE!$D1089,EVENTOS!$F:$F,0)),0)</f>
        <v>0</v>
      </c>
      <c r="AE1089" s="3">
        <f t="shared" si="48"/>
        <v>0</v>
      </c>
      <c r="AF1089" s="10" t="e">
        <f t="shared" si="49"/>
        <v>#N/A</v>
      </c>
      <c r="AG1089" s="3" t="str">
        <f t="shared" si="50"/>
        <v/>
      </c>
    </row>
    <row r="1090" spans="1:33" x14ac:dyDescent="0.25">
      <c r="A1090" s="7"/>
      <c r="B1090" s="8"/>
      <c r="C1090" s="3"/>
      <c r="D1090" s="3"/>
      <c r="E1090" s="3" t="e">
        <f>VLOOKUP(D1090,VIAJES!$D:$E,2,FALSE)</f>
        <v>#N/A</v>
      </c>
      <c r="F1090" s="9" t="e">
        <f>VLOOKUP(D1090,VIAJES!$D:$F,3,FALSE)</f>
        <v>#N/A</v>
      </c>
      <c r="G1090" s="9" t="e">
        <f>VLOOKUP(D1090,VIAJES!$D:$G,4,FALSE)</f>
        <v>#N/A</v>
      </c>
      <c r="H1090" s="3" t="e">
        <f>VLOOKUP(D1090,VIAJES!$D:$H,5,FALSE)</f>
        <v>#N/A</v>
      </c>
      <c r="S1090" s="3">
        <f>IFERROR(INDEX(EVENTOS!$D:$D,MATCH(SCORE!S$2&amp;" "&amp;SCORE!$D1090,EVENTOS!$F:$F,0)),0)</f>
        <v>0</v>
      </c>
      <c r="T1090" s="3">
        <f>IFERROR(INDEX(EVENTOS!$D:$D,MATCH(SCORE!T$2&amp;" "&amp;SCORE!$D1090,EVENTOS!$F:$F,0)),0)</f>
        <v>0</v>
      </c>
      <c r="U1090" s="3">
        <f>IFERROR(INDEX(EVENTOS!$D:$D,MATCH(SCORE!U$2&amp;" "&amp;SCORE!$D1090,EVENTOS!$F:$F,0)),0)</f>
        <v>0</v>
      </c>
      <c r="V1090" s="3">
        <f>IFERROR(INDEX(EVENTOS!$D:$D,MATCH(SCORE!V$2&amp;" "&amp;SCORE!$D1090,EVENTOS!$F:$F,0)),0)</f>
        <v>0</v>
      </c>
      <c r="W1090" s="3">
        <f>IFERROR(INDEX(EVENTOS!$D:$D,MATCH(SCORE!W$2&amp;" "&amp;SCORE!$D1090,EVENTOS!$F:$F,0)),0)</f>
        <v>0</v>
      </c>
      <c r="X1090" s="3">
        <f>IFERROR(INDEX(EVENTOS!$D:$D,MATCH(SCORE!X$2&amp;" "&amp;SCORE!$D1090,EVENTOS!$F:$F,0)),0)</f>
        <v>0</v>
      </c>
      <c r="Y1090" s="3">
        <f>SUMIFS(EVENTOS!$D:$D, EVENTOS!$B:$B, D1090, EVENTOS!$E:$E, "*GirAlto*")</f>
        <v>0</v>
      </c>
      <c r="Z1090" s="3">
        <f>SUMIFS(EVENTOS!$D:$D, EVENTOS!$B:$B, D1090, EVENTOS!$E:$E, "*GirMed*")</f>
        <v>0</v>
      </c>
      <c r="AA1090" s="3">
        <f>SUMIFS(EVENTOS!$D:$D, EVENTOS!$B:$B, D1090, EVENTOS!$E:$E, "*GirBajo*")</f>
        <v>0</v>
      </c>
      <c r="AB1090" s="3">
        <f>IFERROR(INDEX(EVENTOS!$D:$D,MATCH(SCORE!AB$2&amp;" "&amp;SCORE!$D1090,EVENTOS!$F:$F,0)),0)</f>
        <v>0</v>
      </c>
      <c r="AC1090" s="3">
        <f>IFERROR(INDEX(EVENTOS!$D:$D,MATCH(SCORE!AC$2&amp;" "&amp;SCORE!$D1090,EVENTOS!$F:$F,0)),0)</f>
        <v>0</v>
      </c>
      <c r="AD1090" s="3">
        <f>IFERROR(INDEX(EVENTOS!$D:$D,MATCH(SCORE!AD$2&amp;" "&amp;SCORE!$D1090,EVENTOS!$F:$F,0)),0)</f>
        <v>0</v>
      </c>
      <c r="AE1090" s="3">
        <f t="shared" si="48"/>
        <v>0</v>
      </c>
      <c r="AF1090" s="10" t="e">
        <f t="shared" si="49"/>
        <v>#N/A</v>
      </c>
      <c r="AG1090" s="3" t="str">
        <f t="shared" si="50"/>
        <v/>
      </c>
    </row>
    <row r="1091" spans="1:33" x14ac:dyDescent="0.25">
      <c r="A1091" s="7"/>
      <c r="B1091" s="8"/>
      <c r="C1091" s="3"/>
      <c r="D1091" s="3"/>
      <c r="E1091" s="3" t="e">
        <f>VLOOKUP(D1091,VIAJES!$D:$E,2,FALSE)</f>
        <v>#N/A</v>
      </c>
      <c r="F1091" s="9" t="e">
        <f>VLOOKUP(D1091,VIAJES!$D:$F,3,FALSE)</f>
        <v>#N/A</v>
      </c>
      <c r="G1091" s="9" t="e">
        <f>VLOOKUP(D1091,VIAJES!$D:$G,4,FALSE)</f>
        <v>#N/A</v>
      </c>
      <c r="H1091" s="3" t="e">
        <f>VLOOKUP(D1091,VIAJES!$D:$H,5,FALSE)</f>
        <v>#N/A</v>
      </c>
      <c r="S1091" s="3">
        <f>IFERROR(INDEX(EVENTOS!$D:$D,MATCH(SCORE!S$2&amp;" "&amp;SCORE!$D1091,EVENTOS!$F:$F,0)),0)</f>
        <v>0</v>
      </c>
      <c r="T1091" s="3">
        <f>IFERROR(INDEX(EVENTOS!$D:$D,MATCH(SCORE!T$2&amp;" "&amp;SCORE!$D1091,EVENTOS!$F:$F,0)),0)</f>
        <v>0</v>
      </c>
      <c r="U1091" s="3">
        <f>IFERROR(INDEX(EVENTOS!$D:$D,MATCH(SCORE!U$2&amp;" "&amp;SCORE!$D1091,EVENTOS!$F:$F,0)),0)</f>
        <v>0</v>
      </c>
      <c r="V1091" s="3">
        <f>IFERROR(INDEX(EVENTOS!$D:$D,MATCH(SCORE!V$2&amp;" "&amp;SCORE!$D1091,EVENTOS!$F:$F,0)),0)</f>
        <v>0</v>
      </c>
      <c r="W1091" s="3">
        <f>IFERROR(INDEX(EVENTOS!$D:$D,MATCH(SCORE!W$2&amp;" "&amp;SCORE!$D1091,EVENTOS!$F:$F,0)),0)</f>
        <v>0</v>
      </c>
      <c r="X1091" s="3">
        <f>IFERROR(INDEX(EVENTOS!$D:$D,MATCH(SCORE!X$2&amp;" "&amp;SCORE!$D1091,EVENTOS!$F:$F,0)),0)</f>
        <v>0</v>
      </c>
      <c r="Y1091" s="3">
        <f>SUMIFS(EVENTOS!$D:$D, EVENTOS!$B:$B, D1091, EVENTOS!$E:$E, "*GirAlto*")</f>
        <v>0</v>
      </c>
      <c r="Z1091" s="3">
        <f>SUMIFS(EVENTOS!$D:$D, EVENTOS!$B:$B, D1091, EVENTOS!$E:$E, "*GirMed*")</f>
        <v>0</v>
      </c>
      <c r="AA1091" s="3">
        <f>SUMIFS(EVENTOS!$D:$D, EVENTOS!$B:$B, D1091, EVENTOS!$E:$E, "*GirBajo*")</f>
        <v>0</v>
      </c>
      <c r="AB1091" s="3">
        <f>IFERROR(INDEX(EVENTOS!$D:$D,MATCH(SCORE!AB$2&amp;" "&amp;SCORE!$D1091,EVENTOS!$F:$F,0)),0)</f>
        <v>0</v>
      </c>
      <c r="AC1091" s="3">
        <f>IFERROR(INDEX(EVENTOS!$D:$D,MATCH(SCORE!AC$2&amp;" "&amp;SCORE!$D1091,EVENTOS!$F:$F,0)),0)</f>
        <v>0</v>
      </c>
      <c r="AD1091" s="3">
        <f>IFERROR(INDEX(EVENTOS!$D:$D,MATCH(SCORE!AD$2&amp;" "&amp;SCORE!$D1091,EVENTOS!$F:$F,0)),0)</f>
        <v>0</v>
      </c>
      <c r="AE1091" s="3">
        <f t="shared" ref="AE1091:AE1154" si="51">((S1091+V1091+Y1091+AB1091)*50)+((T1091+W1091+Z1091+AC1091)*25)+((U1091+X1091+AA1091+AD1091)*5)</f>
        <v>0</v>
      </c>
      <c r="AF1091" s="10" t="e">
        <f t="shared" ref="AF1091:AF1154" si="52">AE1091/(G1091*24)*100</f>
        <v>#N/A</v>
      </c>
      <c r="AG1091" s="3" t="str">
        <f t="shared" ref="AG1091:AG1154" si="53">IF(D1091&lt;&gt;"",IF(AF1091&gt;=30000,5,ROUNDDOWN((((5-95)*(AF1091-0))/(30000-0))+95,0)),"")</f>
        <v/>
      </c>
    </row>
    <row r="1092" spans="1:33" x14ac:dyDescent="0.25">
      <c r="A1092" s="7"/>
      <c r="B1092" s="8"/>
      <c r="C1092" s="3"/>
      <c r="D1092" s="3"/>
      <c r="E1092" s="3" t="e">
        <f>VLOOKUP(D1092,VIAJES!$D:$E,2,FALSE)</f>
        <v>#N/A</v>
      </c>
      <c r="F1092" s="9" t="e">
        <f>VLOOKUP(D1092,VIAJES!$D:$F,3,FALSE)</f>
        <v>#N/A</v>
      </c>
      <c r="G1092" s="9" t="e">
        <f>VLOOKUP(D1092,VIAJES!$D:$G,4,FALSE)</f>
        <v>#N/A</v>
      </c>
      <c r="H1092" s="3" t="e">
        <f>VLOOKUP(D1092,VIAJES!$D:$H,5,FALSE)</f>
        <v>#N/A</v>
      </c>
      <c r="S1092" s="3">
        <f>IFERROR(INDEX(EVENTOS!$D:$D,MATCH(SCORE!S$2&amp;" "&amp;SCORE!$D1092,EVENTOS!$F:$F,0)),0)</f>
        <v>0</v>
      </c>
      <c r="T1092" s="3">
        <f>IFERROR(INDEX(EVENTOS!$D:$D,MATCH(SCORE!T$2&amp;" "&amp;SCORE!$D1092,EVENTOS!$F:$F,0)),0)</f>
        <v>0</v>
      </c>
      <c r="U1092" s="3">
        <f>IFERROR(INDEX(EVENTOS!$D:$D,MATCH(SCORE!U$2&amp;" "&amp;SCORE!$D1092,EVENTOS!$F:$F,0)),0)</f>
        <v>0</v>
      </c>
      <c r="V1092" s="3">
        <f>IFERROR(INDEX(EVENTOS!$D:$D,MATCH(SCORE!V$2&amp;" "&amp;SCORE!$D1092,EVENTOS!$F:$F,0)),0)</f>
        <v>0</v>
      </c>
      <c r="W1092" s="3">
        <f>IFERROR(INDEX(EVENTOS!$D:$D,MATCH(SCORE!W$2&amp;" "&amp;SCORE!$D1092,EVENTOS!$F:$F,0)),0)</f>
        <v>0</v>
      </c>
      <c r="X1092" s="3">
        <f>IFERROR(INDEX(EVENTOS!$D:$D,MATCH(SCORE!X$2&amp;" "&amp;SCORE!$D1092,EVENTOS!$F:$F,0)),0)</f>
        <v>0</v>
      </c>
      <c r="Y1092" s="3">
        <f>SUMIFS(EVENTOS!$D:$D, EVENTOS!$B:$B, D1092, EVENTOS!$E:$E, "*GirAlto*")</f>
        <v>0</v>
      </c>
      <c r="Z1092" s="3">
        <f>SUMIFS(EVENTOS!$D:$D, EVENTOS!$B:$B, D1092, EVENTOS!$E:$E, "*GirMed*")</f>
        <v>0</v>
      </c>
      <c r="AA1092" s="3">
        <f>SUMIFS(EVENTOS!$D:$D, EVENTOS!$B:$B, D1092, EVENTOS!$E:$E, "*GirBajo*")</f>
        <v>0</v>
      </c>
      <c r="AB1092" s="3">
        <f>IFERROR(INDEX(EVENTOS!$D:$D,MATCH(SCORE!AB$2&amp;" "&amp;SCORE!$D1092,EVENTOS!$F:$F,0)),0)</f>
        <v>0</v>
      </c>
      <c r="AC1092" s="3">
        <f>IFERROR(INDEX(EVENTOS!$D:$D,MATCH(SCORE!AC$2&amp;" "&amp;SCORE!$D1092,EVENTOS!$F:$F,0)),0)</f>
        <v>0</v>
      </c>
      <c r="AD1092" s="3">
        <f>IFERROR(INDEX(EVENTOS!$D:$D,MATCH(SCORE!AD$2&amp;" "&amp;SCORE!$D1092,EVENTOS!$F:$F,0)),0)</f>
        <v>0</v>
      </c>
      <c r="AE1092" s="3">
        <f t="shared" si="51"/>
        <v>0</v>
      </c>
      <c r="AF1092" s="10" t="e">
        <f t="shared" si="52"/>
        <v>#N/A</v>
      </c>
      <c r="AG1092" s="3" t="str">
        <f t="shared" si="53"/>
        <v/>
      </c>
    </row>
    <row r="1093" spans="1:33" x14ac:dyDescent="0.25">
      <c r="A1093" s="7"/>
      <c r="B1093" s="8"/>
      <c r="C1093" s="3"/>
      <c r="D1093" s="3"/>
      <c r="E1093" s="3" t="e">
        <f>VLOOKUP(D1093,VIAJES!$D:$E,2,FALSE)</f>
        <v>#N/A</v>
      </c>
      <c r="F1093" s="9" t="e">
        <f>VLOOKUP(D1093,VIAJES!$D:$F,3,FALSE)</f>
        <v>#N/A</v>
      </c>
      <c r="G1093" s="9" t="e">
        <f>VLOOKUP(D1093,VIAJES!$D:$G,4,FALSE)</f>
        <v>#N/A</v>
      </c>
      <c r="H1093" s="3" t="e">
        <f>VLOOKUP(D1093,VIAJES!$D:$H,5,FALSE)</f>
        <v>#N/A</v>
      </c>
      <c r="S1093" s="3">
        <f>IFERROR(INDEX(EVENTOS!$D:$D,MATCH(SCORE!S$2&amp;" "&amp;SCORE!$D1093,EVENTOS!$F:$F,0)),0)</f>
        <v>0</v>
      </c>
      <c r="T1093" s="3">
        <f>IFERROR(INDEX(EVENTOS!$D:$D,MATCH(SCORE!T$2&amp;" "&amp;SCORE!$D1093,EVENTOS!$F:$F,0)),0)</f>
        <v>0</v>
      </c>
      <c r="U1093" s="3">
        <f>IFERROR(INDEX(EVENTOS!$D:$D,MATCH(SCORE!U$2&amp;" "&amp;SCORE!$D1093,EVENTOS!$F:$F,0)),0)</f>
        <v>0</v>
      </c>
      <c r="V1093" s="3">
        <f>IFERROR(INDEX(EVENTOS!$D:$D,MATCH(SCORE!V$2&amp;" "&amp;SCORE!$D1093,EVENTOS!$F:$F,0)),0)</f>
        <v>0</v>
      </c>
      <c r="W1093" s="3">
        <f>IFERROR(INDEX(EVENTOS!$D:$D,MATCH(SCORE!W$2&amp;" "&amp;SCORE!$D1093,EVENTOS!$F:$F,0)),0)</f>
        <v>0</v>
      </c>
      <c r="X1093" s="3">
        <f>IFERROR(INDEX(EVENTOS!$D:$D,MATCH(SCORE!X$2&amp;" "&amp;SCORE!$D1093,EVENTOS!$F:$F,0)),0)</f>
        <v>0</v>
      </c>
      <c r="Y1093" s="3">
        <f>SUMIFS(EVENTOS!$D:$D, EVENTOS!$B:$B, D1093, EVENTOS!$E:$E, "*GirAlto*")</f>
        <v>0</v>
      </c>
      <c r="Z1093" s="3">
        <f>SUMIFS(EVENTOS!$D:$D, EVENTOS!$B:$B, D1093, EVENTOS!$E:$E, "*GirMed*")</f>
        <v>0</v>
      </c>
      <c r="AA1093" s="3">
        <f>SUMIFS(EVENTOS!$D:$D, EVENTOS!$B:$B, D1093, EVENTOS!$E:$E, "*GirBajo*")</f>
        <v>0</v>
      </c>
      <c r="AB1093" s="3">
        <f>IFERROR(INDEX(EVENTOS!$D:$D,MATCH(SCORE!AB$2&amp;" "&amp;SCORE!$D1093,EVENTOS!$F:$F,0)),0)</f>
        <v>0</v>
      </c>
      <c r="AC1093" s="3">
        <f>IFERROR(INDEX(EVENTOS!$D:$D,MATCH(SCORE!AC$2&amp;" "&amp;SCORE!$D1093,EVENTOS!$F:$F,0)),0)</f>
        <v>0</v>
      </c>
      <c r="AD1093" s="3">
        <f>IFERROR(INDEX(EVENTOS!$D:$D,MATCH(SCORE!AD$2&amp;" "&amp;SCORE!$D1093,EVENTOS!$F:$F,0)),0)</f>
        <v>0</v>
      </c>
      <c r="AE1093" s="3">
        <f t="shared" si="51"/>
        <v>0</v>
      </c>
      <c r="AF1093" s="10" t="e">
        <f t="shared" si="52"/>
        <v>#N/A</v>
      </c>
      <c r="AG1093" s="3" t="str">
        <f t="shared" si="53"/>
        <v/>
      </c>
    </row>
    <row r="1094" spans="1:33" x14ac:dyDescent="0.25">
      <c r="A1094" s="7"/>
      <c r="B1094" s="8"/>
      <c r="C1094" s="3"/>
      <c r="D1094" s="3"/>
      <c r="E1094" s="3" t="e">
        <f>VLOOKUP(D1094,VIAJES!$D:$E,2,FALSE)</f>
        <v>#N/A</v>
      </c>
      <c r="F1094" s="9" t="e">
        <f>VLOOKUP(D1094,VIAJES!$D:$F,3,FALSE)</f>
        <v>#N/A</v>
      </c>
      <c r="G1094" s="9" t="e">
        <f>VLOOKUP(D1094,VIAJES!$D:$G,4,FALSE)</f>
        <v>#N/A</v>
      </c>
      <c r="H1094" s="3" t="e">
        <f>VLOOKUP(D1094,VIAJES!$D:$H,5,FALSE)</f>
        <v>#N/A</v>
      </c>
      <c r="S1094" s="3">
        <f>IFERROR(INDEX(EVENTOS!$D:$D,MATCH(SCORE!S$2&amp;" "&amp;SCORE!$D1094,EVENTOS!$F:$F,0)),0)</f>
        <v>0</v>
      </c>
      <c r="T1094" s="3">
        <f>IFERROR(INDEX(EVENTOS!$D:$D,MATCH(SCORE!T$2&amp;" "&amp;SCORE!$D1094,EVENTOS!$F:$F,0)),0)</f>
        <v>0</v>
      </c>
      <c r="U1094" s="3">
        <f>IFERROR(INDEX(EVENTOS!$D:$D,MATCH(SCORE!U$2&amp;" "&amp;SCORE!$D1094,EVENTOS!$F:$F,0)),0)</f>
        <v>0</v>
      </c>
      <c r="V1094" s="3">
        <f>IFERROR(INDEX(EVENTOS!$D:$D,MATCH(SCORE!V$2&amp;" "&amp;SCORE!$D1094,EVENTOS!$F:$F,0)),0)</f>
        <v>0</v>
      </c>
      <c r="W1094" s="3">
        <f>IFERROR(INDEX(EVENTOS!$D:$D,MATCH(SCORE!W$2&amp;" "&amp;SCORE!$D1094,EVENTOS!$F:$F,0)),0)</f>
        <v>0</v>
      </c>
      <c r="X1094" s="3">
        <f>IFERROR(INDEX(EVENTOS!$D:$D,MATCH(SCORE!X$2&amp;" "&amp;SCORE!$D1094,EVENTOS!$F:$F,0)),0)</f>
        <v>0</v>
      </c>
      <c r="Y1094" s="3">
        <f>SUMIFS(EVENTOS!$D:$D, EVENTOS!$B:$B, D1094, EVENTOS!$E:$E, "*GirAlto*")</f>
        <v>0</v>
      </c>
      <c r="Z1094" s="3">
        <f>SUMIFS(EVENTOS!$D:$D, EVENTOS!$B:$B, D1094, EVENTOS!$E:$E, "*GirMed*")</f>
        <v>0</v>
      </c>
      <c r="AA1094" s="3">
        <f>SUMIFS(EVENTOS!$D:$D, EVENTOS!$B:$B, D1094, EVENTOS!$E:$E, "*GirBajo*")</f>
        <v>0</v>
      </c>
      <c r="AB1094" s="3">
        <f>IFERROR(INDEX(EVENTOS!$D:$D,MATCH(SCORE!AB$2&amp;" "&amp;SCORE!$D1094,EVENTOS!$F:$F,0)),0)</f>
        <v>0</v>
      </c>
      <c r="AC1094" s="3">
        <f>IFERROR(INDEX(EVENTOS!$D:$D,MATCH(SCORE!AC$2&amp;" "&amp;SCORE!$D1094,EVENTOS!$F:$F,0)),0)</f>
        <v>0</v>
      </c>
      <c r="AD1094" s="3">
        <f>IFERROR(INDEX(EVENTOS!$D:$D,MATCH(SCORE!AD$2&amp;" "&amp;SCORE!$D1094,EVENTOS!$F:$F,0)),0)</f>
        <v>0</v>
      </c>
      <c r="AE1094" s="3">
        <f t="shared" si="51"/>
        <v>0</v>
      </c>
      <c r="AF1094" s="10" t="e">
        <f t="shared" si="52"/>
        <v>#N/A</v>
      </c>
      <c r="AG1094" s="3" t="str">
        <f t="shared" si="53"/>
        <v/>
      </c>
    </row>
    <row r="1095" spans="1:33" x14ac:dyDescent="0.25">
      <c r="A1095" s="7"/>
      <c r="B1095" s="8"/>
      <c r="C1095" s="3"/>
      <c r="D1095" s="3"/>
      <c r="E1095" s="3" t="e">
        <f>VLOOKUP(D1095,VIAJES!$D:$E,2,FALSE)</f>
        <v>#N/A</v>
      </c>
      <c r="F1095" s="9" t="e">
        <f>VLOOKUP(D1095,VIAJES!$D:$F,3,FALSE)</f>
        <v>#N/A</v>
      </c>
      <c r="G1095" s="9" t="e">
        <f>VLOOKUP(D1095,VIAJES!$D:$G,4,FALSE)</f>
        <v>#N/A</v>
      </c>
      <c r="H1095" s="3" t="e">
        <f>VLOOKUP(D1095,VIAJES!$D:$H,5,FALSE)</f>
        <v>#N/A</v>
      </c>
      <c r="S1095" s="3">
        <f>IFERROR(INDEX(EVENTOS!$D:$D,MATCH(SCORE!S$2&amp;" "&amp;SCORE!$D1095,EVENTOS!$F:$F,0)),0)</f>
        <v>0</v>
      </c>
      <c r="T1095" s="3">
        <f>IFERROR(INDEX(EVENTOS!$D:$D,MATCH(SCORE!T$2&amp;" "&amp;SCORE!$D1095,EVENTOS!$F:$F,0)),0)</f>
        <v>0</v>
      </c>
      <c r="U1095" s="3">
        <f>IFERROR(INDEX(EVENTOS!$D:$D,MATCH(SCORE!U$2&amp;" "&amp;SCORE!$D1095,EVENTOS!$F:$F,0)),0)</f>
        <v>0</v>
      </c>
      <c r="V1095" s="3">
        <f>IFERROR(INDEX(EVENTOS!$D:$D,MATCH(SCORE!V$2&amp;" "&amp;SCORE!$D1095,EVENTOS!$F:$F,0)),0)</f>
        <v>0</v>
      </c>
      <c r="W1095" s="3">
        <f>IFERROR(INDEX(EVENTOS!$D:$D,MATCH(SCORE!W$2&amp;" "&amp;SCORE!$D1095,EVENTOS!$F:$F,0)),0)</f>
        <v>0</v>
      </c>
      <c r="X1095" s="3">
        <f>IFERROR(INDEX(EVENTOS!$D:$D,MATCH(SCORE!X$2&amp;" "&amp;SCORE!$D1095,EVENTOS!$F:$F,0)),0)</f>
        <v>0</v>
      </c>
      <c r="Y1095" s="3">
        <f>SUMIFS(EVENTOS!$D:$D, EVENTOS!$B:$B, D1095, EVENTOS!$E:$E, "*GirAlto*")</f>
        <v>0</v>
      </c>
      <c r="Z1095" s="3">
        <f>SUMIFS(EVENTOS!$D:$D, EVENTOS!$B:$B, D1095, EVENTOS!$E:$E, "*GirMed*")</f>
        <v>0</v>
      </c>
      <c r="AA1095" s="3">
        <f>SUMIFS(EVENTOS!$D:$D, EVENTOS!$B:$B, D1095, EVENTOS!$E:$E, "*GirBajo*")</f>
        <v>0</v>
      </c>
      <c r="AB1095" s="3">
        <f>IFERROR(INDEX(EVENTOS!$D:$D,MATCH(SCORE!AB$2&amp;" "&amp;SCORE!$D1095,EVENTOS!$F:$F,0)),0)</f>
        <v>0</v>
      </c>
      <c r="AC1095" s="3">
        <f>IFERROR(INDEX(EVENTOS!$D:$D,MATCH(SCORE!AC$2&amp;" "&amp;SCORE!$D1095,EVENTOS!$F:$F,0)),0)</f>
        <v>0</v>
      </c>
      <c r="AD1095" s="3">
        <f>IFERROR(INDEX(EVENTOS!$D:$D,MATCH(SCORE!AD$2&amp;" "&amp;SCORE!$D1095,EVENTOS!$F:$F,0)),0)</f>
        <v>0</v>
      </c>
      <c r="AE1095" s="3">
        <f t="shared" si="51"/>
        <v>0</v>
      </c>
      <c r="AF1095" s="10" t="e">
        <f t="shared" si="52"/>
        <v>#N/A</v>
      </c>
      <c r="AG1095" s="3" t="str">
        <f t="shared" si="53"/>
        <v/>
      </c>
    </row>
    <row r="1096" spans="1:33" x14ac:dyDescent="0.25">
      <c r="A1096" s="7"/>
      <c r="B1096" s="8"/>
      <c r="C1096" s="3"/>
      <c r="D1096" s="3"/>
      <c r="E1096" s="3" t="e">
        <f>VLOOKUP(D1096,VIAJES!$D:$E,2,FALSE)</f>
        <v>#N/A</v>
      </c>
      <c r="F1096" s="9" t="e">
        <f>VLOOKUP(D1096,VIAJES!$D:$F,3,FALSE)</f>
        <v>#N/A</v>
      </c>
      <c r="G1096" s="9" t="e">
        <f>VLOOKUP(D1096,VIAJES!$D:$G,4,FALSE)</f>
        <v>#N/A</v>
      </c>
      <c r="H1096" s="3" t="e">
        <f>VLOOKUP(D1096,VIAJES!$D:$H,5,FALSE)</f>
        <v>#N/A</v>
      </c>
      <c r="S1096" s="3">
        <f>IFERROR(INDEX(EVENTOS!$D:$D,MATCH(SCORE!S$2&amp;" "&amp;SCORE!$D1096,EVENTOS!$F:$F,0)),0)</f>
        <v>0</v>
      </c>
      <c r="T1096" s="3">
        <f>IFERROR(INDEX(EVENTOS!$D:$D,MATCH(SCORE!T$2&amp;" "&amp;SCORE!$D1096,EVENTOS!$F:$F,0)),0)</f>
        <v>0</v>
      </c>
      <c r="U1096" s="3">
        <f>IFERROR(INDEX(EVENTOS!$D:$D,MATCH(SCORE!U$2&amp;" "&amp;SCORE!$D1096,EVENTOS!$F:$F,0)),0)</f>
        <v>0</v>
      </c>
      <c r="V1096" s="3">
        <f>IFERROR(INDEX(EVENTOS!$D:$D,MATCH(SCORE!V$2&amp;" "&amp;SCORE!$D1096,EVENTOS!$F:$F,0)),0)</f>
        <v>0</v>
      </c>
      <c r="W1096" s="3">
        <f>IFERROR(INDEX(EVENTOS!$D:$D,MATCH(SCORE!W$2&amp;" "&amp;SCORE!$D1096,EVENTOS!$F:$F,0)),0)</f>
        <v>0</v>
      </c>
      <c r="X1096" s="3">
        <f>IFERROR(INDEX(EVENTOS!$D:$D,MATCH(SCORE!X$2&amp;" "&amp;SCORE!$D1096,EVENTOS!$F:$F,0)),0)</f>
        <v>0</v>
      </c>
      <c r="Y1096" s="3">
        <f>SUMIFS(EVENTOS!$D:$D, EVENTOS!$B:$B, D1096, EVENTOS!$E:$E, "*GirAlto*")</f>
        <v>0</v>
      </c>
      <c r="Z1096" s="3">
        <f>SUMIFS(EVENTOS!$D:$D, EVENTOS!$B:$B, D1096, EVENTOS!$E:$E, "*GirMed*")</f>
        <v>0</v>
      </c>
      <c r="AA1096" s="3">
        <f>SUMIFS(EVENTOS!$D:$D, EVENTOS!$B:$B, D1096, EVENTOS!$E:$E, "*GirBajo*")</f>
        <v>0</v>
      </c>
      <c r="AB1096" s="3">
        <f>IFERROR(INDEX(EVENTOS!$D:$D,MATCH(SCORE!AB$2&amp;" "&amp;SCORE!$D1096,EVENTOS!$F:$F,0)),0)</f>
        <v>0</v>
      </c>
      <c r="AC1096" s="3">
        <f>IFERROR(INDEX(EVENTOS!$D:$D,MATCH(SCORE!AC$2&amp;" "&amp;SCORE!$D1096,EVENTOS!$F:$F,0)),0)</f>
        <v>0</v>
      </c>
      <c r="AD1096" s="3">
        <f>IFERROR(INDEX(EVENTOS!$D:$D,MATCH(SCORE!AD$2&amp;" "&amp;SCORE!$D1096,EVENTOS!$F:$F,0)),0)</f>
        <v>0</v>
      </c>
      <c r="AE1096" s="3">
        <f t="shared" si="51"/>
        <v>0</v>
      </c>
      <c r="AF1096" s="10" t="e">
        <f t="shared" si="52"/>
        <v>#N/A</v>
      </c>
      <c r="AG1096" s="3" t="str">
        <f t="shared" si="53"/>
        <v/>
      </c>
    </row>
    <row r="1097" spans="1:33" x14ac:dyDescent="0.25">
      <c r="A1097" s="7"/>
      <c r="B1097" s="8"/>
      <c r="C1097" s="3"/>
      <c r="D1097" s="3"/>
      <c r="E1097" s="3" t="e">
        <f>VLOOKUP(D1097,VIAJES!$D:$E,2,FALSE)</f>
        <v>#N/A</v>
      </c>
      <c r="F1097" s="9" t="e">
        <f>VLOOKUP(D1097,VIAJES!$D:$F,3,FALSE)</f>
        <v>#N/A</v>
      </c>
      <c r="G1097" s="9" t="e">
        <f>VLOOKUP(D1097,VIAJES!$D:$G,4,FALSE)</f>
        <v>#N/A</v>
      </c>
      <c r="H1097" s="3" t="e">
        <f>VLOOKUP(D1097,VIAJES!$D:$H,5,FALSE)</f>
        <v>#N/A</v>
      </c>
      <c r="S1097" s="3">
        <f>IFERROR(INDEX(EVENTOS!$D:$D,MATCH(SCORE!S$2&amp;" "&amp;SCORE!$D1097,EVENTOS!$F:$F,0)),0)</f>
        <v>0</v>
      </c>
      <c r="T1097" s="3">
        <f>IFERROR(INDEX(EVENTOS!$D:$D,MATCH(SCORE!T$2&amp;" "&amp;SCORE!$D1097,EVENTOS!$F:$F,0)),0)</f>
        <v>0</v>
      </c>
      <c r="U1097" s="3">
        <f>IFERROR(INDEX(EVENTOS!$D:$D,MATCH(SCORE!U$2&amp;" "&amp;SCORE!$D1097,EVENTOS!$F:$F,0)),0)</f>
        <v>0</v>
      </c>
      <c r="V1097" s="3">
        <f>IFERROR(INDEX(EVENTOS!$D:$D,MATCH(SCORE!V$2&amp;" "&amp;SCORE!$D1097,EVENTOS!$F:$F,0)),0)</f>
        <v>0</v>
      </c>
      <c r="W1097" s="3">
        <f>IFERROR(INDEX(EVENTOS!$D:$D,MATCH(SCORE!W$2&amp;" "&amp;SCORE!$D1097,EVENTOS!$F:$F,0)),0)</f>
        <v>0</v>
      </c>
      <c r="X1097" s="3">
        <f>IFERROR(INDEX(EVENTOS!$D:$D,MATCH(SCORE!X$2&amp;" "&amp;SCORE!$D1097,EVENTOS!$F:$F,0)),0)</f>
        <v>0</v>
      </c>
      <c r="Y1097" s="3">
        <f>SUMIFS(EVENTOS!$D:$D, EVENTOS!$B:$B, D1097, EVENTOS!$E:$E, "*GirAlto*")</f>
        <v>0</v>
      </c>
      <c r="Z1097" s="3">
        <f>SUMIFS(EVENTOS!$D:$D, EVENTOS!$B:$B, D1097, EVENTOS!$E:$E, "*GirMed*")</f>
        <v>0</v>
      </c>
      <c r="AA1097" s="3">
        <f>SUMIFS(EVENTOS!$D:$D, EVENTOS!$B:$B, D1097, EVENTOS!$E:$E, "*GirBajo*")</f>
        <v>0</v>
      </c>
      <c r="AB1097" s="3">
        <f>IFERROR(INDEX(EVENTOS!$D:$D,MATCH(SCORE!AB$2&amp;" "&amp;SCORE!$D1097,EVENTOS!$F:$F,0)),0)</f>
        <v>0</v>
      </c>
      <c r="AC1097" s="3">
        <f>IFERROR(INDEX(EVENTOS!$D:$D,MATCH(SCORE!AC$2&amp;" "&amp;SCORE!$D1097,EVENTOS!$F:$F,0)),0)</f>
        <v>0</v>
      </c>
      <c r="AD1097" s="3">
        <f>IFERROR(INDEX(EVENTOS!$D:$D,MATCH(SCORE!AD$2&amp;" "&amp;SCORE!$D1097,EVENTOS!$F:$F,0)),0)</f>
        <v>0</v>
      </c>
      <c r="AE1097" s="3">
        <f t="shared" si="51"/>
        <v>0</v>
      </c>
      <c r="AF1097" s="10" t="e">
        <f t="shared" si="52"/>
        <v>#N/A</v>
      </c>
      <c r="AG1097" s="3" t="str">
        <f t="shared" si="53"/>
        <v/>
      </c>
    </row>
    <row r="1098" spans="1:33" x14ac:dyDescent="0.25">
      <c r="A1098" s="7"/>
      <c r="B1098" s="8"/>
      <c r="C1098" s="3"/>
      <c r="D1098" s="3"/>
      <c r="E1098" s="3" t="e">
        <f>VLOOKUP(D1098,VIAJES!$D:$E,2,FALSE)</f>
        <v>#N/A</v>
      </c>
      <c r="F1098" s="9" t="e">
        <f>VLOOKUP(D1098,VIAJES!$D:$F,3,FALSE)</f>
        <v>#N/A</v>
      </c>
      <c r="G1098" s="9" t="e">
        <f>VLOOKUP(D1098,VIAJES!$D:$G,4,FALSE)</f>
        <v>#N/A</v>
      </c>
      <c r="H1098" s="3" t="e">
        <f>VLOOKUP(D1098,VIAJES!$D:$H,5,FALSE)</f>
        <v>#N/A</v>
      </c>
      <c r="S1098" s="3">
        <f>IFERROR(INDEX(EVENTOS!$D:$D,MATCH(SCORE!S$2&amp;" "&amp;SCORE!$D1098,EVENTOS!$F:$F,0)),0)</f>
        <v>0</v>
      </c>
      <c r="T1098" s="3">
        <f>IFERROR(INDEX(EVENTOS!$D:$D,MATCH(SCORE!T$2&amp;" "&amp;SCORE!$D1098,EVENTOS!$F:$F,0)),0)</f>
        <v>0</v>
      </c>
      <c r="U1098" s="3">
        <f>IFERROR(INDEX(EVENTOS!$D:$D,MATCH(SCORE!U$2&amp;" "&amp;SCORE!$D1098,EVENTOS!$F:$F,0)),0)</f>
        <v>0</v>
      </c>
      <c r="V1098" s="3">
        <f>IFERROR(INDEX(EVENTOS!$D:$D,MATCH(SCORE!V$2&amp;" "&amp;SCORE!$D1098,EVENTOS!$F:$F,0)),0)</f>
        <v>0</v>
      </c>
      <c r="W1098" s="3">
        <f>IFERROR(INDEX(EVENTOS!$D:$D,MATCH(SCORE!W$2&amp;" "&amp;SCORE!$D1098,EVENTOS!$F:$F,0)),0)</f>
        <v>0</v>
      </c>
      <c r="X1098" s="3">
        <f>IFERROR(INDEX(EVENTOS!$D:$D,MATCH(SCORE!X$2&amp;" "&amp;SCORE!$D1098,EVENTOS!$F:$F,0)),0)</f>
        <v>0</v>
      </c>
      <c r="Y1098" s="3">
        <f>SUMIFS(EVENTOS!$D:$D, EVENTOS!$B:$B, D1098, EVENTOS!$E:$E, "*GirAlto*")</f>
        <v>0</v>
      </c>
      <c r="Z1098" s="3">
        <f>SUMIFS(EVENTOS!$D:$D, EVENTOS!$B:$B, D1098, EVENTOS!$E:$E, "*GirMed*")</f>
        <v>0</v>
      </c>
      <c r="AA1098" s="3">
        <f>SUMIFS(EVENTOS!$D:$D, EVENTOS!$B:$B, D1098, EVENTOS!$E:$E, "*GirBajo*")</f>
        <v>0</v>
      </c>
      <c r="AB1098" s="3">
        <f>IFERROR(INDEX(EVENTOS!$D:$D,MATCH(SCORE!AB$2&amp;" "&amp;SCORE!$D1098,EVENTOS!$F:$F,0)),0)</f>
        <v>0</v>
      </c>
      <c r="AC1098" s="3">
        <f>IFERROR(INDEX(EVENTOS!$D:$D,MATCH(SCORE!AC$2&amp;" "&amp;SCORE!$D1098,EVENTOS!$F:$F,0)),0)</f>
        <v>0</v>
      </c>
      <c r="AD1098" s="3">
        <f>IFERROR(INDEX(EVENTOS!$D:$D,MATCH(SCORE!AD$2&amp;" "&amp;SCORE!$D1098,EVENTOS!$F:$F,0)),0)</f>
        <v>0</v>
      </c>
      <c r="AE1098" s="3">
        <f t="shared" si="51"/>
        <v>0</v>
      </c>
      <c r="AF1098" s="10" t="e">
        <f t="shared" si="52"/>
        <v>#N/A</v>
      </c>
      <c r="AG1098" s="3" t="str">
        <f t="shared" si="53"/>
        <v/>
      </c>
    </row>
    <row r="1099" spans="1:33" x14ac:dyDescent="0.25">
      <c r="A1099" s="7"/>
      <c r="B1099" s="8"/>
      <c r="C1099" s="3"/>
      <c r="D1099" s="3"/>
      <c r="E1099" s="3" t="e">
        <f>VLOOKUP(D1099,VIAJES!$D:$E,2,FALSE)</f>
        <v>#N/A</v>
      </c>
      <c r="F1099" s="9" t="e">
        <f>VLOOKUP(D1099,VIAJES!$D:$F,3,FALSE)</f>
        <v>#N/A</v>
      </c>
      <c r="G1099" s="9" t="e">
        <f>VLOOKUP(D1099,VIAJES!$D:$G,4,FALSE)</f>
        <v>#N/A</v>
      </c>
      <c r="H1099" s="3" t="e">
        <f>VLOOKUP(D1099,VIAJES!$D:$H,5,FALSE)</f>
        <v>#N/A</v>
      </c>
      <c r="S1099" s="3">
        <f>IFERROR(INDEX(EVENTOS!$D:$D,MATCH(SCORE!S$2&amp;" "&amp;SCORE!$D1099,EVENTOS!$F:$F,0)),0)</f>
        <v>0</v>
      </c>
      <c r="T1099" s="3">
        <f>IFERROR(INDEX(EVENTOS!$D:$D,MATCH(SCORE!T$2&amp;" "&amp;SCORE!$D1099,EVENTOS!$F:$F,0)),0)</f>
        <v>0</v>
      </c>
      <c r="U1099" s="3">
        <f>IFERROR(INDEX(EVENTOS!$D:$D,MATCH(SCORE!U$2&amp;" "&amp;SCORE!$D1099,EVENTOS!$F:$F,0)),0)</f>
        <v>0</v>
      </c>
      <c r="V1099" s="3">
        <f>IFERROR(INDEX(EVENTOS!$D:$D,MATCH(SCORE!V$2&amp;" "&amp;SCORE!$D1099,EVENTOS!$F:$F,0)),0)</f>
        <v>0</v>
      </c>
      <c r="W1099" s="3">
        <f>IFERROR(INDEX(EVENTOS!$D:$D,MATCH(SCORE!W$2&amp;" "&amp;SCORE!$D1099,EVENTOS!$F:$F,0)),0)</f>
        <v>0</v>
      </c>
      <c r="X1099" s="3">
        <f>IFERROR(INDEX(EVENTOS!$D:$D,MATCH(SCORE!X$2&amp;" "&amp;SCORE!$D1099,EVENTOS!$F:$F,0)),0)</f>
        <v>0</v>
      </c>
      <c r="Y1099" s="3">
        <f>SUMIFS(EVENTOS!$D:$D, EVENTOS!$B:$B, D1099, EVENTOS!$E:$E, "*GirAlto*")</f>
        <v>0</v>
      </c>
      <c r="Z1099" s="3">
        <f>SUMIFS(EVENTOS!$D:$D, EVENTOS!$B:$B, D1099, EVENTOS!$E:$E, "*GirMed*")</f>
        <v>0</v>
      </c>
      <c r="AA1099" s="3">
        <f>SUMIFS(EVENTOS!$D:$D, EVENTOS!$B:$B, D1099, EVENTOS!$E:$E, "*GirBajo*")</f>
        <v>0</v>
      </c>
      <c r="AB1099" s="3">
        <f>IFERROR(INDEX(EVENTOS!$D:$D,MATCH(SCORE!AB$2&amp;" "&amp;SCORE!$D1099,EVENTOS!$F:$F,0)),0)</f>
        <v>0</v>
      </c>
      <c r="AC1099" s="3">
        <f>IFERROR(INDEX(EVENTOS!$D:$D,MATCH(SCORE!AC$2&amp;" "&amp;SCORE!$D1099,EVENTOS!$F:$F,0)),0)</f>
        <v>0</v>
      </c>
      <c r="AD1099" s="3">
        <f>IFERROR(INDEX(EVENTOS!$D:$D,MATCH(SCORE!AD$2&amp;" "&amp;SCORE!$D1099,EVENTOS!$F:$F,0)),0)</f>
        <v>0</v>
      </c>
      <c r="AE1099" s="3">
        <f t="shared" si="51"/>
        <v>0</v>
      </c>
      <c r="AF1099" s="10" t="e">
        <f t="shared" si="52"/>
        <v>#N/A</v>
      </c>
      <c r="AG1099" s="3" t="str">
        <f t="shared" si="53"/>
        <v/>
      </c>
    </row>
    <row r="1100" spans="1:33" x14ac:dyDescent="0.25">
      <c r="A1100" s="7"/>
      <c r="B1100" s="8"/>
      <c r="C1100" s="3"/>
      <c r="D1100" s="3"/>
      <c r="E1100" s="3" t="e">
        <f>VLOOKUP(D1100,VIAJES!$D:$E,2,FALSE)</f>
        <v>#N/A</v>
      </c>
      <c r="F1100" s="9" t="e">
        <f>VLOOKUP(D1100,VIAJES!$D:$F,3,FALSE)</f>
        <v>#N/A</v>
      </c>
      <c r="G1100" s="9" t="e">
        <f>VLOOKUP(D1100,VIAJES!$D:$G,4,FALSE)</f>
        <v>#N/A</v>
      </c>
      <c r="H1100" s="3" t="e">
        <f>VLOOKUP(D1100,VIAJES!$D:$H,5,FALSE)</f>
        <v>#N/A</v>
      </c>
      <c r="S1100" s="3">
        <f>IFERROR(INDEX(EVENTOS!$D:$D,MATCH(SCORE!S$2&amp;" "&amp;SCORE!$D1100,EVENTOS!$F:$F,0)),0)</f>
        <v>0</v>
      </c>
      <c r="T1100" s="3">
        <f>IFERROR(INDEX(EVENTOS!$D:$D,MATCH(SCORE!T$2&amp;" "&amp;SCORE!$D1100,EVENTOS!$F:$F,0)),0)</f>
        <v>0</v>
      </c>
      <c r="U1100" s="3">
        <f>IFERROR(INDEX(EVENTOS!$D:$D,MATCH(SCORE!U$2&amp;" "&amp;SCORE!$D1100,EVENTOS!$F:$F,0)),0)</f>
        <v>0</v>
      </c>
      <c r="V1100" s="3">
        <f>IFERROR(INDEX(EVENTOS!$D:$D,MATCH(SCORE!V$2&amp;" "&amp;SCORE!$D1100,EVENTOS!$F:$F,0)),0)</f>
        <v>0</v>
      </c>
      <c r="W1100" s="3">
        <f>IFERROR(INDEX(EVENTOS!$D:$D,MATCH(SCORE!W$2&amp;" "&amp;SCORE!$D1100,EVENTOS!$F:$F,0)),0)</f>
        <v>0</v>
      </c>
      <c r="X1100" s="3">
        <f>IFERROR(INDEX(EVENTOS!$D:$D,MATCH(SCORE!X$2&amp;" "&amp;SCORE!$D1100,EVENTOS!$F:$F,0)),0)</f>
        <v>0</v>
      </c>
      <c r="Y1100" s="3">
        <f>SUMIFS(EVENTOS!$D:$D, EVENTOS!$B:$B, D1100, EVENTOS!$E:$E, "*GirAlto*")</f>
        <v>0</v>
      </c>
      <c r="Z1100" s="3">
        <f>SUMIFS(EVENTOS!$D:$D, EVENTOS!$B:$B, D1100, EVENTOS!$E:$E, "*GirMed*")</f>
        <v>0</v>
      </c>
      <c r="AA1100" s="3">
        <f>SUMIFS(EVENTOS!$D:$D, EVENTOS!$B:$B, D1100, EVENTOS!$E:$E, "*GirBajo*")</f>
        <v>0</v>
      </c>
      <c r="AB1100" s="3">
        <f>IFERROR(INDEX(EVENTOS!$D:$D,MATCH(SCORE!AB$2&amp;" "&amp;SCORE!$D1100,EVENTOS!$F:$F,0)),0)</f>
        <v>0</v>
      </c>
      <c r="AC1100" s="3">
        <f>IFERROR(INDEX(EVENTOS!$D:$D,MATCH(SCORE!AC$2&amp;" "&amp;SCORE!$D1100,EVENTOS!$F:$F,0)),0)</f>
        <v>0</v>
      </c>
      <c r="AD1100" s="3">
        <f>IFERROR(INDEX(EVENTOS!$D:$D,MATCH(SCORE!AD$2&amp;" "&amp;SCORE!$D1100,EVENTOS!$F:$F,0)),0)</f>
        <v>0</v>
      </c>
      <c r="AE1100" s="3">
        <f t="shared" si="51"/>
        <v>0</v>
      </c>
      <c r="AF1100" s="10" t="e">
        <f t="shared" si="52"/>
        <v>#N/A</v>
      </c>
      <c r="AG1100" s="3" t="str">
        <f t="shared" si="53"/>
        <v/>
      </c>
    </row>
    <row r="1101" spans="1:33" x14ac:dyDescent="0.25">
      <c r="A1101" s="7"/>
      <c r="B1101" s="8"/>
      <c r="C1101" s="3"/>
      <c r="D1101" s="3"/>
      <c r="E1101" s="3" t="e">
        <f>VLOOKUP(D1101,VIAJES!$D:$E,2,FALSE)</f>
        <v>#N/A</v>
      </c>
      <c r="F1101" s="9" t="e">
        <f>VLOOKUP(D1101,VIAJES!$D:$F,3,FALSE)</f>
        <v>#N/A</v>
      </c>
      <c r="G1101" s="9" t="e">
        <f>VLOOKUP(D1101,VIAJES!$D:$G,4,FALSE)</f>
        <v>#N/A</v>
      </c>
      <c r="H1101" s="3" t="e">
        <f>VLOOKUP(D1101,VIAJES!$D:$H,5,FALSE)</f>
        <v>#N/A</v>
      </c>
      <c r="S1101" s="3">
        <f>IFERROR(INDEX(EVENTOS!$D:$D,MATCH(SCORE!S$2&amp;" "&amp;SCORE!$D1101,EVENTOS!$F:$F,0)),0)</f>
        <v>0</v>
      </c>
      <c r="T1101" s="3">
        <f>IFERROR(INDEX(EVENTOS!$D:$D,MATCH(SCORE!T$2&amp;" "&amp;SCORE!$D1101,EVENTOS!$F:$F,0)),0)</f>
        <v>0</v>
      </c>
      <c r="U1101" s="3">
        <f>IFERROR(INDEX(EVENTOS!$D:$D,MATCH(SCORE!U$2&amp;" "&amp;SCORE!$D1101,EVENTOS!$F:$F,0)),0)</f>
        <v>0</v>
      </c>
      <c r="V1101" s="3">
        <f>IFERROR(INDEX(EVENTOS!$D:$D,MATCH(SCORE!V$2&amp;" "&amp;SCORE!$D1101,EVENTOS!$F:$F,0)),0)</f>
        <v>0</v>
      </c>
      <c r="W1101" s="3">
        <f>IFERROR(INDEX(EVENTOS!$D:$D,MATCH(SCORE!W$2&amp;" "&amp;SCORE!$D1101,EVENTOS!$F:$F,0)),0)</f>
        <v>0</v>
      </c>
      <c r="X1101" s="3">
        <f>IFERROR(INDEX(EVENTOS!$D:$D,MATCH(SCORE!X$2&amp;" "&amp;SCORE!$D1101,EVENTOS!$F:$F,0)),0)</f>
        <v>0</v>
      </c>
      <c r="Y1101" s="3">
        <f>SUMIFS(EVENTOS!$D:$D, EVENTOS!$B:$B, D1101, EVENTOS!$E:$E, "*GirAlto*")</f>
        <v>0</v>
      </c>
      <c r="Z1101" s="3">
        <f>SUMIFS(EVENTOS!$D:$D, EVENTOS!$B:$B, D1101, EVENTOS!$E:$E, "*GirMed*")</f>
        <v>0</v>
      </c>
      <c r="AA1101" s="3">
        <f>SUMIFS(EVENTOS!$D:$D, EVENTOS!$B:$B, D1101, EVENTOS!$E:$E, "*GirBajo*")</f>
        <v>0</v>
      </c>
      <c r="AB1101" s="3">
        <f>IFERROR(INDEX(EVENTOS!$D:$D,MATCH(SCORE!AB$2&amp;" "&amp;SCORE!$D1101,EVENTOS!$F:$F,0)),0)</f>
        <v>0</v>
      </c>
      <c r="AC1101" s="3">
        <f>IFERROR(INDEX(EVENTOS!$D:$D,MATCH(SCORE!AC$2&amp;" "&amp;SCORE!$D1101,EVENTOS!$F:$F,0)),0)</f>
        <v>0</v>
      </c>
      <c r="AD1101" s="3">
        <f>IFERROR(INDEX(EVENTOS!$D:$D,MATCH(SCORE!AD$2&amp;" "&amp;SCORE!$D1101,EVENTOS!$F:$F,0)),0)</f>
        <v>0</v>
      </c>
      <c r="AE1101" s="3">
        <f t="shared" si="51"/>
        <v>0</v>
      </c>
      <c r="AF1101" s="10" t="e">
        <f t="shared" si="52"/>
        <v>#N/A</v>
      </c>
      <c r="AG1101" s="3" t="str">
        <f t="shared" si="53"/>
        <v/>
      </c>
    </row>
    <row r="1102" spans="1:33" x14ac:dyDescent="0.25">
      <c r="A1102" s="7"/>
      <c r="B1102" s="8"/>
      <c r="C1102" s="3"/>
      <c r="D1102" s="3"/>
      <c r="E1102" s="3" t="e">
        <f>VLOOKUP(D1102,VIAJES!$D:$E,2,FALSE)</f>
        <v>#N/A</v>
      </c>
      <c r="F1102" s="9" t="e">
        <f>VLOOKUP(D1102,VIAJES!$D:$F,3,FALSE)</f>
        <v>#N/A</v>
      </c>
      <c r="G1102" s="9" t="e">
        <f>VLOOKUP(D1102,VIAJES!$D:$G,4,FALSE)</f>
        <v>#N/A</v>
      </c>
      <c r="H1102" s="3" t="e">
        <f>VLOOKUP(D1102,VIAJES!$D:$H,5,FALSE)</f>
        <v>#N/A</v>
      </c>
      <c r="S1102" s="3">
        <f>IFERROR(INDEX(EVENTOS!$D:$D,MATCH(SCORE!S$2&amp;" "&amp;SCORE!$D1102,EVENTOS!$F:$F,0)),0)</f>
        <v>0</v>
      </c>
      <c r="T1102" s="3">
        <f>IFERROR(INDEX(EVENTOS!$D:$D,MATCH(SCORE!T$2&amp;" "&amp;SCORE!$D1102,EVENTOS!$F:$F,0)),0)</f>
        <v>0</v>
      </c>
      <c r="U1102" s="3">
        <f>IFERROR(INDEX(EVENTOS!$D:$D,MATCH(SCORE!U$2&amp;" "&amp;SCORE!$D1102,EVENTOS!$F:$F,0)),0)</f>
        <v>0</v>
      </c>
      <c r="V1102" s="3">
        <f>IFERROR(INDEX(EVENTOS!$D:$D,MATCH(SCORE!V$2&amp;" "&amp;SCORE!$D1102,EVENTOS!$F:$F,0)),0)</f>
        <v>0</v>
      </c>
      <c r="W1102" s="3">
        <f>IFERROR(INDEX(EVENTOS!$D:$D,MATCH(SCORE!W$2&amp;" "&amp;SCORE!$D1102,EVENTOS!$F:$F,0)),0)</f>
        <v>0</v>
      </c>
      <c r="X1102" s="3">
        <f>IFERROR(INDEX(EVENTOS!$D:$D,MATCH(SCORE!X$2&amp;" "&amp;SCORE!$D1102,EVENTOS!$F:$F,0)),0)</f>
        <v>0</v>
      </c>
      <c r="Y1102" s="3">
        <f>SUMIFS(EVENTOS!$D:$D, EVENTOS!$B:$B, D1102, EVENTOS!$E:$E, "*GirAlto*")</f>
        <v>0</v>
      </c>
      <c r="Z1102" s="3">
        <f>SUMIFS(EVENTOS!$D:$D, EVENTOS!$B:$B, D1102, EVENTOS!$E:$E, "*GirMed*")</f>
        <v>0</v>
      </c>
      <c r="AA1102" s="3">
        <f>SUMIFS(EVENTOS!$D:$D, EVENTOS!$B:$B, D1102, EVENTOS!$E:$E, "*GirBajo*")</f>
        <v>0</v>
      </c>
      <c r="AB1102" s="3">
        <f>IFERROR(INDEX(EVENTOS!$D:$D,MATCH(SCORE!AB$2&amp;" "&amp;SCORE!$D1102,EVENTOS!$F:$F,0)),0)</f>
        <v>0</v>
      </c>
      <c r="AC1102" s="3">
        <f>IFERROR(INDEX(EVENTOS!$D:$D,MATCH(SCORE!AC$2&amp;" "&amp;SCORE!$D1102,EVENTOS!$F:$F,0)),0)</f>
        <v>0</v>
      </c>
      <c r="AD1102" s="3">
        <f>IFERROR(INDEX(EVENTOS!$D:$D,MATCH(SCORE!AD$2&amp;" "&amp;SCORE!$D1102,EVENTOS!$F:$F,0)),0)</f>
        <v>0</v>
      </c>
      <c r="AE1102" s="3">
        <f t="shared" si="51"/>
        <v>0</v>
      </c>
      <c r="AF1102" s="10" t="e">
        <f t="shared" si="52"/>
        <v>#N/A</v>
      </c>
      <c r="AG1102" s="3" t="str">
        <f t="shared" si="53"/>
        <v/>
      </c>
    </row>
    <row r="1103" spans="1:33" x14ac:dyDescent="0.25">
      <c r="A1103" s="7"/>
      <c r="B1103" s="8"/>
      <c r="C1103" s="3"/>
      <c r="D1103" s="3"/>
      <c r="E1103" s="3" t="e">
        <f>VLOOKUP(D1103,VIAJES!$D:$E,2,FALSE)</f>
        <v>#N/A</v>
      </c>
      <c r="F1103" s="9" t="e">
        <f>VLOOKUP(D1103,VIAJES!$D:$F,3,FALSE)</f>
        <v>#N/A</v>
      </c>
      <c r="G1103" s="9" t="e">
        <f>VLOOKUP(D1103,VIAJES!$D:$G,4,FALSE)</f>
        <v>#N/A</v>
      </c>
      <c r="H1103" s="3" t="e">
        <f>VLOOKUP(D1103,VIAJES!$D:$H,5,FALSE)</f>
        <v>#N/A</v>
      </c>
      <c r="S1103" s="3">
        <f>IFERROR(INDEX(EVENTOS!$D:$D,MATCH(SCORE!S$2&amp;" "&amp;SCORE!$D1103,EVENTOS!$F:$F,0)),0)</f>
        <v>0</v>
      </c>
      <c r="T1103" s="3">
        <f>IFERROR(INDEX(EVENTOS!$D:$D,MATCH(SCORE!T$2&amp;" "&amp;SCORE!$D1103,EVENTOS!$F:$F,0)),0)</f>
        <v>0</v>
      </c>
      <c r="U1103" s="3">
        <f>IFERROR(INDEX(EVENTOS!$D:$D,MATCH(SCORE!U$2&amp;" "&amp;SCORE!$D1103,EVENTOS!$F:$F,0)),0)</f>
        <v>0</v>
      </c>
      <c r="V1103" s="3">
        <f>IFERROR(INDEX(EVENTOS!$D:$D,MATCH(SCORE!V$2&amp;" "&amp;SCORE!$D1103,EVENTOS!$F:$F,0)),0)</f>
        <v>0</v>
      </c>
      <c r="W1103" s="3">
        <f>IFERROR(INDEX(EVENTOS!$D:$D,MATCH(SCORE!W$2&amp;" "&amp;SCORE!$D1103,EVENTOS!$F:$F,0)),0)</f>
        <v>0</v>
      </c>
      <c r="X1103" s="3">
        <f>IFERROR(INDEX(EVENTOS!$D:$D,MATCH(SCORE!X$2&amp;" "&amp;SCORE!$D1103,EVENTOS!$F:$F,0)),0)</f>
        <v>0</v>
      </c>
      <c r="Y1103" s="3">
        <f>SUMIFS(EVENTOS!$D:$D, EVENTOS!$B:$B, D1103, EVENTOS!$E:$E, "*GirAlto*")</f>
        <v>0</v>
      </c>
      <c r="Z1103" s="3">
        <f>SUMIFS(EVENTOS!$D:$D, EVENTOS!$B:$B, D1103, EVENTOS!$E:$E, "*GirMed*")</f>
        <v>0</v>
      </c>
      <c r="AA1103" s="3">
        <f>SUMIFS(EVENTOS!$D:$D, EVENTOS!$B:$B, D1103, EVENTOS!$E:$E, "*GirBajo*")</f>
        <v>0</v>
      </c>
      <c r="AB1103" s="3">
        <f>IFERROR(INDEX(EVENTOS!$D:$D,MATCH(SCORE!AB$2&amp;" "&amp;SCORE!$D1103,EVENTOS!$F:$F,0)),0)</f>
        <v>0</v>
      </c>
      <c r="AC1103" s="3">
        <f>IFERROR(INDEX(EVENTOS!$D:$D,MATCH(SCORE!AC$2&amp;" "&amp;SCORE!$D1103,EVENTOS!$F:$F,0)),0)</f>
        <v>0</v>
      </c>
      <c r="AD1103" s="3">
        <f>IFERROR(INDEX(EVENTOS!$D:$D,MATCH(SCORE!AD$2&amp;" "&amp;SCORE!$D1103,EVENTOS!$F:$F,0)),0)</f>
        <v>0</v>
      </c>
      <c r="AE1103" s="3">
        <f t="shared" si="51"/>
        <v>0</v>
      </c>
      <c r="AF1103" s="10" t="e">
        <f t="shared" si="52"/>
        <v>#N/A</v>
      </c>
      <c r="AG1103" s="3" t="str">
        <f t="shared" si="53"/>
        <v/>
      </c>
    </row>
    <row r="1104" spans="1:33" x14ac:dyDescent="0.25">
      <c r="A1104" s="7"/>
      <c r="B1104" s="8"/>
      <c r="C1104" s="3"/>
      <c r="D1104" s="3"/>
      <c r="E1104" s="3" t="e">
        <f>VLOOKUP(D1104,VIAJES!$D:$E,2,FALSE)</f>
        <v>#N/A</v>
      </c>
      <c r="F1104" s="9" t="e">
        <f>VLOOKUP(D1104,VIAJES!$D:$F,3,FALSE)</f>
        <v>#N/A</v>
      </c>
      <c r="G1104" s="9" t="e">
        <f>VLOOKUP(D1104,VIAJES!$D:$G,4,FALSE)</f>
        <v>#N/A</v>
      </c>
      <c r="H1104" s="3" t="e">
        <f>VLOOKUP(D1104,VIAJES!$D:$H,5,FALSE)</f>
        <v>#N/A</v>
      </c>
      <c r="S1104" s="3">
        <f>IFERROR(INDEX(EVENTOS!$D:$D,MATCH(SCORE!S$2&amp;" "&amp;SCORE!$D1104,EVENTOS!$F:$F,0)),0)</f>
        <v>0</v>
      </c>
      <c r="T1104" s="3">
        <f>IFERROR(INDEX(EVENTOS!$D:$D,MATCH(SCORE!T$2&amp;" "&amp;SCORE!$D1104,EVENTOS!$F:$F,0)),0)</f>
        <v>0</v>
      </c>
      <c r="U1104" s="3">
        <f>IFERROR(INDEX(EVENTOS!$D:$D,MATCH(SCORE!U$2&amp;" "&amp;SCORE!$D1104,EVENTOS!$F:$F,0)),0)</f>
        <v>0</v>
      </c>
      <c r="V1104" s="3">
        <f>IFERROR(INDEX(EVENTOS!$D:$D,MATCH(SCORE!V$2&amp;" "&amp;SCORE!$D1104,EVENTOS!$F:$F,0)),0)</f>
        <v>0</v>
      </c>
      <c r="W1104" s="3">
        <f>IFERROR(INDEX(EVENTOS!$D:$D,MATCH(SCORE!W$2&amp;" "&amp;SCORE!$D1104,EVENTOS!$F:$F,0)),0)</f>
        <v>0</v>
      </c>
      <c r="X1104" s="3">
        <f>IFERROR(INDEX(EVENTOS!$D:$D,MATCH(SCORE!X$2&amp;" "&amp;SCORE!$D1104,EVENTOS!$F:$F,0)),0)</f>
        <v>0</v>
      </c>
      <c r="Y1104" s="3">
        <f>SUMIFS(EVENTOS!$D:$D, EVENTOS!$B:$B, D1104, EVENTOS!$E:$E, "*GirAlto*")</f>
        <v>0</v>
      </c>
      <c r="Z1104" s="3">
        <f>SUMIFS(EVENTOS!$D:$D, EVENTOS!$B:$B, D1104, EVENTOS!$E:$E, "*GirMed*")</f>
        <v>0</v>
      </c>
      <c r="AA1104" s="3">
        <f>SUMIFS(EVENTOS!$D:$D, EVENTOS!$B:$B, D1104, EVENTOS!$E:$E, "*GirBajo*")</f>
        <v>0</v>
      </c>
      <c r="AB1104" s="3">
        <f>IFERROR(INDEX(EVENTOS!$D:$D,MATCH(SCORE!AB$2&amp;" "&amp;SCORE!$D1104,EVENTOS!$F:$F,0)),0)</f>
        <v>0</v>
      </c>
      <c r="AC1104" s="3">
        <f>IFERROR(INDEX(EVENTOS!$D:$D,MATCH(SCORE!AC$2&amp;" "&amp;SCORE!$D1104,EVENTOS!$F:$F,0)),0)</f>
        <v>0</v>
      </c>
      <c r="AD1104" s="3">
        <f>IFERROR(INDEX(EVENTOS!$D:$D,MATCH(SCORE!AD$2&amp;" "&amp;SCORE!$D1104,EVENTOS!$F:$F,0)),0)</f>
        <v>0</v>
      </c>
      <c r="AE1104" s="3">
        <f t="shared" si="51"/>
        <v>0</v>
      </c>
      <c r="AF1104" s="10" t="e">
        <f t="shared" si="52"/>
        <v>#N/A</v>
      </c>
      <c r="AG1104" s="3" t="str">
        <f t="shared" si="53"/>
        <v/>
      </c>
    </row>
    <row r="1105" spans="1:33" x14ac:dyDescent="0.25">
      <c r="A1105" s="7"/>
      <c r="B1105" s="8"/>
      <c r="C1105" s="3"/>
      <c r="D1105" s="3"/>
      <c r="E1105" s="3" t="e">
        <f>VLOOKUP(D1105,VIAJES!$D:$E,2,FALSE)</f>
        <v>#N/A</v>
      </c>
      <c r="F1105" s="9" t="e">
        <f>VLOOKUP(D1105,VIAJES!$D:$F,3,FALSE)</f>
        <v>#N/A</v>
      </c>
      <c r="G1105" s="9" t="e">
        <f>VLOOKUP(D1105,VIAJES!$D:$G,4,FALSE)</f>
        <v>#N/A</v>
      </c>
      <c r="H1105" s="3" t="e">
        <f>VLOOKUP(D1105,VIAJES!$D:$H,5,FALSE)</f>
        <v>#N/A</v>
      </c>
      <c r="S1105" s="3">
        <f>IFERROR(INDEX(EVENTOS!$D:$D,MATCH(SCORE!S$2&amp;" "&amp;SCORE!$D1105,EVENTOS!$F:$F,0)),0)</f>
        <v>0</v>
      </c>
      <c r="T1105" s="3">
        <f>IFERROR(INDEX(EVENTOS!$D:$D,MATCH(SCORE!T$2&amp;" "&amp;SCORE!$D1105,EVENTOS!$F:$F,0)),0)</f>
        <v>0</v>
      </c>
      <c r="U1105" s="3">
        <f>IFERROR(INDEX(EVENTOS!$D:$D,MATCH(SCORE!U$2&amp;" "&amp;SCORE!$D1105,EVENTOS!$F:$F,0)),0)</f>
        <v>0</v>
      </c>
      <c r="V1105" s="3">
        <f>IFERROR(INDEX(EVENTOS!$D:$D,MATCH(SCORE!V$2&amp;" "&amp;SCORE!$D1105,EVENTOS!$F:$F,0)),0)</f>
        <v>0</v>
      </c>
      <c r="W1105" s="3">
        <f>IFERROR(INDEX(EVENTOS!$D:$D,MATCH(SCORE!W$2&amp;" "&amp;SCORE!$D1105,EVENTOS!$F:$F,0)),0)</f>
        <v>0</v>
      </c>
      <c r="X1105" s="3">
        <f>IFERROR(INDEX(EVENTOS!$D:$D,MATCH(SCORE!X$2&amp;" "&amp;SCORE!$D1105,EVENTOS!$F:$F,0)),0)</f>
        <v>0</v>
      </c>
      <c r="Y1105" s="3">
        <f>SUMIFS(EVENTOS!$D:$D, EVENTOS!$B:$B, D1105, EVENTOS!$E:$E, "*GirAlto*")</f>
        <v>0</v>
      </c>
      <c r="Z1105" s="3">
        <f>SUMIFS(EVENTOS!$D:$D, EVENTOS!$B:$B, D1105, EVENTOS!$E:$E, "*GirMed*")</f>
        <v>0</v>
      </c>
      <c r="AA1105" s="3">
        <f>SUMIFS(EVENTOS!$D:$D, EVENTOS!$B:$B, D1105, EVENTOS!$E:$E, "*GirBajo*")</f>
        <v>0</v>
      </c>
      <c r="AB1105" s="3">
        <f>IFERROR(INDEX(EVENTOS!$D:$D,MATCH(SCORE!AB$2&amp;" "&amp;SCORE!$D1105,EVENTOS!$F:$F,0)),0)</f>
        <v>0</v>
      </c>
      <c r="AC1105" s="3">
        <f>IFERROR(INDEX(EVENTOS!$D:$D,MATCH(SCORE!AC$2&amp;" "&amp;SCORE!$D1105,EVENTOS!$F:$F,0)),0)</f>
        <v>0</v>
      </c>
      <c r="AD1105" s="3">
        <f>IFERROR(INDEX(EVENTOS!$D:$D,MATCH(SCORE!AD$2&amp;" "&amp;SCORE!$D1105,EVENTOS!$F:$F,0)),0)</f>
        <v>0</v>
      </c>
      <c r="AE1105" s="3">
        <f t="shared" si="51"/>
        <v>0</v>
      </c>
      <c r="AF1105" s="10" t="e">
        <f t="shared" si="52"/>
        <v>#N/A</v>
      </c>
      <c r="AG1105" s="3" t="str">
        <f t="shared" si="53"/>
        <v/>
      </c>
    </row>
    <row r="1106" spans="1:33" x14ac:dyDescent="0.25">
      <c r="A1106" s="7"/>
      <c r="B1106" s="8"/>
      <c r="C1106" s="3"/>
      <c r="D1106" s="3"/>
      <c r="E1106" s="3" t="e">
        <f>VLOOKUP(D1106,VIAJES!$D:$E,2,FALSE)</f>
        <v>#N/A</v>
      </c>
      <c r="F1106" s="9" t="e">
        <f>VLOOKUP(D1106,VIAJES!$D:$F,3,FALSE)</f>
        <v>#N/A</v>
      </c>
      <c r="G1106" s="9" t="e">
        <f>VLOOKUP(D1106,VIAJES!$D:$G,4,FALSE)</f>
        <v>#N/A</v>
      </c>
      <c r="H1106" s="3" t="e">
        <f>VLOOKUP(D1106,VIAJES!$D:$H,5,FALSE)</f>
        <v>#N/A</v>
      </c>
      <c r="S1106" s="3">
        <f>IFERROR(INDEX(EVENTOS!$D:$D,MATCH(SCORE!S$2&amp;" "&amp;SCORE!$D1106,EVENTOS!$F:$F,0)),0)</f>
        <v>0</v>
      </c>
      <c r="T1106" s="3">
        <f>IFERROR(INDEX(EVENTOS!$D:$D,MATCH(SCORE!T$2&amp;" "&amp;SCORE!$D1106,EVENTOS!$F:$F,0)),0)</f>
        <v>0</v>
      </c>
      <c r="U1106" s="3">
        <f>IFERROR(INDEX(EVENTOS!$D:$D,MATCH(SCORE!U$2&amp;" "&amp;SCORE!$D1106,EVENTOS!$F:$F,0)),0)</f>
        <v>0</v>
      </c>
      <c r="V1106" s="3">
        <f>IFERROR(INDEX(EVENTOS!$D:$D,MATCH(SCORE!V$2&amp;" "&amp;SCORE!$D1106,EVENTOS!$F:$F,0)),0)</f>
        <v>0</v>
      </c>
      <c r="W1106" s="3">
        <f>IFERROR(INDEX(EVENTOS!$D:$D,MATCH(SCORE!W$2&amp;" "&amp;SCORE!$D1106,EVENTOS!$F:$F,0)),0)</f>
        <v>0</v>
      </c>
      <c r="X1106" s="3">
        <f>IFERROR(INDEX(EVENTOS!$D:$D,MATCH(SCORE!X$2&amp;" "&amp;SCORE!$D1106,EVENTOS!$F:$F,0)),0)</f>
        <v>0</v>
      </c>
      <c r="Y1106" s="3">
        <f>SUMIFS(EVENTOS!$D:$D, EVENTOS!$B:$B, D1106, EVENTOS!$E:$E, "*GirAlto*")</f>
        <v>0</v>
      </c>
      <c r="Z1106" s="3">
        <f>SUMIFS(EVENTOS!$D:$D, EVENTOS!$B:$B, D1106, EVENTOS!$E:$E, "*GirMed*")</f>
        <v>0</v>
      </c>
      <c r="AA1106" s="3">
        <f>SUMIFS(EVENTOS!$D:$D, EVENTOS!$B:$B, D1106, EVENTOS!$E:$E, "*GirBajo*")</f>
        <v>0</v>
      </c>
      <c r="AB1106" s="3">
        <f>IFERROR(INDEX(EVENTOS!$D:$D,MATCH(SCORE!AB$2&amp;" "&amp;SCORE!$D1106,EVENTOS!$F:$F,0)),0)</f>
        <v>0</v>
      </c>
      <c r="AC1106" s="3">
        <f>IFERROR(INDEX(EVENTOS!$D:$D,MATCH(SCORE!AC$2&amp;" "&amp;SCORE!$D1106,EVENTOS!$F:$F,0)),0)</f>
        <v>0</v>
      </c>
      <c r="AD1106" s="3">
        <f>IFERROR(INDEX(EVENTOS!$D:$D,MATCH(SCORE!AD$2&amp;" "&amp;SCORE!$D1106,EVENTOS!$F:$F,0)),0)</f>
        <v>0</v>
      </c>
      <c r="AE1106" s="3">
        <f t="shared" si="51"/>
        <v>0</v>
      </c>
      <c r="AF1106" s="10" t="e">
        <f t="shared" si="52"/>
        <v>#N/A</v>
      </c>
      <c r="AG1106" s="3" t="str">
        <f t="shared" si="53"/>
        <v/>
      </c>
    </row>
    <row r="1107" spans="1:33" x14ac:dyDescent="0.25">
      <c r="A1107" s="7"/>
      <c r="B1107" s="8"/>
      <c r="C1107" s="3"/>
      <c r="D1107" s="3"/>
      <c r="E1107" s="3" t="e">
        <f>VLOOKUP(D1107,VIAJES!$D:$E,2,FALSE)</f>
        <v>#N/A</v>
      </c>
      <c r="F1107" s="9" t="e">
        <f>VLOOKUP(D1107,VIAJES!$D:$F,3,FALSE)</f>
        <v>#N/A</v>
      </c>
      <c r="G1107" s="9" t="e">
        <f>VLOOKUP(D1107,VIAJES!$D:$G,4,FALSE)</f>
        <v>#N/A</v>
      </c>
      <c r="H1107" s="3" t="e">
        <f>VLOOKUP(D1107,VIAJES!$D:$H,5,FALSE)</f>
        <v>#N/A</v>
      </c>
      <c r="S1107" s="3">
        <f>IFERROR(INDEX(EVENTOS!$D:$D,MATCH(SCORE!S$2&amp;" "&amp;SCORE!$D1107,EVENTOS!$F:$F,0)),0)</f>
        <v>0</v>
      </c>
      <c r="T1107" s="3">
        <f>IFERROR(INDEX(EVENTOS!$D:$D,MATCH(SCORE!T$2&amp;" "&amp;SCORE!$D1107,EVENTOS!$F:$F,0)),0)</f>
        <v>0</v>
      </c>
      <c r="U1107" s="3">
        <f>IFERROR(INDEX(EVENTOS!$D:$D,MATCH(SCORE!U$2&amp;" "&amp;SCORE!$D1107,EVENTOS!$F:$F,0)),0)</f>
        <v>0</v>
      </c>
      <c r="V1107" s="3">
        <f>IFERROR(INDEX(EVENTOS!$D:$D,MATCH(SCORE!V$2&amp;" "&amp;SCORE!$D1107,EVENTOS!$F:$F,0)),0)</f>
        <v>0</v>
      </c>
      <c r="W1107" s="3">
        <f>IFERROR(INDEX(EVENTOS!$D:$D,MATCH(SCORE!W$2&amp;" "&amp;SCORE!$D1107,EVENTOS!$F:$F,0)),0)</f>
        <v>0</v>
      </c>
      <c r="X1107" s="3">
        <f>IFERROR(INDEX(EVENTOS!$D:$D,MATCH(SCORE!X$2&amp;" "&amp;SCORE!$D1107,EVENTOS!$F:$F,0)),0)</f>
        <v>0</v>
      </c>
      <c r="Y1107" s="3">
        <f>SUMIFS(EVENTOS!$D:$D, EVENTOS!$B:$B, D1107, EVENTOS!$E:$E, "*GirAlto*")</f>
        <v>0</v>
      </c>
      <c r="Z1107" s="3">
        <f>SUMIFS(EVENTOS!$D:$D, EVENTOS!$B:$B, D1107, EVENTOS!$E:$E, "*GirMed*")</f>
        <v>0</v>
      </c>
      <c r="AA1107" s="3">
        <f>SUMIFS(EVENTOS!$D:$D, EVENTOS!$B:$B, D1107, EVENTOS!$E:$E, "*GirBajo*")</f>
        <v>0</v>
      </c>
      <c r="AB1107" s="3">
        <f>IFERROR(INDEX(EVENTOS!$D:$D,MATCH(SCORE!AB$2&amp;" "&amp;SCORE!$D1107,EVENTOS!$F:$F,0)),0)</f>
        <v>0</v>
      </c>
      <c r="AC1107" s="3">
        <f>IFERROR(INDEX(EVENTOS!$D:$D,MATCH(SCORE!AC$2&amp;" "&amp;SCORE!$D1107,EVENTOS!$F:$F,0)),0)</f>
        <v>0</v>
      </c>
      <c r="AD1107" s="3">
        <f>IFERROR(INDEX(EVENTOS!$D:$D,MATCH(SCORE!AD$2&amp;" "&amp;SCORE!$D1107,EVENTOS!$F:$F,0)),0)</f>
        <v>0</v>
      </c>
      <c r="AE1107" s="3">
        <f t="shared" si="51"/>
        <v>0</v>
      </c>
      <c r="AF1107" s="10" t="e">
        <f t="shared" si="52"/>
        <v>#N/A</v>
      </c>
      <c r="AG1107" s="3" t="str">
        <f t="shared" si="53"/>
        <v/>
      </c>
    </row>
    <row r="1108" spans="1:33" x14ac:dyDescent="0.25">
      <c r="A1108" s="7"/>
      <c r="B1108" s="8"/>
      <c r="C1108" s="3"/>
      <c r="D1108" s="3"/>
      <c r="E1108" s="3" t="e">
        <f>VLOOKUP(D1108,VIAJES!$D:$E,2,FALSE)</f>
        <v>#N/A</v>
      </c>
      <c r="F1108" s="9" t="e">
        <f>VLOOKUP(D1108,VIAJES!$D:$F,3,FALSE)</f>
        <v>#N/A</v>
      </c>
      <c r="G1108" s="9" t="e">
        <f>VLOOKUP(D1108,VIAJES!$D:$G,4,FALSE)</f>
        <v>#N/A</v>
      </c>
      <c r="H1108" s="3" t="e">
        <f>VLOOKUP(D1108,VIAJES!$D:$H,5,FALSE)</f>
        <v>#N/A</v>
      </c>
      <c r="S1108" s="3">
        <f>IFERROR(INDEX(EVENTOS!$D:$D,MATCH(SCORE!S$2&amp;" "&amp;SCORE!$D1108,EVENTOS!$F:$F,0)),0)</f>
        <v>0</v>
      </c>
      <c r="T1108" s="3">
        <f>IFERROR(INDEX(EVENTOS!$D:$D,MATCH(SCORE!T$2&amp;" "&amp;SCORE!$D1108,EVENTOS!$F:$F,0)),0)</f>
        <v>0</v>
      </c>
      <c r="U1108" s="3">
        <f>IFERROR(INDEX(EVENTOS!$D:$D,MATCH(SCORE!U$2&amp;" "&amp;SCORE!$D1108,EVENTOS!$F:$F,0)),0)</f>
        <v>0</v>
      </c>
      <c r="V1108" s="3">
        <f>IFERROR(INDEX(EVENTOS!$D:$D,MATCH(SCORE!V$2&amp;" "&amp;SCORE!$D1108,EVENTOS!$F:$F,0)),0)</f>
        <v>0</v>
      </c>
      <c r="W1108" s="3">
        <f>IFERROR(INDEX(EVENTOS!$D:$D,MATCH(SCORE!W$2&amp;" "&amp;SCORE!$D1108,EVENTOS!$F:$F,0)),0)</f>
        <v>0</v>
      </c>
      <c r="X1108" s="3">
        <f>IFERROR(INDEX(EVENTOS!$D:$D,MATCH(SCORE!X$2&amp;" "&amp;SCORE!$D1108,EVENTOS!$F:$F,0)),0)</f>
        <v>0</v>
      </c>
      <c r="Y1108" s="3">
        <f>SUMIFS(EVENTOS!$D:$D, EVENTOS!$B:$B, D1108, EVENTOS!$E:$E, "*GirAlto*")</f>
        <v>0</v>
      </c>
      <c r="Z1108" s="3">
        <f>SUMIFS(EVENTOS!$D:$D, EVENTOS!$B:$B, D1108, EVENTOS!$E:$E, "*GirMed*")</f>
        <v>0</v>
      </c>
      <c r="AA1108" s="3">
        <f>SUMIFS(EVENTOS!$D:$D, EVENTOS!$B:$B, D1108, EVENTOS!$E:$E, "*GirBajo*")</f>
        <v>0</v>
      </c>
      <c r="AB1108" s="3">
        <f>IFERROR(INDEX(EVENTOS!$D:$D,MATCH(SCORE!AB$2&amp;" "&amp;SCORE!$D1108,EVENTOS!$F:$F,0)),0)</f>
        <v>0</v>
      </c>
      <c r="AC1108" s="3">
        <f>IFERROR(INDEX(EVENTOS!$D:$D,MATCH(SCORE!AC$2&amp;" "&amp;SCORE!$D1108,EVENTOS!$F:$F,0)),0)</f>
        <v>0</v>
      </c>
      <c r="AD1108" s="3">
        <f>IFERROR(INDEX(EVENTOS!$D:$D,MATCH(SCORE!AD$2&amp;" "&amp;SCORE!$D1108,EVENTOS!$F:$F,0)),0)</f>
        <v>0</v>
      </c>
      <c r="AE1108" s="3">
        <f t="shared" si="51"/>
        <v>0</v>
      </c>
      <c r="AF1108" s="10" t="e">
        <f t="shared" si="52"/>
        <v>#N/A</v>
      </c>
      <c r="AG1108" s="3" t="str">
        <f t="shared" si="53"/>
        <v/>
      </c>
    </row>
    <row r="1109" spans="1:33" x14ac:dyDescent="0.25">
      <c r="A1109" s="7"/>
      <c r="B1109" s="8"/>
      <c r="C1109" s="3"/>
      <c r="D1109" s="3"/>
      <c r="E1109" s="3" t="e">
        <f>VLOOKUP(D1109,VIAJES!$D:$E,2,FALSE)</f>
        <v>#N/A</v>
      </c>
      <c r="F1109" s="9" t="e">
        <f>VLOOKUP(D1109,VIAJES!$D:$F,3,FALSE)</f>
        <v>#N/A</v>
      </c>
      <c r="G1109" s="9" t="e">
        <f>VLOOKUP(D1109,VIAJES!$D:$G,4,FALSE)</f>
        <v>#N/A</v>
      </c>
      <c r="H1109" s="3" t="e">
        <f>VLOOKUP(D1109,VIAJES!$D:$H,5,FALSE)</f>
        <v>#N/A</v>
      </c>
      <c r="S1109" s="3">
        <f>IFERROR(INDEX(EVENTOS!$D:$D,MATCH(SCORE!S$2&amp;" "&amp;SCORE!$D1109,EVENTOS!$F:$F,0)),0)</f>
        <v>0</v>
      </c>
      <c r="T1109" s="3">
        <f>IFERROR(INDEX(EVENTOS!$D:$D,MATCH(SCORE!T$2&amp;" "&amp;SCORE!$D1109,EVENTOS!$F:$F,0)),0)</f>
        <v>0</v>
      </c>
      <c r="U1109" s="3">
        <f>IFERROR(INDEX(EVENTOS!$D:$D,MATCH(SCORE!U$2&amp;" "&amp;SCORE!$D1109,EVENTOS!$F:$F,0)),0)</f>
        <v>0</v>
      </c>
      <c r="V1109" s="3">
        <f>IFERROR(INDEX(EVENTOS!$D:$D,MATCH(SCORE!V$2&amp;" "&amp;SCORE!$D1109,EVENTOS!$F:$F,0)),0)</f>
        <v>0</v>
      </c>
      <c r="W1109" s="3">
        <f>IFERROR(INDEX(EVENTOS!$D:$D,MATCH(SCORE!W$2&amp;" "&amp;SCORE!$D1109,EVENTOS!$F:$F,0)),0)</f>
        <v>0</v>
      </c>
      <c r="X1109" s="3">
        <f>IFERROR(INDEX(EVENTOS!$D:$D,MATCH(SCORE!X$2&amp;" "&amp;SCORE!$D1109,EVENTOS!$F:$F,0)),0)</f>
        <v>0</v>
      </c>
      <c r="Y1109" s="3">
        <f>SUMIFS(EVENTOS!$D:$D, EVENTOS!$B:$B, D1109, EVENTOS!$E:$E, "*GirAlto*")</f>
        <v>0</v>
      </c>
      <c r="Z1109" s="3">
        <f>SUMIFS(EVENTOS!$D:$D, EVENTOS!$B:$B, D1109, EVENTOS!$E:$E, "*GirMed*")</f>
        <v>0</v>
      </c>
      <c r="AA1109" s="3">
        <f>SUMIFS(EVENTOS!$D:$D, EVENTOS!$B:$B, D1109, EVENTOS!$E:$E, "*GirBajo*")</f>
        <v>0</v>
      </c>
      <c r="AB1109" s="3">
        <f>IFERROR(INDEX(EVENTOS!$D:$D,MATCH(SCORE!AB$2&amp;" "&amp;SCORE!$D1109,EVENTOS!$F:$F,0)),0)</f>
        <v>0</v>
      </c>
      <c r="AC1109" s="3">
        <f>IFERROR(INDEX(EVENTOS!$D:$D,MATCH(SCORE!AC$2&amp;" "&amp;SCORE!$D1109,EVENTOS!$F:$F,0)),0)</f>
        <v>0</v>
      </c>
      <c r="AD1109" s="3">
        <f>IFERROR(INDEX(EVENTOS!$D:$D,MATCH(SCORE!AD$2&amp;" "&amp;SCORE!$D1109,EVENTOS!$F:$F,0)),0)</f>
        <v>0</v>
      </c>
      <c r="AE1109" s="3">
        <f t="shared" si="51"/>
        <v>0</v>
      </c>
      <c r="AF1109" s="10" t="e">
        <f t="shared" si="52"/>
        <v>#N/A</v>
      </c>
      <c r="AG1109" s="3" t="str">
        <f t="shared" si="53"/>
        <v/>
      </c>
    </row>
    <row r="1110" spans="1:33" x14ac:dyDescent="0.25">
      <c r="A1110" s="7"/>
      <c r="B1110" s="8"/>
      <c r="C1110" s="3"/>
      <c r="D1110" s="3"/>
      <c r="E1110" s="3" t="e">
        <f>VLOOKUP(D1110,VIAJES!$D:$E,2,FALSE)</f>
        <v>#N/A</v>
      </c>
      <c r="F1110" s="9" t="e">
        <f>VLOOKUP(D1110,VIAJES!$D:$F,3,FALSE)</f>
        <v>#N/A</v>
      </c>
      <c r="G1110" s="9" t="e">
        <f>VLOOKUP(D1110,VIAJES!$D:$G,4,FALSE)</f>
        <v>#N/A</v>
      </c>
      <c r="H1110" s="3" t="e">
        <f>VLOOKUP(D1110,VIAJES!$D:$H,5,FALSE)</f>
        <v>#N/A</v>
      </c>
      <c r="S1110" s="3">
        <f>IFERROR(INDEX(EVENTOS!$D:$D,MATCH(SCORE!S$2&amp;" "&amp;SCORE!$D1110,EVENTOS!$F:$F,0)),0)</f>
        <v>0</v>
      </c>
      <c r="T1110" s="3">
        <f>IFERROR(INDEX(EVENTOS!$D:$D,MATCH(SCORE!T$2&amp;" "&amp;SCORE!$D1110,EVENTOS!$F:$F,0)),0)</f>
        <v>0</v>
      </c>
      <c r="U1110" s="3">
        <f>IFERROR(INDEX(EVENTOS!$D:$D,MATCH(SCORE!U$2&amp;" "&amp;SCORE!$D1110,EVENTOS!$F:$F,0)),0)</f>
        <v>0</v>
      </c>
      <c r="V1110" s="3">
        <f>IFERROR(INDEX(EVENTOS!$D:$D,MATCH(SCORE!V$2&amp;" "&amp;SCORE!$D1110,EVENTOS!$F:$F,0)),0)</f>
        <v>0</v>
      </c>
      <c r="W1110" s="3">
        <f>IFERROR(INDEX(EVENTOS!$D:$D,MATCH(SCORE!W$2&amp;" "&amp;SCORE!$D1110,EVENTOS!$F:$F,0)),0)</f>
        <v>0</v>
      </c>
      <c r="X1110" s="3">
        <f>IFERROR(INDEX(EVENTOS!$D:$D,MATCH(SCORE!X$2&amp;" "&amp;SCORE!$D1110,EVENTOS!$F:$F,0)),0)</f>
        <v>0</v>
      </c>
      <c r="Y1110" s="3">
        <f>SUMIFS(EVENTOS!$D:$D, EVENTOS!$B:$B, D1110, EVENTOS!$E:$E, "*GirAlto*")</f>
        <v>0</v>
      </c>
      <c r="Z1110" s="3">
        <f>SUMIFS(EVENTOS!$D:$D, EVENTOS!$B:$B, D1110, EVENTOS!$E:$E, "*GirMed*")</f>
        <v>0</v>
      </c>
      <c r="AA1110" s="3">
        <f>SUMIFS(EVENTOS!$D:$D, EVENTOS!$B:$B, D1110, EVENTOS!$E:$E, "*GirBajo*")</f>
        <v>0</v>
      </c>
      <c r="AB1110" s="3">
        <f>IFERROR(INDEX(EVENTOS!$D:$D,MATCH(SCORE!AB$2&amp;" "&amp;SCORE!$D1110,EVENTOS!$F:$F,0)),0)</f>
        <v>0</v>
      </c>
      <c r="AC1110" s="3">
        <f>IFERROR(INDEX(EVENTOS!$D:$D,MATCH(SCORE!AC$2&amp;" "&amp;SCORE!$D1110,EVENTOS!$F:$F,0)),0)</f>
        <v>0</v>
      </c>
      <c r="AD1110" s="3">
        <f>IFERROR(INDEX(EVENTOS!$D:$D,MATCH(SCORE!AD$2&amp;" "&amp;SCORE!$D1110,EVENTOS!$F:$F,0)),0)</f>
        <v>0</v>
      </c>
      <c r="AE1110" s="3">
        <f t="shared" si="51"/>
        <v>0</v>
      </c>
      <c r="AF1110" s="10" t="e">
        <f t="shared" si="52"/>
        <v>#N/A</v>
      </c>
      <c r="AG1110" s="3" t="str">
        <f t="shared" si="53"/>
        <v/>
      </c>
    </row>
    <row r="1111" spans="1:33" x14ac:dyDescent="0.25">
      <c r="A1111" s="7"/>
      <c r="B1111" s="8"/>
      <c r="C1111" s="3"/>
      <c r="D1111" s="3"/>
      <c r="E1111" s="3" t="e">
        <f>VLOOKUP(D1111,VIAJES!$D:$E,2,FALSE)</f>
        <v>#N/A</v>
      </c>
      <c r="F1111" s="9" t="e">
        <f>VLOOKUP(D1111,VIAJES!$D:$F,3,FALSE)</f>
        <v>#N/A</v>
      </c>
      <c r="G1111" s="9" t="e">
        <f>VLOOKUP(D1111,VIAJES!$D:$G,4,FALSE)</f>
        <v>#N/A</v>
      </c>
      <c r="H1111" s="3" t="e">
        <f>VLOOKUP(D1111,VIAJES!$D:$H,5,FALSE)</f>
        <v>#N/A</v>
      </c>
      <c r="S1111" s="3">
        <f>IFERROR(INDEX(EVENTOS!$D:$D,MATCH(SCORE!S$2&amp;" "&amp;SCORE!$D1111,EVENTOS!$F:$F,0)),0)</f>
        <v>0</v>
      </c>
      <c r="T1111" s="3">
        <f>IFERROR(INDEX(EVENTOS!$D:$D,MATCH(SCORE!T$2&amp;" "&amp;SCORE!$D1111,EVENTOS!$F:$F,0)),0)</f>
        <v>0</v>
      </c>
      <c r="U1111" s="3">
        <f>IFERROR(INDEX(EVENTOS!$D:$D,MATCH(SCORE!U$2&amp;" "&amp;SCORE!$D1111,EVENTOS!$F:$F,0)),0)</f>
        <v>0</v>
      </c>
      <c r="V1111" s="3">
        <f>IFERROR(INDEX(EVENTOS!$D:$D,MATCH(SCORE!V$2&amp;" "&amp;SCORE!$D1111,EVENTOS!$F:$F,0)),0)</f>
        <v>0</v>
      </c>
      <c r="W1111" s="3">
        <f>IFERROR(INDEX(EVENTOS!$D:$D,MATCH(SCORE!W$2&amp;" "&amp;SCORE!$D1111,EVENTOS!$F:$F,0)),0)</f>
        <v>0</v>
      </c>
      <c r="X1111" s="3">
        <f>IFERROR(INDEX(EVENTOS!$D:$D,MATCH(SCORE!X$2&amp;" "&amp;SCORE!$D1111,EVENTOS!$F:$F,0)),0)</f>
        <v>0</v>
      </c>
      <c r="Y1111" s="3">
        <f>SUMIFS(EVENTOS!$D:$D, EVENTOS!$B:$B, D1111, EVENTOS!$E:$E, "*GirAlto*")</f>
        <v>0</v>
      </c>
      <c r="Z1111" s="3">
        <f>SUMIFS(EVENTOS!$D:$D, EVENTOS!$B:$B, D1111, EVENTOS!$E:$E, "*GirMed*")</f>
        <v>0</v>
      </c>
      <c r="AA1111" s="3">
        <f>SUMIFS(EVENTOS!$D:$D, EVENTOS!$B:$B, D1111, EVENTOS!$E:$E, "*GirBajo*")</f>
        <v>0</v>
      </c>
      <c r="AB1111" s="3">
        <f>IFERROR(INDEX(EVENTOS!$D:$D,MATCH(SCORE!AB$2&amp;" "&amp;SCORE!$D1111,EVENTOS!$F:$F,0)),0)</f>
        <v>0</v>
      </c>
      <c r="AC1111" s="3">
        <f>IFERROR(INDEX(EVENTOS!$D:$D,MATCH(SCORE!AC$2&amp;" "&amp;SCORE!$D1111,EVENTOS!$F:$F,0)),0)</f>
        <v>0</v>
      </c>
      <c r="AD1111" s="3">
        <f>IFERROR(INDEX(EVENTOS!$D:$D,MATCH(SCORE!AD$2&amp;" "&amp;SCORE!$D1111,EVENTOS!$F:$F,0)),0)</f>
        <v>0</v>
      </c>
      <c r="AE1111" s="3">
        <f t="shared" si="51"/>
        <v>0</v>
      </c>
      <c r="AF1111" s="10" t="e">
        <f t="shared" si="52"/>
        <v>#N/A</v>
      </c>
      <c r="AG1111" s="3" t="str">
        <f t="shared" si="53"/>
        <v/>
      </c>
    </row>
    <row r="1112" spans="1:33" x14ac:dyDescent="0.25">
      <c r="A1112" s="7"/>
      <c r="B1112" s="8"/>
      <c r="C1112" s="3"/>
      <c r="D1112" s="3"/>
      <c r="E1112" s="3" t="e">
        <f>VLOOKUP(D1112,VIAJES!$D:$E,2,FALSE)</f>
        <v>#N/A</v>
      </c>
      <c r="F1112" s="9" t="e">
        <f>VLOOKUP(D1112,VIAJES!$D:$F,3,FALSE)</f>
        <v>#N/A</v>
      </c>
      <c r="G1112" s="9" t="e">
        <f>VLOOKUP(D1112,VIAJES!$D:$G,4,FALSE)</f>
        <v>#N/A</v>
      </c>
      <c r="H1112" s="3" t="e">
        <f>VLOOKUP(D1112,VIAJES!$D:$H,5,FALSE)</f>
        <v>#N/A</v>
      </c>
      <c r="S1112" s="3">
        <f>IFERROR(INDEX(EVENTOS!$D:$D,MATCH(SCORE!S$2&amp;" "&amp;SCORE!$D1112,EVENTOS!$F:$F,0)),0)</f>
        <v>0</v>
      </c>
      <c r="T1112" s="3">
        <f>IFERROR(INDEX(EVENTOS!$D:$D,MATCH(SCORE!T$2&amp;" "&amp;SCORE!$D1112,EVENTOS!$F:$F,0)),0)</f>
        <v>0</v>
      </c>
      <c r="U1112" s="3">
        <f>IFERROR(INDEX(EVENTOS!$D:$D,MATCH(SCORE!U$2&amp;" "&amp;SCORE!$D1112,EVENTOS!$F:$F,0)),0)</f>
        <v>0</v>
      </c>
      <c r="V1112" s="3">
        <f>IFERROR(INDEX(EVENTOS!$D:$D,MATCH(SCORE!V$2&amp;" "&amp;SCORE!$D1112,EVENTOS!$F:$F,0)),0)</f>
        <v>0</v>
      </c>
      <c r="W1112" s="3">
        <f>IFERROR(INDEX(EVENTOS!$D:$D,MATCH(SCORE!W$2&amp;" "&amp;SCORE!$D1112,EVENTOS!$F:$F,0)),0)</f>
        <v>0</v>
      </c>
      <c r="X1112" s="3">
        <f>IFERROR(INDEX(EVENTOS!$D:$D,MATCH(SCORE!X$2&amp;" "&amp;SCORE!$D1112,EVENTOS!$F:$F,0)),0)</f>
        <v>0</v>
      </c>
      <c r="Y1112" s="3">
        <f>SUMIFS(EVENTOS!$D:$D, EVENTOS!$B:$B, D1112, EVENTOS!$E:$E, "*GirAlto*")</f>
        <v>0</v>
      </c>
      <c r="Z1112" s="3">
        <f>SUMIFS(EVENTOS!$D:$D, EVENTOS!$B:$B, D1112, EVENTOS!$E:$E, "*GirMed*")</f>
        <v>0</v>
      </c>
      <c r="AA1112" s="3">
        <f>SUMIFS(EVENTOS!$D:$D, EVENTOS!$B:$B, D1112, EVENTOS!$E:$E, "*GirBajo*")</f>
        <v>0</v>
      </c>
      <c r="AB1112" s="3">
        <f>IFERROR(INDEX(EVENTOS!$D:$D,MATCH(SCORE!AB$2&amp;" "&amp;SCORE!$D1112,EVENTOS!$F:$F,0)),0)</f>
        <v>0</v>
      </c>
      <c r="AC1112" s="3">
        <f>IFERROR(INDEX(EVENTOS!$D:$D,MATCH(SCORE!AC$2&amp;" "&amp;SCORE!$D1112,EVENTOS!$F:$F,0)),0)</f>
        <v>0</v>
      </c>
      <c r="AD1112" s="3">
        <f>IFERROR(INDEX(EVENTOS!$D:$D,MATCH(SCORE!AD$2&amp;" "&amp;SCORE!$D1112,EVENTOS!$F:$F,0)),0)</f>
        <v>0</v>
      </c>
      <c r="AE1112" s="3">
        <f t="shared" si="51"/>
        <v>0</v>
      </c>
      <c r="AF1112" s="10" t="e">
        <f t="shared" si="52"/>
        <v>#N/A</v>
      </c>
      <c r="AG1112" s="3" t="str">
        <f t="shared" si="53"/>
        <v/>
      </c>
    </row>
    <row r="1113" spans="1:33" x14ac:dyDescent="0.25">
      <c r="A1113" s="7"/>
      <c r="B1113" s="8"/>
      <c r="C1113" s="3"/>
      <c r="D1113" s="3"/>
      <c r="E1113" s="3" t="e">
        <f>VLOOKUP(D1113,VIAJES!$D:$E,2,FALSE)</f>
        <v>#N/A</v>
      </c>
      <c r="F1113" s="9" t="e">
        <f>VLOOKUP(D1113,VIAJES!$D:$F,3,FALSE)</f>
        <v>#N/A</v>
      </c>
      <c r="G1113" s="9" t="e">
        <f>VLOOKUP(D1113,VIAJES!$D:$G,4,FALSE)</f>
        <v>#N/A</v>
      </c>
      <c r="H1113" s="3" t="e">
        <f>VLOOKUP(D1113,VIAJES!$D:$H,5,FALSE)</f>
        <v>#N/A</v>
      </c>
      <c r="S1113" s="3">
        <f>IFERROR(INDEX(EVENTOS!$D:$D,MATCH(SCORE!S$2&amp;" "&amp;SCORE!$D1113,EVENTOS!$F:$F,0)),0)</f>
        <v>0</v>
      </c>
      <c r="T1113" s="3">
        <f>IFERROR(INDEX(EVENTOS!$D:$D,MATCH(SCORE!T$2&amp;" "&amp;SCORE!$D1113,EVENTOS!$F:$F,0)),0)</f>
        <v>0</v>
      </c>
      <c r="U1113" s="3">
        <f>IFERROR(INDEX(EVENTOS!$D:$D,MATCH(SCORE!U$2&amp;" "&amp;SCORE!$D1113,EVENTOS!$F:$F,0)),0)</f>
        <v>0</v>
      </c>
      <c r="V1113" s="3">
        <f>IFERROR(INDEX(EVENTOS!$D:$D,MATCH(SCORE!V$2&amp;" "&amp;SCORE!$D1113,EVENTOS!$F:$F,0)),0)</f>
        <v>0</v>
      </c>
      <c r="W1113" s="3">
        <f>IFERROR(INDEX(EVENTOS!$D:$D,MATCH(SCORE!W$2&amp;" "&amp;SCORE!$D1113,EVENTOS!$F:$F,0)),0)</f>
        <v>0</v>
      </c>
      <c r="X1113" s="3">
        <f>IFERROR(INDEX(EVENTOS!$D:$D,MATCH(SCORE!X$2&amp;" "&amp;SCORE!$D1113,EVENTOS!$F:$F,0)),0)</f>
        <v>0</v>
      </c>
      <c r="Y1113" s="3">
        <f>SUMIFS(EVENTOS!$D:$D, EVENTOS!$B:$B, D1113, EVENTOS!$E:$E, "*GirAlto*")</f>
        <v>0</v>
      </c>
      <c r="Z1113" s="3">
        <f>SUMIFS(EVENTOS!$D:$D, EVENTOS!$B:$B, D1113, EVENTOS!$E:$E, "*GirMed*")</f>
        <v>0</v>
      </c>
      <c r="AA1113" s="3">
        <f>SUMIFS(EVENTOS!$D:$D, EVENTOS!$B:$B, D1113, EVENTOS!$E:$E, "*GirBajo*")</f>
        <v>0</v>
      </c>
      <c r="AB1113" s="3">
        <f>IFERROR(INDEX(EVENTOS!$D:$D,MATCH(SCORE!AB$2&amp;" "&amp;SCORE!$D1113,EVENTOS!$F:$F,0)),0)</f>
        <v>0</v>
      </c>
      <c r="AC1113" s="3">
        <f>IFERROR(INDEX(EVENTOS!$D:$D,MATCH(SCORE!AC$2&amp;" "&amp;SCORE!$D1113,EVENTOS!$F:$F,0)),0)</f>
        <v>0</v>
      </c>
      <c r="AD1113" s="3">
        <f>IFERROR(INDEX(EVENTOS!$D:$D,MATCH(SCORE!AD$2&amp;" "&amp;SCORE!$D1113,EVENTOS!$F:$F,0)),0)</f>
        <v>0</v>
      </c>
      <c r="AE1113" s="3">
        <f t="shared" si="51"/>
        <v>0</v>
      </c>
      <c r="AF1113" s="10" t="e">
        <f t="shared" si="52"/>
        <v>#N/A</v>
      </c>
      <c r="AG1113" s="3" t="str">
        <f t="shared" si="53"/>
        <v/>
      </c>
    </row>
    <row r="1114" spans="1:33" x14ac:dyDescent="0.25">
      <c r="A1114" s="7"/>
      <c r="B1114" s="8"/>
      <c r="C1114" s="3"/>
      <c r="D1114" s="3"/>
      <c r="E1114" s="3" t="e">
        <f>VLOOKUP(D1114,VIAJES!$D:$E,2,FALSE)</f>
        <v>#N/A</v>
      </c>
      <c r="F1114" s="9" t="e">
        <f>VLOOKUP(D1114,VIAJES!$D:$F,3,FALSE)</f>
        <v>#N/A</v>
      </c>
      <c r="G1114" s="9" t="e">
        <f>VLOOKUP(D1114,VIAJES!$D:$G,4,FALSE)</f>
        <v>#N/A</v>
      </c>
      <c r="H1114" s="3" t="e">
        <f>VLOOKUP(D1114,VIAJES!$D:$H,5,FALSE)</f>
        <v>#N/A</v>
      </c>
      <c r="S1114" s="3">
        <f>IFERROR(INDEX(EVENTOS!$D:$D,MATCH(SCORE!S$2&amp;" "&amp;SCORE!$D1114,EVENTOS!$F:$F,0)),0)</f>
        <v>0</v>
      </c>
      <c r="T1114" s="3">
        <f>IFERROR(INDEX(EVENTOS!$D:$D,MATCH(SCORE!T$2&amp;" "&amp;SCORE!$D1114,EVENTOS!$F:$F,0)),0)</f>
        <v>0</v>
      </c>
      <c r="U1114" s="3">
        <f>IFERROR(INDEX(EVENTOS!$D:$D,MATCH(SCORE!U$2&amp;" "&amp;SCORE!$D1114,EVENTOS!$F:$F,0)),0)</f>
        <v>0</v>
      </c>
      <c r="V1114" s="3">
        <f>IFERROR(INDEX(EVENTOS!$D:$D,MATCH(SCORE!V$2&amp;" "&amp;SCORE!$D1114,EVENTOS!$F:$F,0)),0)</f>
        <v>0</v>
      </c>
      <c r="W1114" s="3">
        <f>IFERROR(INDEX(EVENTOS!$D:$D,MATCH(SCORE!W$2&amp;" "&amp;SCORE!$D1114,EVENTOS!$F:$F,0)),0)</f>
        <v>0</v>
      </c>
      <c r="X1114" s="3">
        <f>IFERROR(INDEX(EVENTOS!$D:$D,MATCH(SCORE!X$2&amp;" "&amp;SCORE!$D1114,EVENTOS!$F:$F,0)),0)</f>
        <v>0</v>
      </c>
      <c r="Y1114" s="3">
        <f>SUMIFS(EVENTOS!$D:$D, EVENTOS!$B:$B, D1114, EVENTOS!$E:$E, "*GirAlto*")</f>
        <v>0</v>
      </c>
      <c r="Z1114" s="3">
        <f>SUMIFS(EVENTOS!$D:$D, EVENTOS!$B:$B, D1114, EVENTOS!$E:$E, "*GirMed*")</f>
        <v>0</v>
      </c>
      <c r="AA1114" s="3">
        <f>SUMIFS(EVENTOS!$D:$D, EVENTOS!$B:$B, D1114, EVENTOS!$E:$E, "*GirBajo*")</f>
        <v>0</v>
      </c>
      <c r="AB1114" s="3">
        <f>IFERROR(INDEX(EVENTOS!$D:$D,MATCH(SCORE!AB$2&amp;" "&amp;SCORE!$D1114,EVENTOS!$F:$F,0)),0)</f>
        <v>0</v>
      </c>
      <c r="AC1114" s="3">
        <f>IFERROR(INDEX(EVENTOS!$D:$D,MATCH(SCORE!AC$2&amp;" "&amp;SCORE!$D1114,EVENTOS!$F:$F,0)),0)</f>
        <v>0</v>
      </c>
      <c r="AD1114" s="3">
        <f>IFERROR(INDEX(EVENTOS!$D:$D,MATCH(SCORE!AD$2&amp;" "&amp;SCORE!$D1114,EVENTOS!$F:$F,0)),0)</f>
        <v>0</v>
      </c>
      <c r="AE1114" s="3">
        <f t="shared" si="51"/>
        <v>0</v>
      </c>
      <c r="AF1114" s="10" t="e">
        <f t="shared" si="52"/>
        <v>#N/A</v>
      </c>
      <c r="AG1114" s="3" t="str">
        <f t="shared" si="53"/>
        <v/>
      </c>
    </row>
    <row r="1115" spans="1:33" x14ac:dyDescent="0.25">
      <c r="A1115" s="7"/>
      <c r="B1115" s="8"/>
      <c r="C1115" s="3"/>
      <c r="D1115" s="3"/>
      <c r="E1115" s="3" t="e">
        <f>VLOOKUP(D1115,VIAJES!$D:$E,2,FALSE)</f>
        <v>#N/A</v>
      </c>
      <c r="F1115" s="9" t="e">
        <f>VLOOKUP(D1115,VIAJES!$D:$F,3,FALSE)</f>
        <v>#N/A</v>
      </c>
      <c r="G1115" s="9" t="e">
        <f>VLOOKUP(D1115,VIAJES!$D:$G,4,FALSE)</f>
        <v>#N/A</v>
      </c>
      <c r="H1115" s="3" t="e">
        <f>VLOOKUP(D1115,VIAJES!$D:$H,5,FALSE)</f>
        <v>#N/A</v>
      </c>
      <c r="S1115" s="3">
        <f>IFERROR(INDEX(EVENTOS!$D:$D,MATCH(SCORE!S$2&amp;" "&amp;SCORE!$D1115,EVENTOS!$F:$F,0)),0)</f>
        <v>0</v>
      </c>
      <c r="T1115" s="3">
        <f>IFERROR(INDEX(EVENTOS!$D:$D,MATCH(SCORE!T$2&amp;" "&amp;SCORE!$D1115,EVENTOS!$F:$F,0)),0)</f>
        <v>0</v>
      </c>
      <c r="U1115" s="3">
        <f>IFERROR(INDEX(EVENTOS!$D:$D,MATCH(SCORE!U$2&amp;" "&amp;SCORE!$D1115,EVENTOS!$F:$F,0)),0)</f>
        <v>0</v>
      </c>
      <c r="V1115" s="3">
        <f>IFERROR(INDEX(EVENTOS!$D:$D,MATCH(SCORE!V$2&amp;" "&amp;SCORE!$D1115,EVENTOS!$F:$F,0)),0)</f>
        <v>0</v>
      </c>
      <c r="W1115" s="3">
        <f>IFERROR(INDEX(EVENTOS!$D:$D,MATCH(SCORE!W$2&amp;" "&amp;SCORE!$D1115,EVENTOS!$F:$F,0)),0)</f>
        <v>0</v>
      </c>
      <c r="X1115" s="3">
        <f>IFERROR(INDEX(EVENTOS!$D:$D,MATCH(SCORE!X$2&amp;" "&amp;SCORE!$D1115,EVENTOS!$F:$F,0)),0)</f>
        <v>0</v>
      </c>
      <c r="Y1115" s="3">
        <f>SUMIFS(EVENTOS!$D:$D, EVENTOS!$B:$B, D1115, EVENTOS!$E:$E, "*GirAlto*")</f>
        <v>0</v>
      </c>
      <c r="Z1115" s="3">
        <f>SUMIFS(EVENTOS!$D:$D, EVENTOS!$B:$B, D1115, EVENTOS!$E:$E, "*GirMed*")</f>
        <v>0</v>
      </c>
      <c r="AA1115" s="3">
        <f>SUMIFS(EVENTOS!$D:$D, EVENTOS!$B:$B, D1115, EVENTOS!$E:$E, "*GirBajo*")</f>
        <v>0</v>
      </c>
      <c r="AB1115" s="3">
        <f>IFERROR(INDEX(EVENTOS!$D:$D,MATCH(SCORE!AB$2&amp;" "&amp;SCORE!$D1115,EVENTOS!$F:$F,0)),0)</f>
        <v>0</v>
      </c>
      <c r="AC1115" s="3">
        <f>IFERROR(INDEX(EVENTOS!$D:$D,MATCH(SCORE!AC$2&amp;" "&amp;SCORE!$D1115,EVENTOS!$F:$F,0)),0)</f>
        <v>0</v>
      </c>
      <c r="AD1115" s="3">
        <f>IFERROR(INDEX(EVENTOS!$D:$D,MATCH(SCORE!AD$2&amp;" "&amp;SCORE!$D1115,EVENTOS!$F:$F,0)),0)</f>
        <v>0</v>
      </c>
      <c r="AE1115" s="3">
        <f t="shared" si="51"/>
        <v>0</v>
      </c>
      <c r="AF1115" s="10" t="e">
        <f t="shared" si="52"/>
        <v>#N/A</v>
      </c>
      <c r="AG1115" s="3" t="str">
        <f t="shared" si="53"/>
        <v/>
      </c>
    </row>
    <row r="1116" spans="1:33" x14ac:dyDescent="0.25">
      <c r="A1116" s="7"/>
      <c r="B1116" s="8"/>
      <c r="C1116" s="3"/>
      <c r="D1116" s="3"/>
      <c r="E1116" s="3" t="e">
        <f>VLOOKUP(D1116,VIAJES!$D:$E,2,FALSE)</f>
        <v>#N/A</v>
      </c>
      <c r="F1116" s="9" t="e">
        <f>VLOOKUP(D1116,VIAJES!$D:$F,3,FALSE)</f>
        <v>#N/A</v>
      </c>
      <c r="G1116" s="9" t="e">
        <f>VLOOKUP(D1116,VIAJES!$D:$G,4,FALSE)</f>
        <v>#N/A</v>
      </c>
      <c r="H1116" s="3" t="e">
        <f>VLOOKUP(D1116,VIAJES!$D:$H,5,FALSE)</f>
        <v>#N/A</v>
      </c>
      <c r="S1116" s="3">
        <f>IFERROR(INDEX(EVENTOS!$D:$D,MATCH(SCORE!S$2&amp;" "&amp;SCORE!$D1116,EVENTOS!$F:$F,0)),0)</f>
        <v>0</v>
      </c>
      <c r="T1116" s="3">
        <f>IFERROR(INDEX(EVENTOS!$D:$D,MATCH(SCORE!T$2&amp;" "&amp;SCORE!$D1116,EVENTOS!$F:$F,0)),0)</f>
        <v>0</v>
      </c>
      <c r="U1116" s="3">
        <f>IFERROR(INDEX(EVENTOS!$D:$D,MATCH(SCORE!U$2&amp;" "&amp;SCORE!$D1116,EVENTOS!$F:$F,0)),0)</f>
        <v>0</v>
      </c>
      <c r="V1116" s="3">
        <f>IFERROR(INDEX(EVENTOS!$D:$D,MATCH(SCORE!V$2&amp;" "&amp;SCORE!$D1116,EVENTOS!$F:$F,0)),0)</f>
        <v>0</v>
      </c>
      <c r="W1116" s="3">
        <f>IFERROR(INDEX(EVENTOS!$D:$D,MATCH(SCORE!W$2&amp;" "&amp;SCORE!$D1116,EVENTOS!$F:$F,0)),0)</f>
        <v>0</v>
      </c>
      <c r="X1116" s="3">
        <f>IFERROR(INDEX(EVENTOS!$D:$D,MATCH(SCORE!X$2&amp;" "&amp;SCORE!$D1116,EVENTOS!$F:$F,0)),0)</f>
        <v>0</v>
      </c>
      <c r="Y1116" s="3">
        <f>SUMIFS(EVENTOS!$D:$D, EVENTOS!$B:$B, D1116, EVENTOS!$E:$E, "*GirAlto*")</f>
        <v>0</v>
      </c>
      <c r="Z1116" s="3">
        <f>SUMIFS(EVENTOS!$D:$D, EVENTOS!$B:$B, D1116, EVENTOS!$E:$E, "*GirMed*")</f>
        <v>0</v>
      </c>
      <c r="AA1116" s="3">
        <f>SUMIFS(EVENTOS!$D:$D, EVENTOS!$B:$B, D1116, EVENTOS!$E:$E, "*GirBajo*")</f>
        <v>0</v>
      </c>
      <c r="AB1116" s="3">
        <f>IFERROR(INDEX(EVENTOS!$D:$D,MATCH(SCORE!AB$2&amp;" "&amp;SCORE!$D1116,EVENTOS!$F:$F,0)),0)</f>
        <v>0</v>
      </c>
      <c r="AC1116" s="3">
        <f>IFERROR(INDEX(EVENTOS!$D:$D,MATCH(SCORE!AC$2&amp;" "&amp;SCORE!$D1116,EVENTOS!$F:$F,0)),0)</f>
        <v>0</v>
      </c>
      <c r="AD1116" s="3">
        <f>IFERROR(INDEX(EVENTOS!$D:$D,MATCH(SCORE!AD$2&amp;" "&amp;SCORE!$D1116,EVENTOS!$F:$F,0)),0)</f>
        <v>0</v>
      </c>
      <c r="AE1116" s="3">
        <f t="shared" si="51"/>
        <v>0</v>
      </c>
      <c r="AF1116" s="10" t="e">
        <f t="shared" si="52"/>
        <v>#N/A</v>
      </c>
      <c r="AG1116" s="3" t="str">
        <f t="shared" si="53"/>
        <v/>
      </c>
    </row>
    <row r="1117" spans="1:33" x14ac:dyDescent="0.25">
      <c r="A1117" s="7"/>
      <c r="B1117" s="8"/>
      <c r="C1117" s="3"/>
      <c r="D1117" s="3"/>
      <c r="E1117" s="3" t="e">
        <f>VLOOKUP(D1117,VIAJES!$D:$E,2,FALSE)</f>
        <v>#N/A</v>
      </c>
      <c r="F1117" s="9" t="e">
        <f>VLOOKUP(D1117,VIAJES!$D:$F,3,FALSE)</f>
        <v>#N/A</v>
      </c>
      <c r="G1117" s="9" t="e">
        <f>VLOOKUP(D1117,VIAJES!$D:$G,4,FALSE)</f>
        <v>#N/A</v>
      </c>
      <c r="H1117" s="3" t="e">
        <f>VLOOKUP(D1117,VIAJES!$D:$H,5,FALSE)</f>
        <v>#N/A</v>
      </c>
      <c r="S1117" s="3">
        <f>IFERROR(INDEX(EVENTOS!$D:$D,MATCH(SCORE!S$2&amp;" "&amp;SCORE!$D1117,EVENTOS!$F:$F,0)),0)</f>
        <v>0</v>
      </c>
      <c r="T1117" s="3">
        <f>IFERROR(INDEX(EVENTOS!$D:$D,MATCH(SCORE!T$2&amp;" "&amp;SCORE!$D1117,EVENTOS!$F:$F,0)),0)</f>
        <v>0</v>
      </c>
      <c r="U1117" s="3">
        <f>IFERROR(INDEX(EVENTOS!$D:$D,MATCH(SCORE!U$2&amp;" "&amp;SCORE!$D1117,EVENTOS!$F:$F,0)),0)</f>
        <v>0</v>
      </c>
      <c r="V1117" s="3">
        <f>IFERROR(INDEX(EVENTOS!$D:$D,MATCH(SCORE!V$2&amp;" "&amp;SCORE!$D1117,EVENTOS!$F:$F,0)),0)</f>
        <v>0</v>
      </c>
      <c r="W1117" s="3">
        <f>IFERROR(INDEX(EVENTOS!$D:$D,MATCH(SCORE!W$2&amp;" "&amp;SCORE!$D1117,EVENTOS!$F:$F,0)),0)</f>
        <v>0</v>
      </c>
      <c r="X1117" s="3">
        <f>IFERROR(INDEX(EVENTOS!$D:$D,MATCH(SCORE!X$2&amp;" "&amp;SCORE!$D1117,EVENTOS!$F:$F,0)),0)</f>
        <v>0</v>
      </c>
      <c r="Y1117" s="3">
        <f>SUMIFS(EVENTOS!$D:$D, EVENTOS!$B:$B, D1117, EVENTOS!$E:$E, "*GirAlto*")</f>
        <v>0</v>
      </c>
      <c r="Z1117" s="3">
        <f>SUMIFS(EVENTOS!$D:$D, EVENTOS!$B:$B, D1117, EVENTOS!$E:$E, "*GirMed*")</f>
        <v>0</v>
      </c>
      <c r="AA1117" s="3">
        <f>SUMIFS(EVENTOS!$D:$D, EVENTOS!$B:$B, D1117, EVENTOS!$E:$E, "*GirBajo*")</f>
        <v>0</v>
      </c>
      <c r="AB1117" s="3">
        <f>IFERROR(INDEX(EVENTOS!$D:$D,MATCH(SCORE!AB$2&amp;" "&amp;SCORE!$D1117,EVENTOS!$F:$F,0)),0)</f>
        <v>0</v>
      </c>
      <c r="AC1117" s="3">
        <f>IFERROR(INDEX(EVENTOS!$D:$D,MATCH(SCORE!AC$2&amp;" "&amp;SCORE!$D1117,EVENTOS!$F:$F,0)),0)</f>
        <v>0</v>
      </c>
      <c r="AD1117" s="3">
        <f>IFERROR(INDEX(EVENTOS!$D:$D,MATCH(SCORE!AD$2&amp;" "&amp;SCORE!$D1117,EVENTOS!$F:$F,0)),0)</f>
        <v>0</v>
      </c>
      <c r="AE1117" s="3">
        <f t="shared" si="51"/>
        <v>0</v>
      </c>
      <c r="AF1117" s="10" t="e">
        <f t="shared" si="52"/>
        <v>#N/A</v>
      </c>
      <c r="AG1117" s="3" t="str">
        <f t="shared" si="53"/>
        <v/>
      </c>
    </row>
    <row r="1118" spans="1:33" x14ac:dyDescent="0.25">
      <c r="A1118" s="7"/>
      <c r="B1118" s="8"/>
      <c r="C1118" s="3"/>
      <c r="D1118" s="3"/>
      <c r="E1118" s="3" t="e">
        <f>VLOOKUP(D1118,VIAJES!$D:$E,2,FALSE)</f>
        <v>#N/A</v>
      </c>
      <c r="F1118" s="9" t="e">
        <f>VLOOKUP(D1118,VIAJES!$D:$F,3,FALSE)</f>
        <v>#N/A</v>
      </c>
      <c r="G1118" s="9" t="e">
        <f>VLOOKUP(D1118,VIAJES!$D:$G,4,FALSE)</f>
        <v>#N/A</v>
      </c>
      <c r="H1118" s="3" t="e">
        <f>VLOOKUP(D1118,VIAJES!$D:$H,5,FALSE)</f>
        <v>#N/A</v>
      </c>
      <c r="S1118" s="3">
        <f>IFERROR(INDEX(EVENTOS!$D:$D,MATCH(SCORE!S$2&amp;" "&amp;SCORE!$D1118,EVENTOS!$F:$F,0)),0)</f>
        <v>0</v>
      </c>
      <c r="T1118" s="3">
        <f>IFERROR(INDEX(EVENTOS!$D:$D,MATCH(SCORE!T$2&amp;" "&amp;SCORE!$D1118,EVENTOS!$F:$F,0)),0)</f>
        <v>0</v>
      </c>
      <c r="U1118" s="3">
        <f>IFERROR(INDEX(EVENTOS!$D:$D,MATCH(SCORE!U$2&amp;" "&amp;SCORE!$D1118,EVENTOS!$F:$F,0)),0)</f>
        <v>0</v>
      </c>
      <c r="V1118" s="3">
        <f>IFERROR(INDEX(EVENTOS!$D:$D,MATCH(SCORE!V$2&amp;" "&amp;SCORE!$D1118,EVENTOS!$F:$F,0)),0)</f>
        <v>0</v>
      </c>
      <c r="W1118" s="3">
        <f>IFERROR(INDEX(EVENTOS!$D:$D,MATCH(SCORE!W$2&amp;" "&amp;SCORE!$D1118,EVENTOS!$F:$F,0)),0)</f>
        <v>0</v>
      </c>
      <c r="X1118" s="3">
        <f>IFERROR(INDEX(EVENTOS!$D:$D,MATCH(SCORE!X$2&amp;" "&amp;SCORE!$D1118,EVENTOS!$F:$F,0)),0)</f>
        <v>0</v>
      </c>
      <c r="Y1118" s="3">
        <f>SUMIFS(EVENTOS!$D:$D, EVENTOS!$B:$B, D1118, EVENTOS!$E:$E, "*GirAlto*")</f>
        <v>0</v>
      </c>
      <c r="Z1118" s="3">
        <f>SUMIFS(EVENTOS!$D:$D, EVENTOS!$B:$B, D1118, EVENTOS!$E:$E, "*GirMed*")</f>
        <v>0</v>
      </c>
      <c r="AA1118" s="3">
        <f>SUMIFS(EVENTOS!$D:$D, EVENTOS!$B:$B, D1118, EVENTOS!$E:$E, "*GirBajo*")</f>
        <v>0</v>
      </c>
      <c r="AB1118" s="3">
        <f>IFERROR(INDEX(EVENTOS!$D:$D,MATCH(SCORE!AB$2&amp;" "&amp;SCORE!$D1118,EVENTOS!$F:$F,0)),0)</f>
        <v>0</v>
      </c>
      <c r="AC1118" s="3">
        <f>IFERROR(INDEX(EVENTOS!$D:$D,MATCH(SCORE!AC$2&amp;" "&amp;SCORE!$D1118,EVENTOS!$F:$F,0)),0)</f>
        <v>0</v>
      </c>
      <c r="AD1118" s="3">
        <f>IFERROR(INDEX(EVENTOS!$D:$D,MATCH(SCORE!AD$2&amp;" "&amp;SCORE!$D1118,EVENTOS!$F:$F,0)),0)</f>
        <v>0</v>
      </c>
      <c r="AE1118" s="3">
        <f t="shared" si="51"/>
        <v>0</v>
      </c>
      <c r="AF1118" s="10" t="e">
        <f t="shared" si="52"/>
        <v>#N/A</v>
      </c>
      <c r="AG1118" s="3" t="str">
        <f t="shared" si="53"/>
        <v/>
      </c>
    </row>
    <row r="1119" spans="1:33" x14ac:dyDescent="0.25">
      <c r="A1119" s="7"/>
      <c r="B1119" s="8"/>
      <c r="C1119" s="3"/>
      <c r="D1119" s="3"/>
      <c r="E1119" s="3" t="e">
        <f>VLOOKUP(D1119,VIAJES!$D:$E,2,FALSE)</f>
        <v>#N/A</v>
      </c>
      <c r="F1119" s="9" t="e">
        <f>VLOOKUP(D1119,VIAJES!$D:$F,3,FALSE)</f>
        <v>#N/A</v>
      </c>
      <c r="G1119" s="9" t="e">
        <f>VLOOKUP(D1119,VIAJES!$D:$G,4,FALSE)</f>
        <v>#N/A</v>
      </c>
      <c r="H1119" s="3" t="e">
        <f>VLOOKUP(D1119,VIAJES!$D:$H,5,FALSE)</f>
        <v>#N/A</v>
      </c>
      <c r="S1119" s="3">
        <f>IFERROR(INDEX(EVENTOS!$D:$D,MATCH(SCORE!S$2&amp;" "&amp;SCORE!$D1119,EVENTOS!$F:$F,0)),0)</f>
        <v>0</v>
      </c>
      <c r="T1119" s="3">
        <f>IFERROR(INDEX(EVENTOS!$D:$D,MATCH(SCORE!T$2&amp;" "&amp;SCORE!$D1119,EVENTOS!$F:$F,0)),0)</f>
        <v>0</v>
      </c>
      <c r="U1119" s="3">
        <f>IFERROR(INDEX(EVENTOS!$D:$D,MATCH(SCORE!U$2&amp;" "&amp;SCORE!$D1119,EVENTOS!$F:$F,0)),0)</f>
        <v>0</v>
      </c>
      <c r="V1119" s="3">
        <f>IFERROR(INDEX(EVENTOS!$D:$D,MATCH(SCORE!V$2&amp;" "&amp;SCORE!$D1119,EVENTOS!$F:$F,0)),0)</f>
        <v>0</v>
      </c>
      <c r="W1119" s="3">
        <f>IFERROR(INDEX(EVENTOS!$D:$D,MATCH(SCORE!W$2&amp;" "&amp;SCORE!$D1119,EVENTOS!$F:$F,0)),0)</f>
        <v>0</v>
      </c>
      <c r="X1119" s="3">
        <f>IFERROR(INDEX(EVENTOS!$D:$D,MATCH(SCORE!X$2&amp;" "&amp;SCORE!$D1119,EVENTOS!$F:$F,0)),0)</f>
        <v>0</v>
      </c>
      <c r="Y1119" s="3">
        <f>SUMIFS(EVENTOS!$D:$D, EVENTOS!$B:$B, D1119, EVENTOS!$E:$E, "*GirAlto*")</f>
        <v>0</v>
      </c>
      <c r="Z1119" s="3">
        <f>SUMIFS(EVENTOS!$D:$D, EVENTOS!$B:$B, D1119, EVENTOS!$E:$E, "*GirMed*")</f>
        <v>0</v>
      </c>
      <c r="AA1119" s="3">
        <f>SUMIFS(EVENTOS!$D:$D, EVENTOS!$B:$B, D1119, EVENTOS!$E:$E, "*GirBajo*")</f>
        <v>0</v>
      </c>
      <c r="AB1119" s="3">
        <f>IFERROR(INDEX(EVENTOS!$D:$D,MATCH(SCORE!AB$2&amp;" "&amp;SCORE!$D1119,EVENTOS!$F:$F,0)),0)</f>
        <v>0</v>
      </c>
      <c r="AC1119" s="3">
        <f>IFERROR(INDEX(EVENTOS!$D:$D,MATCH(SCORE!AC$2&amp;" "&amp;SCORE!$D1119,EVENTOS!$F:$F,0)),0)</f>
        <v>0</v>
      </c>
      <c r="AD1119" s="3">
        <f>IFERROR(INDEX(EVENTOS!$D:$D,MATCH(SCORE!AD$2&amp;" "&amp;SCORE!$D1119,EVENTOS!$F:$F,0)),0)</f>
        <v>0</v>
      </c>
      <c r="AE1119" s="3">
        <f t="shared" si="51"/>
        <v>0</v>
      </c>
      <c r="AF1119" s="10" t="e">
        <f t="shared" si="52"/>
        <v>#N/A</v>
      </c>
      <c r="AG1119" s="3" t="str">
        <f t="shared" si="53"/>
        <v/>
      </c>
    </row>
    <row r="1120" spans="1:33" x14ac:dyDescent="0.25">
      <c r="A1120" s="7"/>
      <c r="B1120" s="8"/>
      <c r="C1120" s="3"/>
      <c r="D1120" s="3"/>
      <c r="E1120" s="3" t="e">
        <f>VLOOKUP(D1120,VIAJES!$D:$E,2,FALSE)</f>
        <v>#N/A</v>
      </c>
      <c r="F1120" s="9" t="e">
        <f>VLOOKUP(D1120,VIAJES!$D:$F,3,FALSE)</f>
        <v>#N/A</v>
      </c>
      <c r="G1120" s="9" t="e">
        <f>VLOOKUP(D1120,VIAJES!$D:$G,4,FALSE)</f>
        <v>#N/A</v>
      </c>
      <c r="H1120" s="3" t="e">
        <f>VLOOKUP(D1120,VIAJES!$D:$H,5,FALSE)</f>
        <v>#N/A</v>
      </c>
      <c r="S1120" s="3">
        <f>IFERROR(INDEX(EVENTOS!$D:$D,MATCH(SCORE!S$2&amp;" "&amp;SCORE!$D1120,EVENTOS!$F:$F,0)),0)</f>
        <v>0</v>
      </c>
      <c r="T1120" s="3">
        <f>IFERROR(INDEX(EVENTOS!$D:$D,MATCH(SCORE!T$2&amp;" "&amp;SCORE!$D1120,EVENTOS!$F:$F,0)),0)</f>
        <v>0</v>
      </c>
      <c r="U1120" s="3">
        <f>IFERROR(INDEX(EVENTOS!$D:$D,MATCH(SCORE!U$2&amp;" "&amp;SCORE!$D1120,EVENTOS!$F:$F,0)),0)</f>
        <v>0</v>
      </c>
      <c r="V1120" s="3">
        <f>IFERROR(INDEX(EVENTOS!$D:$D,MATCH(SCORE!V$2&amp;" "&amp;SCORE!$D1120,EVENTOS!$F:$F,0)),0)</f>
        <v>0</v>
      </c>
      <c r="W1120" s="3">
        <f>IFERROR(INDEX(EVENTOS!$D:$D,MATCH(SCORE!W$2&amp;" "&amp;SCORE!$D1120,EVENTOS!$F:$F,0)),0)</f>
        <v>0</v>
      </c>
      <c r="X1120" s="3">
        <f>IFERROR(INDEX(EVENTOS!$D:$D,MATCH(SCORE!X$2&amp;" "&amp;SCORE!$D1120,EVENTOS!$F:$F,0)),0)</f>
        <v>0</v>
      </c>
      <c r="Y1120" s="3">
        <f>SUMIFS(EVENTOS!$D:$D, EVENTOS!$B:$B, D1120, EVENTOS!$E:$E, "*GirAlto*")</f>
        <v>0</v>
      </c>
      <c r="Z1120" s="3">
        <f>SUMIFS(EVENTOS!$D:$D, EVENTOS!$B:$B, D1120, EVENTOS!$E:$E, "*GirMed*")</f>
        <v>0</v>
      </c>
      <c r="AA1120" s="3">
        <f>SUMIFS(EVENTOS!$D:$D, EVENTOS!$B:$B, D1120, EVENTOS!$E:$E, "*GirBajo*")</f>
        <v>0</v>
      </c>
      <c r="AB1120" s="3">
        <f>IFERROR(INDEX(EVENTOS!$D:$D,MATCH(SCORE!AB$2&amp;" "&amp;SCORE!$D1120,EVENTOS!$F:$F,0)),0)</f>
        <v>0</v>
      </c>
      <c r="AC1120" s="3">
        <f>IFERROR(INDEX(EVENTOS!$D:$D,MATCH(SCORE!AC$2&amp;" "&amp;SCORE!$D1120,EVENTOS!$F:$F,0)),0)</f>
        <v>0</v>
      </c>
      <c r="AD1120" s="3">
        <f>IFERROR(INDEX(EVENTOS!$D:$D,MATCH(SCORE!AD$2&amp;" "&amp;SCORE!$D1120,EVENTOS!$F:$F,0)),0)</f>
        <v>0</v>
      </c>
      <c r="AE1120" s="3">
        <f t="shared" si="51"/>
        <v>0</v>
      </c>
      <c r="AF1120" s="10" t="e">
        <f t="shared" si="52"/>
        <v>#N/A</v>
      </c>
      <c r="AG1120" s="3" t="str">
        <f t="shared" si="53"/>
        <v/>
      </c>
    </row>
    <row r="1121" spans="1:33" x14ac:dyDescent="0.25">
      <c r="A1121" s="7"/>
      <c r="B1121" s="8"/>
      <c r="C1121" s="3"/>
      <c r="D1121" s="3"/>
      <c r="E1121" s="3" t="e">
        <f>VLOOKUP(D1121,VIAJES!$D:$E,2,FALSE)</f>
        <v>#N/A</v>
      </c>
      <c r="F1121" s="9" t="e">
        <f>VLOOKUP(D1121,VIAJES!$D:$F,3,FALSE)</f>
        <v>#N/A</v>
      </c>
      <c r="G1121" s="9" t="e">
        <f>VLOOKUP(D1121,VIAJES!$D:$G,4,FALSE)</f>
        <v>#N/A</v>
      </c>
      <c r="H1121" s="3" t="e">
        <f>VLOOKUP(D1121,VIAJES!$D:$H,5,FALSE)</f>
        <v>#N/A</v>
      </c>
      <c r="S1121" s="3">
        <f>IFERROR(INDEX(EVENTOS!$D:$D,MATCH(SCORE!S$2&amp;" "&amp;SCORE!$D1121,EVENTOS!$F:$F,0)),0)</f>
        <v>0</v>
      </c>
      <c r="T1121" s="3">
        <f>IFERROR(INDEX(EVENTOS!$D:$D,MATCH(SCORE!T$2&amp;" "&amp;SCORE!$D1121,EVENTOS!$F:$F,0)),0)</f>
        <v>0</v>
      </c>
      <c r="U1121" s="3">
        <f>IFERROR(INDEX(EVENTOS!$D:$D,MATCH(SCORE!U$2&amp;" "&amp;SCORE!$D1121,EVENTOS!$F:$F,0)),0)</f>
        <v>0</v>
      </c>
      <c r="V1121" s="3">
        <f>IFERROR(INDEX(EVENTOS!$D:$D,MATCH(SCORE!V$2&amp;" "&amp;SCORE!$D1121,EVENTOS!$F:$F,0)),0)</f>
        <v>0</v>
      </c>
      <c r="W1121" s="3">
        <f>IFERROR(INDEX(EVENTOS!$D:$D,MATCH(SCORE!W$2&amp;" "&amp;SCORE!$D1121,EVENTOS!$F:$F,0)),0)</f>
        <v>0</v>
      </c>
      <c r="X1121" s="3">
        <f>IFERROR(INDEX(EVENTOS!$D:$D,MATCH(SCORE!X$2&amp;" "&amp;SCORE!$D1121,EVENTOS!$F:$F,0)),0)</f>
        <v>0</v>
      </c>
      <c r="Y1121" s="3">
        <f>SUMIFS(EVENTOS!$D:$D, EVENTOS!$B:$B, D1121, EVENTOS!$E:$E, "*GirAlto*")</f>
        <v>0</v>
      </c>
      <c r="Z1121" s="3">
        <f>SUMIFS(EVENTOS!$D:$D, EVENTOS!$B:$B, D1121, EVENTOS!$E:$E, "*GirMed*")</f>
        <v>0</v>
      </c>
      <c r="AA1121" s="3">
        <f>SUMIFS(EVENTOS!$D:$D, EVENTOS!$B:$B, D1121, EVENTOS!$E:$E, "*GirBajo*")</f>
        <v>0</v>
      </c>
      <c r="AB1121" s="3">
        <f>IFERROR(INDEX(EVENTOS!$D:$D,MATCH(SCORE!AB$2&amp;" "&amp;SCORE!$D1121,EVENTOS!$F:$F,0)),0)</f>
        <v>0</v>
      </c>
      <c r="AC1121" s="3">
        <f>IFERROR(INDEX(EVENTOS!$D:$D,MATCH(SCORE!AC$2&amp;" "&amp;SCORE!$D1121,EVENTOS!$F:$F,0)),0)</f>
        <v>0</v>
      </c>
      <c r="AD1121" s="3">
        <f>IFERROR(INDEX(EVENTOS!$D:$D,MATCH(SCORE!AD$2&amp;" "&amp;SCORE!$D1121,EVENTOS!$F:$F,0)),0)</f>
        <v>0</v>
      </c>
      <c r="AE1121" s="3">
        <f t="shared" si="51"/>
        <v>0</v>
      </c>
      <c r="AF1121" s="10" t="e">
        <f t="shared" si="52"/>
        <v>#N/A</v>
      </c>
      <c r="AG1121" s="3" t="str">
        <f t="shared" si="53"/>
        <v/>
      </c>
    </row>
    <row r="1122" spans="1:33" x14ac:dyDescent="0.25">
      <c r="A1122" s="7"/>
      <c r="B1122" s="8"/>
      <c r="C1122" s="3"/>
      <c r="D1122" s="3"/>
      <c r="E1122" s="3" t="e">
        <f>VLOOKUP(D1122,VIAJES!$D:$E,2,FALSE)</f>
        <v>#N/A</v>
      </c>
      <c r="F1122" s="9" t="e">
        <f>VLOOKUP(D1122,VIAJES!$D:$F,3,FALSE)</f>
        <v>#N/A</v>
      </c>
      <c r="G1122" s="9" t="e">
        <f>VLOOKUP(D1122,VIAJES!$D:$G,4,FALSE)</f>
        <v>#N/A</v>
      </c>
      <c r="H1122" s="3" t="e">
        <f>VLOOKUP(D1122,VIAJES!$D:$H,5,FALSE)</f>
        <v>#N/A</v>
      </c>
      <c r="S1122" s="3">
        <f>IFERROR(INDEX(EVENTOS!$D:$D,MATCH(SCORE!S$2&amp;" "&amp;SCORE!$D1122,EVENTOS!$F:$F,0)),0)</f>
        <v>0</v>
      </c>
      <c r="T1122" s="3">
        <f>IFERROR(INDEX(EVENTOS!$D:$D,MATCH(SCORE!T$2&amp;" "&amp;SCORE!$D1122,EVENTOS!$F:$F,0)),0)</f>
        <v>0</v>
      </c>
      <c r="U1122" s="3">
        <f>IFERROR(INDEX(EVENTOS!$D:$D,MATCH(SCORE!U$2&amp;" "&amp;SCORE!$D1122,EVENTOS!$F:$F,0)),0)</f>
        <v>0</v>
      </c>
      <c r="V1122" s="3">
        <f>IFERROR(INDEX(EVENTOS!$D:$D,MATCH(SCORE!V$2&amp;" "&amp;SCORE!$D1122,EVENTOS!$F:$F,0)),0)</f>
        <v>0</v>
      </c>
      <c r="W1122" s="3">
        <f>IFERROR(INDEX(EVENTOS!$D:$D,MATCH(SCORE!W$2&amp;" "&amp;SCORE!$D1122,EVENTOS!$F:$F,0)),0)</f>
        <v>0</v>
      </c>
      <c r="X1122" s="3">
        <f>IFERROR(INDEX(EVENTOS!$D:$D,MATCH(SCORE!X$2&amp;" "&amp;SCORE!$D1122,EVENTOS!$F:$F,0)),0)</f>
        <v>0</v>
      </c>
      <c r="Y1122" s="3">
        <f>SUMIFS(EVENTOS!$D:$D, EVENTOS!$B:$B, D1122, EVENTOS!$E:$E, "*GirAlto*")</f>
        <v>0</v>
      </c>
      <c r="Z1122" s="3">
        <f>SUMIFS(EVENTOS!$D:$D, EVENTOS!$B:$B, D1122, EVENTOS!$E:$E, "*GirMed*")</f>
        <v>0</v>
      </c>
      <c r="AA1122" s="3">
        <f>SUMIFS(EVENTOS!$D:$D, EVENTOS!$B:$B, D1122, EVENTOS!$E:$E, "*GirBajo*")</f>
        <v>0</v>
      </c>
      <c r="AB1122" s="3">
        <f>IFERROR(INDEX(EVENTOS!$D:$D,MATCH(SCORE!AB$2&amp;" "&amp;SCORE!$D1122,EVENTOS!$F:$F,0)),0)</f>
        <v>0</v>
      </c>
      <c r="AC1122" s="3">
        <f>IFERROR(INDEX(EVENTOS!$D:$D,MATCH(SCORE!AC$2&amp;" "&amp;SCORE!$D1122,EVENTOS!$F:$F,0)),0)</f>
        <v>0</v>
      </c>
      <c r="AD1122" s="3">
        <f>IFERROR(INDEX(EVENTOS!$D:$D,MATCH(SCORE!AD$2&amp;" "&amp;SCORE!$D1122,EVENTOS!$F:$F,0)),0)</f>
        <v>0</v>
      </c>
      <c r="AE1122" s="3">
        <f t="shared" si="51"/>
        <v>0</v>
      </c>
      <c r="AF1122" s="10" t="e">
        <f t="shared" si="52"/>
        <v>#N/A</v>
      </c>
      <c r="AG1122" s="3" t="str">
        <f t="shared" si="53"/>
        <v/>
      </c>
    </row>
    <row r="1123" spans="1:33" x14ac:dyDescent="0.25">
      <c r="A1123" s="7"/>
      <c r="B1123" s="8"/>
      <c r="C1123" s="3"/>
      <c r="D1123" s="3"/>
      <c r="E1123" s="3" t="e">
        <f>VLOOKUP(D1123,VIAJES!$D:$E,2,FALSE)</f>
        <v>#N/A</v>
      </c>
      <c r="F1123" s="9" t="e">
        <f>VLOOKUP(D1123,VIAJES!$D:$F,3,FALSE)</f>
        <v>#N/A</v>
      </c>
      <c r="G1123" s="9" t="e">
        <f>VLOOKUP(D1123,VIAJES!$D:$G,4,FALSE)</f>
        <v>#N/A</v>
      </c>
      <c r="H1123" s="3" t="e">
        <f>VLOOKUP(D1123,VIAJES!$D:$H,5,FALSE)</f>
        <v>#N/A</v>
      </c>
      <c r="S1123" s="3">
        <f>IFERROR(INDEX(EVENTOS!$D:$D,MATCH(SCORE!S$2&amp;" "&amp;SCORE!$D1123,EVENTOS!$F:$F,0)),0)</f>
        <v>0</v>
      </c>
      <c r="T1123" s="3">
        <f>IFERROR(INDEX(EVENTOS!$D:$D,MATCH(SCORE!T$2&amp;" "&amp;SCORE!$D1123,EVENTOS!$F:$F,0)),0)</f>
        <v>0</v>
      </c>
      <c r="U1123" s="3">
        <f>IFERROR(INDEX(EVENTOS!$D:$D,MATCH(SCORE!U$2&amp;" "&amp;SCORE!$D1123,EVENTOS!$F:$F,0)),0)</f>
        <v>0</v>
      </c>
      <c r="V1123" s="3">
        <f>IFERROR(INDEX(EVENTOS!$D:$D,MATCH(SCORE!V$2&amp;" "&amp;SCORE!$D1123,EVENTOS!$F:$F,0)),0)</f>
        <v>0</v>
      </c>
      <c r="W1123" s="3">
        <f>IFERROR(INDEX(EVENTOS!$D:$D,MATCH(SCORE!W$2&amp;" "&amp;SCORE!$D1123,EVENTOS!$F:$F,0)),0)</f>
        <v>0</v>
      </c>
      <c r="X1123" s="3">
        <f>IFERROR(INDEX(EVENTOS!$D:$D,MATCH(SCORE!X$2&amp;" "&amp;SCORE!$D1123,EVENTOS!$F:$F,0)),0)</f>
        <v>0</v>
      </c>
      <c r="Y1123" s="3">
        <f>SUMIFS(EVENTOS!$D:$D, EVENTOS!$B:$B, D1123, EVENTOS!$E:$E, "*GirAlto*")</f>
        <v>0</v>
      </c>
      <c r="Z1123" s="3">
        <f>SUMIFS(EVENTOS!$D:$D, EVENTOS!$B:$B, D1123, EVENTOS!$E:$E, "*GirMed*")</f>
        <v>0</v>
      </c>
      <c r="AA1123" s="3">
        <f>SUMIFS(EVENTOS!$D:$D, EVENTOS!$B:$B, D1123, EVENTOS!$E:$E, "*GirBajo*")</f>
        <v>0</v>
      </c>
      <c r="AB1123" s="3">
        <f>IFERROR(INDEX(EVENTOS!$D:$D,MATCH(SCORE!AB$2&amp;" "&amp;SCORE!$D1123,EVENTOS!$F:$F,0)),0)</f>
        <v>0</v>
      </c>
      <c r="AC1123" s="3">
        <f>IFERROR(INDEX(EVENTOS!$D:$D,MATCH(SCORE!AC$2&amp;" "&amp;SCORE!$D1123,EVENTOS!$F:$F,0)),0)</f>
        <v>0</v>
      </c>
      <c r="AD1123" s="3">
        <f>IFERROR(INDEX(EVENTOS!$D:$D,MATCH(SCORE!AD$2&amp;" "&amp;SCORE!$D1123,EVENTOS!$F:$F,0)),0)</f>
        <v>0</v>
      </c>
      <c r="AE1123" s="3">
        <f t="shared" si="51"/>
        <v>0</v>
      </c>
      <c r="AF1123" s="10" t="e">
        <f t="shared" si="52"/>
        <v>#N/A</v>
      </c>
      <c r="AG1123" s="3" t="str">
        <f t="shared" si="53"/>
        <v/>
      </c>
    </row>
    <row r="1124" spans="1:33" x14ac:dyDescent="0.25">
      <c r="A1124" s="7"/>
      <c r="B1124" s="8"/>
      <c r="C1124" s="3"/>
      <c r="D1124" s="3"/>
      <c r="E1124" s="3" t="e">
        <f>VLOOKUP(D1124,VIAJES!$D:$E,2,FALSE)</f>
        <v>#N/A</v>
      </c>
      <c r="F1124" s="9" t="e">
        <f>VLOOKUP(D1124,VIAJES!$D:$F,3,FALSE)</f>
        <v>#N/A</v>
      </c>
      <c r="G1124" s="9" t="e">
        <f>VLOOKUP(D1124,VIAJES!$D:$G,4,FALSE)</f>
        <v>#N/A</v>
      </c>
      <c r="H1124" s="3" t="e">
        <f>VLOOKUP(D1124,VIAJES!$D:$H,5,FALSE)</f>
        <v>#N/A</v>
      </c>
      <c r="S1124" s="3">
        <f>IFERROR(INDEX(EVENTOS!$D:$D,MATCH(SCORE!S$2&amp;" "&amp;SCORE!$D1124,EVENTOS!$F:$F,0)),0)</f>
        <v>0</v>
      </c>
      <c r="T1124" s="3">
        <f>IFERROR(INDEX(EVENTOS!$D:$D,MATCH(SCORE!T$2&amp;" "&amp;SCORE!$D1124,EVENTOS!$F:$F,0)),0)</f>
        <v>0</v>
      </c>
      <c r="U1124" s="3">
        <f>IFERROR(INDEX(EVENTOS!$D:$D,MATCH(SCORE!U$2&amp;" "&amp;SCORE!$D1124,EVENTOS!$F:$F,0)),0)</f>
        <v>0</v>
      </c>
      <c r="V1124" s="3">
        <f>IFERROR(INDEX(EVENTOS!$D:$D,MATCH(SCORE!V$2&amp;" "&amp;SCORE!$D1124,EVENTOS!$F:$F,0)),0)</f>
        <v>0</v>
      </c>
      <c r="W1124" s="3">
        <f>IFERROR(INDEX(EVENTOS!$D:$D,MATCH(SCORE!W$2&amp;" "&amp;SCORE!$D1124,EVENTOS!$F:$F,0)),0)</f>
        <v>0</v>
      </c>
      <c r="X1124" s="3">
        <f>IFERROR(INDEX(EVENTOS!$D:$D,MATCH(SCORE!X$2&amp;" "&amp;SCORE!$D1124,EVENTOS!$F:$F,0)),0)</f>
        <v>0</v>
      </c>
      <c r="Y1124" s="3">
        <f>SUMIFS(EVENTOS!$D:$D, EVENTOS!$B:$B, D1124, EVENTOS!$E:$E, "*GirAlto*")</f>
        <v>0</v>
      </c>
      <c r="Z1124" s="3">
        <f>SUMIFS(EVENTOS!$D:$D, EVENTOS!$B:$B, D1124, EVENTOS!$E:$E, "*GirMed*")</f>
        <v>0</v>
      </c>
      <c r="AA1124" s="3">
        <f>SUMIFS(EVENTOS!$D:$D, EVENTOS!$B:$B, D1124, EVENTOS!$E:$E, "*GirBajo*")</f>
        <v>0</v>
      </c>
      <c r="AB1124" s="3">
        <f>IFERROR(INDEX(EVENTOS!$D:$D,MATCH(SCORE!AB$2&amp;" "&amp;SCORE!$D1124,EVENTOS!$F:$F,0)),0)</f>
        <v>0</v>
      </c>
      <c r="AC1124" s="3">
        <f>IFERROR(INDEX(EVENTOS!$D:$D,MATCH(SCORE!AC$2&amp;" "&amp;SCORE!$D1124,EVENTOS!$F:$F,0)),0)</f>
        <v>0</v>
      </c>
      <c r="AD1124" s="3">
        <f>IFERROR(INDEX(EVENTOS!$D:$D,MATCH(SCORE!AD$2&amp;" "&amp;SCORE!$D1124,EVENTOS!$F:$F,0)),0)</f>
        <v>0</v>
      </c>
      <c r="AE1124" s="3">
        <f t="shared" si="51"/>
        <v>0</v>
      </c>
      <c r="AF1124" s="10" t="e">
        <f t="shared" si="52"/>
        <v>#N/A</v>
      </c>
      <c r="AG1124" s="3" t="str">
        <f t="shared" si="53"/>
        <v/>
      </c>
    </row>
    <row r="1125" spans="1:33" x14ac:dyDescent="0.25">
      <c r="A1125" s="7"/>
      <c r="B1125" s="8"/>
      <c r="C1125" s="3"/>
      <c r="D1125" s="3"/>
      <c r="E1125" s="3" t="e">
        <f>VLOOKUP(D1125,VIAJES!$D:$E,2,FALSE)</f>
        <v>#N/A</v>
      </c>
      <c r="F1125" s="9" t="e">
        <f>VLOOKUP(D1125,VIAJES!$D:$F,3,FALSE)</f>
        <v>#N/A</v>
      </c>
      <c r="G1125" s="9" t="e">
        <f>VLOOKUP(D1125,VIAJES!$D:$G,4,FALSE)</f>
        <v>#N/A</v>
      </c>
      <c r="H1125" s="3" t="e">
        <f>VLOOKUP(D1125,VIAJES!$D:$H,5,FALSE)</f>
        <v>#N/A</v>
      </c>
      <c r="S1125" s="3">
        <f>IFERROR(INDEX(EVENTOS!$D:$D,MATCH(SCORE!S$2&amp;" "&amp;SCORE!$D1125,EVENTOS!$F:$F,0)),0)</f>
        <v>0</v>
      </c>
      <c r="T1125" s="3">
        <f>IFERROR(INDEX(EVENTOS!$D:$D,MATCH(SCORE!T$2&amp;" "&amp;SCORE!$D1125,EVENTOS!$F:$F,0)),0)</f>
        <v>0</v>
      </c>
      <c r="U1125" s="3">
        <f>IFERROR(INDEX(EVENTOS!$D:$D,MATCH(SCORE!U$2&amp;" "&amp;SCORE!$D1125,EVENTOS!$F:$F,0)),0)</f>
        <v>0</v>
      </c>
      <c r="V1125" s="3">
        <f>IFERROR(INDEX(EVENTOS!$D:$D,MATCH(SCORE!V$2&amp;" "&amp;SCORE!$D1125,EVENTOS!$F:$F,0)),0)</f>
        <v>0</v>
      </c>
      <c r="W1125" s="3">
        <f>IFERROR(INDEX(EVENTOS!$D:$D,MATCH(SCORE!W$2&amp;" "&amp;SCORE!$D1125,EVENTOS!$F:$F,0)),0)</f>
        <v>0</v>
      </c>
      <c r="X1125" s="3">
        <f>IFERROR(INDEX(EVENTOS!$D:$D,MATCH(SCORE!X$2&amp;" "&amp;SCORE!$D1125,EVENTOS!$F:$F,0)),0)</f>
        <v>0</v>
      </c>
      <c r="Y1125" s="3">
        <f>SUMIFS(EVENTOS!$D:$D, EVENTOS!$B:$B, D1125, EVENTOS!$E:$E, "*GirAlto*")</f>
        <v>0</v>
      </c>
      <c r="Z1125" s="3">
        <f>SUMIFS(EVENTOS!$D:$D, EVENTOS!$B:$B, D1125, EVENTOS!$E:$E, "*GirMed*")</f>
        <v>0</v>
      </c>
      <c r="AA1125" s="3">
        <f>SUMIFS(EVENTOS!$D:$D, EVENTOS!$B:$B, D1125, EVENTOS!$E:$E, "*GirBajo*")</f>
        <v>0</v>
      </c>
      <c r="AB1125" s="3">
        <f>IFERROR(INDEX(EVENTOS!$D:$D,MATCH(SCORE!AB$2&amp;" "&amp;SCORE!$D1125,EVENTOS!$F:$F,0)),0)</f>
        <v>0</v>
      </c>
      <c r="AC1125" s="3">
        <f>IFERROR(INDEX(EVENTOS!$D:$D,MATCH(SCORE!AC$2&amp;" "&amp;SCORE!$D1125,EVENTOS!$F:$F,0)),0)</f>
        <v>0</v>
      </c>
      <c r="AD1125" s="3">
        <f>IFERROR(INDEX(EVENTOS!$D:$D,MATCH(SCORE!AD$2&amp;" "&amp;SCORE!$D1125,EVENTOS!$F:$F,0)),0)</f>
        <v>0</v>
      </c>
      <c r="AE1125" s="3">
        <f t="shared" si="51"/>
        <v>0</v>
      </c>
      <c r="AF1125" s="10" t="e">
        <f t="shared" si="52"/>
        <v>#N/A</v>
      </c>
      <c r="AG1125" s="3" t="str">
        <f t="shared" si="53"/>
        <v/>
      </c>
    </row>
    <row r="1126" spans="1:33" x14ac:dyDescent="0.25">
      <c r="A1126" s="7"/>
      <c r="B1126" s="8"/>
      <c r="C1126" s="3"/>
      <c r="D1126" s="3"/>
      <c r="E1126" s="3" t="e">
        <f>VLOOKUP(D1126,VIAJES!$D:$E,2,FALSE)</f>
        <v>#N/A</v>
      </c>
      <c r="F1126" s="9" t="e">
        <f>VLOOKUP(D1126,VIAJES!$D:$F,3,FALSE)</f>
        <v>#N/A</v>
      </c>
      <c r="G1126" s="9" t="e">
        <f>VLOOKUP(D1126,VIAJES!$D:$G,4,FALSE)</f>
        <v>#N/A</v>
      </c>
      <c r="H1126" s="3" t="e">
        <f>VLOOKUP(D1126,VIAJES!$D:$H,5,FALSE)</f>
        <v>#N/A</v>
      </c>
      <c r="S1126" s="3">
        <f>IFERROR(INDEX(EVENTOS!$D:$D,MATCH(SCORE!S$2&amp;" "&amp;SCORE!$D1126,EVENTOS!$F:$F,0)),0)</f>
        <v>0</v>
      </c>
      <c r="T1126" s="3">
        <f>IFERROR(INDEX(EVENTOS!$D:$D,MATCH(SCORE!T$2&amp;" "&amp;SCORE!$D1126,EVENTOS!$F:$F,0)),0)</f>
        <v>0</v>
      </c>
      <c r="U1126" s="3">
        <f>IFERROR(INDEX(EVENTOS!$D:$D,MATCH(SCORE!U$2&amp;" "&amp;SCORE!$D1126,EVENTOS!$F:$F,0)),0)</f>
        <v>0</v>
      </c>
      <c r="V1126" s="3">
        <f>IFERROR(INDEX(EVENTOS!$D:$D,MATCH(SCORE!V$2&amp;" "&amp;SCORE!$D1126,EVENTOS!$F:$F,0)),0)</f>
        <v>0</v>
      </c>
      <c r="W1126" s="3">
        <f>IFERROR(INDEX(EVENTOS!$D:$D,MATCH(SCORE!W$2&amp;" "&amp;SCORE!$D1126,EVENTOS!$F:$F,0)),0)</f>
        <v>0</v>
      </c>
      <c r="X1126" s="3">
        <f>IFERROR(INDEX(EVENTOS!$D:$D,MATCH(SCORE!X$2&amp;" "&amp;SCORE!$D1126,EVENTOS!$F:$F,0)),0)</f>
        <v>0</v>
      </c>
      <c r="Y1126" s="3">
        <f>SUMIFS(EVENTOS!$D:$D, EVENTOS!$B:$B, D1126, EVENTOS!$E:$E, "*GirAlto*")</f>
        <v>0</v>
      </c>
      <c r="Z1126" s="3">
        <f>SUMIFS(EVENTOS!$D:$D, EVENTOS!$B:$B, D1126, EVENTOS!$E:$E, "*GirMed*")</f>
        <v>0</v>
      </c>
      <c r="AA1126" s="3">
        <f>SUMIFS(EVENTOS!$D:$D, EVENTOS!$B:$B, D1126, EVENTOS!$E:$E, "*GirBajo*")</f>
        <v>0</v>
      </c>
      <c r="AB1126" s="3">
        <f>IFERROR(INDEX(EVENTOS!$D:$D,MATCH(SCORE!AB$2&amp;" "&amp;SCORE!$D1126,EVENTOS!$F:$F,0)),0)</f>
        <v>0</v>
      </c>
      <c r="AC1126" s="3">
        <f>IFERROR(INDEX(EVENTOS!$D:$D,MATCH(SCORE!AC$2&amp;" "&amp;SCORE!$D1126,EVENTOS!$F:$F,0)),0)</f>
        <v>0</v>
      </c>
      <c r="AD1126" s="3">
        <f>IFERROR(INDEX(EVENTOS!$D:$D,MATCH(SCORE!AD$2&amp;" "&amp;SCORE!$D1126,EVENTOS!$F:$F,0)),0)</f>
        <v>0</v>
      </c>
      <c r="AE1126" s="3">
        <f t="shared" si="51"/>
        <v>0</v>
      </c>
      <c r="AF1126" s="10" t="e">
        <f t="shared" si="52"/>
        <v>#N/A</v>
      </c>
      <c r="AG1126" s="3" t="str">
        <f t="shared" si="53"/>
        <v/>
      </c>
    </row>
    <row r="1127" spans="1:33" x14ac:dyDescent="0.25">
      <c r="A1127" s="7"/>
      <c r="B1127" s="8"/>
      <c r="C1127" s="3"/>
      <c r="D1127" s="3"/>
      <c r="E1127" s="3" t="e">
        <f>VLOOKUP(D1127,VIAJES!$D:$E,2,FALSE)</f>
        <v>#N/A</v>
      </c>
      <c r="F1127" s="9" t="e">
        <f>VLOOKUP(D1127,VIAJES!$D:$F,3,FALSE)</f>
        <v>#N/A</v>
      </c>
      <c r="G1127" s="9" t="e">
        <f>VLOOKUP(D1127,VIAJES!$D:$G,4,FALSE)</f>
        <v>#N/A</v>
      </c>
      <c r="H1127" s="3" t="e">
        <f>VLOOKUP(D1127,VIAJES!$D:$H,5,FALSE)</f>
        <v>#N/A</v>
      </c>
      <c r="S1127" s="3">
        <f>IFERROR(INDEX(EVENTOS!$D:$D,MATCH(SCORE!S$2&amp;" "&amp;SCORE!$D1127,EVENTOS!$F:$F,0)),0)</f>
        <v>0</v>
      </c>
      <c r="T1127" s="3">
        <f>IFERROR(INDEX(EVENTOS!$D:$D,MATCH(SCORE!T$2&amp;" "&amp;SCORE!$D1127,EVENTOS!$F:$F,0)),0)</f>
        <v>0</v>
      </c>
      <c r="U1127" s="3">
        <f>IFERROR(INDEX(EVENTOS!$D:$D,MATCH(SCORE!U$2&amp;" "&amp;SCORE!$D1127,EVENTOS!$F:$F,0)),0)</f>
        <v>0</v>
      </c>
      <c r="V1127" s="3">
        <f>IFERROR(INDEX(EVENTOS!$D:$D,MATCH(SCORE!V$2&amp;" "&amp;SCORE!$D1127,EVENTOS!$F:$F,0)),0)</f>
        <v>0</v>
      </c>
      <c r="W1127" s="3">
        <f>IFERROR(INDEX(EVENTOS!$D:$D,MATCH(SCORE!W$2&amp;" "&amp;SCORE!$D1127,EVENTOS!$F:$F,0)),0)</f>
        <v>0</v>
      </c>
      <c r="X1127" s="3">
        <f>IFERROR(INDEX(EVENTOS!$D:$D,MATCH(SCORE!X$2&amp;" "&amp;SCORE!$D1127,EVENTOS!$F:$F,0)),0)</f>
        <v>0</v>
      </c>
      <c r="Y1127" s="3">
        <f>SUMIFS(EVENTOS!$D:$D, EVENTOS!$B:$B, D1127, EVENTOS!$E:$E, "*GirAlto*")</f>
        <v>0</v>
      </c>
      <c r="Z1127" s="3">
        <f>SUMIFS(EVENTOS!$D:$D, EVENTOS!$B:$B, D1127, EVENTOS!$E:$E, "*GirMed*")</f>
        <v>0</v>
      </c>
      <c r="AA1127" s="3">
        <f>SUMIFS(EVENTOS!$D:$D, EVENTOS!$B:$B, D1127, EVENTOS!$E:$E, "*GirBajo*")</f>
        <v>0</v>
      </c>
      <c r="AB1127" s="3">
        <f>IFERROR(INDEX(EVENTOS!$D:$D,MATCH(SCORE!AB$2&amp;" "&amp;SCORE!$D1127,EVENTOS!$F:$F,0)),0)</f>
        <v>0</v>
      </c>
      <c r="AC1127" s="3">
        <f>IFERROR(INDEX(EVENTOS!$D:$D,MATCH(SCORE!AC$2&amp;" "&amp;SCORE!$D1127,EVENTOS!$F:$F,0)),0)</f>
        <v>0</v>
      </c>
      <c r="AD1127" s="3">
        <f>IFERROR(INDEX(EVENTOS!$D:$D,MATCH(SCORE!AD$2&amp;" "&amp;SCORE!$D1127,EVENTOS!$F:$F,0)),0)</f>
        <v>0</v>
      </c>
      <c r="AE1127" s="3">
        <f t="shared" si="51"/>
        <v>0</v>
      </c>
      <c r="AF1127" s="10" t="e">
        <f t="shared" si="52"/>
        <v>#N/A</v>
      </c>
      <c r="AG1127" s="3" t="str">
        <f t="shared" si="53"/>
        <v/>
      </c>
    </row>
    <row r="1128" spans="1:33" x14ac:dyDescent="0.25">
      <c r="A1128" s="7"/>
      <c r="B1128" s="8"/>
      <c r="C1128" s="3"/>
      <c r="D1128" s="3"/>
      <c r="E1128" s="3" t="e">
        <f>VLOOKUP(D1128,VIAJES!$D:$E,2,FALSE)</f>
        <v>#N/A</v>
      </c>
      <c r="F1128" s="9" t="e">
        <f>VLOOKUP(D1128,VIAJES!$D:$F,3,FALSE)</f>
        <v>#N/A</v>
      </c>
      <c r="G1128" s="9" t="e">
        <f>VLOOKUP(D1128,VIAJES!$D:$G,4,FALSE)</f>
        <v>#N/A</v>
      </c>
      <c r="H1128" s="3" t="e">
        <f>VLOOKUP(D1128,VIAJES!$D:$H,5,FALSE)</f>
        <v>#N/A</v>
      </c>
      <c r="S1128" s="3">
        <f>IFERROR(INDEX(EVENTOS!$D:$D,MATCH(SCORE!S$2&amp;" "&amp;SCORE!$D1128,EVENTOS!$F:$F,0)),0)</f>
        <v>0</v>
      </c>
      <c r="T1128" s="3">
        <f>IFERROR(INDEX(EVENTOS!$D:$D,MATCH(SCORE!T$2&amp;" "&amp;SCORE!$D1128,EVENTOS!$F:$F,0)),0)</f>
        <v>0</v>
      </c>
      <c r="U1128" s="3">
        <f>IFERROR(INDEX(EVENTOS!$D:$D,MATCH(SCORE!U$2&amp;" "&amp;SCORE!$D1128,EVENTOS!$F:$F,0)),0)</f>
        <v>0</v>
      </c>
      <c r="V1128" s="3">
        <f>IFERROR(INDEX(EVENTOS!$D:$D,MATCH(SCORE!V$2&amp;" "&amp;SCORE!$D1128,EVENTOS!$F:$F,0)),0)</f>
        <v>0</v>
      </c>
      <c r="W1128" s="3">
        <f>IFERROR(INDEX(EVENTOS!$D:$D,MATCH(SCORE!W$2&amp;" "&amp;SCORE!$D1128,EVENTOS!$F:$F,0)),0)</f>
        <v>0</v>
      </c>
      <c r="X1128" s="3">
        <f>IFERROR(INDEX(EVENTOS!$D:$D,MATCH(SCORE!X$2&amp;" "&amp;SCORE!$D1128,EVENTOS!$F:$F,0)),0)</f>
        <v>0</v>
      </c>
      <c r="Y1128" s="3">
        <f>SUMIFS(EVENTOS!$D:$D, EVENTOS!$B:$B, D1128, EVENTOS!$E:$E, "*GirAlto*")</f>
        <v>0</v>
      </c>
      <c r="Z1128" s="3">
        <f>SUMIFS(EVENTOS!$D:$D, EVENTOS!$B:$B, D1128, EVENTOS!$E:$E, "*GirMed*")</f>
        <v>0</v>
      </c>
      <c r="AA1128" s="3">
        <f>SUMIFS(EVENTOS!$D:$D, EVENTOS!$B:$B, D1128, EVENTOS!$E:$E, "*GirBajo*")</f>
        <v>0</v>
      </c>
      <c r="AB1128" s="3">
        <f>IFERROR(INDEX(EVENTOS!$D:$D,MATCH(SCORE!AB$2&amp;" "&amp;SCORE!$D1128,EVENTOS!$F:$F,0)),0)</f>
        <v>0</v>
      </c>
      <c r="AC1128" s="3">
        <f>IFERROR(INDEX(EVENTOS!$D:$D,MATCH(SCORE!AC$2&amp;" "&amp;SCORE!$D1128,EVENTOS!$F:$F,0)),0)</f>
        <v>0</v>
      </c>
      <c r="AD1128" s="3">
        <f>IFERROR(INDEX(EVENTOS!$D:$D,MATCH(SCORE!AD$2&amp;" "&amp;SCORE!$D1128,EVENTOS!$F:$F,0)),0)</f>
        <v>0</v>
      </c>
      <c r="AE1128" s="3">
        <f t="shared" si="51"/>
        <v>0</v>
      </c>
      <c r="AF1128" s="10" t="e">
        <f t="shared" si="52"/>
        <v>#N/A</v>
      </c>
      <c r="AG1128" s="3" t="str">
        <f t="shared" si="53"/>
        <v/>
      </c>
    </row>
    <row r="1129" spans="1:33" x14ac:dyDescent="0.25">
      <c r="A1129" s="7"/>
      <c r="B1129" s="8"/>
      <c r="C1129" s="3"/>
      <c r="D1129" s="3"/>
      <c r="E1129" s="3" t="e">
        <f>VLOOKUP(D1129,VIAJES!$D:$E,2,FALSE)</f>
        <v>#N/A</v>
      </c>
      <c r="F1129" s="9" t="e">
        <f>VLOOKUP(D1129,VIAJES!$D:$F,3,FALSE)</f>
        <v>#N/A</v>
      </c>
      <c r="G1129" s="9" t="e">
        <f>VLOOKUP(D1129,VIAJES!$D:$G,4,FALSE)</f>
        <v>#N/A</v>
      </c>
      <c r="H1129" s="3" t="e">
        <f>VLOOKUP(D1129,VIAJES!$D:$H,5,FALSE)</f>
        <v>#N/A</v>
      </c>
      <c r="S1129" s="3">
        <f>IFERROR(INDEX(EVENTOS!$D:$D,MATCH(SCORE!S$2&amp;" "&amp;SCORE!$D1129,EVENTOS!$F:$F,0)),0)</f>
        <v>0</v>
      </c>
      <c r="T1129" s="3">
        <f>IFERROR(INDEX(EVENTOS!$D:$D,MATCH(SCORE!T$2&amp;" "&amp;SCORE!$D1129,EVENTOS!$F:$F,0)),0)</f>
        <v>0</v>
      </c>
      <c r="U1129" s="3">
        <f>IFERROR(INDEX(EVENTOS!$D:$D,MATCH(SCORE!U$2&amp;" "&amp;SCORE!$D1129,EVENTOS!$F:$F,0)),0)</f>
        <v>0</v>
      </c>
      <c r="V1129" s="3">
        <f>IFERROR(INDEX(EVENTOS!$D:$D,MATCH(SCORE!V$2&amp;" "&amp;SCORE!$D1129,EVENTOS!$F:$F,0)),0)</f>
        <v>0</v>
      </c>
      <c r="W1129" s="3">
        <f>IFERROR(INDEX(EVENTOS!$D:$D,MATCH(SCORE!W$2&amp;" "&amp;SCORE!$D1129,EVENTOS!$F:$F,0)),0)</f>
        <v>0</v>
      </c>
      <c r="X1129" s="3">
        <f>IFERROR(INDEX(EVENTOS!$D:$D,MATCH(SCORE!X$2&amp;" "&amp;SCORE!$D1129,EVENTOS!$F:$F,0)),0)</f>
        <v>0</v>
      </c>
      <c r="Y1129" s="3">
        <f>SUMIFS(EVENTOS!$D:$D, EVENTOS!$B:$B, D1129, EVENTOS!$E:$E, "*GirAlto*")</f>
        <v>0</v>
      </c>
      <c r="Z1129" s="3">
        <f>SUMIFS(EVENTOS!$D:$D, EVENTOS!$B:$B, D1129, EVENTOS!$E:$E, "*GirMed*")</f>
        <v>0</v>
      </c>
      <c r="AA1129" s="3">
        <f>SUMIFS(EVENTOS!$D:$D, EVENTOS!$B:$B, D1129, EVENTOS!$E:$E, "*GirBajo*")</f>
        <v>0</v>
      </c>
      <c r="AB1129" s="3">
        <f>IFERROR(INDEX(EVENTOS!$D:$D,MATCH(SCORE!AB$2&amp;" "&amp;SCORE!$D1129,EVENTOS!$F:$F,0)),0)</f>
        <v>0</v>
      </c>
      <c r="AC1129" s="3">
        <f>IFERROR(INDEX(EVENTOS!$D:$D,MATCH(SCORE!AC$2&amp;" "&amp;SCORE!$D1129,EVENTOS!$F:$F,0)),0)</f>
        <v>0</v>
      </c>
      <c r="AD1129" s="3">
        <f>IFERROR(INDEX(EVENTOS!$D:$D,MATCH(SCORE!AD$2&amp;" "&amp;SCORE!$D1129,EVENTOS!$F:$F,0)),0)</f>
        <v>0</v>
      </c>
      <c r="AE1129" s="3">
        <f t="shared" si="51"/>
        <v>0</v>
      </c>
      <c r="AF1129" s="10" t="e">
        <f t="shared" si="52"/>
        <v>#N/A</v>
      </c>
      <c r="AG1129" s="3" t="str">
        <f t="shared" si="53"/>
        <v/>
      </c>
    </row>
    <row r="1130" spans="1:33" x14ac:dyDescent="0.25">
      <c r="A1130" s="7"/>
      <c r="B1130" s="8"/>
      <c r="C1130" s="3"/>
      <c r="D1130" s="3"/>
      <c r="E1130" s="3" t="e">
        <f>VLOOKUP(D1130,VIAJES!$D:$E,2,FALSE)</f>
        <v>#N/A</v>
      </c>
      <c r="F1130" s="9" t="e">
        <f>VLOOKUP(D1130,VIAJES!$D:$F,3,FALSE)</f>
        <v>#N/A</v>
      </c>
      <c r="G1130" s="9" t="e">
        <f>VLOOKUP(D1130,VIAJES!$D:$G,4,FALSE)</f>
        <v>#N/A</v>
      </c>
      <c r="H1130" s="3" t="e">
        <f>VLOOKUP(D1130,VIAJES!$D:$H,5,FALSE)</f>
        <v>#N/A</v>
      </c>
      <c r="S1130" s="3">
        <f>IFERROR(INDEX(EVENTOS!$D:$D,MATCH(SCORE!S$2&amp;" "&amp;SCORE!$D1130,EVENTOS!$F:$F,0)),0)</f>
        <v>0</v>
      </c>
      <c r="T1130" s="3">
        <f>IFERROR(INDEX(EVENTOS!$D:$D,MATCH(SCORE!T$2&amp;" "&amp;SCORE!$D1130,EVENTOS!$F:$F,0)),0)</f>
        <v>0</v>
      </c>
      <c r="U1130" s="3">
        <f>IFERROR(INDEX(EVENTOS!$D:$D,MATCH(SCORE!U$2&amp;" "&amp;SCORE!$D1130,EVENTOS!$F:$F,0)),0)</f>
        <v>0</v>
      </c>
      <c r="V1130" s="3">
        <f>IFERROR(INDEX(EVENTOS!$D:$D,MATCH(SCORE!V$2&amp;" "&amp;SCORE!$D1130,EVENTOS!$F:$F,0)),0)</f>
        <v>0</v>
      </c>
      <c r="W1130" s="3">
        <f>IFERROR(INDEX(EVENTOS!$D:$D,MATCH(SCORE!W$2&amp;" "&amp;SCORE!$D1130,EVENTOS!$F:$F,0)),0)</f>
        <v>0</v>
      </c>
      <c r="X1130" s="3">
        <f>IFERROR(INDEX(EVENTOS!$D:$D,MATCH(SCORE!X$2&amp;" "&amp;SCORE!$D1130,EVENTOS!$F:$F,0)),0)</f>
        <v>0</v>
      </c>
      <c r="Y1130" s="3">
        <f>SUMIFS(EVENTOS!$D:$D, EVENTOS!$B:$B, D1130, EVENTOS!$E:$E, "*GirAlto*")</f>
        <v>0</v>
      </c>
      <c r="Z1130" s="3">
        <f>SUMIFS(EVENTOS!$D:$D, EVENTOS!$B:$B, D1130, EVENTOS!$E:$E, "*GirMed*")</f>
        <v>0</v>
      </c>
      <c r="AA1130" s="3">
        <f>SUMIFS(EVENTOS!$D:$D, EVENTOS!$B:$B, D1130, EVENTOS!$E:$E, "*GirBajo*")</f>
        <v>0</v>
      </c>
      <c r="AB1130" s="3">
        <f>IFERROR(INDEX(EVENTOS!$D:$D,MATCH(SCORE!AB$2&amp;" "&amp;SCORE!$D1130,EVENTOS!$F:$F,0)),0)</f>
        <v>0</v>
      </c>
      <c r="AC1130" s="3">
        <f>IFERROR(INDEX(EVENTOS!$D:$D,MATCH(SCORE!AC$2&amp;" "&amp;SCORE!$D1130,EVENTOS!$F:$F,0)),0)</f>
        <v>0</v>
      </c>
      <c r="AD1130" s="3">
        <f>IFERROR(INDEX(EVENTOS!$D:$D,MATCH(SCORE!AD$2&amp;" "&amp;SCORE!$D1130,EVENTOS!$F:$F,0)),0)</f>
        <v>0</v>
      </c>
      <c r="AE1130" s="3">
        <f t="shared" si="51"/>
        <v>0</v>
      </c>
      <c r="AF1130" s="10" t="e">
        <f t="shared" si="52"/>
        <v>#N/A</v>
      </c>
      <c r="AG1130" s="3" t="str">
        <f t="shared" si="53"/>
        <v/>
      </c>
    </row>
    <row r="1131" spans="1:33" x14ac:dyDescent="0.25">
      <c r="A1131" s="7"/>
      <c r="B1131" s="8"/>
      <c r="C1131" s="3"/>
      <c r="D1131" s="3"/>
      <c r="E1131" s="3" t="e">
        <f>VLOOKUP(D1131,VIAJES!$D:$E,2,FALSE)</f>
        <v>#N/A</v>
      </c>
      <c r="F1131" s="9" t="e">
        <f>VLOOKUP(D1131,VIAJES!$D:$F,3,FALSE)</f>
        <v>#N/A</v>
      </c>
      <c r="G1131" s="9" t="e">
        <f>VLOOKUP(D1131,VIAJES!$D:$G,4,FALSE)</f>
        <v>#N/A</v>
      </c>
      <c r="H1131" s="3" t="e">
        <f>VLOOKUP(D1131,VIAJES!$D:$H,5,FALSE)</f>
        <v>#N/A</v>
      </c>
      <c r="S1131" s="3">
        <f>IFERROR(INDEX(EVENTOS!$D:$D,MATCH(SCORE!S$2&amp;" "&amp;SCORE!$D1131,EVENTOS!$F:$F,0)),0)</f>
        <v>0</v>
      </c>
      <c r="T1131" s="3">
        <f>IFERROR(INDEX(EVENTOS!$D:$D,MATCH(SCORE!T$2&amp;" "&amp;SCORE!$D1131,EVENTOS!$F:$F,0)),0)</f>
        <v>0</v>
      </c>
      <c r="U1131" s="3">
        <f>IFERROR(INDEX(EVENTOS!$D:$D,MATCH(SCORE!U$2&amp;" "&amp;SCORE!$D1131,EVENTOS!$F:$F,0)),0)</f>
        <v>0</v>
      </c>
      <c r="V1131" s="3">
        <f>IFERROR(INDEX(EVENTOS!$D:$D,MATCH(SCORE!V$2&amp;" "&amp;SCORE!$D1131,EVENTOS!$F:$F,0)),0)</f>
        <v>0</v>
      </c>
      <c r="W1131" s="3">
        <f>IFERROR(INDEX(EVENTOS!$D:$D,MATCH(SCORE!W$2&amp;" "&amp;SCORE!$D1131,EVENTOS!$F:$F,0)),0)</f>
        <v>0</v>
      </c>
      <c r="X1131" s="3">
        <f>IFERROR(INDEX(EVENTOS!$D:$D,MATCH(SCORE!X$2&amp;" "&amp;SCORE!$D1131,EVENTOS!$F:$F,0)),0)</f>
        <v>0</v>
      </c>
      <c r="Y1131" s="3">
        <f>SUMIFS(EVENTOS!$D:$D, EVENTOS!$B:$B, D1131, EVENTOS!$E:$E, "*GirAlto*")</f>
        <v>0</v>
      </c>
      <c r="Z1131" s="3">
        <f>SUMIFS(EVENTOS!$D:$D, EVENTOS!$B:$B, D1131, EVENTOS!$E:$E, "*GirMed*")</f>
        <v>0</v>
      </c>
      <c r="AA1131" s="3">
        <f>SUMIFS(EVENTOS!$D:$D, EVENTOS!$B:$B, D1131, EVENTOS!$E:$E, "*GirBajo*")</f>
        <v>0</v>
      </c>
      <c r="AB1131" s="3">
        <f>IFERROR(INDEX(EVENTOS!$D:$D,MATCH(SCORE!AB$2&amp;" "&amp;SCORE!$D1131,EVENTOS!$F:$F,0)),0)</f>
        <v>0</v>
      </c>
      <c r="AC1131" s="3">
        <f>IFERROR(INDEX(EVENTOS!$D:$D,MATCH(SCORE!AC$2&amp;" "&amp;SCORE!$D1131,EVENTOS!$F:$F,0)),0)</f>
        <v>0</v>
      </c>
      <c r="AD1131" s="3">
        <f>IFERROR(INDEX(EVENTOS!$D:$D,MATCH(SCORE!AD$2&amp;" "&amp;SCORE!$D1131,EVENTOS!$F:$F,0)),0)</f>
        <v>0</v>
      </c>
      <c r="AE1131" s="3">
        <f t="shared" si="51"/>
        <v>0</v>
      </c>
      <c r="AF1131" s="10" t="e">
        <f t="shared" si="52"/>
        <v>#N/A</v>
      </c>
      <c r="AG1131" s="3" t="str">
        <f t="shared" si="53"/>
        <v/>
      </c>
    </row>
    <row r="1132" spans="1:33" x14ac:dyDescent="0.25">
      <c r="A1132" s="7"/>
      <c r="B1132" s="8"/>
      <c r="C1132" s="3"/>
      <c r="D1132" s="3"/>
      <c r="E1132" s="3" t="e">
        <f>VLOOKUP(D1132,VIAJES!$D:$E,2,FALSE)</f>
        <v>#N/A</v>
      </c>
      <c r="F1132" s="9" t="e">
        <f>VLOOKUP(D1132,VIAJES!$D:$F,3,FALSE)</f>
        <v>#N/A</v>
      </c>
      <c r="G1132" s="9" t="e">
        <f>VLOOKUP(D1132,VIAJES!$D:$G,4,FALSE)</f>
        <v>#N/A</v>
      </c>
      <c r="H1132" s="3" t="e">
        <f>VLOOKUP(D1132,VIAJES!$D:$H,5,FALSE)</f>
        <v>#N/A</v>
      </c>
      <c r="S1132" s="3">
        <f>IFERROR(INDEX(EVENTOS!$D:$D,MATCH(SCORE!S$2&amp;" "&amp;SCORE!$D1132,EVENTOS!$F:$F,0)),0)</f>
        <v>0</v>
      </c>
      <c r="T1132" s="3">
        <f>IFERROR(INDEX(EVENTOS!$D:$D,MATCH(SCORE!T$2&amp;" "&amp;SCORE!$D1132,EVENTOS!$F:$F,0)),0)</f>
        <v>0</v>
      </c>
      <c r="U1132" s="3">
        <f>IFERROR(INDEX(EVENTOS!$D:$D,MATCH(SCORE!U$2&amp;" "&amp;SCORE!$D1132,EVENTOS!$F:$F,0)),0)</f>
        <v>0</v>
      </c>
      <c r="V1132" s="3">
        <f>IFERROR(INDEX(EVENTOS!$D:$D,MATCH(SCORE!V$2&amp;" "&amp;SCORE!$D1132,EVENTOS!$F:$F,0)),0)</f>
        <v>0</v>
      </c>
      <c r="W1132" s="3">
        <f>IFERROR(INDEX(EVENTOS!$D:$D,MATCH(SCORE!W$2&amp;" "&amp;SCORE!$D1132,EVENTOS!$F:$F,0)),0)</f>
        <v>0</v>
      </c>
      <c r="X1132" s="3">
        <f>IFERROR(INDEX(EVENTOS!$D:$D,MATCH(SCORE!X$2&amp;" "&amp;SCORE!$D1132,EVENTOS!$F:$F,0)),0)</f>
        <v>0</v>
      </c>
      <c r="Y1132" s="3">
        <f>SUMIFS(EVENTOS!$D:$D, EVENTOS!$B:$B, D1132, EVENTOS!$E:$E, "*GirAlto*")</f>
        <v>0</v>
      </c>
      <c r="Z1132" s="3">
        <f>SUMIFS(EVENTOS!$D:$D, EVENTOS!$B:$B, D1132, EVENTOS!$E:$E, "*GirMed*")</f>
        <v>0</v>
      </c>
      <c r="AA1132" s="3">
        <f>SUMIFS(EVENTOS!$D:$D, EVENTOS!$B:$B, D1132, EVENTOS!$E:$E, "*GirBajo*")</f>
        <v>0</v>
      </c>
      <c r="AB1132" s="3">
        <f>IFERROR(INDEX(EVENTOS!$D:$D,MATCH(SCORE!AB$2&amp;" "&amp;SCORE!$D1132,EVENTOS!$F:$F,0)),0)</f>
        <v>0</v>
      </c>
      <c r="AC1132" s="3">
        <f>IFERROR(INDEX(EVENTOS!$D:$D,MATCH(SCORE!AC$2&amp;" "&amp;SCORE!$D1132,EVENTOS!$F:$F,0)),0)</f>
        <v>0</v>
      </c>
      <c r="AD1132" s="3">
        <f>IFERROR(INDEX(EVENTOS!$D:$D,MATCH(SCORE!AD$2&amp;" "&amp;SCORE!$D1132,EVENTOS!$F:$F,0)),0)</f>
        <v>0</v>
      </c>
      <c r="AE1132" s="3">
        <f t="shared" si="51"/>
        <v>0</v>
      </c>
      <c r="AF1132" s="10" t="e">
        <f t="shared" si="52"/>
        <v>#N/A</v>
      </c>
      <c r="AG1132" s="3" t="str">
        <f t="shared" si="53"/>
        <v/>
      </c>
    </row>
    <row r="1133" spans="1:33" x14ac:dyDescent="0.25">
      <c r="A1133" s="7"/>
      <c r="B1133" s="8"/>
      <c r="C1133" s="3"/>
      <c r="D1133" s="3"/>
      <c r="E1133" s="3" t="e">
        <f>VLOOKUP(D1133,VIAJES!$D:$E,2,FALSE)</f>
        <v>#N/A</v>
      </c>
      <c r="F1133" s="9" t="e">
        <f>VLOOKUP(D1133,VIAJES!$D:$F,3,FALSE)</f>
        <v>#N/A</v>
      </c>
      <c r="G1133" s="9" t="e">
        <f>VLOOKUP(D1133,VIAJES!$D:$G,4,FALSE)</f>
        <v>#N/A</v>
      </c>
      <c r="H1133" s="3" t="e">
        <f>VLOOKUP(D1133,VIAJES!$D:$H,5,FALSE)</f>
        <v>#N/A</v>
      </c>
      <c r="S1133" s="3">
        <f>IFERROR(INDEX(EVENTOS!$D:$D,MATCH(SCORE!S$2&amp;" "&amp;SCORE!$D1133,EVENTOS!$F:$F,0)),0)</f>
        <v>0</v>
      </c>
      <c r="T1133" s="3">
        <f>IFERROR(INDEX(EVENTOS!$D:$D,MATCH(SCORE!T$2&amp;" "&amp;SCORE!$D1133,EVENTOS!$F:$F,0)),0)</f>
        <v>0</v>
      </c>
      <c r="U1133" s="3">
        <f>IFERROR(INDEX(EVENTOS!$D:$D,MATCH(SCORE!U$2&amp;" "&amp;SCORE!$D1133,EVENTOS!$F:$F,0)),0)</f>
        <v>0</v>
      </c>
      <c r="V1133" s="3">
        <f>IFERROR(INDEX(EVENTOS!$D:$D,MATCH(SCORE!V$2&amp;" "&amp;SCORE!$D1133,EVENTOS!$F:$F,0)),0)</f>
        <v>0</v>
      </c>
      <c r="W1133" s="3">
        <f>IFERROR(INDEX(EVENTOS!$D:$D,MATCH(SCORE!W$2&amp;" "&amp;SCORE!$D1133,EVENTOS!$F:$F,0)),0)</f>
        <v>0</v>
      </c>
      <c r="X1133" s="3">
        <f>IFERROR(INDEX(EVENTOS!$D:$D,MATCH(SCORE!X$2&amp;" "&amp;SCORE!$D1133,EVENTOS!$F:$F,0)),0)</f>
        <v>0</v>
      </c>
      <c r="Y1133" s="3">
        <f>SUMIFS(EVENTOS!$D:$D, EVENTOS!$B:$B, D1133, EVENTOS!$E:$E, "*GirAlto*")</f>
        <v>0</v>
      </c>
      <c r="Z1133" s="3">
        <f>SUMIFS(EVENTOS!$D:$D, EVENTOS!$B:$B, D1133, EVENTOS!$E:$E, "*GirMed*")</f>
        <v>0</v>
      </c>
      <c r="AA1133" s="3">
        <f>SUMIFS(EVENTOS!$D:$D, EVENTOS!$B:$B, D1133, EVENTOS!$E:$E, "*GirBajo*")</f>
        <v>0</v>
      </c>
      <c r="AB1133" s="3">
        <f>IFERROR(INDEX(EVENTOS!$D:$D,MATCH(SCORE!AB$2&amp;" "&amp;SCORE!$D1133,EVENTOS!$F:$F,0)),0)</f>
        <v>0</v>
      </c>
      <c r="AC1133" s="3">
        <f>IFERROR(INDEX(EVENTOS!$D:$D,MATCH(SCORE!AC$2&amp;" "&amp;SCORE!$D1133,EVENTOS!$F:$F,0)),0)</f>
        <v>0</v>
      </c>
      <c r="AD1133" s="3">
        <f>IFERROR(INDEX(EVENTOS!$D:$D,MATCH(SCORE!AD$2&amp;" "&amp;SCORE!$D1133,EVENTOS!$F:$F,0)),0)</f>
        <v>0</v>
      </c>
      <c r="AE1133" s="3">
        <f t="shared" si="51"/>
        <v>0</v>
      </c>
      <c r="AF1133" s="10" t="e">
        <f t="shared" si="52"/>
        <v>#N/A</v>
      </c>
      <c r="AG1133" s="3" t="str">
        <f t="shared" si="53"/>
        <v/>
      </c>
    </row>
    <row r="1134" spans="1:33" x14ac:dyDescent="0.25">
      <c r="A1134" s="7"/>
      <c r="B1134" s="8"/>
      <c r="C1134" s="3"/>
      <c r="D1134" s="3"/>
      <c r="E1134" s="3" t="e">
        <f>VLOOKUP(D1134,VIAJES!$D:$E,2,FALSE)</f>
        <v>#N/A</v>
      </c>
      <c r="F1134" s="9" t="e">
        <f>VLOOKUP(D1134,VIAJES!$D:$F,3,FALSE)</f>
        <v>#N/A</v>
      </c>
      <c r="G1134" s="9" t="e">
        <f>VLOOKUP(D1134,VIAJES!$D:$G,4,FALSE)</f>
        <v>#N/A</v>
      </c>
      <c r="H1134" s="3" t="e">
        <f>VLOOKUP(D1134,VIAJES!$D:$H,5,FALSE)</f>
        <v>#N/A</v>
      </c>
      <c r="S1134" s="3">
        <f>IFERROR(INDEX(EVENTOS!$D:$D,MATCH(SCORE!S$2&amp;" "&amp;SCORE!$D1134,EVENTOS!$F:$F,0)),0)</f>
        <v>0</v>
      </c>
      <c r="T1134" s="3">
        <f>IFERROR(INDEX(EVENTOS!$D:$D,MATCH(SCORE!T$2&amp;" "&amp;SCORE!$D1134,EVENTOS!$F:$F,0)),0)</f>
        <v>0</v>
      </c>
      <c r="U1134" s="3">
        <f>IFERROR(INDEX(EVENTOS!$D:$D,MATCH(SCORE!U$2&amp;" "&amp;SCORE!$D1134,EVENTOS!$F:$F,0)),0)</f>
        <v>0</v>
      </c>
      <c r="V1134" s="3">
        <f>IFERROR(INDEX(EVENTOS!$D:$D,MATCH(SCORE!V$2&amp;" "&amp;SCORE!$D1134,EVENTOS!$F:$F,0)),0)</f>
        <v>0</v>
      </c>
      <c r="W1134" s="3">
        <f>IFERROR(INDEX(EVENTOS!$D:$D,MATCH(SCORE!W$2&amp;" "&amp;SCORE!$D1134,EVENTOS!$F:$F,0)),0)</f>
        <v>0</v>
      </c>
      <c r="X1134" s="3">
        <f>IFERROR(INDEX(EVENTOS!$D:$D,MATCH(SCORE!X$2&amp;" "&amp;SCORE!$D1134,EVENTOS!$F:$F,0)),0)</f>
        <v>0</v>
      </c>
      <c r="Y1134" s="3">
        <f>SUMIFS(EVENTOS!$D:$D, EVENTOS!$B:$B, D1134, EVENTOS!$E:$E, "*GirAlto*")</f>
        <v>0</v>
      </c>
      <c r="Z1134" s="3">
        <f>SUMIFS(EVENTOS!$D:$D, EVENTOS!$B:$B, D1134, EVENTOS!$E:$E, "*GirMed*")</f>
        <v>0</v>
      </c>
      <c r="AA1134" s="3">
        <f>SUMIFS(EVENTOS!$D:$D, EVENTOS!$B:$B, D1134, EVENTOS!$E:$E, "*GirBajo*")</f>
        <v>0</v>
      </c>
      <c r="AB1134" s="3">
        <f>IFERROR(INDEX(EVENTOS!$D:$D,MATCH(SCORE!AB$2&amp;" "&amp;SCORE!$D1134,EVENTOS!$F:$F,0)),0)</f>
        <v>0</v>
      </c>
      <c r="AC1134" s="3">
        <f>IFERROR(INDEX(EVENTOS!$D:$D,MATCH(SCORE!AC$2&amp;" "&amp;SCORE!$D1134,EVENTOS!$F:$F,0)),0)</f>
        <v>0</v>
      </c>
      <c r="AD1134" s="3">
        <f>IFERROR(INDEX(EVENTOS!$D:$D,MATCH(SCORE!AD$2&amp;" "&amp;SCORE!$D1134,EVENTOS!$F:$F,0)),0)</f>
        <v>0</v>
      </c>
      <c r="AE1134" s="3">
        <f t="shared" si="51"/>
        <v>0</v>
      </c>
      <c r="AF1134" s="10" t="e">
        <f t="shared" si="52"/>
        <v>#N/A</v>
      </c>
      <c r="AG1134" s="3" t="str">
        <f t="shared" si="53"/>
        <v/>
      </c>
    </row>
    <row r="1135" spans="1:33" x14ac:dyDescent="0.25">
      <c r="A1135" s="7"/>
      <c r="B1135" s="8"/>
      <c r="C1135" s="3"/>
      <c r="D1135" s="3"/>
      <c r="E1135" s="3" t="e">
        <f>VLOOKUP(D1135,VIAJES!$D:$E,2,FALSE)</f>
        <v>#N/A</v>
      </c>
      <c r="F1135" s="9" t="e">
        <f>VLOOKUP(D1135,VIAJES!$D:$F,3,FALSE)</f>
        <v>#N/A</v>
      </c>
      <c r="G1135" s="9" t="e">
        <f>VLOOKUP(D1135,VIAJES!$D:$G,4,FALSE)</f>
        <v>#N/A</v>
      </c>
      <c r="H1135" s="3" t="e">
        <f>VLOOKUP(D1135,VIAJES!$D:$H,5,FALSE)</f>
        <v>#N/A</v>
      </c>
      <c r="S1135" s="3">
        <f>IFERROR(INDEX(EVENTOS!$D:$D,MATCH(SCORE!S$2&amp;" "&amp;SCORE!$D1135,EVENTOS!$F:$F,0)),0)</f>
        <v>0</v>
      </c>
      <c r="T1135" s="3">
        <f>IFERROR(INDEX(EVENTOS!$D:$D,MATCH(SCORE!T$2&amp;" "&amp;SCORE!$D1135,EVENTOS!$F:$F,0)),0)</f>
        <v>0</v>
      </c>
      <c r="U1135" s="3">
        <f>IFERROR(INDEX(EVENTOS!$D:$D,MATCH(SCORE!U$2&amp;" "&amp;SCORE!$D1135,EVENTOS!$F:$F,0)),0)</f>
        <v>0</v>
      </c>
      <c r="V1135" s="3">
        <f>IFERROR(INDEX(EVENTOS!$D:$D,MATCH(SCORE!V$2&amp;" "&amp;SCORE!$D1135,EVENTOS!$F:$F,0)),0)</f>
        <v>0</v>
      </c>
      <c r="W1135" s="3">
        <f>IFERROR(INDEX(EVENTOS!$D:$D,MATCH(SCORE!W$2&amp;" "&amp;SCORE!$D1135,EVENTOS!$F:$F,0)),0)</f>
        <v>0</v>
      </c>
      <c r="X1135" s="3">
        <f>IFERROR(INDEX(EVENTOS!$D:$D,MATCH(SCORE!X$2&amp;" "&amp;SCORE!$D1135,EVENTOS!$F:$F,0)),0)</f>
        <v>0</v>
      </c>
      <c r="Y1135" s="3">
        <f>SUMIFS(EVENTOS!$D:$D, EVENTOS!$B:$B, D1135, EVENTOS!$E:$E, "*GirAlto*")</f>
        <v>0</v>
      </c>
      <c r="Z1135" s="3">
        <f>SUMIFS(EVENTOS!$D:$D, EVENTOS!$B:$B, D1135, EVENTOS!$E:$E, "*GirMed*")</f>
        <v>0</v>
      </c>
      <c r="AA1135" s="3">
        <f>SUMIFS(EVENTOS!$D:$D, EVENTOS!$B:$B, D1135, EVENTOS!$E:$E, "*GirBajo*")</f>
        <v>0</v>
      </c>
      <c r="AB1135" s="3">
        <f>IFERROR(INDEX(EVENTOS!$D:$D,MATCH(SCORE!AB$2&amp;" "&amp;SCORE!$D1135,EVENTOS!$F:$F,0)),0)</f>
        <v>0</v>
      </c>
      <c r="AC1135" s="3">
        <f>IFERROR(INDEX(EVENTOS!$D:$D,MATCH(SCORE!AC$2&amp;" "&amp;SCORE!$D1135,EVENTOS!$F:$F,0)),0)</f>
        <v>0</v>
      </c>
      <c r="AD1135" s="3">
        <f>IFERROR(INDEX(EVENTOS!$D:$D,MATCH(SCORE!AD$2&amp;" "&amp;SCORE!$D1135,EVENTOS!$F:$F,0)),0)</f>
        <v>0</v>
      </c>
      <c r="AE1135" s="3">
        <f t="shared" si="51"/>
        <v>0</v>
      </c>
      <c r="AF1135" s="10" t="e">
        <f t="shared" si="52"/>
        <v>#N/A</v>
      </c>
      <c r="AG1135" s="3" t="str">
        <f t="shared" si="53"/>
        <v/>
      </c>
    </row>
    <row r="1136" spans="1:33" x14ac:dyDescent="0.25">
      <c r="A1136" s="7"/>
      <c r="B1136" s="8"/>
      <c r="C1136" s="3"/>
      <c r="D1136" s="3"/>
      <c r="E1136" s="3" t="e">
        <f>VLOOKUP(D1136,VIAJES!$D:$E,2,FALSE)</f>
        <v>#N/A</v>
      </c>
      <c r="F1136" s="9" t="e">
        <f>VLOOKUP(D1136,VIAJES!$D:$F,3,FALSE)</f>
        <v>#N/A</v>
      </c>
      <c r="G1136" s="9" t="e">
        <f>VLOOKUP(D1136,VIAJES!$D:$G,4,FALSE)</f>
        <v>#N/A</v>
      </c>
      <c r="H1136" s="3" t="e">
        <f>VLOOKUP(D1136,VIAJES!$D:$H,5,FALSE)</f>
        <v>#N/A</v>
      </c>
      <c r="S1136" s="3">
        <f>IFERROR(INDEX(EVENTOS!$D:$D,MATCH(SCORE!S$2&amp;" "&amp;SCORE!$D1136,EVENTOS!$F:$F,0)),0)</f>
        <v>0</v>
      </c>
      <c r="T1136" s="3">
        <f>IFERROR(INDEX(EVENTOS!$D:$D,MATCH(SCORE!T$2&amp;" "&amp;SCORE!$D1136,EVENTOS!$F:$F,0)),0)</f>
        <v>0</v>
      </c>
      <c r="U1136" s="3">
        <f>IFERROR(INDEX(EVENTOS!$D:$D,MATCH(SCORE!U$2&amp;" "&amp;SCORE!$D1136,EVENTOS!$F:$F,0)),0)</f>
        <v>0</v>
      </c>
      <c r="V1136" s="3">
        <f>IFERROR(INDEX(EVENTOS!$D:$D,MATCH(SCORE!V$2&amp;" "&amp;SCORE!$D1136,EVENTOS!$F:$F,0)),0)</f>
        <v>0</v>
      </c>
      <c r="W1136" s="3">
        <f>IFERROR(INDEX(EVENTOS!$D:$D,MATCH(SCORE!W$2&amp;" "&amp;SCORE!$D1136,EVENTOS!$F:$F,0)),0)</f>
        <v>0</v>
      </c>
      <c r="X1136" s="3">
        <f>IFERROR(INDEX(EVENTOS!$D:$D,MATCH(SCORE!X$2&amp;" "&amp;SCORE!$D1136,EVENTOS!$F:$F,0)),0)</f>
        <v>0</v>
      </c>
      <c r="Y1136" s="3">
        <f>SUMIFS(EVENTOS!$D:$D, EVENTOS!$B:$B, D1136, EVENTOS!$E:$E, "*GirAlto*")</f>
        <v>0</v>
      </c>
      <c r="Z1136" s="3">
        <f>SUMIFS(EVENTOS!$D:$D, EVENTOS!$B:$B, D1136, EVENTOS!$E:$E, "*GirMed*")</f>
        <v>0</v>
      </c>
      <c r="AA1136" s="3">
        <f>SUMIFS(EVENTOS!$D:$D, EVENTOS!$B:$B, D1136, EVENTOS!$E:$E, "*GirBajo*")</f>
        <v>0</v>
      </c>
      <c r="AB1136" s="3">
        <f>IFERROR(INDEX(EVENTOS!$D:$D,MATCH(SCORE!AB$2&amp;" "&amp;SCORE!$D1136,EVENTOS!$F:$F,0)),0)</f>
        <v>0</v>
      </c>
      <c r="AC1136" s="3">
        <f>IFERROR(INDEX(EVENTOS!$D:$D,MATCH(SCORE!AC$2&amp;" "&amp;SCORE!$D1136,EVENTOS!$F:$F,0)),0)</f>
        <v>0</v>
      </c>
      <c r="AD1136" s="3">
        <f>IFERROR(INDEX(EVENTOS!$D:$D,MATCH(SCORE!AD$2&amp;" "&amp;SCORE!$D1136,EVENTOS!$F:$F,0)),0)</f>
        <v>0</v>
      </c>
      <c r="AE1136" s="3">
        <f t="shared" si="51"/>
        <v>0</v>
      </c>
      <c r="AF1136" s="10" t="e">
        <f t="shared" si="52"/>
        <v>#N/A</v>
      </c>
      <c r="AG1136" s="3" t="str">
        <f t="shared" si="53"/>
        <v/>
      </c>
    </row>
    <row r="1137" spans="1:33" x14ac:dyDescent="0.25">
      <c r="A1137" s="7"/>
      <c r="B1137" s="8"/>
      <c r="C1137" s="3"/>
      <c r="D1137" s="3"/>
      <c r="E1137" s="3" t="e">
        <f>VLOOKUP(D1137,VIAJES!$D:$E,2,FALSE)</f>
        <v>#N/A</v>
      </c>
      <c r="F1137" s="9" t="e">
        <f>VLOOKUP(D1137,VIAJES!$D:$F,3,FALSE)</f>
        <v>#N/A</v>
      </c>
      <c r="G1137" s="9" t="e">
        <f>VLOOKUP(D1137,VIAJES!$D:$G,4,FALSE)</f>
        <v>#N/A</v>
      </c>
      <c r="H1137" s="3" t="e">
        <f>VLOOKUP(D1137,VIAJES!$D:$H,5,FALSE)</f>
        <v>#N/A</v>
      </c>
      <c r="S1137" s="3">
        <f>IFERROR(INDEX(EVENTOS!$D:$D,MATCH(SCORE!S$2&amp;" "&amp;SCORE!$D1137,EVENTOS!$F:$F,0)),0)</f>
        <v>0</v>
      </c>
      <c r="T1137" s="3">
        <f>IFERROR(INDEX(EVENTOS!$D:$D,MATCH(SCORE!T$2&amp;" "&amp;SCORE!$D1137,EVENTOS!$F:$F,0)),0)</f>
        <v>0</v>
      </c>
      <c r="U1137" s="3">
        <f>IFERROR(INDEX(EVENTOS!$D:$D,MATCH(SCORE!U$2&amp;" "&amp;SCORE!$D1137,EVENTOS!$F:$F,0)),0)</f>
        <v>0</v>
      </c>
      <c r="V1137" s="3">
        <f>IFERROR(INDEX(EVENTOS!$D:$D,MATCH(SCORE!V$2&amp;" "&amp;SCORE!$D1137,EVENTOS!$F:$F,0)),0)</f>
        <v>0</v>
      </c>
      <c r="W1137" s="3">
        <f>IFERROR(INDEX(EVENTOS!$D:$D,MATCH(SCORE!W$2&amp;" "&amp;SCORE!$D1137,EVENTOS!$F:$F,0)),0)</f>
        <v>0</v>
      </c>
      <c r="X1137" s="3">
        <f>IFERROR(INDEX(EVENTOS!$D:$D,MATCH(SCORE!X$2&amp;" "&amp;SCORE!$D1137,EVENTOS!$F:$F,0)),0)</f>
        <v>0</v>
      </c>
      <c r="Y1137" s="3">
        <f>SUMIFS(EVENTOS!$D:$D, EVENTOS!$B:$B, D1137, EVENTOS!$E:$E, "*GirAlto*")</f>
        <v>0</v>
      </c>
      <c r="Z1137" s="3">
        <f>SUMIFS(EVENTOS!$D:$D, EVENTOS!$B:$B, D1137, EVENTOS!$E:$E, "*GirMed*")</f>
        <v>0</v>
      </c>
      <c r="AA1137" s="3">
        <f>SUMIFS(EVENTOS!$D:$D, EVENTOS!$B:$B, D1137, EVENTOS!$E:$E, "*GirBajo*")</f>
        <v>0</v>
      </c>
      <c r="AB1137" s="3">
        <f>IFERROR(INDEX(EVENTOS!$D:$D,MATCH(SCORE!AB$2&amp;" "&amp;SCORE!$D1137,EVENTOS!$F:$F,0)),0)</f>
        <v>0</v>
      </c>
      <c r="AC1137" s="3">
        <f>IFERROR(INDEX(EVENTOS!$D:$D,MATCH(SCORE!AC$2&amp;" "&amp;SCORE!$D1137,EVENTOS!$F:$F,0)),0)</f>
        <v>0</v>
      </c>
      <c r="AD1137" s="3">
        <f>IFERROR(INDEX(EVENTOS!$D:$D,MATCH(SCORE!AD$2&amp;" "&amp;SCORE!$D1137,EVENTOS!$F:$F,0)),0)</f>
        <v>0</v>
      </c>
      <c r="AE1137" s="3">
        <f t="shared" si="51"/>
        <v>0</v>
      </c>
      <c r="AF1137" s="10" t="e">
        <f t="shared" si="52"/>
        <v>#N/A</v>
      </c>
      <c r="AG1137" s="3" t="str">
        <f t="shared" si="53"/>
        <v/>
      </c>
    </row>
    <row r="1138" spans="1:33" x14ac:dyDescent="0.25">
      <c r="A1138" s="7"/>
      <c r="B1138" s="8"/>
      <c r="C1138" s="3"/>
      <c r="D1138" s="3"/>
      <c r="E1138" s="3" t="e">
        <f>VLOOKUP(D1138,VIAJES!$D:$E,2,FALSE)</f>
        <v>#N/A</v>
      </c>
      <c r="F1138" s="9" t="e">
        <f>VLOOKUP(D1138,VIAJES!$D:$F,3,FALSE)</f>
        <v>#N/A</v>
      </c>
      <c r="G1138" s="9" t="e">
        <f>VLOOKUP(D1138,VIAJES!$D:$G,4,FALSE)</f>
        <v>#N/A</v>
      </c>
      <c r="H1138" s="3" t="e">
        <f>VLOOKUP(D1138,VIAJES!$D:$H,5,FALSE)</f>
        <v>#N/A</v>
      </c>
      <c r="S1138" s="3">
        <f>IFERROR(INDEX(EVENTOS!$D:$D,MATCH(SCORE!S$2&amp;" "&amp;SCORE!$D1138,EVENTOS!$F:$F,0)),0)</f>
        <v>0</v>
      </c>
      <c r="T1138" s="3">
        <f>IFERROR(INDEX(EVENTOS!$D:$D,MATCH(SCORE!T$2&amp;" "&amp;SCORE!$D1138,EVENTOS!$F:$F,0)),0)</f>
        <v>0</v>
      </c>
      <c r="U1138" s="3">
        <f>IFERROR(INDEX(EVENTOS!$D:$D,MATCH(SCORE!U$2&amp;" "&amp;SCORE!$D1138,EVENTOS!$F:$F,0)),0)</f>
        <v>0</v>
      </c>
      <c r="V1138" s="3">
        <f>IFERROR(INDEX(EVENTOS!$D:$D,MATCH(SCORE!V$2&amp;" "&amp;SCORE!$D1138,EVENTOS!$F:$F,0)),0)</f>
        <v>0</v>
      </c>
      <c r="W1138" s="3">
        <f>IFERROR(INDEX(EVENTOS!$D:$D,MATCH(SCORE!W$2&amp;" "&amp;SCORE!$D1138,EVENTOS!$F:$F,0)),0)</f>
        <v>0</v>
      </c>
      <c r="X1138" s="3">
        <f>IFERROR(INDEX(EVENTOS!$D:$D,MATCH(SCORE!X$2&amp;" "&amp;SCORE!$D1138,EVENTOS!$F:$F,0)),0)</f>
        <v>0</v>
      </c>
      <c r="Y1138" s="3">
        <f>SUMIFS(EVENTOS!$D:$D, EVENTOS!$B:$B, D1138, EVENTOS!$E:$E, "*GirAlto*")</f>
        <v>0</v>
      </c>
      <c r="Z1138" s="3">
        <f>SUMIFS(EVENTOS!$D:$D, EVENTOS!$B:$B, D1138, EVENTOS!$E:$E, "*GirMed*")</f>
        <v>0</v>
      </c>
      <c r="AA1138" s="3">
        <f>SUMIFS(EVENTOS!$D:$D, EVENTOS!$B:$B, D1138, EVENTOS!$E:$E, "*GirBajo*")</f>
        <v>0</v>
      </c>
      <c r="AB1138" s="3">
        <f>IFERROR(INDEX(EVENTOS!$D:$D,MATCH(SCORE!AB$2&amp;" "&amp;SCORE!$D1138,EVENTOS!$F:$F,0)),0)</f>
        <v>0</v>
      </c>
      <c r="AC1138" s="3">
        <f>IFERROR(INDEX(EVENTOS!$D:$D,MATCH(SCORE!AC$2&amp;" "&amp;SCORE!$D1138,EVENTOS!$F:$F,0)),0)</f>
        <v>0</v>
      </c>
      <c r="AD1138" s="3">
        <f>IFERROR(INDEX(EVENTOS!$D:$D,MATCH(SCORE!AD$2&amp;" "&amp;SCORE!$D1138,EVENTOS!$F:$F,0)),0)</f>
        <v>0</v>
      </c>
      <c r="AE1138" s="3">
        <f t="shared" si="51"/>
        <v>0</v>
      </c>
      <c r="AF1138" s="10" t="e">
        <f t="shared" si="52"/>
        <v>#N/A</v>
      </c>
      <c r="AG1138" s="3" t="str">
        <f t="shared" si="53"/>
        <v/>
      </c>
    </row>
    <row r="1139" spans="1:33" x14ac:dyDescent="0.25">
      <c r="A1139" s="7"/>
      <c r="B1139" s="8"/>
      <c r="C1139" s="3"/>
      <c r="D1139" s="3"/>
      <c r="E1139" s="3" t="e">
        <f>VLOOKUP(D1139,VIAJES!$D:$E,2,FALSE)</f>
        <v>#N/A</v>
      </c>
      <c r="F1139" s="9" t="e">
        <f>VLOOKUP(D1139,VIAJES!$D:$F,3,FALSE)</f>
        <v>#N/A</v>
      </c>
      <c r="G1139" s="9" t="e">
        <f>VLOOKUP(D1139,VIAJES!$D:$G,4,FALSE)</f>
        <v>#N/A</v>
      </c>
      <c r="H1139" s="3" t="e">
        <f>VLOOKUP(D1139,VIAJES!$D:$H,5,FALSE)</f>
        <v>#N/A</v>
      </c>
      <c r="S1139" s="3">
        <f>IFERROR(INDEX(EVENTOS!$D:$D,MATCH(SCORE!S$2&amp;" "&amp;SCORE!$D1139,EVENTOS!$F:$F,0)),0)</f>
        <v>0</v>
      </c>
      <c r="T1139" s="3">
        <f>IFERROR(INDEX(EVENTOS!$D:$D,MATCH(SCORE!T$2&amp;" "&amp;SCORE!$D1139,EVENTOS!$F:$F,0)),0)</f>
        <v>0</v>
      </c>
      <c r="U1139" s="3">
        <f>IFERROR(INDEX(EVENTOS!$D:$D,MATCH(SCORE!U$2&amp;" "&amp;SCORE!$D1139,EVENTOS!$F:$F,0)),0)</f>
        <v>0</v>
      </c>
      <c r="V1139" s="3">
        <f>IFERROR(INDEX(EVENTOS!$D:$D,MATCH(SCORE!V$2&amp;" "&amp;SCORE!$D1139,EVENTOS!$F:$F,0)),0)</f>
        <v>0</v>
      </c>
      <c r="W1139" s="3">
        <f>IFERROR(INDEX(EVENTOS!$D:$D,MATCH(SCORE!W$2&amp;" "&amp;SCORE!$D1139,EVENTOS!$F:$F,0)),0)</f>
        <v>0</v>
      </c>
      <c r="X1139" s="3">
        <f>IFERROR(INDEX(EVENTOS!$D:$D,MATCH(SCORE!X$2&amp;" "&amp;SCORE!$D1139,EVENTOS!$F:$F,0)),0)</f>
        <v>0</v>
      </c>
      <c r="Y1139" s="3">
        <f>SUMIFS(EVENTOS!$D:$D, EVENTOS!$B:$B, D1139, EVENTOS!$E:$E, "*GirAlto*")</f>
        <v>0</v>
      </c>
      <c r="Z1139" s="3">
        <f>SUMIFS(EVENTOS!$D:$D, EVENTOS!$B:$B, D1139, EVENTOS!$E:$E, "*GirMed*")</f>
        <v>0</v>
      </c>
      <c r="AA1139" s="3">
        <f>SUMIFS(EVENTOS!$D:$D, EVENTOS!$B:$B, D1139, EVENTOS!$E:$E, "*GirBajo*")</f>
        <v>0</v>
      </c>
      <c r="AB1139" s="3">
        <f>IFERROR(INDEX(EVENTOS!$D:$D,MATCH(SCORE!AB$2&amp;" "&amp;SCORE!$D1139,EVENTOS!$F:$F,0)),0)</f>
        <v>0</v>
      </c>
      <c r="AC1139" s="3">
        <f>IFERROR(INDEX(EVENTOS!$D:$D,MATCH(SCORE!AC$2&amp;" "&amp;SCORE!$D1139,EVENTOS!$F:$F,0)),0)</f>
        <v>0</v>
      </c>
      <c r="AD1139" s="3">
        <f>IFERROR(INDEX(EVENTOS!$D:$D,MATCH(SCORE!AD$2&amp;" "&amp;SCORE!$D1139,EVENTOS!$F:$F,0)),0)</f>
        <v>0</v>
      </c>
      <c r="AE1139" s="3">
        <f t="shared" si="51"/>
        <v>0</v>
      </c>
      <c r="AF1139" s="10" t="e">
        <f t="shared" si="52"/>
        <v>#N/A</v>
      </c>
      <c r="AG1139" s="3" t="str">
        <f t="shared" si="53"/>
        <v/>
      </c>
    </row>
    <row r="1140" spans="1:33" x14ac:dyDescent="0.25">
      <c r="A1140" s="7"/>
      <c r="B1140" s="8"/>
      <c r="C1140" s="3"/>
      <c r="D1140" s="3"/>
      <c r="E1140" s="3" t="e">
        <f>VLOOKUP(D1140,VIAJES!$D:$E,2,FALSE)</f>
        <v>#N/A</v>
      </c>
      <c r="F1140" s="9" t="e">
        <f>VLOOKUP(D1140,VIAJES!$D:$F,3,FALSE)</f>
        <v>#N/A</v>
      </c>
      <c r="G1140" s="9" t="e">
        <f>VLOOKUP(D1140,VIAJES!$D:$G,4,FALSE)</f>
        <v>#N/A</v>
      </c>
      <c r="H1140" s="3" t="e">
        <f>VLOOKUP(D1140,VIAJES!$D:$H,5,FALSE)</f>
        <v>#N/A</v>
      </c>
      <c r="S1140" s="3">
        <f>IFERROR(INDEX(EVENTOS!$D:$D,MATCH(SCORE!S$2&amp;" "&amp;SCORE!$D1140,EVENTOS!$F:$F,0)),0)</f>
        <v>0</v>
      </c>
      <c r="T1140" s="3">
        <f>IFERROR(INDEX(EVENTOS!$D:$D,MATCH(SCORE!T$2&amp;" "&amp;SCORE!$D1140,EVENTOS!$F:$F,0)),0)</f>
        <v>0</v>
      </c>
      <c r="U1140" s="3">
        <f>IFERROR(INDEX(EVENTOS!$D:$D,MATCH(SCORE!U$2&amp;" "&amp;SCORE!$D1140,EVENTOS!$F:$F,0)),0)</f>
        <v>0</v>
      </c>
      <c r="V1140" s="3">
        <f>IFERROR(INDEX(EVENTOS!$D:$D,MATCH(SCORE!V$2&amp;" "&amp;SCORE!$D1140,EVENTOS!$F:$F,0)),0)</f>
        <v>0</v>
      </c>
      <c r="W1140" s="3">
        <f>IFERROR(INDEX(EVENTOS!$D:$D,MATCH(SCORE!W$2&amp;" "&amp;SCORE!$D1140,EVENTOS!$F:$F,0)),0)</f>
        <v>0</v>
      </c>
      <c r="X1140" s="3">
        <f>IFERROR(INDEX(EVENTOS!$D:$D,MATCH(SCORE!X$2&amp;" "&amp;SCORE!$D1140,EVENTOS!$F:$F,0)),0)</f>
        <v>0</v>
      </c>
      <c r="Y1140" s="3">
        <f>SUMIFS(EVENTOS!$D:$D, EVENTOS!$B:$B, D1140, EVENTOS!$E:$E, "*GirAlto*")</f>
        <v>0</v>
      </c>
      <c r="Z1140" s="3">
        <f>SUMIFS(EVENTOS!$D:$D, EVENTOS!$B:$B, D1140, EVENTOS!$E:$E, "*GirMed*")</f>
        <v>0</v>
      </c>
      <c r="AA1140" s="3">
        <f>SUMIFS(EVENTOS!$D:$D, EVENTOS!$B:$B, D1140, EVENTOS!$E:$E, "*GirBajo*")</f>
        <v>0</v>
      </c>
      <c r="AB1140" s="3">
        <f>IFERROR(INDEX(EVENTOS!$D:$D,MATCH(SCORE!AB$2&amp;" "&amp;SCORE!$D1140,EVENTOS!$F:$F,0)),0)</f>
        <v>0</v>
      </c>
      <c r="AC1140" s="3">
        <f>IFERROR(INDEX(EVENTOS!$D:$D,MATCH(SCORE!AC$2&amp;" "&amp;SCORE!$D1140,EVENTOS!$F:$F,0)),0)</f>
        <v>0</v>
      </c>
      <c r="AD1140" s="3">
        <f>IFERROR(INDEX(EVENTOS!$D:$D,MATCH(SCORE!AD$2&amp;" "&amp;SCORE!$D1140,EVENTOS!$F:$F,0)),0)</f>
        <v>0</v>
      </c>
      <c r="AE1140" s="3">
        <f t="shared" si="51"/>
        <v>0</v>
      </c>
      <c r="AF1140" s="10" t="e">
        <f t="shared" si="52"/>
        <v>#N/A</v>
      </c>
      <c r="AG1140" s="3" t="str">
        <f t="shared" si="53"/>
        <v/>
      </c>
    </row>
    <row r="1141" spans="1:33" x14ac:dyDescent="0.25">
      <c r="A1141" s="7"/>
      <c r="B1141" s="8"/>
      <c r="C1141" s="3"/>
      <c r="D1141" s="3"/>
      <c r="E1141" s="3" t="e">
        <f>VLOOKUP(D1141,VIAJES!$D:$E,2,FALSE)</f>
        <v>#N/A</v>
      </c>
      <c r="F1141" s="9" t="e">
        <f>VLOOKUP(D1141,VIAJES!$D:$F,3,FALSE)</f>
        <v>#N/A</v>
      </c>
      <c r="G1141" s="9" t="e">
        <f>VLOOKUP(D1141,VIAJES!$D:$G,4,FALSE)</f>
        <v>#N/A</v>
      </c>
      <c r="H1141" s="3" t="e">
        <f>VLOOKUP(D1141,VIAJES!$D:$H,5,FALSE)</f>
        <v>#N/A</v>
      </c>
      <c r="S1141" s="3">
        <f>IFERROR(INDEX(EVENTOS!$D:$D,MATCH(SCORE!S$2&amp;" "&amp;SCORE!$D1141,EVENTOS!$F:$F,0)),0)</f>
        <v>0</v>
      </c>
      <c r="T1141" s="3">
        <f>IFERROR(INDEX(EVENTOS!$D:$D,MATCH(SCORE!T$2&amp;" "&amp;SCORE!$D1141,EVENTOS!$F:$F,0)),0)</f>
        <v>0</v>
      </c>
      <c r="U1141" s="3">
        <f>IFERROR(INDEX(EVENTOS!$D:$D,MATCH(SCORE!U$2&amp;" "&amp;SCORE!$D1141,EVENTOS!$F:$F,0)),0)</f>
        <v>0</v>
      </c>
      <c r="V1141" s="3">
        <f>IFERROR(INDEX(EVENTOS!$D:$D,MATCH(SCORE!V$2&amp;" "&amp;SCORE!$D1141,EVENTOS!$F:$F,0)),0)</f>
        <v>0</v>
      </c>
      <c r="W1141" s="3">
        <f>IFERROR(INDEX(EVENTOS!$D:$D,MATCH(SCORE!W$2&amp;" "&amp;SCORE!$D1141,EVENTOS!$F:$F,0)),0)</f>
        <v>0</v>
      </c>
      <c r="X1141" s="3">
        <f>IFERROR(INDEX(EVENTOS!$D:$D,MATCH(SCORE!X$2&amp;" "&amp;SCORE!$D1141,EVENTOS!$F:$F,0)),0)</f>
        <v>0</v>
      </c>
      <c r="Y1141" s="3">
        <f>SUMIFS(EVENTOS!$D:$D, EVENTOS!$B:$B, D1141, EVENTOS!$E:$E, "*GirAlto*")</f>
        <v>0</v>
      </c>
      <c r="Z1141" s="3">
        <f>SUMIFS(EVENTOS!$D:$D, EVENTOS!$B:$B, D1141, EVENTOS!$E:$E, "*GirMed*")</f>
        <v>0</v>
      </c>
      <c r="AA1141" s="3">
        <f>SUMIFS(EVENTOS!$D:$D, EVENTOS!$B:$B, D1141, EVENTOS!$E:$E, "*GirBajo*")</f>
        <v>0</v>
      </c>
      <c r="AB1141" s="3">
        <f>IFERROR(INDEX(EVENTOS!$D:$D,MATCH(SCORE!AB$2&amp;" "&amp;SCORE!$D1141,EVENTOS!$F:$F,0)),0)</f>
        <v>0</v>
      </c>
      <c r="AC1141" s="3">
        <f>IFERROR(INDEX(EVENTOS!$D:$D,MATCH(SCORE!AC$2&amp;" "&amp;SCORE!$D1141,EVENTOS!$F:$F,0)),0)</f>
        <v>0</v>
      </c>
      <c r="AD1141" s="3">
        <f>IFERROR(INDEX(EVENTOS!$D:$D,MATCH(SCORE!AD$2&amp;" "&amp;SCORE!$D1141,EVENTOS!$F:$F,0)),0)</f>
        <v>0</v>
      </c>
      <c r="AE1141" s="3">
        <f t="shared" si="51"/>
        <v>0</v>
      </c>
      <c r="AF1141" s="10" t="e">
        <f t="shared" si="52"/>
        <v>#N/A</v>
      </c>
      <c r="AG1141" s="3" t="str">
        <f t="shared" si="53"/>
        <v/>
      </c>
    </row>
    <row r="1142" spans="1:33" x14ac:dyDescent="0.25">
      <c r="A1142" s="7"/>
      <c r="B1142" s="8"/>
      <c r="C1142" s="3"/>
      <c r="D1142" s="3"/>
      <c r="E1142" s="3" t="e">
        <f>VLOOKUP(D1142,VIAJES!$D:$E,2,FALSE)</f>
        <v>#N/A</v>
      </c>
      <c r="F1142" s="9" t="e">
        <f>VLOOKUP(D1142,VIAJES!$D:$F,3,FALSE)</f>
        <v>#N/A</v>
      </c>
      <c r="G1142" s="9" t="e">
        <f>VLOOKUP(D1142,VIAJES!$D:$G,4,FALSE)</f>
        <v>#N/A</v>
      </c>
      <c r="H1142" s="3" t="e">
        <f>VLOOKUP(D1142,VIAJES!$D:$H,5,FALSE)</f>
        <v>#N/A</v>
      </c>
      <c r="S1142" s="3">
        <f>IFERROR(INDEX(EVENTOS!$D:$D,MATCH(SCORE!S$2&amp;" "&amp;SCORE!$D1142,EVENTOS!$F:$F,0)),0)</f>
        <v>0</v>
      </c>
      <c r="T1142" s="3">
        <f>IFERROR(INDEX(EVENTOS!$D:$D,MATCH(SCORE!T$2&amp;" "&amp;SCORE!$D1142,EVENTOS!$F:$F,0)),0)</f>
        <v>0</v>
      </c>
      <c r="U1142" s="3">
        <f>IFERROR(INDEX(EVENTOS!$D:$D,MATCH(SCORE!U$2&amp;" "&amp;SCORE!$D1142,EVENTOS!$F:$F,0)),0)</f>
        <v>0</v>
      </c>
      <c r="V1142" s="3">
        <f>IFERROR(INDEX(EVENTOS!$D:$D,MATCH(SCORE!V$2&amp;" "&amp;SCORE!$D1142,EVENTOS!$F:$F,0)),0)</f>
        <v>0</v>
      </c>
      <c r="W1142" s="3">
        <f>IFERROR(INDEX(EVENTOS!$D:$D,MATCH(SCORE!W$2&amp;" "&amp;SCORE!$D1142,EVENTOS!$F:$F,0)),0)</f>
        <v>0</v>
      </c>
      <c r="X1142" s="3">
        <f>IFERROR(INDEX(EVENTOS!$D:$D,MATCH(SCORE!X$2&amp;" "&amp;SCORE!$D1142,EVENTOS!$F:$F,0)),0)</f>
        <v>0</v>
      </c>
      <c r="Y1142" s="3">
        <f>SUMIFS(EVENTOS!$D:$D, EVENTOS!$B:$B, D1142, EVENTOS!$E:$E, "*GirAlto*")</f>
        <v>0</v>
      </c>
      <c r="Z1142" s="3">
        <f>SUMIFS(EVENTOS!$D:$D, EVENTOS!$B:$B, D1142, EVENTOS!$E:$E, "*GirMed*")</f>
        <v>0</v>
      </c>
      <c r="AA1142" s="3">
        <f>SUMIFS(EVENTOS!$D:$D, EVENTOS!$B:$B, D1142, EVENTOS!$E:$E, "*GirBajo*")</f>
        <v>0</v>
      </c>
      <c r="AB1142" s="3">
        <f>IFERROR(INDEX(EVENTOS!$D:$D,MATCH(SCORE!AB$2&amp;" "&amp;SCORE!$D1142,EVENTOS!$F:$F,0)),0)</f>
        <v>0</v>
      </c>
      <c r="AC1142" s="3">
        <f>IFERROR(INDEX(EVENTOS!$D:$D,MATCH(SCORE!AC$2&amp;" "&amp;SCORE!$D1142,EVENTOS!$F:$F,0)),0)</f>
        <v>0</v>
      </c>
      <c r="AD1142" s="3">
        <f>IFERROR(INDEX(EVENTOS!$D:$D,MATCH(SCORE!AD$2&amp;" "&amp;SCORE!$D1142,EVENTOS!$F:$F,0)),0)</f>
        <v>0</v>
      </c>
      <c r="AE1142" s="3">
        <f t="shared" si="51"/>
        <v>0</v>
      </c>
      <c r="AF1142" s="10" t="e">
        <f t="shared" si="52"/>
        <v>#N/A</v>
      </c>
      <c r="AG1142" s="3" t="str">
        <f t="shared" si="53"/>
        <v/>
      </c>
    </row>
    <row r="1143" spans="1:33" x14ac:dyDescent="0.25">
      <c r="A1143" s="7"/>
      <c r="B1143" s="8"/>
      <c r="C1143" s="3"/>
      <c r="D1143" s="3"/>
      <c r="E1143" s="3" t="e">
        <f>VLOOKUP(D1143,VIAJES!$D:$E,2,FALSE)</f>
        <v>#N/A</v>
      </c>
      <c r="F1143" s="9" t="e">
        <f>VLOOKUP(D1143,VIAJES!$D:$F,3,FALSE)</f>
        <v>#N/A</v>
      </c>
      <c r="G1143" s="9" t="e">
        <f>VLOOKUP(D1143,VIAJES!$D:$G,4,FALSE)</f>
        <v>#N/A</v>
      </c>
      <c r="H1143" s="3" t="e">
        <f>VLOOKUP(D1143,VIAJES!$D:$H,5,FALSE)</f>
        <v>#N/A</v>
      </c>
      <c r="S1143" s="3">
        <f>IFERROR(INDEX(EVENTOS!$D:$D,MATCH(SCORE!S$2&amp;" "&amp;SCORE!$D1143,EVENTOS!$F:$F,0)),0)</f>
        <v>0</v>
      </c>
      <c r="T1143" s="3">
        <f>IFERROR(INDEX(EVENTOS!$D:$D,MATCH(SCORE!T$2&amp;" "&amp;SCORE!$D1143,EVENTOS!$F:$F,0)),0)</f>
        <v>0</v>
      </c>
      <c r="U1143" s="3">
        <f>IFERROR(INDEX(EVENTOS!$D:$D,MATCH(SCORE!U$2&amp;" "&amp;SCORE!$D1143,EVENTOS!$F:$F,0)),0)</f>
        <v>0</v>
      </c>
      <c r="V1143" s="3">
        <f>IFERROR(INDEX(EVENTOS!$D:$D,MATCH(SCORE!V$2&amp;" "&amp;SCORE!$D1143,EVENTOS!$F:$F,0)),0)</f>
        <v>0</v>
      </c>
      <c r="W1143" s="3">
        <f>IFERROR(INDEX(EVENTOS!$D:$D,MATCH(SCORE!W$2&amp;" "&amp;SCORE!$D1143,EVENTOS!$F:$F,0)),0)</f>
        <v>0</v>
      </c>
      <c r="X1143" s="3">
        <f>IFERROR(INDEX(EVENTOS!$D:$D,MATCH(SCORE!X$2&amp;" "&amp;SCORE!$D1143,EVENTOS!$F:$F,0)),0)</f>
        <v>0</v>
      </c>
      <c r="Y1143" s="3">
        <f>SUMIFS(EVENTOS!$D:$D, EVENTOS!$B:$B, D1143, EVENTOS!$E:$E, "*GirAlto*")</f>
        <v>0</v>
      </c>
      <c r="Z1143" s="3">
        <f>SUMIFS(EVENTOS!$D:$D, EVENTOS!$B:$B, D1143, EVENTOS!$E:$E, "*GirMed*")</f>
        <v>0</v>
      </c>
      <c r="AA1143" s="3">
        <f>SUMIFS(EVENTOS!$D:$D, EVENTOS!$B:$B, D1143, EVENTOS!$E:$E, "*GirBajo*")</f>
        <v>0</v>
      </c>
      <c r="AB1143" s="3">
        <f>IFERROR(INDEX(EVENTOS!$D:$D,MATCH(SCORE!AB$2&amp;" "&amp;SCORE!$D1143,EVENTOS!$F:$F,0)),0)</f>
        <v>0</v>
      </c>
      <c r="AC1143" s="3">
        <f>IFERROR(INDEX(EVENTOS!$D:$D,MATCH(SCORE!AC$2&amp;" "&amp;SCORE!$D1143,EVENTOS!$F:$F,0)),0)</f>
        <v>0</v>
      </c>
      <c r="AD1143" s="3">
        <f>IFERROR(INDEX(EVENTOS!$D:$D,MATCH(SCORE!AD$2&amp;" "&amp;SCORE!$D1143,EVENTOS!$F:$F,0)),0)</f>
        <v>0</v>
      </c>
      <c r="AE1143" s="3">
        <f t="shared" si="51"/>
        <v>0</v>
      </c>
      <c r="AF1143" s="10" t="e">
        <f t="shared" si="52"/>
        <v>#N/A</v>
      </c>
      <c r="AG1143" s="3" t="str">
        <f t="shared" si="53"/>
        <v/>
      </c>
    </row>
    <row r="1144" spans="1:33" x14ac:dyDescent="0.25">
      <c r="A1144" s="7"/>
      <c r="B1144" s="8"/>
      <c r="C1144" s="3"/>
      <c r="D1144" s="3"/>
      <c r="E1144" s="3" t="e">
        <f>VLOOKUP(D1144,VIAJES!$D:$E,2,FALSE)</f>
        <v>#N/A</v>
      </c>
      <c r="F1144" s="9" t="e">
        <f>VLOOKUP(D1144,VIAJES!$D:$F,3,FALSE)</f>
        <v>#N/A</v>
      </c>
      <c r="G1144" s="9" t="e">
        <f>VLOOKUP(D1144,VIAJES!$D:$G,4,FALSE)</f>
        <v>#N/A</v>
      </c>
      <c r="H1144" s="3" t="e">
        <f>VLOOKUP(D1144,VIAJES!$D:$H,5,FALSE)</f>
        <v>#N/A</v>
      </c>
      <c r="S1144" s="3">
        <f>IFERROR(INDEX(EVENTOS!$D:$D,MATCH(SCORE!S$2&amp;" "&amp;SCORE!$D1144,EVENTOS!$F:$F,0)),0)</f>
        <v>0</v>
      </c>
      <c r="T1144" s="3">
        <f>IFERROR(INDEX(EVENTOS!$D:$D,MATCH(SCORE!T$2&amp;" "&amp;SCORE!$D1144,EVENTOS!$F:$F,0)),0)</f>
        <v>0</v>
      </c>
      <c r="U1144" s="3">
        <f>IFERROR(INDEX(EVENTOS!$D:$D,MATCH(SCORE!U$2&amp;" "&amp;SCORE!$D1144,EVENTOS!$F:$F,0)),0)</f>
        <v>0</v>
      </c>
      <c r="V1144" s="3">
        <f>IFERROR(INDEX(EVENTOS!$D:$D,MATCH(SCORE!V$2&amp;" "&amp;SCORE!$D1144,EVENTOS!$F:$F,0)),0)</f>
        <v>0</v>
      </c>
      <c r="W1144" s="3">
        <f>IFERROR(INDEX(EVENTOS!$D:$D,MATCH(SCORE!W$2&amp;" "&amp;SCORE!$D1144,EVENTOS!$F:$F,0)),0)</f>
        <v>0</v>
      </c>
      <c r="X1144" s="3">
        <f>IFERROR(INDEX(EVENTOS!$D:$D,MATCH(SCORE!X$2&amp;" "&amp;SCORE!$D1144,EVENTOS!$F:$F,0)),0)</f>
        <v>0</v>
      </c>
      <c r="Y1144" s="3">
        <f>SUMIFS(EVENTOS!$D:$D, EVENTOS!$B:$B, D1144, EVENTOS!$E:$E, "*GirAlto*")</f>
        <v>0</v>
      </c>
      <c r="Z1144" s="3">
        <f>SUMIFS(EVENTOS!$D:$D, EVENTOS!$B:$B, D1144, EVENTOS!$E:$E, "*GirMed*")</f>
        <v>0</v>
      </c>
      <c r="AA1144" s="3">
        <f>SUMIFS(EVENTOS!$D:$D, EVENTOS!$B:$B, D1144, EVENTOS!$E:$E, "*GirBajo*")</f>
        <v>0</v>
      </c>
      <c r="AB1144" s="3">
        <f>IFERROR(INDEX(EVENTOS!$D:$D,MATCH(SCORE!AB$2&amp;" "&amp;SCORE!$D1144,EVENTOS!$F:$F,0)),0)</f>
        <v>0</v>
      </c>
      <c r="AC1144" s="3">
        <f>IFERROR(INDEX(EVENTOS!$D:$D,MATCH(SCORE!AC$2&amp;" "&amp;SCORE!$D1144,EVENTOS!$F:$F,0)),0)</f>
        <v>0</v>
      </c>
      <c r="AD1144" s="3">
        <f>IFERROR(INDEX(EVENTOS!$D:$D,MATCH(SCORE!AD$2&amp;" "&amp;SCORE!$D1144,EVENTOS!$F:$F,0)),0)</f>
        <v>0</v>
      </c>
      <c r="AE1144" s="3">
        <f t="shared" si="51"/>
        <v>0</v>
      </c>
      <c r="AF1144" s="10" t="e">
        <f t="shared" si="52"/>
        <v>#N/A</v>
      </c>
      <c r="AG1144" s="3" t="str">
        <f t="shared" si="53"/>
        <v/>
      </c>
    </row>
    <row r="1145" spans="1:33" x14ac:dyDescent="0.25">
      <c r="A1145" s="7"/>
      <c r="B1145" s="8"/>
      <c r="C1145" s="3"/>
      <c r="D1145" s="3"/>
      <c r="E1145" s="3" t="e">
        <f>VLOOKUP(D1145,VIAJES!$D:$E,2,FALSE)</f>
        <v>#N/A</v>
      </c>
      <c r="F1145" s="9" t="e">
        <f>VLOOKUP(D1145,VIAJES!$D:$F,3,FALSE)</f>
        <v>#N/A</v>
      </c>
      <c r="G1145" s="9" t="e">
        <f>VLOOKUP(D1145,VIAJES!$D:$G,4,FALSE)</f>
        <v>#N/A</v>
      </c>
      <c r="H1145" s="3" t="e">
        <f>VLOOKUP(D1145,VIAJES!$D:$H,5,FALSE)</f>
        <v>#N/A</v>
      </c>
      <c r="S1145" s="3">
        <f>IFERROR(INDEX(EVENTOS!$D:$D,MATCH(SCORE!S$2&amp;" "&amp;SCORE!$D1145,EVENTOS!$F:$F,0)),0)</f>
        <v>0</v>
      </c>
      <c r="T1145" s="3">
        <f>IFERROR(INDEX(EVENTOS!$D:$D,MATCH(SCORE!T$2&amp;" "&amp;SCORE!$D1145,EVENTOS!$F:$F,0)),0)</f>
        <v>0</v>
      </c>
      <c r="U1145" s="3">
        <f>IFERROR(INDEX(EVENTOS!$D:$D,MATCH(SCORE!U$2&amp;" "&amp;SCORE!$D1145,EVENTOS!$F:$F,0)),0)</f>
        <v>0</v>
      </c>
      <c r="V1145" s="3">
        <f>IFERROR(INDEX(EVENTOS!$D:$D,MATCH(SCORE!V$2&amp;" "&amp;SCORE!$D1145,EVENTOS!$F:$F,0)),0)</f>
        <v>0</v>
      </c>
      <c r="W1145" s="3">
        <f>IFERROR(INDEX(EVENTOS!$D:$D,MATCH(SCORE!W$2&amp;" "&amp;SCORE!$D1145,EVENTOS!$F:$F,0)),0)</f>
        <v>0</v>
      </c>
      <c r="X1145" s="3">
        <f>IFERROR(INDEX(EVENTOS!$D:$D,MATCH(SCORE!X$2&amp;" "&amp;SCORE!$D1145,EVENTOS!$F:$F,0)),0)</f>
        <v>0</v>
      </c>
      <c r="Y1145" s="3">
        <f>SUMIFS(EVENTOS!$D:$D, EVENTOS!$B:$B, D1145, EVENTOS!$E:$E, "*GirAlto*")</f>
        <v>0</v>
      </c>
      <c r="Z1145" s="3">
        <f>SUMIFS(EVENTOS!$D:$D, EVENTOS!$B:$B, D1145, EVENTOS!$E:$E, "*GirMed*")</f>
        <v>0</v>
      </c>
      <c r="AA1145" s="3">
        <f>SUMIFS(EVENTOS!$D:$D, EVENTOS!$B:$B, D1145, EVENTOS!$E:$E, "*GirBajo*")</f>
        <v>0</v>
      </c>
      <c r="AB1145" s="3">
        <f>IFERROR(INDEX(EVENTOS!$D:$D,MATCH(SCORE!AB$2&amp;" "&amp;SCORE!$D1145,EVENTOS!$F:$F,0)),0)</f>
        <v>0</v>
      </c>
      <c r="AC1145" s="3">
        <f>IFERROR(INDEX(EVENTOS!$D:$D,MATCH(SCORE!AC$2&amp;" "&amp;SCORE!$D1145,EVENTOS!$F:$F,0)),0)</f>
        <v>0</v>
      </c>
      <c r="AD1145" s="3">
        <f>IFERROR(INDEX(EVENTOS!$D:$D,MATCH(SCORE!AD$2&amp;" "&amp;SCORE!$D1145,EVENTOS!$F:$F,0)),0)</f>
        <v>0</v>
      </c>
      <c r="AE1145" s="3">
        <f t="shared" si="51"/>
        <v>0</v>
      </c>
      <c r="AF1145" s="10" t="e">
        <f t="shared" si="52"/>
        <v>#N/A</v>
      </c>
      <c r="AG1145" s="3" t="str">
        <f t="shared" si="53"/>
        <v/>
      </c>
    </row>
    <row r="1146" spans="1:33" x14ac:dyDescent="0.25">
      <c r="A1146" s="7"/>
      <c r="B1146" s="8"/>
      <c r="C1146" s="3"/>
      <c r="D1146" s="3"/>
      <c r="E1146" s="3" t="e">
        <f>VLOOKUP(D1146,VIAJES!$D:$E,2,FALSE)</f>
        <v>#N/A</v>
      </c>
      <c r="F1146" s="9" t="e">
        <f>VLOOKUP(D1146,VIAJES!$D:$F,3,FALSE)</f>
        <v>#N/A</v>
      </c>
      <c r="G1146" s="9" t="e">
        <f>VLOOKUP(D1146,VIAJES!$D:$G,4,FALSE)</f>
        <v>#N/A</v>
      </c>
      <c r="H1146" s="3" t="e">
        <f>VLOOKUP(D1146,VIAJES!$D:$H,5,FALSE)</f>
        <v>#N/A</v>
      </c>
      <c r="S1146" s="3">
        <f>IFERROR(INDEX(EVENTOS!$D:$D,MATCH(SCORE!S$2&amp;" "&amp;SCORE!$D1146,EVENTOS!$F:$F,0)),0)</f>
        <v>0</v>
      </c>
      <c r="T1146" s="3">
        <f>IFERROR(INDEX(EVENTOS!$D:$D,MATCH(SCORE!T$2&amp;" "&amp;SCORE!$D1146,EVENTOS!$F:$F,0)),0)</f>
        <v>0</v>
      </c>
      <c r="U1146" s="3">
        <f>IFERROR(INDEX(EVENTOS!$D:$D,MATCH(SCORE!U$2&amp;" "&amp;SCORE!$D1146,EVENTOS!$F:$F,0)),0)</f>
        <v>0</v>
      </c>
      <c r="V1146" s="3">
        <f>IFERROR(INDEX(EVENTOS!$D:$D,MATCH(SCORE!V$2&amp;" "&amp;SCORE!$D1146,EVENTOS!$F:$F,0)),0)</f>
        <v>0</v>
      </c>
      <c r="W1146" s="3">
        <f>IFERROR(INDEX(EVENTOS!$D:$D,MATCH(SCORE!W$2&amp;" "&amp;SCORE!$D1146,EVENTOS!$F:$F,0)),0)</f>
        <v>0</v>
      </c>
      <c r="X1146" s="3">
        <f>IFERROR(INDEX(EVENTOS!$D:$D,MATCH(SCORE!X$2&amp;" "&amp;SCORE!$D1146,EVENTOS!$F:$F,0)),0)</f>
        <v>0</v>
      </c>
      <c r="Y1146" s="3">
        <f>SUMIFS(EVENTOS!$D:$D, EVENTOS!$B:$B, D1146, EVENTOS!$E:$E, "*GirAlto*")</f>
        <v>0</v>
      </c>
      <c r="Z1146" s="3">
        <f>SUMIFS(EVENTOS!$D:$D, EVENTOS!$B:$B, D1146, EVENTOS!$E:$E, "*GirMed*")</f>
        <v>0</v>
      </c>
      <c r="AA1146" s="3">
        <f>SUMIFS(EVENTOS!$D:$D, EVENTOS!$B:$B, D1146, EVENTOS!$E:$E, "*GirBajo*")</f>
        <v>0</v>
      </c>
      <c r="AB1146" s="3">
        <f>IFERROR(INDEX(EVENTOS!$D:$D,MATCH(SCORE!AB$2&amp;" "&amp;SCORE!$D1146,EVENTOS!$F:$F,0)),0)</f>
        <v>0</v>
      </c>
      <c r="AC1146" s="3">
        <f>IFERROR(INDEX(EVENTOS!$D:$D,MATCH(SCORE!AC$2&amp;" "&amp;SCORE!$D1146,EVENTOS!$F:$F,0)),0)</f>
        <v>0</v>
      </c>
      <c r="AD1146" s="3">
        <f>IFERROR(INDEX(EVENTOS!$D:$D,MATCH(SCORE!AD$2&amp;" "&amp;SCORE!$D1146,EVENTOS!$F:$F,0)),0)</f>
        <v>0</v>
      </c>
      <c r="AE1146" s="3">
        <f t="shared" si="51"/>
        <v>0</v>
      </c>
      <c r="AF1146" s="10" t="e">
        <f t="shared" si="52"/>
        <v>#N/A</v>
      </c>
      <c r="AG1146" s="3" t="str">
        <f t="shared" si="53"/>
        <v/>
      </c>
    </row>
    <row r="1147" spans="1:33" x14ac:dyDescent="0.25">
      <c r="A1147" s="7"/>
      <c r="B1147" s="8"/>
      <c r="C1147" s="3"/>
      <c r="D1147" s="3"/>
      <c r="E1147" s="3" t="e">
        <f>VLOOKUP(D1147,VIAJES!$D:$E,2,FALSE)</f>
        <v>#N/A</v>
      </c>
      <c r="F1147" s="9" t="e">
        <f>VLOOKUP(D1147,VIAJES!$D:$F,3,FALSE)</f>
        <v>#N/A</v>
      </c>
      <c r="G1147" s="9" t="e">
        <f>VLOOKUP(D1147,VIAJES!$D:$G,4,FALSE)</f>
        <v>#N/A</v>
      </c>
      <c r="H1147" s="3" t="e">
        <f>VLOOKUP(D1147,VIAJES!$D:$H,5,FALSE)</f>
        <v>#N/A</v>
      </c>
      <c r="S1147" s="3">
        <f>IFERROR(INDEX(EVENTOS!$D:$D,MATCH(SCORE!S$2&amp;" "&amp;SCORE!$D1147,EVENTOS!$F:$F,0)),0)</f>
        <v>0</v>
      </c>
      <c r="T1147" s="3">
        <f>IFERROR(INDEX(EVENTOS!$D:$D,MATCH(SCORE!T$2&amp;" "&amp;SCORE!$D1147,EVENTOS!$F:$F,0)),0)</f>
        <v>0</v>
      </c>
      <c r="U1147" s="3">
        <f>IFERROR(INDEX(EVENTOS!$D:$D,MATCH(SCORE!U$2&amp;" "&amp;SCORE!$D1147,EVENTOS!$F:$F,0)),0)</f>
        <v>0</v>
      </c>
      <c r="V1147" s="3">
        <f>IFERROR(INDEX(EVENTOS!$D:$D,MATCH(SCORE!V$2&amp;" "&amp;SCORE!$D1147,EVENTOS!$F:$F,0)),0)</f>
        <v>0</v>
      </c>
      <c r="W1147" s="3">
        <f>IFERROR(INDEX(EVENTOS!$D:$D,MATCH(SCORE!W$2&amp;" "&amp;SCORE!$D1147,EVENTOS!$F:$F,0)),0)</f>
        <v>0</v>
      </c>
      <c r="X1147" s="3">
        <f>IFERROR(INDEX(EVENTOS!$D:$D,MATCH(SCORE!X$2&amp;" "&amp;SCORE!$D1147,EVENTOS!$F:$F,0)),0)</f>
        <v>0</v>
      </c>
      <c r="Y1147" s="3">
        <f>SUMIFS(EVENTOS!$D:$D, EVENTOS!$B:$B, D1147, EVENTOS!$E:$E, "*GirAlto*")</f>
        <v>0</v>
      </c>
      <c r="Z1147" s="3">
        <f>SUMIFS(EVENTOS!$D:$D, EVENTOS!$B:$B, D1147, EVENTOS!$E:$E, "*GirMed*")</f>
        <v>0</v>
      </c>
      <c r="AA1147" s="3">
        <f>SUMIFS(EVENTOS!$D:$D, EVENTOS!$B:$B, D1147, EVENTOS!$E:$E, "*GirBajo*")</f>
        <v>0</v>
      </c>
      <c r="AB1147" s="3">
        <f>IFERROR(INDEX(EVENTOS!$D:$D,MATCH(SCORE!AB$2&amp;" "&amp;SCORE!$D1147,EVENTOS!$F:$F,0)),0)</f>
        <v>0</v>
      </c>
      <c r="AC1147" s="3">
        <f>IFERROR(INDEX(EVENTOS!$D:$D,MATCH(SCORE!AC$2&amp;" "&amp;SCORE!$D1147,EVENTOS!$F:$F,0)),0)</f>
        <v>0</v>
      </c>
      <c r="AD1147" s="3">
        <f>IFERROR(INDEX(EVENTOS!$D:$D,MATCH(SCORE!AD$2&amp;" "&amp;SCORE!$D1147,EVENTOS!$F:$F,0)),0)</f>
        <v>0</v>
      </c>
      <c r="AE1147" s="3">
        <f t="shared" si="51"/>
        <v>0</v>
      </c>
      <c r="AF1147" s="10" t="e">
        <f t="shared" si="52"/>
        <v>#N/A</v>
      </c>
      <c r="AG1147" s="3" t="str">
        <f t="shared" si="53"/>
        <v/>
      </c>
    </row>
    <row r="1148" spans="1:33" x14ac:dyDescent="0.25">
      <c r="A1148" s="7"/>
      <c r="B1148" s="8"/>
      <c r="C1148" s="3"/>
      <c r="D1148" s="3"/>
      <c r="E1148" s="3" t="e">
        <f>VLOOKUP(D1148,VIAJES!$D:$E,2,FALSE)</f>
        <v>#N/A</v>
      </c>
      <c r="F1148" s="9" t="e">
        <f>VLOOKUP(D1148,VIAJES!$D:$F,3,FALSE)</f>
        <v>#N/A</v>
      </c>
      <c r="G1148" s="9" t="e">
        <f>VLOOKUP(D1148,VIAJES!$D:$G,4,FALSE)</f>
        <v>#N/A</v>
      </c>
      <c r="H1148" s="3" t="e">
        <f>VLOOKUP(D1148,VIAJES!$D:$H,5,FALSE)</f>
        <v>#N/A</v>
      </c>
      <c r="S1148" s="3">
        <f>IFERROR(INDEX(EVENTOS!$D:$D,MATCH(SCORE!S$2&amp;" "&amp;SCORE!$D1148,EVENTOS!$F:$F,0)),0)</f>
        <v>0</v>
      </c>
      <c r="T1148" s="3">
        <f>IFERROR(INDEX(EVENTOS!$D:$D,MATCH(SCORE!T$2&amp;" "&amp;SCORE!$D1148,EVENTOS!$F:$F,0)),0)</f>
        <v>0</v>
      </c>
      <c r="U1148" s="3">
        <f>IFERROR(INDEX(EVENTOS!$D:$D,MATCH(SCORE!U$2&amp;" "&amp;SCORE!$D1148,EVENTOS!$F:$F,0)),0)</f>
        <v>0</v>
      </c>
      <c r="V1148" s="3">
        <f>IFERROR(INDEX(EVENTOS!$D:$D,MATCH(SCORE!V$2&amp;" "&amp;SCORE!$D1148,EVENTOS!$F:$F,0)),0)</f>
        <v>0</v>
      </c>
      <c r="W1148" s="3">
        <f>IFERROR(INDEX(EVENTOS!$D:$D,MATCH(SCORE!W$2&amp;" "&amp;SCORE!$D1148,EVENTOS!$F:$F,0)),0)</f>
        <v>0</v>
      </c>
      <c r="X1148" s="3">
        <f>IFERROR(INDEX(EVENTOS!$D:$D,MATCH(SCORE!X$2&amp;" "&amp;SCORE!$D1148,EVENTOS!$F:$F,0)),0)</f>
        <v>0</v>
      </c>
      <c r="Y1148" s="3">
        <f>SUMIFS(EVENTOS!$D:$D, EVENTOS!$B:$B, D1148, EVENTOS!$E:$E, "*GirAlto*")</f>
        <v>0</v>
      </c>
      <c r="Z1148" s="3">
        <f>SUMIFS(EVENTOS!$D:$D, EVENTOS!$B:$B, D1148, EVENTOS!$E:$E, "*GirMed*")</f>
        <v>0</v>
      </c>
      <c r="AA1148" s="3">
        <f>SUMIFS(EVENTOS!$D:$D, EVENTOS!$B:$B, D1148, EVENTOS!$E:$E, "*GirBajo*")</f>
        <v>0</v>
      </c>
      <c r="AB1148" s="3">
        <f>IFERROR(INDEX(EVENTOS!$D:$D,MATCH(SCORE!AB$2&amp;" "&amp;SCORE!$D1148,EVENTOS!$F:$F,0)),0)</f>
        <v>0</v>
      </c>
      <c r="AC1148" s="3">
        <f>IFERROR(INDEX(EVENTOS!$D:$D,MATCH(SCORE!AC$2&amp;" "&amp;SCORE!$D1148,EVENTOS!$F:$F,0)),0)</f>
        <v>0</v>
      </c>
      <c r="AD1148" s="3">
        <f>IFERROR(INDEX(EVENTOS!$D:$D,MATCH(SCORE!AD$2&amp;" "&amp;SCORE!$D1148,EVENTOS!$F:$F,0)),0)</f>
        <v>0</v>
      </c>
      <c r="AE1148" s="3">
        <f t="shared" si="51"/>
        <v>0</v>
      </c>
      <c r="AF1148" s="10" t="e">
        <f t="shared" si="52"/>
        <v>#N/A</v>
      </c>
      <c r="AG1148" s="3" t="str">
        <f t="shared" si="53"/>
        <v/>
      </c>
    </row>
    <row r="1149" spans="1:33" x14ac:dyDescent="0.25">
      <c r="A1149" s="7"/>
      <c r="B1149" s="8"/>
      <c r="C1149" s="3"/>
      <c r="D1149" s="3"/>
      <c r="E1149" s="3" t="e">
        <f>VLOOKUP(D1149,VIAJES!$D:$E,2,FALSE)</f>
        <v>#N/A</v>
      </c>
      <c r="F1149" s="9" t="e">
        <f>VLOOKUP(D1149,VIAJES!$D:$F,3,FALSE)</f>
        <v>#N/A</v>
      </c>
      <c r="G1149" s="9" t="e">
        <f>VLOOKUP(D1149,VIAJES!$D:$G,4,FALSE)</f>
        <v>#N/A</v>
      </c>
      <c r="H1149" s="3" t="e">
        <f>VLOOKUP(D1149,VIAJES!$D:$H,5,FALSE)</f>
        <v>#N/A</v>
      </c>
      <c r="S1149" s="3">
        <f>IFERROR(INDEX(EVENTOS!$D:$D,MATCH(SCORE!S$2&amp;" "&amp;SCORE!$D1149,EVENTOS!$F:$F,0)),0)</f>
        <v>0</v>
      </c>
      <c r="T1149" s="3">
        <f>IFERROR(INDEX(EVENTOS!$D:$D,MATCH(SCORE!T$2&amp;" "&amp;SCORE!$D1149,EVENTOS!$F:$F,0)),0)</f>
        <v>0</v>
      </c>
      <c r="U1149" s="3">
        <f>IFERROR(INDEX(EVENTOS!$D:$D,MATCH(SCORE!U$2&amp;" "&amp;SCORE!$D1149,EVENTOS!$F:$F,0)),0)</f>
        <v>0</v>
      </c>
      <c r="V1149" s="3">
        <f>IFERROR(INDEX(EVENTOS!$D:$D,MATCH(SCORE!V$2&amp;" "&amp;SCORE!$D1149,EVENTOS!$F:$F,0)),0)</f>
        <v>0</v>
      </c>
      <c r="W1149" s="3">
        <f>IFERROR(INDEX(EVENTOS!$D:$D,MATCH(SCORE!W$2&amp;" "&amp;SCORE!$D1149,EVENTOS!$F:$F,0)),0)</f>
        <v>0</v>
      </c>
      <c r="X1149" s="3">
        <f>IFERROR(INDEX(EVENTOS!$D:$D,MATCH(SCORE!X$2&amp;" "&amp;SCORE!$D1149,EVENTOS!$F:$F,0)),0)</f>
        <v>0</v>
      </c>
      <c r="Y1149" s="3">
        <f>SUMIFS(EVENTOS!$D:$D, EVENTOS!$B:$B, D1149, EVENTOS!$E:$E, "*GirAlto*")</f>
        <v>0</v>
      </c>
      <c r="Z1149" s="3">
        <f>SUMIFS(EVENTOS!$D:$D, EVENTOS!$B:$B, D1149, EVENTOS!$E:$E, "*GirMed*")</f>
        <v>0</v>
      </c>
      <c r="AA1149" s="3">
        <f>SUMIFS(EVENTOS!$D:$D, EVENTOS!$B:$B, D1149, EVENTOS!$E:$E, "*GirBajo*")</f>
        <v>0</v>
      </c>
      <c r="AB1149" s="3">
        <f>IFERROR(INDEX(EVENTOS!$D:$D,MATCH(SCORE!AB$2&amp;" "&amp;SCORE!$D1149,EVENTOS!$F:$F,0)),0)</f>
        <v>0</v>
      </c>
      <c r="AC1149" s="3">
        <f>IFERROR(INDEX(EVENTOS!$D:$D,MATCH(SCORE!AC$2&amp;" "&amp;SCORE!$D1149,EVENTOS!$F:$F,0)),0)</f>
        <v>0</v>
      </c>
      <c r="AD1149" s="3">
        <f>IFERROR(INDEX(EVENTOS!$D:$D,MATCH(SCORE!AD$2&amp;" "&amp;SCORE!$D1149,EVENTOS!$F:$F,0)),0)</f>
        <v>0</v>
      </c>
      <c r="AE1149" s="3">
        <f t="shared" si="51"/>
        <v>0</v>
      </c>
      <c r="AF1149" s="10" t="e">
        <f t="shared" si="52"/>
        <v>#N/A</v>
      </c>
      <c r="AG1149" s="3" t="str">
        <f t="shared" si="53"/>
        <v/>
      </c>
    </row>
    <row r="1150" spans="1:33" x14ac:dyDescent="0.25">
      <c r="A1150" s="7"/>
      <c r="B1150" s="8"/>
      <c r="C1150" s="3"/>
      <c r="D1150" s="3"/>
      <c r="E1150" s="3" t="e">
        <f>VLOOKUP(D1150,VIAJES!$D:$E,2,FALSE)</f>
        <v>#N/A</v>
      </c>
      <c r="F1150" s="9" t="e">
        <f>VLOOKUP(D1150,VIAJES!$D:$F,3,FALSE)</f>
        <v>#N/A</v>
      </c>
      <c r="G1150" s="9" t="e">
        <f>VLOOKUP(D1150,VIAJES!$D:$G,4,FALSE)</f>
        <v>#N/A</v>
      </c>
      <c r="H1150" s="3" t="e">
        <f>VLOOKUP(D1150,VIAJES!$D:$H,5,FALSE)</f>
        <v>#N/A</v>
      </c>
      <c r="S1150" s="3">
        <f>IFERROR(INDEX(EVENTOS!$D:$D,MATCH(SCORE!S$2&amp;" "&amp;SCORE!$D1150,EVENTOS!$F:$F,0)),0)</f>
        <v>0</v>
      </c>
      <c r="T1150" s="3">
        <f>IFERROR(INDEX(EVENTOS!$D:$D,MATCH(SCORE!T$2&amp;" "&amp;SCORE!$D1150,EVENTOS!$F:$F,0)),0)</f>
        <v>0</v>
      </c>
      <c r="U1150" s="3">
        <f>IFERROR(INDEX(EVENTOS!$D:$D,MATCH(SCORE!U$2&amp;" "&amp;SCORE!$D1150,EVENTOS!$F:$F,0)),0)</f>
        <v>0</v>
      </c>
      <c r="V1150" s="3">
        <f>IFERROR(INDEX(EVENTOS!$D:$D,MATCH(SCORE!V$2&amp;" "&amp;SCORE!$D1150,EVENTOS!$F:$F,0)),0)</f>
        <v>0</v>
      </c>
      <c r="W1150" s="3">
        <f>IFERROR(INDEX(EVENTOS!$D:$D,MATCH(SCORE!W$2&amp;" "&amp;SCORE!$D1150,EVENTOS!$F:$F,0)),0)</f>
        <v>0</v>
      </c>
      <c r="X1150" s="3">
        <f>IFERROR(INDEX(EVENTOS!$D:$D,MATCH(SCORE!X$2&amp;" "&amp;SCORE!$D1150,EVENTOS!$F:$F,0)),0)</f>
        <v>0</v>
      </c>
      <c r="Y1150" s="3">
        <f>SUMIFS(EVENTOS!$D:$D, EVENTOS!$B:$B, D1150, EVENTOS!$E:$E, "*GirAlto*")</f>
        <v>0</v>
      </c>
      <c r="Z1150" s="3">
        <f>SUMIFS(EVENTOS!$D:$D, EVENTOS!$B:$B, D1150, EVENTOS!$E:$E, "*GirMed*")</f>
        <v>0</v>
      </c>
      <c r="AA1150" s="3">
        <f>SUMIFS(EVENTOS!$D:$D, EVENTOS!$B:$B, D1150, EVENTOS!$E:$E, "*GirBajo*")</f>
        <v>0</v>
      </c>
      <c r="AB1150" s="3">
        <f>IFERROR(INDEX(EVENTOS!$D:$D,MATCH(SCORE!AB$2&amp;" "&amp;SCORE!$D1150,EVENTOS!$F:$F,0)),0)</f>
        <v>0</v>
      </c>
      <c r="AC1150" s="3">
        <f>IFERROR(INDEX(EVENTOS!$D:$D,MATCH(SCORE!AC$2&amp;" "&amp;SCORE!$D1150,EVENTOS!$F:$F,0)),0)</f>
        <v>0</v>
      </c>
      <c r="AD1150" s="3">
        <f>IFERROR(INDEX(EVENTOS!$D:$D,MATCH(SCORE!AD$2&amp;" "&amp;SCORE!$D1150,EVENTOS!$F:$F,0)),0)</f>
        <v>0</v>
      </c>
      <c r="AE1150" s="3">
        <f t="shared" si="51"/>
        <v>0</v>
      </c>
      <c r="AF1150" s="10" t="e">
        <f t="shared" si="52"/>
        <v>#N/A</v>
      </c>
      <c r="AG1150" s="3" t="str">
        <f t="shared" si="53"/>
        <v/>
      </c>
    </row>
    <row r="1151" spans="1:33" x14ac:dyDescent="0.25">
      <c r="A1151" s="7"/>
      <c r="B1151" s="8"/>
      <c r="C1151" s="3"/>
      <c r="D1151" s="3"/>
      <c r="E1151" s="3" t="e">
        <f>VLOOKUP(D1151,VIAJES!$D:$E,2,FALSE)</f>
        <v>#N/A</v>
      </c>
      <c r="F1151" s="9" t="e">
        <f>VLOOKUP(D1151,VIAJES!$D:$F,3,FALSE)</f>
        <v>#N/A</v>
      </c>
      <c r="G1151" s="9" t="e">
        <f>VLOOKUP(D1151,VIAJES!$D:$G,4,FALSE)</f>
        <v>#N/A</v>
      </c>
      <c r="H1151" s="3" t="e">
        <f>VLOOKUP(D1151,VIAJES!$D:$H,5,FALSE)</f>
        <v>#N/A</v>
      </c>
      <c r="S1151" s="3">
        <f>IFERROR(INDEX(EVENTOS!$D:$D,MATCH(SCORE!S$2&amp;" "&amp;SCORE!$D1151,EVENTOS!$F:$F,0)),0)</f>
        <v>0</v>
      </c>
      <c r="T1151" s="3">
        <f>IFERROR(INDEX(EVENTOS!$D:$D,MATCH(SCORE!T$2&amp;" "&amp;SCORE!$D1151,EVENTOS!$F:$F,0)),0)</f>
        <v>0</v>
      </c>
      <c r="U1151" s="3">
        <f>IFERROR(INDEX(EVENTOS!$D:$D,MATCH(SCORE!U$2&amp;" "&amp;SCORE!$D1151,EVENTOS!$F:$F,0)),0)</f>
        <v>0</v>
      </c>
      <c r="V1151" s="3">
        <f>IFERROR(INDEX(EVENTOS!$D:$D,MATCH(SCORE!V$2&amp;" "&amp;SCORE!$D1151,EVENTOS!$F:$F,0)),0)</f>
        <v>0</v>
      </c>
      <c r="W1151" s="3">
        <f>IFERROR(INDEX(EVENTOS!$D:$D,MATCH(SCORE!W$2&amp;" "&amp;SCORE!$D1151,EVENTOS!$F:$F,0)),0)</f>
        <v>0</v>
      </c>
      <c r="X1151" s="3">
        <f>IFERROR(INDEX(EVENTOS!$D:$D,MATCH(SCORE!X$2&amp;" "&amp;SCORE!$D1151,EVENTOS!$F:$F,0)),0)</f>
        <v>0</v>
      </c>
      <c r="Y1151" s="3">
        <f>SUMIFS(EVENTOS!$D:$D, EVENTOS!$B:$B, D1151, EVENTOS!$E:$E, "*GirAlto*")</f>
        <v>0</v>
      </c>
      <c r="Z1151" s="3">
        <f>SUMIFS(EVENTOS!$D:$D, EVENTOS!$B:$B, D1151, EVENTOS!$E:$E, "*GirMed*")</f>
        <v>0</v>
      </c>
      <c r="AA1151" s="3">
        <f>SUMIFS(EVENTOS!$D:$D, EVENTOS!$B:$B, D1151, EVENTOS!$E:$E, "*GirBajo*")</f>
        <v>0</v>
      </c>
      <c r="AB1151" s="3">
        <f>IFERROR(INDEX(EVENTOS!$D:$D,MATCH(SCORE!AB$2&amp;" "&amp;SCORE!$D1151,EVENTOS!$F:$F,0)),0)</f>
        <v>0</v>
      </c>
      <c r="AC1151" s="3">
        <f>IFERROR(INDEX(EVENTOS!$D:$D,MATCH(SCORE!AC$2&amp;" "&amp;SCORE!$D1151,EVENTOS!$F:$F,0)),0)</f>
        <v>0</v>
      </c>
      <c r="AD1151" s="3">
        <f>IFERROR(INDEX(EVENTOS!$D:$D,MATCH(SCORE!AD$2&amp;" "&amp;SCORE!$D1151,EVENTOS!$F:$F,0)),0)</f>
        <v>0</v>
      </c>
      <c r="AE1151" s="3">
        <f t="shared" si="51"/>
        <v>0</v>
      </c>
      <c r="AF1151" s="10" t="e">
        <f t="shared" si="52"/>
        <v>#N/A</v>
      </c>
      <c r="AG1151" s="3" t="str">
        <f t="shared" si="53"/>
        <v/>
      </c>
    </row>
    <row r="1152" spans="1:33" x14ac:dyDescent="0.25">
      <c r="A1152" s="7"/>
      <c r="B1152" s="8"/>
      <c r="C1152" s="3"/>
      <c r="D1152" s="3"/>
      <c r="E1152" s="3" t="e">
        <f>VLOOKUP(D1152,VIAJES!$D:$E,2,FALSE)</f>
        <v>#N/A</v>
      </c>
      <c r="F1152" s="9" t="e">
        <f>VLOOKUP(D1152,VIAJES!$D:$F,3,FALSE)</f>
        <v>#N/A</v>
      </c>
      <c r="G1152" s="9" t="e">
        <f>VLOOKUP(D1152,VIAJES!$D:$G,4,FALSE)</f>
        <v>#N/A</v>
      </c>
      <c r="H1152" s="3" t="e">
        <f>VLOOKUP(D1152,VIAJES!$D:$H,5,FALSE)</f>
        <v>#N/A</v>
      </c>
      <c r="S1152" s="3">
        <f>IFERROR(INDEX(EVENTOS!$D:$D,MATCH(SCORE!S$2&amp;" "&amp;SCORE!$D1152,EVENTOS!$F:$F,0)),0)</f>
        <v>0</v>
      </c>
      <c r="T1152" s="3">
        <f>IFERROR(INDEX(EVENTOS!$D:$D,MATCH(SCORE!T$2&amp;" "&amp;SCORE!$D1152,EVENTOS!$F:$F,0)),0)</f>
        <v>0</v>
      </c>
      <c r="U1152" s="3">
        <f>IFERROR(INDEX(EVENTOS!$D:$D,MATCH(SCORE!U$2&amp;" "&amp;SCORE!$D1152,EVENTOS!$F:$F,0)),0)</f>
        <v>0</v>
      </c>
      <c r="V1152" s="3">
        <f>IFERROR(INDEX(EVENTOS!$D:$D,MATCH(SCORE!V$2&amp;" "&amp;SCORE!$D1152,EVENTOS!$F:$F,0)),0)</f>
        <v>0</v>
      </c>
      <c r="W1152" s="3">
        <f>IFERROR(INDEX(EVENTOS!$D:$D,MATCH(SCORE!W$2&amp;" "&amp;SCORE!$D1152,EVENTOS!$F:$F,0)),0)</f>
        <v>0</v>
      </c>
      <c r="X1152" s="3">
        <f>IFERROR(INDEX(EVENTOS!$D:$D,MATCH(SCORE!X$2&amp;" "&amp;SCORE!$D1152,EVENTOS!$F:$F,0)),0)</f>
        <v>0</v>
      </c>
      <c r="Y1152" s="3">
        <f>SUMIFS(EVENTOS!$D:$D, EVENTOS!$B:$B, D1152, EVENTOS!$E:$E, "*GirAlto*")</f>
        <v>0</v>
      </c>
      <c r="Z1152" s="3">
        <f>SUMIFS(EVENTOS!$D:$D, EVENTOS!$B:$B, D1152, EVENTOS!$E:$E, "*GirMed*")</f>
        <v>0</v>
      </c>
      <c r="AA1152" s="3">
        <f>SUMIFS(EVENTOS!$D:$D, EVENTOS!$B:$B, D1152, EVENTOS!$E:$E, "*GirBajo*")</f>
        <v>0</v>
      </c>
      <c r="AB1152" s="3">
        <f>IFERROR(INDEX(EVENTOS!$D:$D,MATCH(SCORE!AB$2&amp;" "&amp;SCORE!$D1152,EVENTOS!$F:$F,0)),0)</f>
        <v>0</v>
      </c>
      <c r="AC1152" s="3">
        <f>IFERROR(INDEX(EVENTOS!$D:$D,MATCH(SCORE!AC$2&amp;" "&amp;SCORE!$D1152,EVENTOS!$F:$F,0)),0)</f>
        <v>0</v>
      </c>
      <c r="AD1152" s="3">
        <f>IFERROR(INDEX(EVENTOS!$D:$D,MATCH(SCORE!AD$2&amp;" "&amp;SCORE!$D1152,EVENTOS!$F:$F,0)),0)</f>
        <v>0</v>
      </c>
      <c r="AE1152" s="3">
        <f t="shared" si="51"/>
        <v>0</v>
      </c>
      <c r="AF1152" s="10" t="e">
        <f t="shared" si="52"/>
        <v>#N/A</v>
      </c>
      <c r="AG1152" s="3" t="str">
        <f t="shared" si="53"/>
        <v/>
      </c>
    </row>
    <row r="1153" spans="1:33" x14ac:dyDescent="0.25">
      <c r="A1153" s="7"/>
      <c r="B1153" s="8"/>
      <c r="C1153" s="3"/>
      <c r="D1153" s="3"/>
      <c r="E1153" s="3" t="e">
        <f>VLOOKUP(D1153,VIAJES!$D:$E,2,FALSE)</f>
        <v>#N/A</v>
      </c>
      <c r="F1153" s="9" t="e">
        <f>VLOOKUP(D1153,VIAJES!$D:$F,3,FALSE)</f>
        <v>#N/A</v>
      </c>
      <c r="G1153" s="9" t="e">
        <f>VLOOKUP(D1153,VIAJES!$D:$G,4,FALSE)</f>
        <v>#N/A</v>
      </c>
      <c r="H1153" s="3" t="e">
        <f>VLOOKUP(D1153,VIAJES!$D:$H,5,FALSE)</f>
        <v>#N/A</v>
      </c>
      <c r="S1153" s="3">
        <f>IFERROR(INDEX(EVENTOS!$D:$D,MATCH(SCORE!S$2&amp;" "&amp;SCORE!$D1153,EVENTOS!$F:$F,0)),0)</f>
        <v>0</v>
      </c>
      <c r="T1153" s="3">
        <f>IFERROR(INDEX(EVENTOS!$D:$D,MATCH(SCORE!T$2&amp;" "&amp;SCORE!$D1153,EVENTOS!$F:$F,0)),0)</f>
        <v>0</v>
      </c>
      <c r="U1153" s="3">
        <f>IFERROR(INDEX(EVENTOS!$D:$D,MATCH(SCORE!U$2&amp;" "&amp;SCORE!$D1153,EVENTOS!$F:$F,0)),0)</f>
        <v>0</v>
      </c>
      <c r="V1153" s="3">
        <f>IFERROR(INDEX(EVENTOS!$D:$D,MATCH(SCORE!V$2&amp;" "&amp;SCORE!$D1153,EVENTOS!$F:$F,0)),0)</f>
        <v>0</v>
      </c>
      <c r="W1153" s="3">
        <f>IFERROR(INDEX(EVENTOS!$D:$D,MATCH(SCORE!W$2&amp;" "&amp;SCORE!$D1153,EVENTOS!$F:$F,0)),0)</f>
        <v>0</v>
      </c>
      <c r="X1153" s="3">
        <f>IFERROR(INDEX(EVENTOS!$D:$D,MATCH(SCORE!X$2&amp;" "&amp;SCORE!$D1153,EVENTOS!$F:$F,0)),0)</f>
        <v>0</v>
      </c>
      <c r="Y1153" s="3">
        <f>SUMIFS(EVENTOS!$D:$D, EVENTOS!$B:$B, D1153, EVENTOS!$E:$E, "*GirAlto*")</f>
        <v>0</v>
      </c>
      <c r="Z1153" s="3">
        <f>SUMIFS(EVENTOS!$D:$D, EVENTOS!$B:$B, D1153, EVENTOS!$E:$E, "*GirMed*")</f>
        <v>0</v>
      </c>
      <c r="AA1153" s="3">
        <f>SUMIFS(EVENTOS!$D:$D, EVENTOS!$B:$B, D1153, EVENTOS!$E:$E, "*GirBajo*")</f>
        <v>0</v>
      </c>
      <c r="AB1153" s="3">
        <f>IFERROR(INDEX(EVENTOS!$D:$D,MATCH(SCORE!AB$2&amp;" "&amp;SCORE!$D1153,EVENTOS!$F:$F,0)),0)</f>
        <v>0</v>
      </c>
      <c r="AC1153" s="3">
        <f>IFERROR(INDEX(EVENTOS!$D:$D,MATCH(SCORE!AC$2&amp;" "&amp;SCORE!$D1153,EVENTOS!$F:$F,0)),0)</f>
        <v>0</v>
      </c>
      <c r="AD1153" s="3">
        <f>IFERROR(INDEX(EVENTOS!$D:$D,MATCH(SCORE!AD$2&amp;" "&amp;SCORE!$D1153,EVENTOS!$F:$F,0)),0)</f>
        <v>0</v>
      </c>
      <c r="AE1153" s="3">
        <f t="shared" si="51"/>
        <v>0</v>
      </c>
      <c r="AF1153" s="10" t="e">
        <f t="shared" si="52"/>
        <v>#N/A</v>
      </c>
      <c r="AG1153" s="3" t="str">
        <f t="shared" si="53"/>
        <v/>
      </c>
    </row>
    <row r="1154" spans="1:33" x14ac:dyDescent="0.25">
      <c r="A1154" s="7"/>
      <c r="B1154" s="8"/>
      <c r="C1154" s="3"/>
      <c r="D1154" s="3"/>
      <c r="E1154" s="3" t="e">
        <f>VLOOKUP(D1154,VIAJES!$D:$E,2,FALSE)</f>
        <v>#N/A</v>
      </c>
      <c r="F1154" s="9" t="e">
        <f>VLOOKUP(D1154,VIAJES!$D:$F,3,FALSE)</f>
        <v>#N/A</v>
      </c>
      <c r="G1154" s="9" t="e">
        <f>VLOOKUP(D1154,VIAJES!$D:$G,4,FALSE)</f>
        <v>#N/A</v>
      </c>
      <c r="H1154" s="3" t="e">
        <f>VLOOKUP(D1154,VIAJES!$D:$H,5,FALSE)</f>
        <v>#N/A</v>
      </c>
      <c r="S1154" s="3">
        <f>IFERROR(INDEX(EVENTOS!$D:$D,MATCH(SCORE!S$2&amp;" "&amp;SCORE!$D1154,EVENTOS!$F:$F,0)),0)</f>
        <v>0</v>
      </c>
      <c r="T1154" s="3">
        <f>IFERROR(INDEX(EVENTOS!$D:$D,MATCH(SCORE!T$2&amp;" "&amp;SCORE!$D1154,EVENTOS!$F:$F,0)),0)</f>
        <v>0</v>
      </c>
      <c r="U1154" s="3">
        <f>IFERROR(INDEX(EVENTOS!$D:$D,MATCH(SCORE!U$2&amp;" "&amp;SCORE!$D1154,EVENTOS!$F:$F,0)),0)</f>
        <v>0</v>
      </c>
      <c r="V1154" s="3">
        <f>IFERROR(INDEX(EVENTOS!$D:$D,MATCH(SCORE!V$2&amp;" "&amp;SCORE!$D1154,EVENTOS!$F:$F,0)),0)</f>
        <v>0</v>
      </c>
      <c r="W1154" s="3">
        <f>IFERROR(INDEX(EVENTOS!$D:$D,MATCH(SCORE!W$2&amp;" "&amp;SCORE!$D1154,EVENTOS!$F:$F,0)),0)</f>
        <v>0</v>
      </c>
      <c r="X1154" s="3">
        <f>IFERROR(INDEX(EVENTOS!$D:$D,MATCH(SCORE!X$2&amp;" "&amp;SCORE!$D1154,EVENTOS!$F:$F,0)),0)</f>
        <v>0</v>
      </c>
      <c r="Y1154" s="3">
        <f>SUMIFS(EVENTOS!$D:$D, EVENTOS!$B:$B, D1154, EVENTOS!$E:$E, "*GirAlto*")</f>
        <v>0</v>
      </c>
      <c r="Z1154" s="3">
        <f>SUMIFS(EVENTOS!$D:$D, EVENTOS!$B:$B, D1154, EVENTOS!$E:$E, "*GirMed*")</f>
        <v>0</v>
      </c>
      <c r="AA1154" s="3">
        <f>SUMIFS(EVENTOS!$D:$D, EVENTOS!$B:$B, D1154, EVENTOS!$E:$E, "*GirBajo*")</f>
        <v>0</v>
      </c>
      <c r="AB1154" s="3">
        <f>IFERROR(INDEX(EVENTOS!$D:$D,MATCH(SCORE!AB$2&amp;" "&amp;SCORE!$D1154,EVENTOS!$F:$F,0)),0)</f>
        <v>0</v>
      </c>
      <c r="AC1154" s="3">
        <f>IFERROR(INDEX(EVENTOS!$D:$D,MATCH(SCORE!AC$2&amp;" "&amp;SCORE!$D1154,EVENTOS!$F:$F,0)),0)</f>
        <v>0</v>
      </c>
      <c r="AD1154" s="3">
        <f>IFERROR(INDEX(EVENTOS!$D:$D,MATCH(SCORE!AD$2&amp;" "&amp;SCORE!$D1154,EVENTOS!$F:$F,0)),0)</f>
        <v>0</v>
      </c>
      <c r="AE1154" s="3">
        <f t="shared" si="51"/>
        <v>0</v>
      </c>
      <c r="AF1154" s="10" t="e">
        <f t="shared" si="52"/>
        <v>#N/A</v>
      </c>
      <c r="AG1154" s="3" t="str">
        <f t="shared" si="53"/>
        <v/>
      </c>
    </row>
    <row r="1155" spans="1:33" x14ac:dyDescent="0.25">
      <c r="A1155" s="7"/>
      <c r="B1155" s="8"/>
      <c r="C1155" s="3"/>
      <c r="D1155" s="3"/>
      <c r="E1155" s="3" t="e">
        <f>VLOOKUP(D1155,VIAJES!$D:$E,2,FALSE)</f>
        <v>#N/A</v>
      </c>
      <c r="F1155" s="9" t="e">
        <f>VLOOKUP(D1155,VIAJES!$D:$F,3,FALSE)</f>
        <v>#N/A</v>
      </c>
      <c r="G1155" s="9" t="e">
        <f>VLOOKUP(D1155,VIAJES!$D:$G,4,FALSE)</f>
        <v>#N/A</v>
      </c>
      <c r="H1155" s="3" t="e">
        <f>VLOOKUP(D1155,VIAJES!$D:$H,5,FALSE)</f>
        <v>#N/A</v>
      </c>
      <c r="S1155" s="3">
        <f>IFERROR(INDEX(EVENTOS!$D:$D,MATCH(SCORE!S$2&amp;" "&amp;SCORE!$D1155,EVENTOS!$F:$F,0)),0)</f>
        <v>0</v>
      </c>
      <c r="T1155" s="3">
        <f>IFERROR(INDEX(EVENTOS!$D:$D,MATCH(SCORE!T$2&amp;" "&amp;SCORE!$D1155,EVENTOS!$F:$F,0)),0)</f>
        <v>0</v>
      </c>
      <c r="U1155" s="3">
        <f>IFERROR(INDEX(EVENTOS!$D:$D,MATCH(SCORE!U$2&amp;" "&amp;SCORE!$D1155,EVENTOS!$F:$F,0)),0)</f>
        <v>0</v>
      </c>
      <c r="V1155" s="3">
        <f>IFERROR(INDEX(EVENTOS!$D:$D,MATCH(SCORE!V$2&amp;" "&amp;SCORE!$D1155,EVENTOS!$F:$F,0)),0)</f>
        <v>0</v>
      </c>
      <c r="W1155" s="3">
        <f>IFERROR(INDEX(EVENTOS!$D:$D,MATCH(SCORE!W$2&amp;" "&amp;SCORE!$D1155,EVENTOS!$F:$F,0)),0)</f>
        <v>0</v>
      </c>
      <c r="X1155" s="3">
        <f>IFERROR(INDEX(EVENTOS!$D:$D,MATCH(SCORE!X$2&amp;" "&amp;SCORE!$D1155,EVENTOS!$F:$F,0)),0)</f>
        <v>0</v>
      </c>
      <c r="Y1155" s="3">
        <f>SUMIFS(EVENTOS!$D:$D, EVENTOS!$B:$B, D1155, EVENTOS!$E:$E, "*GirAlto*")</f>
        <v>0</v>
      </c>
      <c r="Z1155" s="3">
        <f>SUMIFS(EVENTOS!$D:$D, EVENTOS!$B:$B, D1155, EVENTOS!$E:$E, "*GirMed*")</f>
        <v>0</v>
      </c>
      <c r="AA1155" s="3">
        <f>SUMIFS(EVENTOS!$D:$D, EVENTOS!$B:$B, D1155, EVENTOS!$E:$E, "*GirBajo*")</f>
        <v>0</v>
      </c>
      <c r="AB1155" s="3">
        <f>IFERROR(INDEX(EVENTOS!$D:$D,MATCH(SCORE!AB$2&amp;" "&amp;SCORE!$D1155,EVENTOS!$F:$F,0)),0)</f>
        <v>0</v>
      </c>
      <c r="AC1155" s="3">
        <f>IFERROR(INDEX(EVENTOS!$D:$D,MATCH(SCORE!AC$2&amp;" "&amp;SCORE!$D1155,EVENTOS!$F:$F,0)),0)</f>
        <v>0</v>
      </c>
      <c r="AD1155" s="3">
        <f>IFERROR(INDEX(EVENTOS!$D:$D,MATCH(SCORE!AD$2&amp;" "&amp;SCORE!$D1155,EVENTOS!$F:$F,0)),0)</f>
        <v>0</v>
      </c>
      <c r="AE1155" s="3">
        <f t="shared" ref="AE1155:AE1218" si="54">((S1155+V1155+Y1155+AB1155)*50)+((T1155+W1155+Z1155+AC1155)*25)+((U1155+X1155+AA1155+AD1155)*5)</f>
        <v>0</v>
      </c>
      <c r="AF1155" s="10" t="e">
        <f t="shared" ref="AF1155:AF1218" si="55">AE1155/(G1155*24)*100</f>
        <v>#N/A</v>
      </c>
      <c r="AG1155" s="3" t="str">
        <f t="shared" ref="AG1155:AG1218" si="56">IF(D1155&lt;&gt;"",IF(AF1155&gt;=30000,5,ROUNDDOWN((((5-95)*(AF1155-0))/(30000-0))+95,0)),"")</f>
        <v/>
      </c>
    </row>
    <row r="1156" spans="1:33" x14ac:dyDescent="0.25">
      <c r="A1156" s="7"/>
      <c r="B1156" s="8"/>
      <c r="C1156" s="3"/>
      <c r="D1156" s="3"/>
      <c r="E1156" s="3" t="e">
        <f>VLOOKUP(D1156,VIAJES!$D:$E,2,FALSE)</f>
        <v>#N/A</v>
      </c>
      <c r="F1156" s="9" t="e">
        <f>VLOOKUP(D1156,VIAJES!$D:$F,3,FALSE)</f>
        <v>#N/A</v>
      </c>
      <c r="G1156" s="9" t="e">
        <f>VLOOKUP(D1156,VIAJES!$D:$G,4,FALSE)</f>
        <v>#N/A</v>
      </c>
      <c r="H1156" s="3" t="e">
        <f>VLOOKUP(D1156,VIAJES!$D:$H,5,FALSE)</f>
        <v>#N/A</v>
      </c>
      <c r="S1156" s="3">
        <f>IFERROR(INDEX(EVENTOS!$D:$D,MATCH(SCORE!S$2&amp;" "&amp;SCORE!$D1156,EVENTOS!$F:$F,0)),0)</f>
        <v>0</v>
      </c>
      <c r="T1156" s="3">
        <f>IFERROR(INDEX(EVENTOS!$D:$D,MATCH(SCORE!T$2&amp;" "&amp;SCORE!$D1156,EVENTOS!$F:$F,0)),0)</f>
        <v>0</v>
      </c>
      <c r="U1156" s="3">
        <f>IFERROR(INDEX(EVENTOS!$D:$D,MATCH(SCORE!U$2&amp;" "&amp;SCORE!$D1156,EVENTOS!$F:$F,0)),0)</f>
        <v>0</v>
      </c>
      <c r="V1156" s="3">
        <f>IFERROR(INDEX(EVENTOS!$D:$D,MATCH(SCORE!V$2&amp;" "&amp;SCORE!$D1156,EVENTOS!$F:$F,0)),0)</f>
        <v>0</v>
      </c>
      <c r="W1156" s="3">
        <f>IFERROR(INDEX(EVENTOS!$D:$D,MATCH(SCORE!W$2&amp;" "&amp;SCORE!$D1156,EVENTOS!$F:$F,0)),0)</f>
        <v>0</v>
      </c>
      <c r="X1156" s="3">
        <f>IFERROR(INDEX(EVENTOS!$D:$D,MATCH(SCORE!X$2&amp;" "&amp;SCORE!$D1156,EVENTOS!$F:$F,0)),0)</f>
        <v>0</v>
      </c>
      <c r="Y1156" s="3">
        <f>SUMIFS(EVENTOS!$D:$D, EVENTOS!$B:$B, D1156, EVENTOS!$E:$E, "*GirAlto*")</f>
        <v>0</v>
      </c>
      <c r="Z1156" s="3">
        <f>SUMIFS(EVENTOS!$D:$D, EVENTOS!$B:$B, D1156, EVENTOS!$E:$E, "*GirMed*")</f>
        <v>0</v>
      </c>
      <c r="AA1156" s="3">
        <f>SUMIFS(EVENTOS!$D:$D, EVENTOS!$B:$B, D1156, EVENTOS!$E:$E, "*GirBajo*")</f>
        <v>0</v>
      </c>
      <c r="AB1156" s="3">
        <f>IFERROR(INDEX(EVENTOS!$D:$D,MATCH(SCORE!AB$2&amp;" "&amp;SCORE!$D1156,EVENTOS!$F:$F,0)),0)</f>
        <v>0</v>
      </c>
      <c r="AC1156" s="3">
        <f>IFERROR(INDEX(EVENTOS!$D:$D,MATCH(SCORE!AC$2&amp;" "&amp;SCORE!$D1156,EVENTOS!$F:$F,0)),0)</f>
        <v>0</v>
      </c>
      <c r="AD1156" s="3">
        <f>IFERROR(INDEX(EVENTOS!$D:$D,MATCH(SCORE!AD$2&amp;" "&amp;SCORE!$D1156,EVENTOS!$F:$F,0)),0)</f>
        <v>0</v>
      </c>
      <c r="AE1156" s="3">
        <f t="shared" si="54"/>
        <v>0</v>
      </c>
      <c r="AF1156" s="10" t="e">
        <f t="shared" si="55"/>
        <v>#N/A</v>
      </c>
      <c r="AG1156" s="3" t="str">
        <f t="shared" si="56"/>
        <v/>
      </c>
    </row>
    <row r="1157" spans="1:33" x14ac:dyDescent="0.25">
      <c r="A1157" s="7"/>
      <c r="B1157" s="8"/>
      <c r="C1157" s="3"/>
      <c r="D1157" s="3"/>
      <c r="E1157" s="3" t="e">
        <f>VLOOKUP(D1157,VIAJES!$D:$E,2,FALSE)</f>
        <v>#N/A</v>
      </c>
      <c r="F1157" s="9" t="e">
        <f>VLOOKUP(D1157,VIAJES!$D:$F,3,FALSE)</f>
        <v>#N/A</v>
      </c>
      <c r="G1157" s="9" t="e">
        <f>VLOOKUP(D1157,VIAJES!$D:$G,4,FALSE)</f>
        <v>#N/A</v>
      </c>
      <c r="H1157" s="3" t="e">
        <f>VLOOKUP(D1157,VIAJES!$D:$H,5,FALSE)</f>
        <v>#N/A</v>
      </c>
      <c r="S1157" s="3">
        <f>IFERROR(INDEX(EVENTOS!$D:$D,MATCH(SCORE!S$2&amp;" "&amp;SCORE!$D1157,EVENTOS!$F:$F,0)),0)</f>
        <v>0</v>
      </c>
      <c r="T1157" s="3">
        <f>IFERROR(INDEX(EVENTOS!$D:$D,MATCH(SCORE!T$2&amp;" "&amp;SCORE!$D1157,EVENTOS!$F:$F,0)),0)</f>
        <v>0</v>
      </c>
      <c r="U1157" s="3">
        <f>IFERROR(INDEX(EVENTOS!$D:$D,MATCH(SCORE!U$2&amp;" "&amp;SCORE!$D1157,EVENTOS!$F:$F,0)),0)</f>
        <v>0</v>
      </c>
      <c r="V1157" s="3">
        <f>IFERROR(INDEX(EVENTOS!$D:$D,MATCH(SCORE!V$2&amp;" "&amp;SCORE!$D1157,EVENTOS!$F:$F,0)),0)</f>
        <v>0</v>
      </c>
      <c r="W1157" s="3">
        <f>IFERROR(INDEX(EVENTOS!$D:$D,MATCH(SCORE!W$2&amp;" "&amp;SCORE!$D1157,EVENTOS!$F:$F,0)),0)</f>
        <v>0</v>
      </c>
      <c r="X1157" s="3">
        <f>IFERROR(INDEX(EVENTOS!$D:$D,MATCH(SCORE!X$2&amp;" "&amp;SCORE!$D1157,EVENTOS!$F:$F,0)),0)</f>
        <v>0</v>
      </c>
      <c r="Y1157" s="3">
        <f>SUMIFS(EVENTOS!$D:$D, EVENTOS!$B:$B, D1157, EVENTOS!$E:$E, "*GirAlto*")</f>
        <v>0</v>
      </c>
      <c r="Z1157" s="3">
        <f>SUMIFS(EVENTOS!$D:$D, EVENTOS!$B:$B, D1157, EVENTOS!$E:$E, "*GirMed*")</f>
        <v>0</v>
      </c>
      <c r="AA1157" s="3">
        <f>SUMIFS(EVENTOS!$D:$D, EVENTOS!$B:$B, D1157, EVENTOS!$E:$E, "*GirBajo*")</f>
        <v>0</v>
      </c>
      <c r="AB1157" s="3">
        <f>IFERROR(INDEX(EVENTOS!$D:$D,MATCH(SCORE!AB$2&amp;" "&amp;SCORE!$D1157,EVENTOS!$F:$F,0)),0)</f>
        <v>0</v>
      </c>
      <c r="AC1157" s="3">
        <f>IFERROR(INDEX(EVENTOS!$D:$D,MATCH(SCORE!AC$2&amp;" "&amp;SCORE!$D1157,EVENTOS!$F:$F,0)),0)</f>
        <v>0</v>
      </c>
      <c r="AD1157" s="3">
        <f>IFERROR(INDEX(EVENTOS!$D:$D,MATCH(SCORE!AD$2&amp;" "&amp;SCORE!$D1157,EVENTOS!$F:$F,0)),0)</f>
        <v>0</v>
      </c>
      <c r="AE1157" s="3">
        <f t="shared" si="54"/>
        <v>0</v>
      </c>
      <c r="AF1157" s="10" t="e">
        <f t="shared" si="55"/>
        <v>#N/A</v>
      </c>
      <c r="AG1157" s="3" t="str">
        <f t="shared" si="56"/>
        <v/>
      </c>
    </row>
    <row r="1158" spans="1:33" x14ac:dyDescent="0.25">
      <c r="A1158" s="7"/>
      <c r="B1158" s="8"/>
      <c r="C1158" s="3"/>
      <c r="D1158" s="3"/>
      <c r="E1158" s="3" t="e">
        <f>VLOOKUP(D1158,VIAJES!$D:$E,2,FALSE)</f>
        <v>#N/A</v>
      </c>
      <c r="F1158" s="9" t="e">
        <f>VLOOKUP(D1158,VIAJES!$D:$F,3,FALSE)</f>
        <v>#N/A</v>
      </c>
      <c r="G1158" s="9" t="e">
        <f>VLOOKUP(D1158,VIAJES!$D:$G,4,FALSE)</f>
        <v>#N/A</v>
      </c>
      <c r="H1158" s="3" t="e">
        <f>VLOOKUP(D1158,VIAJES!$D:$H,5,FALSE)</f>
        <v>#N/A</v>
      </c>
      <c r="S1158" s="3">
        <f>IFERROR(INDEX(EVENTOS!$D:$D,MATCH(SCORE!S$2&amp;" "&amp;SCORE!$D1158,EVENTOS!$F:$F,0)),0)</f>
        <v>0</v>
      </c>
      <c r="T1158" s="3">
        <f>IFERROR(INDEX(EVENTOS!$D:$D,MATCH(SCORE!T$2&amp;" "&amp;SCORE!$D1158,EVENTOS!$F:$F,0)),0)</f>
        <v>0</v>
      </c>
      <c r="U1158" s="3">
        <f>IFERROR(INDEX(EVENTOS!$D:$D,MATCH(SCORE!U$2&amp;" "&amp;SCORE!$D1158,EVENTOS!$F:$F,0)),0)</f>
        <v>0</v>
      </c>
      <c r="V1158" s="3">
        <f>IFERROR(INDEX(EVENTOS!$D:$D,MATCH(SCORE!V$2&amp;" "&amp;SCORE!$D1158,EVENTOS!$F:$F,0)),0)</f>
        <v>0</v>
      </c>
      <c r="W1158" s="3">
        <f>IFERROR(INDEX(EVENTOS!$D:$D,MATCH(SCORE!W$2&amp;" "&amp;SCORE!$D1158,EVENTOS!$F:$F,0)),0)</f>
        <v>0</v>
      </c>
      <c r="X1158" s="3">
        <f>IFERROR(INDEX(EVENTOS!$D:$D,MATCH(SCORE!X$2&amp;" "&amp;SCORE!$D1158,EVENTOS!$F:$F,0)),0)</f>
        <v>0</v>
      </c>
      <c r="Y1158" s="3">
        <f>SUMIFS(EVENTOS!$D:$D, EVENTOS!$B:$B, D1158, EVENTOS!$E:$E, "*GirAlto*")</f>
        <v>0</v>
      </c>
      <c r="Z1158" s="3">
        <f>SUMIFS(EVENTOS!$D:$D, EVENTOS!$B:$B, D1158, EVENTOS!$E:$E, "*GirMed*")</f>
        <v>0</v>
      </c>
      <c r="AA1158" s="3">
        <f>SUMIFS(EVENTOS!$D:$D, EVENTOS!$B:$B, D1158, EVENTOS!$E:$E, "*GirBajo*")</f>
        <v>0</v>
      </c>
      <c r="AB1158" s="3">
        <f>IFERROR(INDEX(EVENTOS!$D:$D,MATCH(SCORE!AB$2&amp;" "&amp;SCORE!$D1158,EVENTOS!$F:$F,0)),0)</f>
        <v>0</v>
      </c>
      <c r="AC1158" s="3">
        <f>IFERROR(INDEX(EVENTOS!$D:$D,MATCH(SCORE!AC$2&amp;" "&amp;SCORE!$D1158,EVENTOS!$F:$F,0)),0)</f>
        <v>0</v>
      </c>
      <c r="AD1158" s="3">
        <f>IFERROR(INDEX(EVENTOS!$D:$D,MATCH(SCORE!AD$2&amp;" "&amp;SCORE!$D1158,EVENTOS!$F:$F,0)),0)</f>
        <v>0</v>
      </c>
      <c r="AE1158" s="3">
        <f t="shared" si="54"/>
        <v>0</v>
      </c>
      <c r="AF1158" s="10" t="e">
        <f t="shared" si="55"/>
        <v>#N/A</v>
      </c>
      <c r="AG1158" s="3" t="str">
        <f t="shared" si="56"/>
        <v/>
      </c>
    </row>
    <row r="1159" spans="1:33" x14ac:dyDescent="0.25">
      <c r="A1159" s="7"/>
      <c r="B1159" s="8"/>
      <c r="C1159" s="3"/>
      <c r="D1159" s="3"/>
      <c r="E1159" s="3" t="e">
        <f>VLOOKUP(D1159,VIAJES!$D:$E,2,FALSE)</f>
        <v>#N/A</v>
      </c>
      <c r="F1159" s="9" t="e">
        <f>VLOOKUP(D1159,VIAJES!$D:$F,3,FALSE)</f>
        <v>#N/A</v>
      </c>
      <c r="G1159" s="9" t="e">
        <f>VLOOKUP(D1159,VIAJES!$D:$G,4,FALSE)</f>
        <v>#N/A</v>
      </c>
      <c r="H1159" s="3" t="e">
        <f>VLOOKUP(D1159,VIAJES!$D:$H,5,FALSE)</f>
        <v>#N/A</v>
      </c>
      <c r="S1159" s="3">
        <f>IFERROR(INDEX(EVENTOS!$D:$D,MATCH(SCORE!S$2&amp;" "&amp;SCORE!$D1159,EVENTOS!$F:$F,0)),0)</f>
        <v>0</v>
      </c>
      <c r="T1159" s="3">
        <f>IFERROR(INDEX(EVENTOS!$D:$D,MATCH(SCORE!T$2&amp;" "&amp;SCORE!$D1159,EVENTOS!$F:$F,0)),0)</f>
        <v>0</v>
      </c>
      <c r="U1159" s="3">
        <f>IFERROR(INDEX(EVENTOS!$D:$D,MATCH(SCORE!U$2&amp;" "&amp;SCORE!$D1159,EVENTOS!$F:$F,0)),0)</f>
        <v>0</v>
      </c>
      <c r="V1159" s="3">
        <f>IFERROR(INDEX(EVENTOS!$D:$D,MATCH(SCORE!V$2&amp;" "&amp;SCORE!$D1159,EVENTOS!$F:$F,0)),0)</f>
        <v>0</v>
      </c>
      <c r="W1159" s="3">
        <f>IFERROR(INDEX(EVENTOS!$D:$D,MATCH(SCORE!W$2&amp;" "&amp;SCORE!$D1159,EVENTOS!$F:$F,0)),0)</f>
        <v>0</v>
      </c>
      <c r="X1159" s="3">
        <f>IFERROR(INDEX(EVENTOS!$D:$D,MATCH(SCORE!X$2&amp;" "&amp;SCORE!$D1159,EVENTOS!$F:$F,0)),0)</f>
        <v>0</v>
      </c>
      <c r="Y1159" s="3">
        <f>SUMIFS(EVENTOS!$D:$D, EVENTOS!$B:$B, D1159, EVENTOS!$E:$E, "*GirAlto*")</f>
        <v>0</v>
      </c>
      <c r="Z1159" s="3">
        <f>SUMIFS(EVENTOS!$D:$D, EVENTOS!$B:$B, D1159, EVENTOS!$E:$E, "*GirMed*")</f>
        <v>0</v>
      </c>
      <c r="AA1159" s="3">
        <f>SUMIFS(EVENTOS!$D:$D, EVENTOS!$B:$B, D1159, EVENTOS!$E:$E, "*GirBajo*")</f>
        <v>0</v>
      </c>
      <c r="AB1159" s="3">
        <f>IFERROR(INDEX(EVENTOS!$D:$D,MATCH(SCORE!AB$2&amp;" "&amp;SCORE!$D1159,EVENTOS!$F:$F,0)),0)</f>
        <v>0</v>
      </c>
      <c r="AC1159" s="3">
        <f>IFERROR(INDEX(EVENTOS!$D:$D,MATCH(SCORE!AC$2&amp;" "&amp;SCORE!$D1159,EVENTOS!$F:$F,0)),0)</f>
        <v>0</v>
      </c>
      <c r="AD1159" s="3">
        <f>IFERROR(INDEX(EVENTOS!$D:$D,MATCH(SCORE!AD$2&amp;" "&amp;SCORE!$D1159,EVENTOS!$F:$F,0)),0)</f>
        <v>0</v>
      </c>
      <c r="AE1159" s="3">
        <f t="shared" si="54"/>
        <v>0</v>
      </c>
      <c r="AF1159" s="10" t="e">
        <f t="shared" si="55"/>
        <v>#N/A</v>
      </c>
      <c r="AG1159" s="3" t="str">
        <f t="shared" si="56"/>
        <v/>
      </c>
    </row>
    <row r="1160" spans="1:33" x14ac:dyDescent="0.25">
      <c r="A1160" s="7"/>
      <c r="B1160" s="8"/>
      <c r="C1160" s="3"/>
      <c r="D1160" s="3"/>
      <c r="E1160" s="3" t="e">
        <f>VLOOKUP(D1160,VIAJES!$D:$E,2,FALSE)</f>
        <v>#N/A</v>
      </c>
      <c r="F1160" s="9" t="e">
        <f>VLOOKUP(D1160,VIAJES!$D:$F,3,FALSE)</f>
        <v>#N/A</v>
      </c>
      <c r="G1160" s="9" t="e">
        <f>VLOOKUP(D1160,VIAJES!$D:$G,4,FALSE)</f>
        <v>#N/A</v>
      </c>
      <c r="H1160" s="3" t="e">
        <f>VLOOKUP(D1160,VIAJES!$D:$H,5,FALSE)</f>
        <v>#N/A</v>
      </c>
      <c r="S1160" s="3">
        <f>IFERROR(INDEX(EVENTOS!$D:$D,MATCH(SCORE!S$2&amp;" "&amp;SCORE!$D1160,EVENTOS!$F:$F,0)),0)</f>
        <v>0</v>
      </c>
      <c r="T1160" s="3">
        <f>IFERROR(INDEX(EVENTOS!$D:$D,MATCH(SCORE!T$2&amp;" "&amp;SCORE!$D1160,EVENTOS!$F:$F,0)),0)</f>
        <v>0</v>
      </c>
      <c r="U1160" s="3">
        <f>IFERROR(INDEX(EVENTOS!$D:$D,MATCH(SCORE!U$2&amp;" "&amp;SCORE!$D1160,EVENTOS!$F:$F,0)),0)</f>
        <v>0</v>
      </c>
      <c r="V1160" s="3">
        <f>IFERROR(INDEX(EVENTOS!$D:$D,MATCH(SCORE!V$2&amp;" "&amp;SCORE!$D1160,EVENTOS!$F:$F,0)),0)</f>
        <v>0</v>
      </c>
      <c r="W1160" s="3">
        <f>IFERROR(INDEX(EVENTOS!$D:$D,MATCH(SCORE!W$2&amp;" "&amp;SCORE!$D1160,EVENTOS!$F:$F,0)),0)</f>
        <v>0</v>
      </c>
      <c r="X1160" s="3">
        <f>IFERROR(INDEX(EVENTOS!$D:$D,MATCH(SCORE!X$2&amp;" "&amp;SCORE!$D1160,EVENTOS!$F:$F,0)),0)</f>
        <v>0</v>
      </c>
      <c r="Y1160" s="3">
        <f>SUMIFS(EVENTOS!$D:$D, EVENTOS!$B:$B, D1160, EVENTOS!$E:$E, "*GirAlto*")</f>
        <v>0</v>
      </c>
      <c r="Z1160" s="3">
        <f>SUMIFS(EVENTOS!$D:$D, EVENTOS!$B:$B, D1160, EVENTOS!$E:$E, "*GirMed*")</f>
        <v>0</v>
      </c>
      <c r="AA1160" s="3">
        <f>SUMIFS(EVENTOS!$D:$D, EVENTOS!$B:$B, D1160, EVENTOS!$E:$E, "*GirBajo*")</f>
        <v>0</v>
      </c>
      <c r="AB1160" s="3">
        <f>IFERROR(INDEX(EVENTOS!$D:$D,MATCH(SCORE!AB$2&amp;" "&amp;SCORE!$D1160,EVENTOS!$F:$F,0)),0)</f>
        <v>0</v>
      </c>
      <c r="AC1160" s="3">
        <f>IFERROR(INDEX(EVENTOS!$D:$D,MATCH(SCORE!AC$2&amp;" "&amp;SCORE!$D1160,EVENTOS!$F:$F,0)),0)</f>
        <v>0</v>
      </c>
      <c r="AD1160" s="3">
        <f>IFERROR(INDEX(EVENTOS!$D:$D,MATCH(SCORE!AD$2&amp;" "&amp;SCORE!$D1160,EVENTOS!$F:$F,0)),0)</f>
        <v>0</v>
      </c>
      <c r="AE1160" s="3">
        <f t="shared" si="54"/>
        <v>0</v>
      </c>
      <c r="AF1160" s="10" t="e">
        <f t="shared" si="55"/>
        <v>#N/A</v>
      </c>
      <c r="AG1160" s="3" t="str">
        <f t="shared" si="56"/>
        <v/>
      </c>
    </row>
    <row r="1161" spans="1:33" x14ac:dyDescent="0.25">
      <c r="A1161" s="7"/>
      <c r="B1161" s="8"/>
      <c r="C1161" s="3"/>
      <c r="D1161" s="3"/>
      <c r="E1161" s="3" t="e">
        <f>VLOOKUP(D1161,VIAJES!$D:$E,2,FALSE)</f>
        <v>#N/A</v>
      </c>
      <c r="F1161" s="9" t="e">
        <f>VLOOKUP(D1161,VIAJES!$D:$F,3,FALSE)</f>
        <v>#N/A</v>
      </c>
      <c r="G1161" s="9" t="e">
        <f>VLOOKUP(D1161,VIAJES!$D:$G,4,FALSE)</f>
        <v>#N/A</v>
      </c>
      <c r="H1161" s="3" t="e">
        <f>VLOOKUP(D1161,VIAJES!$D:$H,5,FALSE)</f>
        <v>#N/A</v>
      </c>
      <c r="S1161" s="3">
        <f>IFERROR(INDEX(EVENTOS!$D:$D,MATCH(SCORE!S$2&amp;" "&amp;SCORE!$D1161,EVENTOS!$F:$F,0)),0)</f>
        <v>0</v>
      </c>
      <c r="T1161" s="3">
        <f>IFERROR(INDEX(EVENTOS!$D:$D,MATCH(SCORE!T$2&amp;" "&amp;SCORE!$D1161,EVENTOS!$F:$F,0)),0)</f>
        <v>0</v>
      </c>
      <c r="U1161" s="3">
        <f>IFERROR(INDEX(EVENTOS!$D:$D,MATCH(SCORE!U$2&amp;" "&amp;SCORE!$D1161,EVENTOS!$F:$F,0)),0)</f>
        <v>0</v>
      </c>
      <c r="V1161" s="3">
        <f>IFERROR(INDEX(EVENTOS!$D:$D,MATCH(SCORE!V$2&amp;" "&amp;SCORE!$D1161,EVENTOS!$F:$F,0)),0)</f>
        <v>0</v>
      </c>
      <c r="W1161" s="3">
        <f>IFERROR(INDEX(EVENTOS!$D:$D,MATCH(SCORE!W$2&amp;" "&amp;SCORE!$D1161,EVENTOS!$F:$F,0)),0)</f>
        <v>0</v>
      </c>
      <c r="X1161" s="3">
        <f>IFERROR(INDEX(EVENTOS!$D:$D,MATCH(SCORE!X$2&amp;" "&amp;SCORE!$D1161,EVENTOS!$F:$F,0)),0)</f>
        <v>0</v>
      </c>
      <c r="Y1161" s="3">
        <f>SUMIFS(EVENTOS!$D:$D, EVENTOS!$B:$B, D1161, EVENTOS!$E:$E, "*GirAlto*")</f>
        <v>0</v>
      </c>
      <c r="Z1161" s="3">
        <f>SUMIFS(EVENTOS!$D:$D, EVENTOS!$B:$B, D1161, EVENTOS!$E:$E, "*GirMed*")</f>
        <v>0</v>
      </c>
      <c r="AA1161" s="3">
        <f>SUMIFS(EVENTOS!$D:$D, EVENTOS!$B:$B, D1161, EVENTOS!$E:$E, "*GirBajo*")</f>
        <v>0</v>
      </c>
      <c r="AB1161" s="3">
        <f>IFERROR(INDEX(EVENTOS!$D:$D,MATCH(SCORE!AB$2&amp;" "&amp;SCORE!$D1161,EVENTOS!$F:$F,0)),0)</f>
        <v>0</v>
      </c>
      <c r="AC1161" s="3">
        <f>IFERROR(INDEX(EVENTOS!$D:$D,MATCH(SCORE!AC$2&amp;" "&amp;SCORE!$D1161,EVENTOS!$F:$F,0)),0)</f>
        <v>0</v>
      </c>
      <c r="AD1161" s="3">
        <f>IFERROR(INDEX(EVENTOS!$D:$D,MATCH(SCORE!AD$2&amp;" "&amp;SCORE!$D1161,EVENTOS!$F:$F,0)),0)</f>
        <v>0</v>
      </c>
      <c r="AE1161" s="3">
        <f t="shared" si="54"/>
        <v>0</v>
      </c>
      <c r="AF1161" s="10" t="e">
        <f t="shared" si="55"/>
        <v>#N/A</v>
      </c>
      <c r="AG1161" s="3" t="str">
        <f t="shared" si="56"/>
        <v/>
      </c>
    </row>
    <row r="1162" spans="1:33" x14ac:dyDescent="0.25">
      <c r="A1162" s="7"/>
      <c r="B1162" s="8"/>
      <c r="C1162" s="3"/>
      <c r="D1162" s="3"/>
      <c r="E1162" s="3" t="e">
        <f>VLOOKUP(D1162,VIAJES!$D:$E,2,FALSE)</f>
        <v>#N/A</v>
      </c>
      <c r="F1162" s="9" t="e">
        <f>VLOOKUP(D1162,VIAJES!$D:$F,3,FALSE)</f>
        <v>#N/A</v>
      </c>
      <c r="G1162" s="9" t="e">
        <f>VLOOKUP(D1162,VIAJES!$D:$G,4,FALSE)</f>
        <v>#N/A</v>
      </c>
      <c r="H1162" s="3" t="e">
        <f>VLOOKUP(D1162,VIAJES!$D:$H,5,FALSE)</f>
        <v>#N/A</v>
      </c>
      <c r="S1162" s="3">
        <f>IFERROR(INDEX(EVENTOS!$D:$D,MATCH(SCORE!S$2&amp;" "&amp;SCORE!$D1162,EVENTOS!$F:$F,0)),0)</f>
        <v>0</v>
      </c>
      <c r="T1162" s="3">
        <f>IFERROR(INDEX(EVENTOS!$D:$D,MATCH(SCORE!T$2&amp;" "&amp;SCORE!$D1162,EVENTOS!$F:$F,0)),0)</f>
        <v>0</v>
      </c>
      <c r="U1162" s="3">
        <f>IFERROR(INDEX(EVENTOS!$D:$D,MATCH(SCORE!U$2&amp;" "&amp;SCORE!$D1162,EVENTOS!$F:$F,0)),0)</f>
        <v>0</v>
      </c>
      <c r="V1162" s="3">
        <f>IFERROR(INDEX(EVENTOS!$D:$D,MATCH(SCORE!V$2&amp;" "&amp;SCORE!$D1162,EVENTOS!$F:$F,0)),0)</f>
        <v>0</v>
      </c>
      <c r="W1162" s="3">
        <f>IFERROR(INDEX(EVENTOS!$D:$D,MATCH(SCORE!W$2&amp;" "&amp;SCORE!$D1162,EVENTOS!$F:$F,0)),0)</f>
        <v>0</v>
      </c>
      <c r="X1162" s="3">
        <f>IFERROR(INDEX(EVENTOS!$D:$D,MATCH(SCORE!X$2&amp;" "&amp;SCORE!$D1162,EVENTOS!$F:$F,0)),0)</f>
        <v>0</v>
      </c>
      <c r="Y1162" s="3">
        <f>SUMIFS(EVENTOS!$D:$D, EVENTOS!$B:$B, D1162, EVENTOS!$E:$E, "*GirAlto*")</f>
        <v>0</v>
      </c>
      <c r="Z1162" s="3">
        <f>SUMIFS(EVENTOS!$D:$D, EVENTOS!$B:$B, D1162, EVENTOS!$E:$E, "*GirMed*")</f>
        <v>0</v>
      </c>
      <c r="AA1162" s="3">
        <f>SUMIFS(EVENTOS!$D:$D, EVENTOS!$B:$B, D1162, EVENTOS!$E:$E, "*GirBajo*")</f>
        <v>0</v>
      </c>
      <c r="AB1162" s="3">
        <f>IFERROR(INDEX(EVENTOS!$D:$D,MATCH(SCORE!AB$2&amp;" "&amp;SCORE!$D1162,EVENTOS!$F:$F,0)),0)</f>
        <v>0</v>
      </c>
      <c r="AC1162" s="3">
        <f>IFERROR(INDEX(EVENTOS!$D:$D,MATCH(SCORE!AC$2&amp;" "&amp;SCORE!$D1162,EVENTOS!$F:$F,0)),0)</f>
        <v>0</v>
      </c>
      <c r="AD1162" s="3">
        <f>IFERROR(INDEX(EVENTOS!$D:$D,MATCH(SCORE!AD$2&amp;" "&amp;SCORE!$D1162,EVENTOS!$F:$F,0)),0)</f>
        <v>0</v>
      </c>
      <c r="AE1162" s="3">
        <f t="shared" si="54"/>
        <v>0</v>
      </c>
      <c r="AF1162" s="10" t="e">
        <f t="shared" si="55"/>
        <v>#N/A</v>
      </c>
      <c r="AG1162" s="3" t="str">
        <f t="shared" si="56"/>
        <v/>
      </c>
    </row>
    <row r="1163" spans="1:33" x14ac:dyDescent="0.25">
      <c r="A1163" s="7"/>
      <c r="B1163" s="8"/>
      <c r="C1163" s="3"/>
      <c r="D1163" s="3"/>
      <c r="E1163" s="3" t="e">
        <f>VLOOKUP(D1163,VIAJES!$D:$E,2,FALSE)</f>
        <v>#N/A</v>
      </c>
      <c r="F1163" s="9" t="e">
        <f>VLOOKUP(D1163,VIAJES!$D:$F,3,FALSE)</f>
        <v>#N/A</v>
      </c>
      <c r="G1163" s="9" t="e">
        <f>VLOOKUP(D1163,VIAJES!$D:$G,4,FALSE)</f>
        <v>#N/A</v>
      </c>
      <c r="H1163" s="3" t="e">
        <f>VLOOKUP(D1163,VIAJES!$D:$H,5,FALSE)</f>
        <v>#N/A</v>
      </c>
      <c r="S1163" s="3">
        <f>IFERROR(INDEX(EVENTOS!$D:$D,MATCH(SCORE!S$2&amp;" "&amp;SCORE!$D1163,EVENTOS!$F:$F,0)),0)</f>
        <v>0</v>
      </c>
      <c r="T1163" s="3">
        <f>IFERROR(INDEX(EVENTOS!$D:$D,MATCH(SCORE!T$2&amp;" "&amp;SCORE!$D1163,EVENTOS!$F:$F,0)),0)</f>
        <v>0</v>
      </c>
      <c r="U1163" s="3">
        <f>IFERROR(INDEX(EVENTOS!$D:$D,MATCH(SCORE!U$2&amp;" "&amp;SCORE!$D1163,EVENTOS!$F:$F,0)),0)</f>
        <v>0</v>
      </c>
      <c r="V1163" s="3">
        <f>IFERROR(INDEX(EVENTOS!$D:$D,MATCH(SCORE!V$2&amp;" "&amp;SCORE!$D1163,EVENTOS!$F:$F,0)),0)</f>
        <v>0</v>
      </c>
      <c r="W1163" s="3">
        <f>IFERROR(INDEX(EVENTOS!$D:$D,MATCH(SCORE!W$2&amp;" "&amp;SCORE!$D1163,EVENTOS!$F:$F,0)),0)</f>
        <v>0</v>
      </c>
      <c r="X1163" s="3">
        <f>IFERROR(INDEX(EVENTOS!$D:$D,MATCH(SCORE!X$2&amp;" "&amp;SCORE!$D1163,EVENTOS!$F:$F,0)),0)</f>
        <v>0</v>
      </c>
      <c r="Y1163" s="3">
        <f>SUMIFS(EVENTOS!$D:$D, EVENTOS!$B:$B, D1163, EVENTOS!$E:$E, "*GirAlto*")</f>
        <v>0</v>
      </c>
      <c r="Z1163" s="3">
        <f>SUMIFS(EVENTOS!$D:$D, EVENTOS!$B:$B, D1163, EVENTOS!$E:$E, "*GirMed*")</f>
        <v>0</v>
      </c>
      <c r="AA1163" s="3">
        <f>SUMIFS(EVENTOS!$D:$D, EVENTOS!$B:$B, D1163, EVENTOS!$E:$E, "*GirBajo*")</f>
        <v>0</v>
      </c>
      <c r="AB1163" s="3">
        <f>IFERROR(INDEX(EVENTOS!$D:$D,MATCH(SCORE!AB$2&amp;" "&amp;SCORE!$D1163,EVENTOS!$F:$F,0)),0)</f>
        <v>0</v>
      </c>
      <c r="AC1163" s="3">
        <f>IFERROR(INDEX(EVENTOS!$D:$D,MATCH(SCORE!AC$2&amp;" "&amp;SCORE!$D1163,EVENTOS!$F:$F,0)),0)</f>
        <v>0</v>
      </c>
      <c r="AD1163" s="3">
        <f>IFERROR(INDEX(EVENTOS!$D:$D,MATCH(SCORE!AD$2&amp;" "&amp;SCORE!$D1163,EVENTOS!$F:$F,0)),0)</f>
        <v>0</v>
      </c>
      <c r="AE1163" s="3">
        <f t="shared" si="54"/>
        <v>0</v>
      </c>
      <c r="AF1163" s="10" t="e">
        <f t="shared" si="55"/>
        <v>#N/A</v>
      </c>
      <c r="AG1163" s="3" t="str">
        <f t="shared" si="56"/>
        <v/>
      </c>
    </row>
    <row r="1164" spans="1:33" x14ac:dyDescent="0.25">
      <c r="A1164" s="7"/>
      <c r="B1164" s="8"/>
      <c r="C1164" s="3"/>
      <c r="D1164" s="3"/>
      <c r="E1164" s="3" t="e">
        <f>VLOOKUP(D1164,VIAJES!$D:$E,2,FALSE)</f>
        <v>#N/A</v>
      </c>
      <c r="F1164" s="9" t="e">
        <f>VLOOKUP(D1164,VIAJES!$D:$F,3,FALSE)</f>
        <v>#N/A</v>
      </c>
      <c r="G1164" s="9" t="e">
        <f>VLOOKUP(D1164,VIAJES!$D:$G,4,FALSE)</f>
        <v>#N/A</v>
      </c>
      <c r="H1164" s="3" t="e">
        <f>VLOOKUP(D1164,VIAJES!$D:$H,5,FALSE)</f>
        <v>#N/A</v>
      </c>
      <c r="S1164" s="3">
        <f>IFERROR(INDEX(EVENTOS!$D:$D,MATCH(SCORE!S$2&amp;" "&amp;SCORE!$D1164,EVENTOS!$F:$F,0)),0)</f>
        <v>0</v>
      </c>
      <c r="T1164" s="3">
        <f>IFERROR(INDEX(EVENTOS!$D:$D,MATCH(SCORE!T$2&amp;" "&amp;SCORE!$D1164,EVENTOS!$F:$F,0)),0)</f>
        <v>0</v>
      </c>
      <c r="U1164" s="3">
        <f>IFERROR(INDEX(EVENTOS!$D:$D,MATCH(SCORE!U$2&amp;" "&amp;SCORE!$D1164,EVENTOS!$F:$F,0)),0)</f>
        <v>0</v>
      </c>
      <c r="V1164" s="3">
        <f>IFERROR(INDEX(EVENTOS!$D:$D,MATCH(SCORE!V$2&amp;" "&amp;SCORE!$D1164,EVENTOS!$F:$F,0)),0)</f>
        <v>0</v>
      </c>
      <c r="W1164" s="3">
        <f>IFERROR(INDEX(EVENTOS!$D:$D,MATCH(SCORE!W$2&amp;" "&amp;SCORE!$D1164,EVENTOS!$F:$F,0)),0)</f>
        <v>0</v>
      </c>
      <c r="X1164" s="3">
        <f>IFERROR(INDEX(EVENTOS!$D:$D,MATCH(SCORE!X$2&amp;" "&amp;SCORE!$D1164,EVENTOS!$F:$F,0)),0)</f>
        <v>0</v>
      </c>
      <c r="Y1164" s="3">
        <f>SUMIFS(EVENTOS!$D:$D, EVENTOS!$B:$B, D1164, EVENTOS!$E:$E, "*GirAlto*")</f>
        <v>0</v>
      </c>
      <c r="Z1164" s="3">
        <f>SUMIFS(EVENTOS!$D:$D, EVENTOS!$B:$B, D1164, EVENTOS!$E:$E, "*GirMed*")</f>
        <v>0</v>
      </c>
      <c r="AA1164" s="3">
        <f>SUMIFS(EVENTOS!$D:$D, EVENTOS!$B:$B, D1164, EVENTOS!$E:$E, "*GirBajo*")</f>
        <v>0</v>
      </c>
      <c r="AB1164" s="3">
        <f>IFERROR(INDEX(EVENTOS!$D:$D,MATCH(SCORE!AB$2&amp;" "&amp;SCORE!$D1164,EVENTOS!$F:$F,0)),0)</f>
        <v>0</v>
      </c>
      <c r="AC1164" s="3">
        <f>IFERROR(INDEX(EVENTOS!$D:$D,MATCH(SCORE!AC$2&amp;" "&amp;SCORE!$D1164,EVENTOS!$F:$F,0)),0)</f>
        <v>0</v>
      </c>
      <c r="AD1164" s="3">
        <f>IFERROR(INDEX(EVENTOS!$D:$D,MATCH(SCORE!AD$2&amp;" "&amp;SCORE!$D1164,EVENTOS!$F:$F,0)),0)</f>
        <v>0</v>
      </c>
      <c r="AE1164" s="3">
        <f t="shared" si="54"/>
        <v>0</v>
      </c>
      <c r="AF1164" s="10" t="e">
        <f t="shared" si="55"/>
        <v>#N/A</v>
      </c>
      <c r="AG1164" s="3" t="str">
        <f t="shared" si="56"/>
        <v/>
      </c>
    </row>
    <row r="1165" spans="1:33" x14ac:dyDescent="0.25">
      <c r="A1165" s="7"/>
      <c r="B1165" s="8"/>
      <c r="C1165" s="3"/>
      <c r="D1165" s="3"/>
      <c r="E1165" s="3" t="e">
        <f>VLOOKUP(D1165,VIAJES!$D:$E,2,FALSE)</f>
        <v>#N/A</v>
      </c>
      <c r="F1165" s="9" t="e">
        <f>VLOOKUP(D1165,VIAJES!$D:$F,3,FALSE)</f>
        <v>#N/A</v>
      </c>
      <c r="G1165" s="9" t="e">
        <f>VLOOKUP(D1165,VIAJES!$D:$G,4,FALSE)</f>
        <v>#N/A</v>
      </c>
      <c r="H1165" s="3" t="e">
        <f>VLOOKUP(D1165,VIAJES!$D:$H,5,FALSE)</f>
        <v>#N/A</v>
      </c>
      <c r="S1165" s="3">
        <f>IFERROR(INDEX(EVENTOS!$D:$D,MATCH(SCORE!S$2&amp;" "&amp;SCORE!$D1165,EVENTOS!$F:$F,0)),0)</f>
        <v>0</v>
      </c>
      <c r="T1165" s="3">
        <f>IFERROR(INDEX(EVENTOS!$D:$D,MATCH(SCORE!T$2&amp;" "&amp;SCORE!$D1165,EVENTOS!$F:$F,0)),0)</f>
        <v>0</v>
      </c>
      <c r="U1165" s="3">
        <f>IFERROR(INDEX(EVENTOS!$D:$D,MATCH(SCORE!U$2&amp;" "&amp;SCORE!$D1165,EVENTOS!$F:$F,0)),0)</f>
        <v>0</v>
      </c>
      <c r="V1165" s="3">
        <f>IFERROR(INDEX(EVENTOS!$D:$D,MATCH(SCORE!V$2&amp;" "&amp;SCORE!$D1165,EVENTOS!$F:$F,0)),0)</f>
        <v>0</v>
      </c>
      <c r="W1165" s="3">
        <f>IFERROR(INDEX(EVENTOS!$D:$D,MATCH(SCORE!W$2&amp;" "&amp;SCORE!$D1165,EVENTOS!$F:$F,0)),0)</f>
        <v>0</v>
      </c>
      <c r="X1165" s="3">
        <f>IFERROR(INDEX(EVENTOS!$D:$D,MATCH(SCORE!X$2&amp;" "&amp;SCORE!$D1165,EVENTOS!$F:$F,0)),0)</f>
        <v>0</v>
      </c>
      <c r="Y1165" s="3">
        <f>SUMIFS(EVENTOS!$D:$D, EVENTOS!$B:$B, D1165, EVENTOS!$E:$E, "*GirAlto*")</f>
        <v>0</v>
      </c>
      <c r="Z1165" s="3">
        <f>SUMIFS(EVENTOS!$D:$D, EVENTOS!$B:$B, D1165, EVENTOS!$E:$E, "*GirMed*")</f>
        <v>0</v>
      </c>
      <c r="AA1165" s="3">
        <f>SUMIFS(EVENTOS!$D:$D, EVENTOS!$B:$B, D1165, EVENTOS!$E:$E, "*GirBajo*")</f>
        <v>0</v>
      </c>
      <c r="AB1165" s="3">
        <f>IFERROR(INDEX(EVENTOS!$D:$D,MATCH(SCORE!AB$2&amp;" "&amp;SCORE!$D1165,EVENTOS!$F:$F,0)),0)</f>
        <v>0</v>
      </c>
      <c r="AC1165" s="3">
        <f>IFERROR(INDEX(EVENTOS!$D:$D,MATCH(SCORE!AC$2&amp;" "&amp;SCORE!$D1165,EVENTOS!$F:$F,0)),0)</f>
        <v>0</v>
      </c>
      <c r="AD1165" s="3">
        <f>IFERROR(INDEX(EVENTOS!$D:$D,MATCH(SCORE!AD$2&amp;" "&amp;SCORE!$D1165,EVENTOS!$F:$F,0)),0)</f>
        <v>0</v>
      </c>
      <c r="AE1165" s="3">
        <f t="shared" si="54"/>
        <v>0</v>
      </c>
      <c r="AF1165" s="10" t="e">
        <f t="shared" si="55"/>
        <v>#N/A</v>
      </c>
      <c r="AG1165" s="3" t="str">
        <f t="shared" si="56"/>
        <v/>
      </c>
    </row>
    <row r="1166" spans="1:33" x14ac:dyDescent="0.25">
      <c r="A1166" s="7"/>
      <c r="B1166" s="8"/>
      <c r="C1166" s="3"/>
      <c r="D1166" s="3"/>
      <c r="E1166" s="3" t="e">
        <f>VLOOKUP(D1166,VIAJES!$D:$E,2,FALSE)</f>
        <v>#N/A</v>
      </c>
      <c r="F1166" s="9" t="e">
        <f>VLOOKUP(D1166,VIAJES!$D:$F,3,FALSE)</f>
        <v>#N/A</v>
      </c>
      <c r="G1166" s="9" t="e">
        <f>VLOOKUP(D1166,VIAJES!$D:$G,4,FALSE)</f>
        <v>#N/A</v>
      </c>
      <c r="H1166" s="3" t="e">
        <f>VLOOKUP(D1166,VIAJES!$D:$H,5,FALSE)</f>
        <v>#N/A</v>
      </c>
      <c r="S1166" s="3">
        <f>IFERROR(INDEX(EVENTOS!$D:$D,MATCH(SCORE!S$2&amp;" "&amp;SCORE!$D1166,EVENTOS!$F:$F,0)),0)</f>
        <v>0</v>
      </c>
      <c r="T1166" s="3">
        <f>IFERROR(INDEX(EVENTOS!$D:$D,MATCH(SCORE!T$2&amp;" "&amp;SCORE!$D1166,EVENTOS!$F:$F,0)),0)</f>
        <v>0</v>
      </c>
      <c r="U1166" s="3">
        <f>IFERROR(INDEX(EVENTOS!$D:$D,MATCH(SCORE!U$2&amp;" "&amp;SCORE!$D1166,EVENTOS!$F:$F,0)),0)</f>
        <v>0</v>
      </c>
      <c r="V1166" s="3">
        <f>IFERROR(INDEX(EVENTOS!$D:$D,MATCH(SCORE!V$2&amp;" "&amp;SCORE!$D1166,EVENTOS!$F:$F,0)),0)</f>
        <v>0</v>
      </c>
      <c r="W1166" s="3">
        <f>IFERROR(INDEX(EVENTOS!$D:$D,MATCH(SCORE!W$2&amp;" "&amp;SCORE!$D1166,EVENTOS!$F:$F,0)),0)</f>
        <v>0</v>
      </c>
      <c r="X1166" s="3">
        <f>IFERROR(INDEX(EVENTOS!$D:$D,MATCH(SCORE!X$2&amp;" "&amp;SCORE!$D1166,EVENTOS!$F:$F,0)),0)</f>
        <v>0</v>
      </c>
      <c r="Y1166" s="3">
        <f>SUMIFS(EVENTOS!$D:$D, EVENTOS!$B:$B, D1166, EVENTOS!$E:$E, "*GirAlto*")</f>
        <v>0</v>
      </c>
      <c r="Z1166" s="3">
        <f>SUMIFS(EVENTOS!$D:$D, EVENTOS!$B:$B, D1166, EVENTOS!$E:$E, "*GirMed*")</f>
        <v>0</v>
      </c>
      <c r="AA1166" s="3">
        <f>SUMIFS(EVENTOS!$D:$D, EVENTOS!$B:$B, D1166, EVENTOS!$E:$E, "*GirBajo*")</f>
        <v>0</v>
      </c>
      <c r="AB1166" s="3">
        <f>IFERROR(INDEX(EVENTOS!$D:$D,MATCH(SCORE!AB$2&amp;" "&amp;SCORE!$D1166,EVENTOS!$F:$F,0)),0)</f>
        <v>0</v>
      </c>
      <c r="AC1166" s="3">
        <f>IFERROR(INDEX(EVENTOS!$D:$D,MATCH(SCORE!AC$2&amp;" "&amp;SCORE!$D1166,EVENTOS!$F:$F,0)),0)</f>
        <v>0</v>
      </c>
      <c r="AD1166" s="3">
        <f>IFERROR(INDEX(EVENTOS!$D:$D,MATCH(SCORE!AD$2&amp;" "&amp;SCORE!$D1166,EVENTOS!$F:$F,0)),0)</f>
        <v>0</v>
      </c>
      <c r="AE1166" s="3">
        <f t="shared" si="54"/>
        <v>0</v>
      </c>
      <c r="AF1166" s="10" t="e">
        <f t="shared" si="55"/>
        <v>#N/A</v>
      </c>
      <c r="AG1166" s="3" t="str">
        <f t="shared" si="56"/>
        <v/>
      </c>
    </row>
    <row r="1167" spans="1:33" x14ac:dyDescent="0.25">
      <c r="A1167" s="7"/>
      <c r="B1167" s="8"/>
      <c r="C1167" s="3"/>
      <c r="D1167" s="3"/>
      <c r="E1167" s="3" t="e">
        <f>VLOOKUP(D1167,VIAJES!$D:$E,2,FALSE)</f>
        <v>#N/A</v>
      </c>
      <c r="F1167" s="9" t="e">
        <f>VLOOKUP(D1167,VIAJES!$D:$F,3,FALSE)</f>
        <v>#N/A</v>
      </c>
      <c r="G1167" s="9" t="e">
        <f>VLOOKUP(D1167,VIAJES!$D:$G,4,FALSE)</f>
        <v>#N/A</v>
      </c>
      <c r="H1167" s="3" t="e">
        <f>VLOOKUP(D1167,VIAJES!$D:$H,5,FALSE)</f>
        <v>#N/A</v>
      </c>
      <c r="S1167" s="3">
        <f>IFERROR(INDEX(EVENTOS!$D:$D,MATCH(SCORE!S$2&amp;" "&amp;SCORE!$D1167,EVENTOS!$F:$F,0)),0)</f>
        <v>0</v>
      </c>
      <c r="T1167" s="3">
        <f>IFERROR(INDEX(EVENTOS!$D:$D,MATCH(SCORE!T$2&amp;" "&amp;SCORE!$D1167,EVENTOS!$F:$F,0)),0)</f>
        <v>0</v>
      </c>
      <c r="U1167" s="3">
        <f>IFERROR(INDEX(EVENTOS!$D:$D,MATCH(SCORE!U$2&amp;" "&amp;SCORE!$D1167,EVENTOS!$F:$F,0)),0)</f>
        <v>0</v>
      </c>
      <c r="V1167" s="3">
        <f>IFERROR(INDEX(EVENTOS!$D:$D,MATCH(SCORE!V$2&amp;" "&amp;SCORE!$D1167,EVENTOS!$F:$F,0)),0)</f>
        <v>0</v>
      </c>
      <c r="W1167" s="3">
        <f>IFERROR(INDEX(EVENTOS!$D:$D,MATCH(SCORE!W$2&amp;" "&amp;SCORE!$D1167,EVENTOS!$F:$F,0)),0)</f>
        <v>0</v>
      </c>
      <c r="X1167" s="3">
        <f>IFERROR(INDEX(EVENTOS!$D:$D,MATCH(SCORE!X$2&amp;" "&amp;SCORE!$D1167,EVENTOS!$F:$F,0)),0)</f>
        <v>0</v>
      </c>
      <c r="Y1167" s="3">
        <f>SUMIFS(EVENTOS!$D:$D, EVENTOS!$B:$B, D1167, EVENTOS!$E:$E, "*GirAlto*")</f>
        <v>0</v>
      </c>
      <c r="Z1167" s="3">
        <f>SUMIFS(EVENTOS!$D:$D, EVENTOS!$B:$B, D1167, EVENTOS!$E:$E, "*GirMed*")</f>
        <v>0</v>
      </c>
      <c r="AA1167" s="3">
        <f>SUMIFS(EVENTOS!$D:$D, EVENTOS!$B:$B, D1167, EVENTOS!$E:$E, "*GirBajo*")</f>
        <v>0</v>
      </c>
      <c r="AB1167" s="3">
        <f>IFERROR(INDEX(EVENTOS!$D:$D,MATCH(SCORE!AB$2&amp;" "&amp;SCORE!$D1167,EVENTOS!$F:$F,0)),0)</f>
        <v>0</v>
      </c>
      <c r="AC1167" s="3">
        <f>IFERROR(INDEX(EVENTOS!$D:$D,MATCH(SCORE!AC$2&amp;" "&amp;SCORE!$D1167,EVENTOS!$F:$F,0)),0)</f>
        <v>0</v>
      </c>
      <c r="AD1167" s="3">
        <f>IFERROR(INDEX(EVENTOS!$D:$D,MATCH(SCORE!AD$2&amp;" "&amp;SCORE!$D1167,EVENTOS!$F:$F,0)),0)</f>
        <v>0</v>
      </c>
      <c r="AE1167" s="3">
        <f t="shared" si="54"/>
        <v>0</v>
      </c>
      <c r="AF1167" s="10" t="e">
        <f t="shared" si="55"/>
        <v>#N/A</v>
      </c>
      <c r="AG1167" s="3" t="str">
        <f t="shared" si="56"/>
        <v/>
      </c>
    </row>
    <row r="1168" spans="1:33" x14ac:dyDescent="0.25">
      <c r="A1168" s="7"/>
      <c r="B1168" s="8"/>
      <c r="C1168" s="3"/>
      <c r="D1168" s="3"/>
      <c r="E1168" s="3" t="e">
        <f>VLOOKUP(D1168,VIAJES!$D:$E,2,FALSE)</f>
        <v>#N/A</v>
      </c>
      <c r="F1168" s="9" t="e">
        <f>VLOOKUP(D1168,VIAJES!$D:$F,3,FALSE)</f>
        <v>#N/A</v>
      </c>
      <c r="G1168" s="9" t="e">
        <f>VLOOKUP(D1168,VIAJES!$D:$G,4,FALSE)</f>
        <v>#N/A</v>
      </c>
      <c r="H1168" s="3" t="e">
        <f>VLOOKUP(D1168,VIAJES!$D:$H,5,FALSE)</f>
        <v>#N/A</v>
      </c>
      <c r="S1168" s="3">
        <f>IFERROR(INDEX(EVENTOS!$D:$D,MATCH(SCORE!S$2&amp;" "&amp;SCORE!$D1168,EVENTOS!$F:$F,0)),0)</f>
        <v>0</v>
      </c>
      <c r="T1168" s="3">
        <f>IFERROR(INDEX(EVENTOS!$D:$D,MATCH(SCORE!T$2&amp;" "&amp;SCORE!$D1168,EVENTOS!$F:$F,0)),0)</f>
        <v>0</v>
      </c>
      <c r="U1168" s="3">
        <f>IFERROR(INDEX(EVENTOS!$D:$D,MATCH(SCORE!U$2&amp;" "&amp;SCORE!$D1168,EVENTOS!$F:$F,0)),0)</f>
        <v>0</v>
      </c>
      <c r="V1168" s="3">
        <f>IFERROR(INDEX(EVENTOS!$D:$D,MATCH(SCORE!V$2&amp;" "&amp;SCORE!$D1168,EVENTOS!$F:$F,0)),0)</f>
        <v>0</v>
      </c>
      <c r="W1168" s="3">
        <f>IFERROR(INDEX(EVENTOS!$D:$D,MATCH(SCORE!W$2&amp;" "&amp;SCORE!$D1168,EVENTOS!$F:$F,0)),0)</f>
        <v>0</v>
      </c>
      <c r="X1168" s="3">
        <f>IFERROR(INDEX(EVENTOS!$D:$D,MATCH(SCORE!X$2&amp;" "&amp;SCORE!$D1168,EVENTOS!$F:$F,0)),0)</f>
        <v>0</v>
      </c>
      <c r="Y1168" s="3">
        <f>SUMIFS(EVENTOS!$D:$D, EVENTOS!$B:$B, D1168, EVENTOS!$E:$E, "*GirAlto*")</f>
        <v>0</v>
      </c>
      <c r="Z1168" s="3">
        <f>SUMIFS(EVENTOS!$D:$D, EVENTOS!$B:$B, D1168, EVENTOS!$E:$E, "*GirMed*")</f>
        <v>0</v>
      </c>
      <c r="AA1168" s="3">
        <f>SUMIFS(EVENTOS!$D:$D, EVENTOS!$B:$B, D1168, EVENTOS!$E:$E, "*GirBajo*")</f>
        <v>0</v>
      </c>
      <c r="AB1168" s="3">
        <f>IFERROR(INDEX(EVENTOS!$D:$D,MATCH(SCORE!AB$2&amp;" "&amp;SCORE!$D1168,EVENTOS!$F:$F,0)),0)</f>
        <v>0</v>
      </c>
      <c r="AC1168" s="3">
        <f>IFERROR(INDEX(EVENTOS!$D:$D,MATCH(SCORE!AC$2&amp;" "&amp;SCORE!$D1168,EVENTOS!$F:$F,0)),0)</f>
        <v>0</v>
      </c>
      <c r="AD1168" s="3">
        <f>IFERROR(INDEX(EVENTOS!$D:$D,MATCH(SCORE!AD$2&amp;" "&amp;SCORE!$D1168,EVENTOS!$F:$F,0)),0)</f>
        <v>0</v>
      </c>
      <c r="AE1168" s="3">
        <f t="shared" si="54"/>
        <v>0</v>
      </c>
      <c r="AF1168" s="10" t="e">
        <f t="shared" si="55"/>
        <v>#N/A</v>
      </c>
      <c r="AG1168" s="3" t="str">
        <f t="shared" si="56"/>
        <v/>
      </c>
    </row>
    <row r="1169" spans="1:33" x14ac:dyDescent="0.25">
      <c r="A1169" s="7"/>
      <c r="B1169" s="8"/>
      <c r="C1169" s="3"/>
      <c r="D1169" s="3"/>
      <c r="E1169" s="3" t="e">
        <f>VLOOKUP(D1169,VIAJES!$D:$E,2,FALSE)</f>
        <v>#N/A</v>
      </c>
      <c r="F1169" s="9" t="e">
        <f>VLOOKUP(D1169,VIAJES!$D:$F,3,FALSE)</f>
        <v>#N/A</v>
      </c>
      <c r="G1169" s="9" t="e">
        <f>VLOOKUP(D1169,VIAJES!$D:$G,4,FALSE)</f>
        <v>#N/A</v>
      </c>
      <c r="H1169" s="3" t="e">
        <f>VLOOKUP(D1169,VIAJES!$D:$H,5,FALSE)</f>
        <v>#N/A</v>
      </c>
      <c r="S1169" s="3">
        <f>IFERROR(INDEX(EVENTOS!$D:$D,MATCH(SCORE!S$2&amp;" "&amp;SCORE!$D1169,EVENTOS!$F:$F,0)),0)</f>
        <v>0</v>
      </c>
      <c r="T1169" s="3">
        <f>IFERROR(INDEX(EVENTOS!$D:$D,MATCH(SCORE!T$2&amp;" "&amp;SCORE!$D1169,EVENTOS!$F:$F,0)),0)</f>
        <v>0</v>
      </c>
      <c r="U1169" s="3">
        <f>IFERROR(INDEX(EVENTOS!$D:$D,MATCH(SCORE!U$2&amp;" "&amp;SCORE!$D1169,EVENTOS!$F:$F,0)),0)</f>
        <v>0</v>
      </c>
      <c r="V1169" s="3">
        <f>IFERROR(INDEX(EVENTOS!$D:$D,MATCH(SCORE!V$2&amp;" "&amp;SCORE!$D1169,EVENTOS!$F:$F,0)),0)</f>
        <v>0</v>
      </c>
      <c r="W1169" s="3">
        <f>IFERROR(INDEX(EVENTOS!$D:$D,MATCH(SCORE!W$2&amp;" "&amp;SCORE!$D1169,EVENTOS!$F:$F,0)),0)</f>
        <v>0</v>
      </c>
      <c r="X1169" s="3">
        <f>IFERROR(INDEX(EVENTOS!$D:$D,MATCH(SCORE!X$2&amp;" "&amp;SCORE!$D1169,EVENTOS!$F:$F,0)),0)</f>
        <v>0</v>
      </c>
      <c r="Y1169" s="3">
        <f>SUMIFS(EVENTOS!$D:$D, EVENTOS!$B:$B, D1169, EVENTOS!$E:$E, "*GirAlto*")</f>
        <v>0</v>
      </c>
      <c r="Z1169" s="3">
        <f>SUMIFS(EVENTOS!$D:$D, EVENTOS!$B:$B, D1169, EVENTOS!$E:$E, "*GirMed*")</f>
        <v>0</v>
      </c>
      <c r="AA1169" s="3">
        <f>SUMIFS(EVENTOS!$D:$D, EVENTOS!$B:$B, D1169, EVENTOS!$E:$E, "*GirBajo*")</f>
        <v>0</v>
      </c>
      <c r="AB1169" s="3">
        <f>IFERROR(INDEX(EVENTOS!$D:$D,MATCH(SCORE!AB$2&amp;" "&amp;SCORE!$D1169,EVENTOS!$F:$F,0)),0)</f>
        <v>0</v>
      </c>
      <c r="AC1169" s="3">
        <f>IFERROR(INDEX(EVENTOS!$D:$D,MATCH(SCORE!AC$2&amp;" "&amp;SCORE!$D1169,EVENTOS!$F:$F,0)),0)</f>
        <v>0</v>
      </c>
      <c r="AD1169" s="3">
        <f>IFERROR(INDEX(EVENTOS!$D:$D,MATCH(SCORE!AD$2&amp;" "&amp;SCORE!$D1169,EVENTOS!$F:$F,0)),0)</f>
        <v>0</v>
      </c>
      <c r="AE1169" s="3">
        <f t="shared" si="54"/>
        <v>0</v>
      </c>
      <c r="AF1169" s="10" t="e">
        <f t="shared" si="55"/>
        <v>#N/A</v>
      </c>
      <c r="AG1169" s="3" t="str">
        <f t="shared" si="56"/>
        <v/>
      </c>
    </row>
    <row r="1170" spans="1:33" x14ac:dyDescent="0.25">
      <c r="A1170" s="7"/>
      <c r="B1170" s="8"/>
      <c r="C1170" s="3"/>
      <c r="D1170" s="3"/>
      <c r="E1170" s="3" t="e">
        <f>VLOOKUP(D1170,VIAJES!$D:$E,2,FALSE)</f>
        <v>#N/A</v>
      </c>
      <c r="F1170" s="9" t="e">
        <f>VLOOKUP(D1170,VIAJES!$D:$F,3,FALSE)</f>
        <v>#N/A</v>
      </c>
      <c r="G1170" s="9" t="e">
        <f>VLOOKUP(D1170,VIAJES!$D:$G,4,FALSE)</f>
        <v>#N/A</v>
      </c>
      <c r="H1170" s="3" t="e">
        <f>VLOOKUP(D1170,VIAJES!$D:$H,5,FALSE)</f>
        <v>#N/A</v>
      </c>
      <c r="S1170" s="3">
        <f>IFERROR(INDEX(EVENTOS!$D:$D,MATCH(SCORE!S$2&amp;" "&amp;SCORE!$D1170,EVENTOS!$F:$F,0)),0)</f>
        <v>0</v>
      </c>
      <c r="T1170" s="3">
        <f>IFERROR(INDEX(EVENTOS!$D:$D,MATCH(SCORE!T$2&amp;" "&amp;SCORE!$D1170,EVENTOS!$F:$F,0)),0)</f>
        <v>0</v>
      </c>
      <c r="U1170" s="3">
        <f>IFERROR(INDEX(EVENTOS!$D:$D,MATCH(SCORE!U$2&amp;" "&amp;SCORE!$D1170,EVENTOS!$F:$F,0)),0)</f>
        <v>0</v>
      </c>
      <c r="V1170" s="3">
        <f>IFERROR(INDEX(EVENTOS!$D:$D,MATCH(SCORE!V$2&amp;" "&amp;SCORE!$D1170,EVENTOS!$F:$F,0)),0)</f>
        <v>0</v>
      </c>
      <c r="W1170" s="3">
        <f>IFERROR(INDEX(EVENTOS!$D:$D,MATCH(SCORE!W$2&amp;" "&amp;SCORE!$D1170,EVENTOS!$F:$F,0)),0)</f>
        <v>0</v>
      </c>
      <c r="X1170" s="3">
        <f>IFERROR(INDEX(EVENTOS!$D:$D,MATCH(SCORE!X$2&amp;" "&amp;SCORE!$D1170,EVENTOS!$F:$F,0)),0)</f>
        <v>0</v>
      </c>
      <c r="Y1170" s="3">
        <f>SUMIFS(EVENTOS!$D:$D, EVENTOS!$B:$B, D1170, EVENTOS!$E:$E, "*GirAlto*")</f>
        <v>0</v>
      </c>
      <c r="Z1170" s="3">
        <f>SUMIFS(EVENTOS!$D:$D, EVENTOS!$B:$B, D1170, EVENTOS!$E:$E, "*GirMed*")</f>
        <v>0</v>
      </c>
      <c r="AA1170" s="3">
        <f>SUMIFS(EVENTOS!$D:$D, EVENTOS!$B:$B, D1170, EVENTOS!$E:$E, "*GirBajo*")</f>
        <v>0</v>
      </c>
      <c r="AB1170" s="3">
        <f>IFERROR(INDEX(EVENTOS!$D:$D,MATCH(SCORE!AB$2&amp;" "&amp;SCORE!$D1170,EVENTOS!$F:$F,0)),0)</f>
        <v>0</v>
      </c>
      <c r="AC1170" s="3">
        <f>IFERROR(INDEX(EVENTOS!$D:$D,MATCH(SCORE!AC$2&amp;" "&amp;SCORE!$D1170,EVENTOS!$F:$F,0)),0)</f>
        <v>0</v>
      </c>
      <c r="AD1170" s="3">
        <f>IFERROR(INDEX(EVENTOS!$D:$D,MATCH(SCORE!AD$2&amp;" "&amp;SCORE!$D1170,EVENTOS!$F:$F,0)),0)</f>
        <v>0</v>
      </c>
      <c r="AE1170" s="3">
        <f t="shared" si="54"/>
        <v>0</v>
      </c>
      <c r="AF1170" s="10" t="e">
        <f t="shared" si="55"/>
        <v>#N/A</v>
      </c>
      <c r="AG1170" s="3" t="str">
        <f t="shared" si="56"/>
        <v/>
      </c>
    </row>
    <row r="1171" spans="1:33" x14ac:dyDescent="0.25">
      <c r="A1171" s="7"/>
      <c r="B1171" s="8"/>
      <c r="C1171" s="3"/>
      <c r="D1171" s="3"/>
      <c r="E1171" s="3" t="e">
        <f>VLOOKUP(D1171,VIAJES!$D:$E,2,FALSE)</f>
        <v>#N/A</v>
      </c>
      <c r="F1171" s="9" t="e">
        <f>VLOOKUP(D1171,VIAJES!$D:$F,3,FALSE)</f>
        <v>#N/A</v>
      </c>
      <c r="G1171" s="9" t="e">
        <f>VLOOKUP(D1171,VIAJES!$D:$G,4,FALSE)</f>
        <v>#N/A</v>
      </c>
      <c r="H1171" s="3" t="e">
        <f>VLOOKUP(D1171,VIAJES!$D:$H,5,FALSE)</f>
        <v>#N/A</v>
      </c>
      <c r="S1171" s="3">
        <f>IFERROR(INDEX(EVENTOS!$D:$D,MATCH(SCORE!S$2&amp;" "&amp;SCORE!$D1171,EVENTOS!$F:$F,0)),0)</f>
        <v>0</v>
      </c>
      <c r="T1171" s="3">
        <f>IFERROR(INDEX(EVENTOS!$D:$D,MATCH(SCORE!T$2&amp;" "&amp;SCORE!$D1171,EVENTOS!$F:$F,0)),0)</f>
        <v>0</v>
      </c>
      <c r="U1171" s="3">
        <f>IFERROR(INDEX(EVENTOS!$D:$D,MATCH(SCORE!U$2&amp;" "&amp;SCORE!$D1171,EVENTOS!$F:$F,0)),0)</f>
        <v>0</v>
      </c>
      <c r="V1171" s="3">
        <f>IFERROR(INDEX(EVENTOS!$D:$D,MATCH(SCORE!V$2&amp;" "&amp;SCORE!$D1171,EVENTOS!$F:$F,0)),0)</f>
        <v>0</v>
      </c>
      <c r="W1171" s="3">
        <f>IFERROR(INDEX(EVENTOS!$D:$D,MATCH(SCORE!W$2&amp;" "&amp;SCORE!$D1171,EVENTOS!$F:$F,0)),0)</f>
        <v>0</v>
      </c>
      <c r="X1171" s="3">
        <f>IFERROR(INDEX(EVENTOS!$D:$D,MATCH(SCORE!X$2&amp;" "&amp;SCORE!$D1171,EVENTOS!$F:$F,0)),0)</f>
        <v>0</v>
      </c>
      <c r="Y1171" s="3">
        <f>SUMIFS(EVENTOS!$D:$D, EVENTOS!$B:$B, D1171, EVENTOS!$E:$E, "*GirAlto*")</f>
        <v>0</v>
      </c>
      <c r="Z1171" s="3">
        <f>SUMIFS(EVENTOS!$D:$D, EVENTOS!$B:$B, D1171, EVENTOS!$E:$E, "*GirMed*")</f>
        <v>0</v>
      </c>
      <c r="AA1171" s="3">
        <f>SUMIFS(EVENTOS!$D:$D, EVENTOS!$B:$B, D1171, EVENTOS!$E:$E, "*GirBajo*")</f>
        <v>0</v>
      </c>
      <c r="AB1171" s="3">
        <f>IFERROR(INDEX(EVENTOS!$D:$D,MATCH(SCORE!AB$2&amp;" "&amp;SCORE!$D1171,EVENTOS!$F:$F,0)),0)</f>
        <v>0</v>
      </c>
      <c r="AC1171" s="3">
        <f>IFERROR(INDEX(EVENTOS!$D:$D,MATCH(SCORE!AC$2&amp;" "&amp;SCORE!$D1171,EVENTOS!$F:$F,0)),0)</f>
        <v>0</v>
      </c>
      <c r="AD1171" s="3">
        <f>IFERROR(INDEX(EVENTOS!$D:$D,MATCH(SCORE!AD$2&amp;" "&amp;SCORE!$D1171,EVENTOS!$F:$F,0)),0)</f>
        <v>0</v>
      </c>
      <c r="AE1171" s="3">
        <f t="shared" si="54"/>
        <v>0</v>
      </c>
      <c r="AF1171" s="10" t="e">
        <f t="shared" si="55"/>
        <v>#N/A</v>
      </c>
      <c r="AG1171" s="3" t="str">
        <f t="shared" si="56"/>
        <v/>
      </c>
    </row>
    <row r="1172" spans="1:33" x14ac:dyDescent="0.25">
      <c r="A1172" s="7"/>
      <c r="B1172" s="8"/>
      <c r="C1172" s="3"/>
      <c r="D1172" s="3"/>
      <c r="E1172" s="3" t="e">
        <f>VLOOKUP(D1172,VIAJES!$D:$E,2,FALSE)</f>
        <v>#N/A</v>
      </c>
      <c r="F1172" s="9" t="e">
        <f>VLOOKUP(D1172,VIAJES!$D:$F,3,FALSE)</f>
        <v>#N/A</v>
      </c>
      <c r="G1172" s="9" t="e">
        <f>VLOOKUP(D1172,VIAJES!$D:$G,4,FALSE)</f>
        <v>#N/A</v>
      </c>
      <c r="H1172" s="3" t="e">
        <f>VLOOKUP(D1172,VIAJES!$D:$H,5,FALSE)</f>
        <v>#N/A</v>
      </c>
      <c r="S1172" s="3">
        <f>IFERROR(INDEX(EVENTOS!$D:$D,MATCH(SCORE!S$2&amp;" "&amp;SCORE!$D1172,EVENTOS!$F:$F,0)),0)</f>
        <v>0</v>
      </c>
      <c r="T1172" s="3">
        <f>IFERROR(INDEX(EVENTOS!$D:$D,MATCH(SCORE!T$2&amp;" "&amp;SCORE!$D1172,EVENTOS!$F:$F,0)),0)</f>
        <v>0</v>
      </c>
      <c r="U1172" s="3">
        <f>IFERROR(INDEX(EVENTOS!$D:$D,MATCH(SCORE!U$2&amp;" "&amp;SCORE!$D1172,EVENTOS!$F:$F,0)),0)</f>
        <v>0</v>
      </c>
      <c r="V1172" s="3">
        <f>IFERROR(INDEX(EVENTOS!$D:$D,MATCH(SCORE!V$2&amp;" "&amp;SCORE!$D1172,EVENTOS!$F:$F,0)),0)</f>
        <v>0</v>
      </c>
      <c r="W1172" s="3">
        <f>IFERROR(INDEX(EVENTOS!$D:$D,MATCH(SCORE!W$2&amp;" "&amp;SCORE!$D1172,EVENTOS!$F:$F,0)),0)</f>
        <v>0</v>
      </c>
      <c r="X1172" s="3">
        <f>IFERROR(INDEX(EVENTOS!$D:$D,MATCH(SCORE!X$2&amp;" "&amp;SCORE!$D1172,EVENTOS!$F:$F,0)),0)</f>
        <v>0</v>
      </c>
      <c r="Y1172" s="3">
        <f>SUMIFS(EVENTOS!$D:$D, EVENTOS!$B:$B, D1172, EVENTOS!$E:$E, "*GirAlto*")</f>
        <v>0</v>
      </c>
      <c r="Z1172" s="3">
        <f>SUMIFS(EVENTOS!$D:$D, EVENTOS!$B:$B, D1172, EVENTOS!$E:$E, "*GirMed*")</f>
        <v>0</v>
      </c>
      <c r="AA1172" s="3">
        <f>SUMIFS(EVENTOS!$D:$D, EVENTOS!$B:$B, D1172, EVENTOS!$E:$E, "*GirBajo*")</f>
        <v>0</v>
      </c>
      <c r="AB1172" s="3">
        <f>IFERROR(INDEX(EVENTOS!$D:$D,MATCH(SCORE!AB$2&amp;" "&amp;SCORE!$D1172,EVENTOS!$F:$F,0)),0)</f>
        <v>0</v>
      </c>
      <c r="AC1172" s="3">
        <f>IFERROR(INDEX(EVENTOS!$D:$D,MATCH(SCORE!AC$2&amp;" "&amp;SCORE!$D1172,EVENTOS!$F:$F,0)),0)</f>
        <v>0</v>
      </c>
      <c r="AD1172" s="3">
        <f>IFERROR(INDEX(EVENTOS!$D:$D,MATCH(SCORE!AD$2&amp;" "&amp;SCORE!$D1172,EVENTOS!$F:$F,0)),0)</f>
        <v>0</v>
      </c>
      <c r="AE1172" s="3">
        <f t="shared" si="54"/>
        <v>0</v>
      </c>
      <c r="AF1172" s="10" t="e">
        <f t="shared" si="55"/>
        <v>#N/A</v>
      </c>
      <c r="AG1172" s="3" t="str">
        <f t="shared" si="56"/>
        <v/>
      </c>
    </row>
    <row r="1173" spans="1:33" x14ac:dyDescent="0.25">
      <c r="A1173" s="7"/>
      <c r="B1173" s="8"/>
      <c r="C1173" s="3"/>
      <c r="D1173" s="3"/>
      <c r="E1173" s="3" t="e">
        <f>VLOOKUP(D1173,VIAJES!$D:$E,2,FALSE)</f>
        <v>#N/A</v>
      </c>
      <c r="F1173" s="9" t="e">
        <f>VLOOKUP(D1173,VIAJES!$D:$F,3,FALSE)</f>
        <v>#N/A</v>
      </c>
      <c r="G1173" s="9" t="e">
        <f>VLOOKUP(D1173,VIAJES!$D:$G,4,FALSE)</f>
        <v>#N/A</v>
      </c>
      <c r="H1173" s="3" t="e">
        <f>VLOOKUP(D1173,VIAJES!$D:$H,5,FALSE)</f>
        <v>#N/A</v>
      </c>
      <c r="S1173" s="3">
        <f>IFERROR(INDEX(EVENTOS!$D:$D,MATCH(SCORE!S$2&amp;" "&amp;SCORE!$D1173,EVENTOS!$F:$F,0)),0)</f>
        <v>0</v>
      </c>
      <c r="T1173" s="3">
        <f>IFERROR(INDEX(EVENTOS!$D:$D,MATCH(SCORE!T$2&amp;" "&amp;SCORE!$D1173,EVENTOS!$F:$F,0)),0)</f>
        <v>0</v>
      </c>
      <c r="U1173" s="3">
        <f>IFERROR(INDEX(EVENTOS!$D:$D,MATCH(SCORE!U$2&amp;" "&amp;SCORE!$D1173,EVENTOS!$F:$F,0)),0)</f>
        <v>0</v>
      </c>
      <c r="V1173" s="3">
        <f>IFERROR(INDEX(EVENTOS!$D:$D,MATCH(SCORE!V$2&amp;" "&amp;SCORE!$D1173,EVENTOS!$F:$F,0)),0)</f>
        <v>0</v>
      </c>
      <c r="W1173" s="3">
        <f>IFERROR(INDEX(EVENTOS!$D:$D,MATCH(SCORE!W$2&amp;" "&amp;SCORE!$D1173,EVENTOS!$F:$F,0)),0)</f>
        <v>0</v>
      </c>
      <c r="X1173" s="3">
        <f>IFERROR(INDEX(EVENTOS!$D:$D,MATCH(SCORE!X$2&amp;" "&amp;SCORE!$D1173,EVENTOS!$F:$F,0)),0)</f>
        <v>0</v>
      </c>
      <c r="Y1173" s="3">
        <f>SUMIFS(EVENTOS!$D:$D, EVENTOS!$B:$B, D1173, EVENTOS!$E:$E, "*GirAlto*")</f>
        <v>0</v>
      </c>
      <c r="Z1173" s="3">
        <f>SUMIFS(EVENTOS!$D:$D, EVENTOS!$B:$B, D1173, EVENTOS!$E:$E, "*GirMed*")</f>
        <v>0</v>
      </c>
      <c r="AA1173" s="3">
        <f>SUMIFS(EVENTOS!$D:$D, EVENTOS!$B:$B, D1173, EVENTOS!$E:$E, "*GirBajo*")</f>
        <v>0</v>
      </c>
      <c r="AB1173" s="3">
        <f>IFERROR(INDEX(EVENTOS!$D:$D,MATCH(SCORE!AB$2&amp;" "&amp;SCORE!$D1173,EVENTOS!$F:$F,0)),0)</f>
        <v>0</v>
      </c>
      <c r="AC1173" s="3">
        <f>IFERROR(INDEX(EVENTOS!$D:$D,MATCH(SCORE!AC$2&amp;" "&amp;SCORE!$D1173,EVENTOS!$F:$F,0)),0)</f>
        <v>0</v>
      </c>
      <c r="AD1173" s="3">
        <f>IFERROR(INDEX(EVENTOS!$D:$D,MATCH(SCORE!AD$2&amp;" "&amp;SCORE!$D1173,EVENTOS!$F:$F,0)),0)</f>
        <v>0</v>
      </c>
      <c r="AE1173" s="3">
        <f t="shared" si="54"/>
        <v>0</v>
      </c>
      <c r="AF1173" s="10" t="e">
        <f t="shared" si="55"/>
        <v>#N/A</v>
      </c>
      <c r="AG1173" s="3" t="str">
        <f t="shared" si="56"/>
        <v/>
      </c>
    </row>
    <row r="1174" spans="1:33" x14ac:dyDescent="0.25">
      <c r="A1174" s="7"/>
      <c r="B1174" s="8"/>
      <c r="C1174" s="3"/>
      <c r="D1174" s="3"/>
      <c r="E1174" s="3" t="e">
        <f>VLOOKUP(D1174,VIAJES!$D:$E,2,FALSE)</f>
        <v>#N/A</v>
      </c>
      <c r="F1174" s="9" t="e">
        <f>VLOOKUP(D1174,VIAJES!$D:$F,3,FALSE)</f>
        <v>#N/A</v>
      </c>
      <c r="G1174" s="9" t="e">
        <f>VLOOKUP(D1174,VIAJES!$D:$G,4,FALSE)</f>
        <v>#N/A</v>
      </c>
      <c r="H1174" s="3" t="e">
        <f>VLOOKUP(D1174,VIAJES!$D:$H,5,FALSE)</f>
        <v>#N/A</v>
      </c>
      <c r="S1174" s="3">
        <f>IFERROR(INDEX(EVENTOS!$D:$D,MATCH(SCORE!S$2&amp;" "&amp;SCORE!$D1174,EVENTOS!$F:$F,0)),0)</f>
        <v>0</v>
      </c>
      <c r="T1174" s="3">
        <f>IFERROR(INDEX(EVENTOS!$D:$D,MATCH(SCORE!T$2&amp;" "&amp;SCORE!$D1174,EVENTOS!$F:$F,0)),0)</f>
        <v>0</v>
      </c>
      <c r="U1174" s="3">
        <f>IFERROR(INDEX(EVENTOS!$D:$D,MATCH(SCORE!U$2&amp;" "&amp;SCORE!$D1174,EVENTOS!$F:$F,0)),0)</f>
        <v>0</v>
      </c>
      <c r="V1174" s="3">
        <f>IFERROR(INDEX(EVENTOS!$D:$D,MATCH(SCORE!V$2&amp;" "&amp;SCORE!$D1174,EVENTOS!$F:$F,0)),0)</f>
        <v>0</v>
      </c>
      <c r="W1174" s="3">
        <f>IFERROR(INDEX(EVENTOS!$D:$D,MATCH(SCORE!W$2&amp;" "&amp;SCORE!$D1174,EVENTOS!$F:$F,0)),0)</f>
        <v>0</v>
      </c>
      <c r="X1174" s="3">
        <f>IFERROR(INDEX(EVENTOS!$D:$D,MATCH(SCORE!X$2&amp;" "&amp;SCORE!$D1174,EVENTOS!$F:$F,0)),0)</f>
        <v>0</v>
      </c>
      <c r="Y1174" s="3">
        <f>SUMIFS(EVENTOS!$D:$D, EVENTOS!$B:$B, D1174, EVENTOS!$E:$E, "*GirAlto*")</f>
        <v>0</v>
      </c>
      <c r="Z1174" s="3">
        <f>SUMIFS(EVENTOS!$D:$D, EVENTOS!$B:$B, D1174, EVENTOS!$E:$E, "*GirMed*")</f>
        <v>0</v>
      </c>
      <c r="AA1174" s="3">
        <f>SUMIFS(EVENTOS!$D:$D, EVENTOS!$B:$B, D1174, EVENTOS!$E:$E, "*GirBajo*")</f>
        <v>0</v>
      </c>
      <c r="AB1174" s="3">
        <f>IFERROR(INDEX(EVENTOS!$D:$D,MATCH(SCORE!AB$2&amp;" "&amp;SCORE!$D1174,EVENTOS!$F:$F,0)),0)</f>
        <v>0</v>
      </c>
      <c r="AC1174" s="3">
        <f>IFERROR(INDEX(EVENTOS!$D:$D,MATCH(SCORE!AC$2&amp;" "&amp;SCORE!$D1174,EVENTOS!$F:$F,0)),0)</f>
        <v>0</v>
      </c>
      <c r="AD1174" s="3">
        <f>IFERROR(INDEX(EVENTOS!$D:$D,MATCH(SCORE!AD$2&amp;" "&amp;SCORE!$D1174,EVENTOS!$F:$F,0)),0)</f>
        <v>0</v>
      </c>
      <c r="AE1174" s="3">
        <f t="shared" si="54"/>
        <v>0</v>
      </c>
      <c r="AF1174" s="10" t="e">
        <f t="shared" si="55"/>
        <v>#N/A</v>
      </c>
      <c r="AG1174" s="3" t="str">
        <f t="shared" si="56"/>
        <v/>
      </c>
    </row>
    <row r="1175" spans="1:33" x14ac:dyDescent="0.25">
      <c r="A1175" s="7"/>
      <c r="B1175" s="8"/>
      <c r="C1175" s="3"/>
      <c r="D1175" s="3"/>
      <c r="E1175" s="3" t="e">
        <f>VLOOKUP(D1175,VIAJES!$D:$E,2,FALSE)</f>
        <v>#N/A</v>
      </c>
      <c r="F1175" s="9" t="e">
        <f>VLOOKUP(D1175,VIAJES!$D:$F,3,FALSE)</f>
        <v>#N/A</v>
      </c>
      <c r="G1175" s="9" t="e">
        <f>VLOOKUP(D1175,VIAJES!$D:$G,4,FALSE)</f>
        <v>#N/A</v>
      </c>
      <c r="H1175" s="3" t="e">
        <f>VLOOKUP(D1175,VIAJES!$D:$H,5,FALSE)</f>
        <v>#N/A</v>
      </c>
      <c r="S1175" s="3">
        <f>IFERROR(INDEX(EVENTOS!$D:$D,MATCH(SCORE!S$2&amp;" "&amp;SCORE!$D1175,EVENTOS!$F:$F,0)),0)</f>
        <v>0</v>
      </c>
      <c r="T1175" s="3">
        <f>IFERROR(INDEX(EVENTOS!$D:$D,MATCH(SCORE!T$2&amp;" "&amp;SCORE!$D1175,EVENTOS!$F:$F,0)),0)</f>
        <v>0</v>
      </c>
      <c r="U1175" s="3">
        <f>IFERROR(INDEX(EVENTOS!$D:$D,MATCH(SCORE!U$2&amp;" "&amp;SCORE!$D1175,EVENTOS!$F:$F,0)),0)</f>
        <v>0</v>
      </c>
      <c r="V1175" s="3">
        <f>IFERROR(INDEX(EVENTOS!$D:$D,MATCH(SCORE!V$2&amp;" "&amp;SCORE!$D1175,EVENTOS!$F:$F,0)),0)</f>
        <v>0</v>
      </c>
      <c r="W1175" s="3">
        <f>IFERROR(INDEX(EVENTOS!$D:$D,MATCH(SCORE!W$2&amp;" "&amp;SCORE!$D1175,EVENTOS!$F:$F,0)),0)</f>
        <v>0</v>
      </c>
      <c r="X1175" s="3">
        <f>IFERROR(INDEX(EVENTOS!$D:$D,MATCH(SCORE!X$2&amp;" "&amp;SCORE!$D1175,EVENTOS!$F:$F,0)),0)</f>
        <v>0</v>
      </c>
      <c r="Y1175" s="3">
        <f>SUMIFS(EVENTOS!$D:$D, EVENTOS!$B:$B, D1175, EVENTOS!$E:$E, "*GirAlto*")</f>
        <v>0</v>
      </c>
      <c r="Z1175" s="3">
        <f>SUMIFS(EVENTOS!$D:$D, EVENTOS!$B:$B, D1175, EVENTOS!$E:$E, "*GirMed*")</f>
        <v>0</v>
      </c>
      <c r="AA1175" s="3">
        <f>SUMIFS(EVENTOS!$D:$D, EVENTOS!$B:$B, D1175, EVENTOS!$E:$E, "*GirBajo*")</f>
        <v>0</v>
      </c>
      <c r="AB1175" s="3">
        <f>IFERROR(INDEX(EVENTOS!$D:$D,MATCH(SCORE!AB$2&amp;" "&amp;SCORE!$D1175,EVENTOS!$F:$F,0)),0)</f>
        <v>0</v>
      </c>
      <c r="AC1175" s="3">
        <f>IFERROR(INDEX(EVENTOS!$D:$D,MATCH(SCORE!AC$2&amp;" "&amp;SCORE!$D1175,EVENTOS!$F:$F,0)),0)</f>
        <v>0</v>
      </c>
      <c r="AD1175" s="3">
        <f>IFERROR(INDEX(EVENTOS!$D:$D,MATCH(SCORE!AD$2&amp;" "&amp;SCORE!$D1175,EVENTOS!$F:$F,0)),0)</f>
        <v>0</v>
      </c>
      <c r="AE1175" s="3">
        <f t="shared" si="54"/>
        <v>0</v>
      </c>
      <c r="AF1175" s="10" t="e">
        <f t="shared" si="55"/>
        <v>#N/A</v>
      </c>
      <c r="AG1175" s="3" t="str">
        <f t="shared" si="56"/>
        <v/>
      </c>
    </row>
    <row r="1176" spans="1:33" x14ac:dyDescent="0.25">
      <c r="A1176" s="7"/>
      <c r="B1176" s="8"/>
      <c r="C1176" s="3"/>
      <c r="D1176" s="3"/>
      <c r="E1176" s="3" t="e">
        <f>VLOOKUP(D1176,VIAJES!$D:$E,2,FALSE)</f>
        <v>#N/A</v>
      </c>
      <c r="F1176" s="9" t="e">
        <f>VLOOKUP(D1176,VIAJES!$D:$F,3,FALSE)</f>
        <v>#N/A</v>
      </c>
      <c r="G1176" s="9" t="e">
        <f>VLOOKUP(D1176,VIAJES!$D:$G,4,FALSE)</f>
        <v>#N/A</v>
      </c>
      <c r="H1176" s="3" t="e">
        <f>VLOOKUP(D1176,VIAJES!$D:$H,5,FALSE)</f>
        <v>#N/A</v>
      </c>
      <c r="S1176" s="3">
        <f>IFERROR(INDEX(EVENTOS!$D:$D,MATCH(SCORE!S$2&amp;" "&amp;SCORE!$D1176,EVENTOS!$F:$F,0)),0)</f>
        <v>0</v>
      </c>
      <c r="T1176" s="3">
        <f>IFERROR(INDEX(EVENTOS!$D:$D,MATCH(SCORE!T$2&amp;" "&amp;SCORE!$D1176,EVENTOS!$F:$F,0)),0)</f>
        <v>0</v>
      </c>
      <c r="U1176" s="3">
        <f>IFERROR(INDEX(EVENTOS!$D:$D,MATCH(SCORE!U$2&amp;" "&amp;SCORE!$D1176,EVENTOS!$F:$F,0)),0)</f>
        <v>0</v>
      </c>
      <c r="V1176" s="3">
        <f>IFERROR(INDEX(EVENTOS!$D:$D,MATCH(SCORE!V$2&amp;" "&amp;SCORE!$D1176,EVENTOS!$F:$F,0)),0)</f>
        <v>0</v>
      </c>
      <c r="W1176" s="3">
        <f>IFERROR(INDEX(EVENTOS!$D:$D,MATCH(SCORE!W$2&amp;" "&amp;SCORE!$D1176,EVENTOS!$F:$F,0)),0)</f>
        <v>0</v>
      </c>
      <c r="X1176" s="3">
        <f>IFERROR(INDEX(EVENTOS!$D:$D,MATCH(SCORE!X$2&amp;" "&amp;SCORE!$D1176,EVENTOS!$F:$F,0)),0)</f>
        <v>0</v>
      </c>
      <c r="Y1176" s="3">
        <f>SUMIFS(EVENTOS!$D:$D, EVENTOS!$B:$B, D1176, EVENTOS!$E:$E, "*GirAlto*")</f>
        <v>0</v>
      </c>
      <c r="Z1176" s="3">
        <f>SUMIFS(EVENTOS!$D:$D, EVENTOS!$B:$B, D1176, EVENTOS!$E:$E, "*GirMed*")</f>
        <v>0</v>
      </c>
      <c r="AA1176" s="3">
        <f>SUMIFS(EVENTOS!$D:$D, EVENTOS!$B:$B, D1176, EVENTOS!$E:$E, "*GirBajo*")</f>
        <v>0</v>
      </c>
      <c r="AB1176" s="3">
        <f>IFERROR(INDEX(EVENTOS!$D:$D,MATCH(SCORE!AB$2&amp;" "&amp;SCORE!$D1176,EVENTOS!$F:$F,0)),0)</f>
        <v>0</v>
      </c>
      <c r="AC1176" s="3">
        <f>IFERROR(INDEX(EVENTOS!$D:$D,MATCH(SCORE!AC$2&amp;" "&amp;SCORE!$D1176,EVENTOS!$F:$F,0)),0)</f>
        <v>0</v>
      </c>
      <c r="AD1176" s="3">
        <f>IFERROR(INDEX(EVENTOS!$D:$D,MATCH(SCORE!AD$2&amp;" "&amp;SCORE!$D1176,EVENTOS!$F:$F,0)),0)</f>
        <v>0</v>
      </c>
      <c r="AE1176" s="3">
        <f t="shared" si="54"/>
        <v>0</v>
      </c>
      <c r="AF1176" s="10" t="e">
        <f t="shared" si="55"/>
        <v>#N/A</v>
      </c>
      <c r="AG1176" s="3" t="str">
        <f t="shared" si="56"/>
        <v/>
      </c>
    </row>
    <row r="1177" spans="1:33" x14ac:dyDescent="0.25">
      <c r="A1177" s="7"/>
      <c r="B1177" s="8"/>
      <c r="C1177" s="3"/>
      <c r="D1177" s="3"/>
      <c r="E1177" s="3" t="e">
        <f>VLOOKUP(D1177,VIAJES!$D:$E,2,FALSE)</f>
        <v>#N/A</v>
      </c>
      <c r="F1177" s="9" t="e">
        <f>VLOOKUP(D1177,VIAJES!$D:$F,3,FALSE)</f>
        <v>#N/A</v>
      </c>
      <c r="G1177" s="9" t="e">
        <f>VLOOKUP(D1177,VIAJES!$D:$G,4,FALSE)</f>
        <v>#N/A</v>
      </c>
      <c r="H1177" s="3" t="e">
        <f>VLOOKUP(D1177,VIAJES!$D:$H,5,FALSE)</f>
        <v>#N/A</v>
      </c>
      <c r="S1177" s="3">
        <f>IFERROR(INDEX(EVENTOS!$D:$D,MATCH(SCORE!S$2&amp;" "&amp;SCORE!$D1177,EVENTOS!$F:$F,0)),0)</f>
        <v>0</v>
      </c>
      <c r="T1177" s="3">
        <f>IFERROR(INDEX(EVENTOS!$D:$D,MATCH(SCORE!T$2&amp;" "&amp;SCORE!$D1177,EVENTOS!$F:$F,0)),0)</f>
        <v>0</v>
      </c>
      <c r="U1177" s="3">
        <f>IFERROR(INDEX(EVENTOS!$D:$D,MATCH(SCORE!U$2&amp;" "&amp;SCORE!$D1177,EVENTOS!$F:$F,0)),0)</f>
        <v>0</v>
      </c>
      <c r="V1177" s="3">
        <f>IFERROR(INDEX(EVENTOS!$D:$D,MATCH(SCORE!V$2&amp;" "&amp;SCORE!$D1177,EVENTOS!$F:$F,0)),0)</f>
        <v>0</v>
      </c>
      <c r="W1177" s="3">
        <f>IFERROR(INDEX(EVENTOS!$D:$D,MATCH(SCORE!W$2&amp;" "&amp;SCORE!$D1177,EVENTOS!$F:$F,0)),0)</f>
        <v>0</v>
      </c>
      <c r="X1177" s="3">
        <f>IFERROR(INDEX(EVENTOS!$D:$D,MATCH(SCORE!X$2&amp;" "&amp;SCORE!$D1177,EVENTOS!$F:$F,0)),0)</f>
        <v>0</v>
      </c>
      <c r="Y1177" s="3">
        <f>SUMIFS(EVENTOS!$D:$D, EVENTOS!$B:$B, D1177, EVENTOS!$E:$E, "*GirAlto*")</f>
        <v>0</v>
      </c>
      <c r="Z1177" s="3">
        <f>SUMIFS(EVENTOS!$D:$D, EVENTOS!$B:$B, D1177, EVENTOS!$E:$E, "*GirMed*")</f>
        <v>0</v>
      </c>
      <c r="AA1177" s="3">
        <f>SUMIFS(EVENTOS!$D:$D, EVENTOS!$B:$B, D1177, EVENTOS!$E:$E, "*GirBajo*")</f>
        <v>0</v>
      </c>
      <c r="AB1177" s="3">
        <f>IFERROR(INDEX(EVENTOS!$D:$D,MATCH(SCORE!AB$2&amp;" "&amp;SCORE!$D1177,EVENTOS!$F:$F,0)),0)</f>
        <v>0</v>
      </c>
      <c r="AC1177" s="3">
        <f>IFERROR(INDEX(EVENTOS!$D:$D,MATCH(SCORE!AC$2&amp;" "&amp;SCORE!$D1177,EVENTOS!$F:$F,0)),0)</f>
        <v>0</v>
      </c>
      <c r="AD1177" s="3">
        <f>IFERROR(INDEX(EVENTOS!$D:$D,MATCH(SCORE!AD$2&amp;" "&amp;SCORE!$D1177,EVENTOS!$F:$F,0)),0)</f>
        <v>0</v>
      </c>
      <c r="AE1177" s="3">
        <f t="shared" si="54"/>
        <v>0</v>
      </c>
      <c r="AF1177" s="10" t="e">
        <f t="shared" si="55"/>
        <v>#N/A</v>
      </c>
      <c r="AG1177" s="3" t="str">
        <f t="shared" si="56"/>
        <v/>
      </c>
    </row>
    <row r="1178" spans="1:33" x14ac:dyDescent="0.25">
      <c r="A1178" s="7"/>
      <c r="B1178" s="8"/>
      <c r="C1178" s="3"/>
      <c r="D1178" s="3"/>
      <c r="E1178" s="3" t="e">
        <f>VLOOKUP(D1178,VIAJES!$D:$E,2,FALSE)</f>
        <v>#N/A</v>
      </c>
      <c r="F1178" s="9" t="e">
        <f>VLOOKUP(D1178,VIAJES!$D:$F,3,FALSE)</f>
        <v>#N/A</v>
      </c>
      <c r="G1178" s="9" t="e">
        <f>VLOOKUP(D1178,VIAJES!$D:$G,4,FALSE)</f>
        <v>#N/A</v>
      </c>
      <c r="H1178" s="3" t="e">
        <f>VLOOKUP(D1178,VIAJES!$D:$H,5,FALSE)</f>
        <v>#N/A</v>
      </c>
      <c r="S1178" s="3">
        <f>IFERROR(INDEX(EVENTOS!$D:$D,MATCH(SCORE!S$2&amp;" "&amp;SCORE!$D1178,EVENTOS!$F:$F,0)),0)</f>
        <v>0</v>
      </c>
      <c r="T1178" s="3">
        <f>IFERROR(INDEX(EVENTOS!$D:$D,MATCH(SCORE!T$2&amp;" "&amp;SCORE!$D1178,EVENTOS!$F:$F,0)),0)</f>
        <v>0</v>
      </c>
      <c r="U1178" s="3">
        <f>IFERROR(INDEX(EVENTOS!$D:$D,MATCH(SCORE!U$2&amp;" "&amp;SCORE!$D1178,EVENTOS!$F:$F,0)),0)</f>
        <v>0</v>
      </c>
      <c r="V1178" s="3">
        <f>IFERROR(INDEX(EVENTOS!$D:$D,MATCH(SCORE!V$2&amp;" "&amp;SCORE!$D1178,EVENTOS!$F:$F,0)),0)</f>
        <v>0</v>
      </c>
      <c r="W1178" s="3">
        <f>IFERROR(INDEX(EVENTOS!$D:$D,MATCH(SCORE!W$2&amp;" "&amp;SCORE!$D1178,EVENTOS!$F:$F,0)),0)</f>
        <v>0</v>
      </c>
      <c r="X1178" s="3">
        <f>IFERROR(INDEX(EVENTOS!$D:$D,MATCH(SCORE!X$2&amp;" "&amp;SCORE!$D1178,EVENTOS!$F:$F,0)),0)</f>
        <v>0</v>
      </c>
      <c r="Y1178" s="3">
        <f>SUMIFS(EVENTOS!$D:$D, EVENTOS!$B:$B, D1178, EVENTOS!$E:$E, "*GirAlto*")</f>
        <v>0</v>
      </c>
      <c r="Z1178" s="3">
        <f>SUMIFS(EVENTOS!$D:$D, EVENTOS!$B:$B, D1178, EVENTOS!$E:$E, "*GirMed*")</f>
        <v>0</v>
      </c>
      <c r="AA1178" s="3">
        <f>SUMIFS(EVENTOS!$D:$D, EVENTOS!$B:$B, D1178, EVENTOS!$E:$E, "*GirBajo*")</f>
        <v>0</v>
      </c>
      <c r="AB1178" s="3">
        <f>IFERROR(INDEX(EVENTOS!$D:$D,MATCH(SCORE!AB$2&amp;" "&amp;SCORE!$D1178,EVENTOS!$F:$F,0)),0)</f>
        <v>0</v>
      </c>
      <c r="AC1178" s="3">
        <f>IFERROR(INDEX(EVENTOS!$D:$D,MATCH(SCORE!AC$2&amp;" "&amp;SCORE!$D1178,EVENTOS!$F:$F,0)),0)</f>
        <v>0</v>
      </c>
      <c r="AD1178" s="3">
        <f>IFERROR(INDEX(EVENTOS!$D:$D,MATCH(SCORE!AD$2&amp;" "&amp;SCORE!$D1178,EVENTOS!$F:$F,0)),0)</f>
        <v>0</v>
      </c>
      <c r="AE1178" s="3">
        <f t="shared" si="54"/>
        <v>0</v>
      </c>
      <c r="AF1178" s="10" t="e">
        <f t="shared" si="55"/>
        <v>#N/A</v>
      </c>
      <c r="AG1178" s="3" t="str">
        <f t="shared" si="56"/>
        <v/>
      </c>
    </row>
    <row r="1179" spans="1:33" x14ac:dyDescent="0.25">
      <c r="A1179" s="7"/>
      <c r="B1179" s="8"/>
      <c r="C1179" s="3"/>
      <c r="D1179" s="3"/>
      <c r="E1179" s="3" t="e">
        <f>VLOOKUP(D1179,VIAJES!$D:$E,2,FALSE)</f>
        <v>#N/A</v>
      </c>
      <c r="F1179" s="9" t="e">
        <f>VLOOKUP(D1179,VIAJES!$D:$F,3,FALSE)</f>
        <v>#N/A</v>
      </c>
      <c r="G1179" s="9" t="e">
        <f>VLOOKUP(D1179,VIAJES!$D:$G,4,FALSE)</f>
        <v>#N/A</v>
      </c>
      <c r="H1179" s="3" t="e">
        <f>VLOOKUP(D1179,VIAJES!$D:$H,5,FALSE)</f>
        <v>#N/A</v>
      </c>
      <c r="S1179" s="3">
        <f>IFERROR(INDEX(EVENTOS!$D:$D,MATCH(SCORE!S$2&amp;" "&amp;SCORE!$D1179,EVENTOS!$F:$F,0)),0)</f>
        <v>0</v>
      </c>
      <c r="T1179" s="3">
        <f>IFERROR(INDEX(EVENTOS!$D:$D,MATCH(SCORE!T$2&amp;" "&amp;SCORE!$D1179,EVENTOS!$F:$F,0)),0)</f>
        <v>0</v>
      </c>
      <c r="U1179" s="3">
        <f>IFERROR(INDEX(EVENTOS!$D:$D,MATCH(SCORE!U$2&amp;" "&amp;SCORE!$D1179,EVENTOS!$F:$F,0)),0)</f>
        <v>0</v>
      </c>
      <c r="V1179" s="3">
        <f>IFERROR(INDEX(EVENTOS!$D:$D,MATCH(SCORE!V$2&amp;" "&amp;SCORE!$D1179,EVENTOS!$F:$F,0)),0)</f>
        <v>0</v>
      </c>
      <c r="W1179" s="3">
        <f>IFERROR(INDEX(EVENTOS!$D:$D,MATCH(SCORE!W$2&amp;" "&amp;SCORE!$D1179,EVENTOS!$F:$F,0)),0)</f>
        <v>0</v>
      </c>
      <c r="X1179" s="3">
        <f>IFERROR(INDEX(EVENTOS!$D:$D,MATCH(SCORE!X$2&amp;" "&amp;SCORE!$D1179,EVENTOS!$F:$F,0)),0)</f>
        <v>0</v>
      </c>
      <c r="Y1179" s="3">
        <f>SUMIFS(EVENTOS!$D:$D, EVENTOS!$B:$B, D1179, EVENTOS!$E:$E, "*GirAlto*")</f>
        <v>0</v>
      </c>
      <c r="Z1179" s="3">
        <f>SUMIFS(EVENTOS!$D:$D, EVENTOS!$B:$B, D1179, EVENTOS!$E:$E, "*GirMed*")</f>
        <v>0</v>
      </c>
      <c r="AA1179" s="3">
        <f>SUMIFS(EVENTOS!$D:$D, EVENTOS!$B:$B, D1179, EVENTOS!$E:$E, "*GirBajo*")</f>
        <v>0</v>
      </c>
      <c r="AB1179" s="3">
        <f>IFERROR(INDEX(EVENTOS!$D:$D,MATCH(SCORE!AB$2&amp;" "&amp;SCORE!$D1179,EVENTOS!$F:$F,0)),0)</f>
        <v>0</v>
      </c>
      <c r="AC1179" s="3">
        <f>IFERROR(INDEX(EVENTOS!$D:$D,MATCH(SCORE!AC$2&amp;" "&amp;SCORE!$D1179,EVENTOS!$F:$F,0)),0)</f>
        <v>0</v>
      </c>
      <c r="AD1179" s="3">
        <f>IFERROR(INDEX(EVENTOS!$D:$D,MATCH(SCORE!AD$2&amp;" "&amp;SCORE!$D1179,EVENTOS!$F:$F,0)),0)</f>
        <v>0</v>
      </c>
      <c r="AE1179" s="3">
        <f t="shared" si="54"/>
        <v>0</v>
      </c>
      <c r="AF1179" s="10" t="e">
        <f t="shared" si="55"/>
        <v>#N/A</v>
      </c>
      <c r="AG1179" s="3" t="str">
        <f t="shared" si="56"/>
        <v/>
      </c>
    </row>
    <row r="1180" spans="1:33" x14ac:dyDescent="0.25">
      <c r="A1180" s="7"/>
      <c r="B1180" s="8"/>
      <c r="C1180" s="3"/>
      <c r="D1180" s="3"/>
      <c r="E1180" s="3" t="e">
        <f>VLOOKUP(D1180,VIAJES!$D:$E,2,FALSE)</f>
        <v>#N/A</v>
      </c>
      <c r="F1180" s="9" t="e">
        <f>VLOOKUP(D1180,VIAJES!$D:$F,3,FALSE)</f>
        <v>#N/A</v>
      </c>
      <c r="G1180" s="9" t="e">
        <f>VLOOKUP(D1180,VIAJES!$D:$G,4,FALSE)</f>
        <v>#N/A</v>
      </c>
      <c r="H1180" s="3" t="e">
        <f>VLOOKUP(D1180,VIAJES!$D:$H,5,FALSE)</f>
        <v>#N/A</v>
      </c>
      <c r="S1180" s="3">
        <f>IFERROR(INDEX(EVENTOS!$D:$D,MATCH(SCORE!S$2&amp;" "&amp;SCORE!$D1180,EVENTOS!$F:$F,0)),0)</f>
        <v>0</v>
      </c>
      <c r="T1180" s="3">
        <f>IFERROR(INDEX(EVENTOS!$D:$D,MATCH(SCORE!T$2&amp;" "&amp;SCORE!$D1180,EVENTOS!$F:$F,0)),0)</f>
        <v>0</v>
      </c>
      <c r="U1180" s="3">
        <f>IFERROR(INDEX(EVENTOS!$D:$D,MATCH(SCORE!U$2&amp;" "&amp;SCORE!$D1180,EVENTOS!$F:$F,0)),0)</f>
        <v>0</v>
      </c>
      <c r="V1180" s="3">
        <f>IFERROR(INDEX(EVENTOS!$D:$D,MATCH(SCORE!V$2&amp;" "&amp;SCORE!$D1180,EVENTOS!$F:$F,0)),0)</f>
        <v>0</v>
      </c>
      <c r="W1180" s="3">
        <f>IFERROR(INDEX(EVENTOS!$D:$D,MATCH(SCORE!W$2&amp;" "&amp;SCORE!$D1180,EVENTOS!$F:$F,0)),0)</f>
        <v>0</v>
      </c>
      <c r="X1180" s="3">
        <f>IFERROR(INDEX(EVENTOS!$D:$D,MATCH(SCORE!X$2&amp;" "&amp;SCORE!$D1180,EVENTOS!$F:$F,0)),0)</f>
        <v>0</v>
      </c>
      <c r="Y1180" s="3">
        <f>SUMIFS(EVENTOS!$D:$D, EVENTOS!$B:$B, D1180, EVENTOS!$E:$E, "*GirAlto*")</f>
        <v>0</v>
      </c>
      <c r="Z1180" s="3">
        <f>SUMIFS(EVENTOS!$D:$D, EVENTOS!$B:$B, D1180, EVENTOS!$E:$E, "*GirMed*")</f>
        <v>0</v>
      </c>
      <c r="AA1180" s="3">
        <f>SUMIFS(EVENTOS!$D:$D, EVENTOS!$B:$B, D1180, EVENTOS!$E:$E, "*GirBajo*")</f>
        <v>0</v>
      </c>
      <c r="AB1180" s="3">
        <f>IFERROR(INDEX(EVENTOS!$D:$D,MATCH(SCORE!AB$2&amp;" "&amp;SCORE!$D1180,EVENTOS!$F:$F,0)),0)</f>
        <v>0</v>
      </c>
      <c r="AC1180" s="3">
        <f>IFERROR(INDEX(EVENTOS!$D:$D,MATCH(SCORE!AC$2&amp;" "&amp;SCORE!$D1180,EVENTOS!$F:$F,0)),0)</f>
        <v>0</v>
      </c>
      <c r="AD1180" s="3">
        <f>IFERROR(INDEX(EVENTOS!$D:$D,MATCH(SCORE!AD$2&amp;" "&amp;SCORE!$D1180,EVENTOS!$F:$F,0)),0)</f>
        <v>0</v>
      </c>
      <c r="AE1180" s="3">
        <f t="shared" si="54"/>
        <v>0</v>
      </c>
      <c r="AF1180" s="10" t="e">
        <f t="shared" si="55"/>
        <v>#N/A</v>
      </c>
      <c r="AG1180" s="3" t="str">
        <f t="shared" si="56"/>
        <v/>
      </c>
    </row>
    <row r="1181" spans="1:33" x14ac:dyDescent="0.25">
      <c r="A1181" s="7"/>
      <c r="B1181" s="8"/>
      <c r="C1181" s="3"/>
      <c r="D1181" s="3"/>
      <c r="E1181" s="3" t="e">
        <f>VLOOKUP(D1181,VIAJES!$D:$E,2,FALSE)</f>
        <v>#N/A</v>
      </c>
      <c r="F1181" s="9" t="e">
        <f>VLOOKUP(D1181,VIAJES!$D:$F,3,FALSE)</f>
        <v>#N/A</v>
      </c>
      <c r="G1181" s="9" t="e">
        <f>VLOOKUP(D1181,VIAJES!$D:$G,4,FALSE)</f>
        <v>#N/A</v>
      </c>
      <c r="H1181" s="3" t="e">
        <f>VLOOKUP(D1181,VIAJES!$D:$H,5,FALSE)</f>
        <v>#N/A</v>
      </c>
      <c r="S1181" s="3">
        <f>IFERROR(INDEX(EVENTOS!$D:$D,MATCH(SCORE!S$2&amp;" "&amp;SCORE!$D1181,EVENTOS!$F:$F,0)),0)</f>
        <v>0</v>
      </c>
      <c r="T1181" s="3">
        <f>IFERROR(INDEX(EVENTOS!$D:$D,MATCH(SCORE!T$2&amp;" "&amp;SCORE!$D1181,EVENTOS!$F:$F,0)),0)</f>
        <v>0</v>
      </c>
      <c r="U1181" s="3">
        <f>IFERROR(INDEX(EVENTOS!$D:$D,MATCH(SCORE!U$2&amp;" "&amp;SCORE!$D1181,EVENTOS!$F:$F,0)),0)</f>
        <v>0</v>
      </c>
      <c r="V1181" s="3">
        <f>IFERROR(INDEX(EVENTOS!$D:$D,MATCH(SCORE!V$2&amp;" "&amp;SCORE!$D1181,EVENTOS!$F:$F,0)),0)</f>
        <v>0</v>
      </c>
      <c r="W1181" s="3">
        <f>IFERROR(INDEX(EVENTOS!$D:$D,MATCH(SCORE!W$2&amp;" "&amp;SCORE!$D1181,EVENTOS!$F:$F,0)),0)</f>
        <v>0</v>
      </c>
      <c r="X1181" s="3">
        <f>IFERROR(INDEX(EVENTOS!$D:$D,MATCH(SCORE!X$2&amp;" "&amp;SCORE!$D1181,EVENTOS!$F:$F,0)),0)</f>
        <v>0</v>
      </c>
      <c r="Y1181" s="3">
        <f>SUMIFS(EVENTOS!$D:$D, EVENTOS!$B:$B, D1181, EVENTOS!$E:$E, "*GirAlto*")</f>
        <v>0</v>
      </c>
      <c r="Z1181" s="3">
        <f>SUMIFS(EVENTOS!$D:$D, EVENTOS!$B:$B, D1181, EVENTOS!$E:$E, "*GirMed*")</f>
        <v>0</v>
      </c>
      <c r="AA1181" s="3">
        <f>SUMIFS(EVENTOS!$D:$D, EVENTOS!$B:$B, D1181, EVENTOS!$E:$E, "*GirBajo*")</f>
        <v>0</v>
      </c>
      <c r="AB1181" s="3">
        <f>IFERROR(INDEX(EVENTOS!$D:$D,MATCH(SCORE!AB$2&amp;" "&amp;SCORE!$D1181,EVENTOS!$F:$F,0)),0)</f>
        <v>0</v>
      </c>
      <c r="AC1181" s="3">
        <f>IFERROR(INDEX(EVENTOS!$D:$D,MATCH(SCORE!AC$2&amp;" "&amp;SCORE!$D1181,EVENTOS!$F:$F,0)),0)</f>
        <v>0</v>
      </c>
      <c r="AD1181" s="3">
        <f>IFERROR(INDEX(EVENTOS!$D:$D,MATCH(SCORE!AD$2&amp;" "&amp;SCORE!$D1181,EVENTOS!$F:$F,0)),0)</f>
        <v>0</v>
      </c>
      <c r="AE1181" s="3">
        <f t="shared" si="54"/>
        <v>0</v>
      </c>
      <c r="AF1181" s="10" t="e">
        <f t="shared" si="55"/>
        <v>#N/A</v>
      </c>
      <c r="AG1181" s="3" t="str">
        <f t="shared" si="56"/>
        <v/>
      </c>
    </row>
    <row r="1182" spans="1:33" x14ac:dyDescent="0.25">
      <c r="A1182" s="7"/>
      <c r="B1182" s="8"/>
      <c r="C1182" s="3"/>
      <c r="D1182" s="3"/>
      <c r="E1182" s="3" t="e">
        <f>VLOOKUP(D1182,VIAJES!$D:$E,2,FALSE)</f>
        <v>#N/A</v>
      </c>
      <c r="F1182" s="9" t="e">
        <f>VLOOKUP(D1182,VIAJES!$D:$F,3,FALSE)</f>
        <v>#N/A</v>
      </c>
      <c r="G1182" s="9" t="e">
        <f>VLOOKUP(D1182,VIAJES!$D:$G,4,FALSE)</f>
        <v>#N/A</v>
      </c>
      <c r="H1182" s="3" t="e">
        <f>VLOOKUP(D1182,VIAJES!$D:$H,5,FALSE)</f>
        <v>#N/A</v>
      </c>
      <c r="S1182" s="3">
        <f>IFERROR(INDEX(EVENTOS!$D:$D,MATCH(SCORE!S$2&amp;" "&amp;SCORE!$D1182,EVENTOS!$F:$F,0)),0)</f>
        <v>0</v>
      </c>
      <c r="T1182" s="3">
        <f>IFERROR(INDEX(EVENTOS!$D:$D,MATCH(SCORE!T$2&amp;" "&amp;SCORE!$D1182,EVENTOS!$F:$F,0)),0)</f>
        <v>0</v>
      </c>
      <c r="U1182" s="3">
        <f>IFERROR(INDEX(EVENTOS!$D:$D,MATCH(SCORE!U$2&amp;" "&amp;SCORE!$D1182,EVENTOS!$F:$F,0)),0)</f>
        <v>0</v>
      </c>
      <c r="V1182" s="3">
        <f>IFERROR(INDEX(EVENTOS!$D:$D,MATCH(SCORE!V$2&amp;" "&amp;SCORE!$D1182,EVENTOS!$F:$F,0)),0)</f>
        <v>0</v>
      </c>
      <c r="W1182" s="3">
        <f>IFERROR(INDEX(EVENTOS!$D:$D,MATCH(SCORE!W$2&amp;" "&amp;SCORE!$D1182,EVENTOS!$F:$F,0)),0)</f>
        <v>0</v>
      </c>
      <c r="X1182" s="3">
        <f>IFERROR(INDEX(EVENTOS!$D:$D,MATCH(SCORE!X$2&amp;" "&amp;SCORE!$D1182,EVENTOS!$F:$F,0)),0)</f>
        <v>0</v>
      </c>
      <c r="Y1182" s="3">
        <f>SUMIFS(EVENTOS!$D:$D, EVENTOS!$B:$B, D1182, EVENTOS!$E:$E, "*GirAlto*")</f>
        <v>0</v>
      </c>
      <c r="Z1182" s="3">
        <f>SUMIFS(EVENTOS!$D:$D, EVENTOS!$B:$B, D1182, EVENTOS!$E:$E, "*GirMed*")</f>
        <v>0</v>
      </c>
      <c r="AA1182" s="3">
        <f>SUMIFS(EVENTOS!$D:$D, EVENTOS!$B:$B, D1182, EVENTOS!$E:$E, "*GirBajo*")</f>
        <v>0</v>
      </c>
      <c r="AB1182" s="3">
        <f>IFERROR(INDEX(EVENTOS!$D:$D,MATCH(SCORE!AB$2&amp;" "&amp;SCORE!$D1182,EVENTOS!$F:$F,0)),0)</f>
        <v>0</v>
      </c>
      <c r="AC1182" s="3">
        <f>IFERROR(INDEX(EVENTOS!$D:$D,MATCH(SCORE!AC$2&amp;" "&amp;SCORE!$D1182,EVENTOS!$F:$F,0)),0)</f>
        <v>0</v>
      </c>
      <c r="AD1182" s="3">
        <f>IFERROR(INDEX(EVENTOS!$D:$D,MATCH(SCORE!AD$2&amp;" "&amp;SCORE!$D1182,EVENTOS!$F:$F,0)),0)</f>
        <v>0</v>
      </c>
      <c r="AE1182" s="3">
        <f t="shared" si="54"/>
        <v>0</v>
      </c>
      <c r="AF1182" s="10" t="e">
        <f t="shared" si="55"/>
        <v>#N/A</v>
      </c>
      <c r="AG1182" s="3" t="str">
        <f t="shared" si="56"/>
        <v/>
      </c>
    </row>
    <row r="1183" spans="1:33" x14ac:dyDescent="0.25">
      <c r="A1183" s="7"/>
      <c r="B1183" s="8"/>
      <c r="C1183" s="3"/>
      <c r="D1183" s="3"/>
      <c r="E1183" s="3" t="e">
        <f>VLOOKUP(D1183,VIAJES!$D:$E,2,FALSE)</f>
        <v>#N/A</v>
      </c>
      <c r="F1183" s="9" t="e">
        <f>VLOOKUP(D1183,VIAJES!$D:$F,3,FALSE)</f>
        <v>#N/A</v>
      </c>
      <c r="G1183" s="9" t="e">
        <f>VLOOKUP(D1183,VIAJES!$D:$G,4,FALSE)</f>
        <v>#N/A</v>
      </c>
      <c r="H1183" s="3" t="e">
        <f>VLOOKUP(D1183,VIAJES!$D:$H,5,FALSE)</f>
        <v>#N/A</v>
      </c>
      <c r="S1183" s="3">
        <f>IFERROR(INDEX(EVENTOS!$D:$D,MATCH(SCORE!S$2&amp;" "&amp;SCORE!$D1183,EVENTOS!$F:$F,0)),0)</f>
        <v>0</v>
      </c>
      <c r="T1183" s="3">
        <f>IFERROR(INDEX(EVENTOS!$D:$D,MATCH(SCORE!T$2&amp;" "&amp;SCORE!$D1183,EVENTOS!$F:$F,0)),0)</f>
        <v>0</v>
      </c>
      <c r="U1183" s="3">
        <f>IFERROR(INDEX(EVENTOS!$D:$D,MATCH(SCORE!U$2&amp;" "&amp;SCORE!$D1183,EVENTOS!$F:$F,0)),0)</f>
        <v>0</v>
      </c>
      <c r="V1183" s="3">
        <f>IFERROR(INDEX(EVENTOS!$D:$D,MATCH(SCORE!V$2&amp;" "&amp;SCORE!$D1183,EVENTOS!$F:$F,0)),0)</f>
        <v>0</v>
      </c>
      <c r="W1183" s="3">
        <f>IFERROR(INDEX(EVENTOS!$D:$D,MATCH(SCORE!W$2&amp;" "&amp;SCORE!$D1183,EVENTOS!$F:$F,0)),0)</f>
        <v>0</v>
      </c>
      <c r="X1183" s="3">
        <f>IFERROR(INDEX(EVENTOS!$D:$D,MATCH(SCORE!X$2&amp;" "&amp;SCORE!$D1183,EVENTOS!$F:$F,0)),0)</f>
        <v>0</v>
      </c>
      <c r="Y1183" s="3">
        <f>SUMIFS(EVENTOS!$D:$D, EVENTOS!$B:$B, D1183, EVENTOS!$E:$E, "*GirAlto*")</f>
        <v>0</v>
      </c>
      <c r="Z1183" s="3">
        <f>SUMIFS(EVENTOS!$D:$D, EVENTOS!$B:$B, D1183, EVENTOS!$E:$E, "*GirMed*")</f>
        <v>0</v>
      </c>
      <c r="AA1183" s="3">
        <f>SUMIFS(EVENTOS!$D:$D, EVENTOS!$B:$B, D1183, EVENTOS!$E:$E, "*GirBajo*")</f>
        <v>0</v>
      </c>
      <c r="AB1183" s="3">
        <f>IFERROR(INDEX(EVENTOS!$D:$D,MATCH(SCORE!AB$2&amp;" "&amp;SCORE!$D1183,EVENTOS!$F:$F,0)),0)</f>
        <v>0</v>
      </c>
      <c r="AC1183" s="3">
        <f>IFERROR(INDEX(EVENTOS!$D:$D,MATCH(SCORE!AC$2&amp;" "&amp;SCORE!$D1183,EVENTOS!$F:$F,0)),0)</f>
        <v>0</v>
      </c>
      <c r="AD1183" s="3">
        <f>IFERROR(INDEX(EVENTOS!$D:$D,MATCH(SCORE!AD$2&amp;" "&amp;SCORE!$D1183,EVENTOS!$F:$F,0)),0)</f>
        <v>0</v>
      </c>
      <c r="AE1183" s="3">
        <f t="shared" si="54"/>
        <v>0</v>
      </c>
      <c r="AF1183" s="10" t="e">
        <f t="shared" si="55"/>
        <v>#N/A</v>
      </c>
      <c r="AG1183" s="3" t="str">
        <f t="shared" si="56"/>
        <v/>
      </c>
    </row>
    <row r="1184" spans="1:33" x14ac:dyDescent="0.25">
      <c r="A1184" s="7"/>
      <c r="B1184" s="8"/>
      <c r="C1184" s="3"/>
      <c r="D1184" s="3"/>
      <c r="E1184" s="3" t="e">
        <f>VLOOKUP(D1184,VIAJES!$D:$E,2,FALSE)</f>
        <v>#N/A</v>
      </c>
      <c r="F1184" s="9" t="e">
        <f>VLOOKUP(D1184,VIAJES!$D:$F,3,FALSE)</f>
        <v>#N/A</v>
      </c>
      <c r="G1184" s="9" t="e">
        <f>VLOOKUP(D1184,VIAJES!$D:$G,4,FALSE)</f>
        <v>#N/A</v>
      </c>
      <c r="H1184" s="3" t="e">
        <f>VLOOKUP(D1184,VIAJES!$D:$H,5,FALSE)</f>
        <v>#N/A</v>
      </c>
      <c r="S1184" s="3">
        <f>IFERROR(INDEX(EVENTOS!$D:$D,MATCH(SCORE!S$2&amp;" "&amp;SCORE!$D1184,EVENTOS!$F:$F,0)),0)</f>
        <v>0</v>
      </c>
      <c r="T1184" s="3">
        <f>IFERROR(INDEX(EVENTOS!$D:$D,MATCH(SCORE!T$2&amp;" "&amp;SCORE!$D1184,EVENTOS!$F:$F,0)),0)</f>
        <v>0</v>
      </c>
      <c r="U1184" s="3">
        <f>IFERROR(INDEX(EVENTOS!$D:$D,MATCH(SCORE!U$2&amp;" "&amp;SCORE!$D1184,EVENTOS!$F:$F,0)),0)</f>
        <v>0</v>
      </c>
      <c r="V1184" s="3">
        <f>IFERROR(INDEX(EVENTOS!$D:$D,MATCH(SCORE!V$2&amp;" "&amp;SCORE!$D1184,EVENTOS!$F:$F,0)),0)</f>
        <v>0</v>
      </c>
      <c r="W1184" s="3">
        <f>IFERROR(INDEX(EVENTOS!$D:$D,MATCH(SCORE!W$2&amp;" "&amp;SCORE!$D1184,EVENTOS!$F:$F,0)),0)</f>
        <v>0</v>
      </c>
      <c r="X1184" s="3">
        <f>IFERROR(INDEX(EVENTOS!$D:$D,MATCH(SCORE!X$2&amp;" "&amp;SCORE!$D1184,EVENTOS!$F:$F,0)),0)</f>
        <v>0</v>
      </c>
      <c r="Y1184" s="3">
        <f>SUMIFS(EVENTOS!$D:$D, EVENTOS!$B:$B, D1184, EVENTOS!$E:$E, "*GirAlto*")</f>
        <v>0</v>
      </c>
      <c r="Z1184" s="3">
        <f>SUMIFS(EVENTOS!$D:$D, EVENTOS!$B:$B, D1184, EVENTOS!$E:$E, "*GirMed*")</f>
        <v>0</v>
      </c>
      <c r="AA1184" s="3">
        <f>SUMIFS(EVENTOS!$D:$D, EVENTOS!$B:$B, D1184, EVENTOS!$E:$E, "*GirBajo*")</f>
        <v>0</v>
      </c>
      <c r="AB1184" s="3">
        <f>IFERROR(INDEX(EVENTOS!$D:$D,MATCH(SCORE!AB$2&amp;" "&amp;SCORE!$D1184,EVENTOS!$F:$F,0)),0)</f>
        <v>0</v>
      </c>
      <c r="AC1184" s="3">
        <f>IFERROR(INDEX(EVENTOS!$D:$D,MATCH(SCORE!AC$2&amp;" "&amp;SCORE!$D1184,EVENTOS!$F:$F,0)),0)</f>
        <v>0</v>
      </c>
      <c r="AD1184" s="3">
        <f>IFERROR(INDEX(EVENTOS!$D:$D,MATCH(SCORE!AD$2&amp;" "&amp;SCORE!$D1184,EVENTOS!$F:$F,0)),0)</f>
        <v>0</v>
      </c>
      <c r="AE1184" s="3">
        <f t="shared" si="54"/>
        <v>0</v>
      </c>
      <c r="AF1184" s="10" t="e">
        <f t="shared" si="55"/>
        <v>#N/A</v>
      </c>
      <c r="AG1184" s="3" t="str">
        <f t="shared" si="56"/>
        <v/>
      </c>
    </row>
    <row r="1185" spans="1:33" x14ac:dyDescent="0.25">
      <c r="A1185" s="7"/>
      <c r="B1185" s="8"/>
      <c r="C1185" s="3"/>
      <c r="D1185" s="3"/>
      <c r="E1185" s="3" t="e">
        <f>VLOOKUP(D1185,VIAJES!$D:$E,2,FALSE)</f>
        <v>#N/A</v>
      </c>
      <c r="F1185" s="9" t="e">
        <f>VLOOKUP(D1185,VIAJES!$D:$F,3,FALSE)</f>
        <v>#N/A</v>
      </c>
      <c r="G1185" s="9" t="e">
        <f>VLOOKUP(D1185,VIAJES!$D:$G,4,FALSE)</f>
        <v>#N/A</v>
      </c>
      <c r="H1185" s="3" t="e">
        <f>VLOOKUP(D1185,VIAJES!$D:$H,5,FALSE)</f>
        <v>#N/A</v>
      </c>
      <c r="S1185" s="3">
        <f>IFERROR(INDEX(EVENTOS!$D:$D,MATCH(SCORE!S$2&amp;" "&amp;SCORE!$D1185,EVENTOS!$F:$F,0)),0)</f>
        <v>0</v>
      </c>
      <c r="T1185" s="3">
        <f>IFERROR(INDEX(EVENTOS!$D:$D,MATCH(SCORE!T$2&amp;" "&amp;SCORE!$D1185,EVENTOS!$F:$F,0)),0)</f>
        <v>0</v>
      </c>
      <c r="U1185" s="3">
        <f>IFERROR(INDEX(EVENTOS!$D:$D,MATCH(SCORE!U$2&amp;" "&amp;SCORE!$D1185,EVENTOS!$F:$F,0)),0)</f>
        <v>0</v>
      </c>
      <c r="V1185" s="3">
        <f>IFERROR(INDEX(EVENTOS!$D:$D,MATCH(SCORE!V$2&amp;" "&amp;SCORE!$D1185,EVENTOS!$F:$F,0)),0)</f>
        <v>0</v>
      </c>
      <c r="W1185" s="3">
        <f>IFERROR(INDEX(EVENTOS!$D:$D,MATCH(SCORE!W$2&amp;" "&amp;SCORE!$D1185,EVENTOS!$F:$F,0)),0)</f>
        <v>0</v>
      </c>
      <c r="X1185" s="3">
        <f>IFERROR(INDEX(EVENTOS!$D:$D,MATCH(SCORE!X$2&amp;" "&amp;SCORE!$D1185,EVENTOS!$F:$F,0)),0)</f>
        <v>0</v>
      </c>
      <c r="Y1185" s="3">
        <f>SUMIFS(EVENTOS!$D:$D, EVENTOS!$B:$B, D1185, EVENTOS!$E:$E, "*GirAlto*")</f>
        <v>0</v>
      </c>
      <c r="Z1185" s="3">
        <f>SUMIFS(EVENTOS!$D:$D, EVENTOS!$B:$B, D1185, EVENTOS!$E:$E, "*GirMed*")</f>
        <v>0</v>
      </c>
      <c r="AA1185" s="3">
        <f>SUMIFS(EVENTOS!$D:$D, EVENTOS!$B:$B, D1185, EVENTOS!$E:$E, "*GirBajo*")</f>
        <v>0</v>
      </c>
      <c r="AB1185" s="3">
        <f>IFERROR(INDEX(EVENTOS!$D:$D,MATCH(SCORE!AB$2&amp;" "&amp;SCORE!$D1185,EVENTOS!$F:$F,0)),0)</f>
        <v>0</v>
      </c>
      <c r="AC1185" s="3">
        <f>IFERROR(INDEX(EVENTOS!$D:$D,MATCH(SCORE!AC$2&amp;" "&amp;SCORE!$D1185,EVENTOS!$F:$F,0)),0)</f>
        <v>0</v>
      </c>
      <c r="AD1185" s="3">
        <f>IFERROR(INDEX(EVENTOS!$D:$D,MATCH(SCORE!AD$2&amp;" "&amp;SCORE!$D1185,EVENTOS!$F:$F,0)),0)</f>
        <v>0</v>
      </c>
      <c r="AE1185" s="3">
        <f t="shared" si="54"/>
        <v>0</v>
      </c>
      <c r="AF1185" s="10" t="e">
        <f t="shared" si="55"/>
        <v>#N/A</v>
      </c>
      <c r="AG1185" s="3" t="str">
        <f t="shared" si="56"/>
        <v/>
      </c>
    </row>
    <row r="1186" spans="1:33" x14ac:dyDescent="0.25">
      <c r="A1186" s="7"/>
      <c r="B1186" s="8"/>
      <c r="C1186" s="3"/>
      <c r="D1186" s="3"/>
      <c r="E1186" s="3" t="e">
        <f>VLOOKUP(D1186,VIAJES!$D:$E,2,FALSE)</f>
        <v>#N/A</v>
      </c>
      <c r="F1186" s="9" t="e">
        <f>VLOOKUP(D1186,VIAJES!$D:$F,3,FALSE)</f>
        <v>#N/A</v>
      </c>
      <c r="G1186" s="9" t="e">
        <f>VLOOKUP(D1186,VIAJES!$D:$G,4,FALSE)</f>
        <v>#N/A</v>
      </c>
      <c r="H1186" s="3" t="e">
        <f>VLOOKUP(D1186,VIAJES!$D:$H,5,FALSE)</f>
        <v>#N/A</v>
      </c>
      <c r="S1186" s="3">
        <f>IFERROR(INDEX(EVENTOS!$D:$D,MATCH(SCORE!S$2&amp;" "&amp;SCORE!$D1186,EVENTOS!$F:$F,0)),0)</f>
        <v>0</v>
      </c>
      <c r="T1186" s="3">
        <f>IFERROR(INDEX(EVENTOS!$D:$D,MATCH(SCORE!T$2&amp;" "&amp;SCORE!$D1186,EVENTOS!$F:$F,0)),0)</f>
        <v>0</v>
      </c>
      <c r="U1186" s="3">
        <f>IFERROR(INDEX(EVENTOS!$D:$D,MATCH(SCORE!U$2&amp;" "&amp;SCORE!$D1186,EVENTOS!$F:$F,0)),0)</f>
        <v>0</v>
      </c>
      <c r="V1186" s="3">
        <f>IFERROR(INDEX(EVENTOS!$D:$D,MATCH(SCORE!V$2&amp;" "&amp;SCORE!$D1186,EVENTOS!$F:$F,0)),0)</f>
        <v>0</v>
      </c>
      <c r="W1186" s="3">
        <f>IFERROR(INDEX(EVENTOS!$D:$D,MATCH(SCORE!W$2&amp;" "&amp;SCORE!$D1186,EVENTOS!$F:$F,0)),0)</f>
        <v>0</v>
      </c>
      <c r="X1186" s="3">
        <f>IFERROR(INDEX(EVENTOS!$D:$D,MATCH(SCORE!X$2&amp;" "&amp;SCORE!$D1186,EVENTOS!$F:$F,0)),0)</f>
        <v>0</v>
      </c>
      <c r="Y1186" s="3">
        <f>SUMIFS(EVENTOS!$D:$D, EVENTOS!$B:$B, D1186, EVENTOS!$E:$E, "*GirAlto*")</f>
        <v>0</v>
      </c>
      <c r="Z1186" s="3">
        <f>SUMIFS(EVENTOS!$D:$D, EVENTOS!$B:$B, D1186, EVENTOS!$E:$E, "*GirMed*")</f>
        <v>0</v>
      </c>
      <c r="AA1186" s="3">
        <f>SUMIFS(EVENTOS!$D:$D, EVENTOS!$B:$B, D1186, EVENTOS!$E:$E, "*GirBajo*")</f>
        <v>0</v>
      </c>
      <c r="AB1186" s="3">
        <f>IFERROR(INDEX(EVENTOS!$D:$D,MATCH(SCORE!AB$2&amp;" "&amp;SCORE!$D1186,EVENTOS!$F:$F,0)),0)</f>
        <v>0</v>
      </c>
      <c r="AC1186" s="3">
        <f>IFERROR(INDEX(EVENTOS!$D:$D,MATCH(SCORE!AC$2&amp;" "&amp;SCORE!$D1186,EVENTOS!$F:$F,0)),0)</f>
        <v>0</v>
      </c>
      <c r="AD1186" s="3">
        <f>IFERROR(INDEX(EVENTOS!$D:$D,MATCH(SCORE!AD$2&amp;" "&amp;SCORE!$D1186,EVENTOS!$F:$F,0)),0)</f>
        <v>0</v>
      </c>
      <c r="AE1186" s="3">
        <f t="shared" si="54"/>
        <v>0</v>
      </c>
      <c r="AF1186" s="10" t="e">
        <f t="shared" si="55"/>
        <v>#N/A</v>
      </c>
      <c r="AG1186" s="3" t="str">
        <f t="shared" si="56"/>
        <v/>
      </c>
    </row>
    <row r="1187" spans="1:33" x14ac:dyDescent="0.25">
      <c r="A1187" s="7"/>
      <c r="B1187" s="8"/>
      <c r="C1187" s="3"/>
      <c r="D1187" s="3"/>
      <c r="E1187" s="3" t="e">
        <f>VLOOKUP(D1187,VIAJES!$D:$E,2,FALSE)</f>
        <v>#N/A</v>
      </c>
      <c r="F1187" s="9" t="e">
        <f>VLOOKUP(D1187,VIAJES!$D:$F,3,FALSE)</f>
        <v>#N/A</v>
      </c>
      <c r="G1187" s="9" t="e">
        <f>VLOOKUP(D1187,VIAJES!$D:$G,4,FALSE)</f>
        <v>#N/A</v>
      </c>
      <c r="H1187" s="3" t="e">
        <f>VLOOKUP(D1187,VIAJES!$D:$H,5,FALSE)</f>
        <v>#N/A</v>
      </c>
      <c r="S1187" s="3">
        <f>IFERROR(INDEX(EVENTOS!$D:$D,MATCH(SCORE!S$2&amp;" "&amp;SCORE!$D1187,EVENTOS!$F:$F,0)),0)</f>
        <v>0</v>
      </c>
      <c r="T1187" s="3">
        <f>IFERROR(INDEX(EVENTOS!$D:$D,MATCH(SCORE!T$2&amp;" "&amp;SCORE!$D1187,EVENTOS!$F:$F,0)),0)</f>
        <v>0</v>
      </c>
      <c r="U1187" s="3">
        <f>IFERROR(INDEX(EVENTOS!$D:$D,MATCH(SCORE!U$2&amp;" "&amp;SCORE!$D1187,EVENTOS!$F:$F,0)),0)</f>
        <v>0</v>
      </c>
      <c r="V1187" s="3">
        <f>IFERROR(INDEX(EVENTOS!$D:$D,MATCH(SCORE!V$2&amp;" "&amp;SCORE!$D1187,EVENTOS!$F:$F,0)),0)</f>
        <v>0</v>
      </c>
      <c r="W1187" s="3">
        <f>IFERROR(INDEX(EVENTOS!$D:$D,MATCH(SCORE!W$2&amp;" "&amp;SCORE!$D1187,EVENTOS!$F:$F,0)),0)</f>
        <v>0</v>
      </c>
      <c r="X1187" s="3">
        <f>IFERROR(INDEX(EVENTOS!$D:$D,MATCH(SCORE!X$2&amp;" "&amp;SCORE!$D1187,EVENTOS!$F:$F,0)),0)</f>
        <v>0</v>
      </c>
      <c r="Y1187" s="3">
        <f>SUMIFS(EVENTOS!$D:$D, EVENTOS!$B:$B, D1187, EVENTOS!$E:$E, "*GirAlto*")</f>
        <v>0</v>
      </c>
      <c r="Z1187" s="3">
        <f>SUMIFS(EVENTOS!$D:$D, EVENTOS!$B:$B, D1187, EVENTOS!$E:$E, "*GirMed*")</f>
        <v>0</v>
      </c>
      <c r="AA1187" s="3">
        <f>SUMIFS(EVENTOS!$D:$D, EVENTOS!$B:$B, D1187, EVENTOS!$E:$E, "*GirBajo*")</f>
        <v>0</v>
      </c>
      <c r="AB1187" s="3">
        <f>IFERROR(INDEX(EVENTOS!$D:$D,MATCH(SCORE!AB$2&amp;" "&amp;SCORE!$D1187,EVENTOS!$F:$F,0)),0)</f>
        <v>0</v>
      </c>
      <c r="AC1187" s="3">
        <f>IFERROR(INDEX(EVENTOS!$D:$D,MATCH(SCORE!AC$2&amp;" "&amp;SCORE!$D1187,EVENTOS!$F:$F,0)),0)</f>
        <v>0</v>
      </c>
      <c r="AD1187" s="3">
        <f>IFERROR(INDEX(EVENTOS!$D:$D,MATCH(SCORE!AD$2&amp;" "&amp;SCORE!$D1187,EVENTOS!$F:$F,0)),0)</f>
        <v>0</v>
      </c>
      <c r="AE1187" s="3">
        <f t="shared" si="54"/>
        <v>0</v>
      </c>
      <c r="AF1187" s="10" t="e">
        <f t="shared" si="55"/>
        <v>#N/A</v>
      </c>
      <c r="AG1187" s="3" t="str">
        <f t="shared" si="56"/>
        <v/>
      </c>
    </row>
    <row r="1188" spans="1:33" x14ac:dyDescent="0.25">
      <c r="A1188" s="7"/>
      <c r="B1188" s="8"/>
      <c r="C1188" s="3"/>
      <c r="D1188" s="3"/>
      <c r="E1188" s="3" t="e">
        <f>VLOOKUP(D1188,VIAJES!$D:$E,2,FALSE)</f>
        <v>#N/A</v>
      </c>
      <c r="F1188" s="9" t="e">
        <f>VLOOKUP(D1188,VIAJES!$D:$F,3,FALSE)</f>
        <v>#N/A</v>
      </c>
      <c r="G1188" s="9" t="e">
        <f>VLOOKUP(D1188,VIAJES!$D:$G,4,FALSE)</f>
        <v>#N/A</v>
      </c>
      <c r="H1188" s="3" t="e">
        <f>VLOOKUP(D1188,VIAJES!$D:$H,5,FALSE)</f>
        <v>#N/A</v>
      </c>
      <c r="S1188" s="3">
        <f>IFERROR(INDEX(EVENTOS!$D:$D,MATCH(SCORE!S$2&amp;" "&amp;SCORE!$D1188,EVENTOS!$F:$F,0)),0)</f>
        <v>0</v>
      </c>
      <c r="T1188" s="3">
        <f>IFERROR(INDEX(EVENTOS!$D:$D,MATCH(SCORE!T$2&amp;" "&amp;SCORE!$D1188,EVENTOS!$F:$F,0)),0)</f>
        <v>0</v>
      </c>
      <c r="U1188" s="3">
        <f>IFERROR(INDEX(EVENTOS!$D:$D,MATCH(SCORE!U$2&amp;" "&amp;SCORE!$D1188,EVENTOS!$F:$F,0)),0)</f>
        <v>0</v>
      </c>
      <c r="V1188" s="3">
        <f>IFERROR(INDEX(EVENTOS!$D:$D,MATCH(SCORE!V$2&amp;" "&amp;SCORE!$D1188,EVENTOS!$F:$F,0)),0)</f>
        <v>0</v>
      </c>
      <c r="W1188" s="3">
        <f>IFERROR(INDEX(EVENTOS!$D:$D,MATCH(SCORE!W$2&amp;" "&amp;SCORE!$D1188,EVENTOS!$F:$F,0)),0)</f>
        <v>0</v>
      </c>
      <c r="X1188" s="3">
        <f>IFERROR(INDEX(EVENTOS!$D:$D,MATCH(SCORE!X$2&amp;" "&amp;SCORE!$D1188,EVENTOS!$F:$F,0)),0)</f>
        <v>0</v>
      </c>
      <c r="Y1188" s="3">
        <f>SUMIFS(EVENTOS!$D:$D, EVENTOS!$B:$B, D1188, EVENTOS!$E:$E, "*GirAlto*")</f>
        <v>0</v>
      </c>
      <c r="Z1188" s="3">
        <f>SUMIFS(EVENTOS!$D:$D, EVENTOS!$B:$B, D1188, EVENTOS!$E:$E, "*GirMed*")</f>
        <v>0</v>
      </c>
      <c r="AA1188" s="3">
        <f>SUMIFS(EVENTOS!$D:$D, EVENTOS!$B:$B, D1188, EVENTOS!$E:$E, "*GirBajo*")</f>
        <v>0</v>
      </c>
      <c r="AB1188" s="3">
        <f>IFERROR(INDEX(EVENTOS!$D:$D,MATCH(SCORE!AB$2&amp;" "&amp;SCORE!$D1188,EVENTOS!$F:$F,0)),0)</f>
        <v>0</v>
      </c>
      <c r="AC1188" s="3">
        <f>IFERROR(INDEX(EVENTOS!$D:$D,MATCH(SCORE!AC$2&amp;" "&amp;SCORE!$D1188,EVENTOS!$F:$F,0)),0)</f>
        <v>0</v>
      </c>
      <c r="AD1188" s="3">
        <f>IFERROR(INDEX(EVENTOS!$D:$D,MATCH(SCORE!AD$2&amp;" "&amp;SCORE!$D1188,EVENTOS!$F:$F,0)),0)</f>
        <v>0</v>
      </c>
      <c r="AE1188" s="3">
        <f t="shared" si="54"/>
        <v>0</v>
      </c>
      <c r="AF1188" s="10" t="e">
        <f t="shared" si="55"/>
        <v>#N/A</v>
      </c>
      <c r="AG1188" s="3" t="str">
        <f t="shared" si="56"/>
        <v/>
      </c>
    </row>
    <row r="1189" spans="1:33" x14ac:dyDescent="0.25">
      <c r="A1189" s="7"/>
      <c r="B1189" s="8"/>
      <c r="C1189" s="3"/>
      <c r="D1189" s="3"/>
      <c r="E1189" s="3" t="e">
        <f>VLOOKUP(D1189,VIAJES!$D:$E,2,FALSE)</f>
        <v>#N/A</v>
      </c>
      <c r="F1189" s="9" t="e">
        <f>VLOOKUP(D1189,VIAJES!$D:$F,3,FALSE)</f>
        <v>#N/A</v>
      </c>
      <c r="G1189" s="9" t="e">
        <f>VLOOKUP(D1189,VIAJES!$D:$G,4,FALSE)</f>
        <v>#N/A</v>
      </c>
      <c r="H1189" s="3" t="e">
        <f>VLOOKUP(D1189,VIAJES!$D:$H,5,FALSE)</f>
        <v>#N/A</v>
      </c>
      <c r="S1189" s="3">
        <f>IFERROR(INDEX(EVENTOS!$D:$D,MATCH(SCORE!S$2&amp;" "&amp;SCORE!$D1189,EVENTOS!$F:$F,0)),0)</f>
        <v>0</v>
      </c>
      <c r="T1189" s="3">
        <f>IFERROR(INDEX(EVENTOS!$D:$D,MATCH(SCORE!T$2&amp;" "&amp;SCORE!$D1189,EVENTOS!$F:$F,0)),0)</f>
        <v>0</v>
      </c>
      <c r="U1189" s="3">
        <f>IFERROR(INDEX(EVENTOS!$D:$D,MATCH(SCORE!U$2&amp;" "&amp;SCORE!$D1189,EVENTOS!$F:$F,0)),0)</f>
        <v>0</v>
      </c>
      <c r="V1189" s="3">
        <f>IFERROR(INDEX(EVENTOS!$D:$D,MATCH(SCORE!V$2&amp;" "&amp;SCORE!$D1189,EVENTOS!$F:$F,0)),0)</f>
        <v>0</v>
      </c>
      <c r="W1189" s="3">
        <f>IFERROR(INDEX(EVENTOS!$D:$D,MATCH(SCORE!W$2&amp;" "&amp;SCORE!$D1189,EVENTOS!$F:$F,0)),0)</f>
        <v>0</v>
      </c>
      <c r="X1189" s="3">
        <f>IFERROR(INDEX(EVENTOS!$D:$D,MATCH(SCORE!X$2&amp;" "&amp;SCORE!$D1189,EVENTOS!$F:$F,0)),0)</f>
        <v>0</v>
      </c>
      <c r="Y1189" s="3">
        <f>SUMIFS(EVENTOS!$D:$D, EVENTOS!$B:$B, D1189, EVENTOS!$E:$E, "*GirAlto*")</f>
        <v>0</v>
      </c>
      <c r="Z1189" s="3">
        <f>SUMIFS(EVENTOS!$D:$D, EVENTOS!$B:$B, D1189, EVENTOS!$E:$E, "*GirMed*")</f>
        <v>0</v>
      </c>
      <c r="AA1189" s="3">
        <f>SUMIFS(EVENTOS!$D:$D, EVENTOS!$B:$B, D1189, EVENTOS!$E:$E, "*GirBajo*")</f>
        <v>0</v>
      </c>
      <c r="AB1189" s="3">
        <f>IFERROR(INDEX(EVENTOS!$D:$D,MATCH(SCORE!AB$2&amp;" "&amp;SCORE!$D1189,EVENTOS!$F:$F,0)),0)</f>
        <v>0</v>
      </c>
      <c r="AC1189" s="3">
        <f>IFERROR(INDEX(EVENTOS!$D:$D,MATCH(SCORE!AC$2&amp;" "&amp;SCORE!$D1189,EVENTOS!$F:$F,0)),0)</f>
        <v>0</v>
      </c>
      <c r="AD1189" s="3">
        <f>IFERROR(INDEX(EVENTOS!$D:$D,MATCH(SCORE!AD$2&amp;" "&amp;SCORE!$D1189,EVENTOS!$F:$F,0)),0)</f>
        <v>0</v>
      </c>
      <c r="AE1189" s="3">
        <f t="shared" si="54"/>
        <v>0</v>
      </c>
      <c r="AF1189" s="10" t="e">
        <f t="shared" si="55"/>
        <v>#N/A</v>
      </c>
      <c r="AG1189" s="3" t="str">
        <f t="shared" si="56"/>
        <v/>
      </c>
    </row>
    <row r="1190" spans="1:33" x14ac:dyDescent="0.25">
      <c r="A1190" s="7"/>
      <c r="B1190" s="8"/>
      <c r="C1190" s="3"/>
      <c r="D1190" s="3"/>
      <c r="E1190" s="3" t="e">
        <f>VLOOKUP(D1190,VIAJES!$D:$E,2,FALSE)</f>
        <v>#N/A</v>
      </c>
      <c r="F1190" s="9" t="e">
        <f>VLOOKUP(D1190,VIAJES!$D:$F,3,FALSE)</f>
        <v>#N/A</v>
      </c>
      <c r="G1190" s="9" t="e">
        <f>VLOOKUP(D1190,VIAJES!$D:$G,4,FALSE)</f>
        <v>#N/A</v>
      </c>
      <c r="H1190" s="3" t="e">
        <f>VLOOKUP(D1190,VIAJES!$D:$H,5,FALSE)</f>
        <v>#N/A</v>
      </c>
      <c r="S1190" s="3">
        <f>IFERROR(INDEX(EVENTOS!$D:$D,MATCH(SCORE!S$2&amp;" "&amp;SCORE!$D1190,EVENTOS!$F:$F,0)),0)</f>
        <v>0</v>
      </c>
      <c r="T1190" s="3">
        <f>IFERROR(INDEX(EVENTOS!$D:$D,MATCH(SCORE!T$2&amp;" "&amp;SCORE!$D1190,EVENTOS!$F:$F,0)),0)</f>
        <v>0</v>
      </c>
      <c r="U1190" s="3">
        <f>IFERROR(INDEX(EVENTOS!$D:$D,MATCH(SCORE!U$2&amp;" "&amp;SCORE!$D1190,EVENTOS!$F:$F,0)),0)</f>
        <v>0</v>
      </c>
      <c r="V1190" s="3">
        <f>IFERROR(INDEX(EVENTOS!$D:$D,MATCH(SCORE!V$2&amp;" "&amp;SCORE!$D1190,EVENTOS!$F:$F,0)),0)</f>
        <v>0</v>
      </c>
      <c r="W1190" s="3">
        <f>IFERROR(INDEX(EVENTOS!$D:$D,MATCH(SCORE!W$2&amp;" "&amp;SCORE!$D1190,EVENTOS!$F:$F,0)),0)</f>
        <v>0</v>
      </c>
      <c r="X1190" s="3">
        <f>IFERROR(INDEX(EVENTOS!$D:$D,MATCH(SCORE!X$2&amp;" "&amp;SCORE!$D1190,EVENTOS!$F:$F,0)),0)</f>
        <v>0</v>
      </c>
      <c r="Y1190" s="3">
        <f>SUMIFS(EVENTOS!$D:$D, EVENTOS!$B:$B, D1190, EVENTOS!$E:$E, "*GirAlto*")</f>
        <v>0</v>
      </c>
      <c r="Z1190" s="3">
        <f>SUMIFS(EVENTOS!$D:$D, EVENTOS!$B:$B, D1190, EVENTOS!$E:$E, "*GirMed*")</f>
        <v>0</v>
      </c>
      <c r="AA1190" s="3">
        <f>SUMIFS(EVENTOS!$D:$D, EVENTOS!$B:$B, D1190, EVENTOS!$E:$E, "*GirBajo*")</f>
        <v>0</v>
      </c>
      <c r="AB1190" s="3">
        <f>IFERROR(INDEX(EVENTOS!$D:$D,MATCH(SCORE!AB$2&amp;" "&amp;SCORE!$D1190,EVENTOS!$F:$F,0)),0)</f>
        <v>0</v>
      </c>
      <c r="AC1190" s="3">
        <f>IFERROR(INDEX(EVENTOS!$D:$D,MATCH(SCORE!AC$2&amp;" "&amp;SCORE!$D1190,EVENTOS!$F:$F,0)),0)</f>
        <v>0</v>
      </c>
      <c r="AD1190" s="3">
        <f>IFERROR(INDEX(EVENTOS!$D:$D,MATCH(SCORE!AD$2&amp;" "&amp;SCORE!$D1190,EVENTOS!$F:$F,0)),0)</f>
        <v>0</v>
      </c>
      <c r="AE1190" s="3">
        <f t="shared" si="54"/>
        <v>0</v>
      </c>
      <c r="AF1190" s="10" t="e">
        <f t="shared" si="55"/>
        <v>#N/A</v>
      </c>
      <c r="AG1190" s="3" t="str">
        <f t="shared" si="56"/>
        <v/>
      </c>
    </row>
    <row r="1191" spans="1:33" x14ac:dyDescent="0.25">
      <c r="A1191" s="7"/>
      <c r="B1191" s="8"/>
      <c r="C1191" s="3"/>
      <c r="D1191" s="3"/>
      <c r="E1191" s="3" t="e">
        <f>VLOOKUP(D1191,VIAJES!$D:$E,2,FALSE)</f>
        <v>#N/A</v>
      </c>
      <c r="F1191" s="9" t="e">
        <f>VLOOKUP(D1191,VIAJES!$D:$F,3,FALSE)</f>
        <v>#N/A</v>
      </c>
      <c r="G1191" s="9" t="e">
        <f>VLOOKUP(D1191,VIAJES!$D:$G,4,FALSE)</f>
        <v>#N/A</v>
      </c>
      <c r="H1191" s="3" t="e">
        <f>VLOOKUP(D1191,VIAJES!$D:$H,5,FALSE)</f>
        <v>#N/A</v>
      </c>
      <c r="S1191" s="3">
        <f>IFERROR(INDEX(EVENTOS!$D:$D,MATCH(SCORE!S$2&amp;" "&amp;SCORE!$D1191,EVENTOS!$F:$F,0)),0)</f>
        <v>0</v>
      </c>
      <c r="T1191" s="3">
        <f>IFERROR(INDEX(EVENTOS!$D:$D,MATCH(SCORE!T$2&amp;" "&amp;SCORE!$D1191,EVENTOS!$F:$F,0)),0)</f>
        <v>0</v>
      </c>
      <c r="U1191" s="3">
        <f>IFERROR(INDEX(EVENTOS!$D:$D,MATCH(SCORE!U$2&amp;" "&amp;SCORE!$D1191,EVENTOS!$F:$F,0)),0)</f>
        <v>0</v>
      </c>
      <c r="V1191" s="3">
        <f>IFERROR(INDEX(EVENTOS!$D:$D,MATCH(SCORE!V$2&amp;" "&amp;SCORE!$D1191,EVENTOS!$F:$F,0)),0)</f>
        <v>0</v>
      </c>
      <c r="W1191" s="3">
        <f>IFERROR(INDEX(EVENTOS!$D:$D,MATCH(SCORE!W$2&amp;" "&amp;SCORE!$D1191,EVENTOS!$F:$F,0)),0)</f>
        <v>0</v>
      </c>
      <c r="X1191" s="3">
        <f>IFERROR(INDEX(EVENTOS!$D:$D,MATCH(SCORE!X$2&amp;" "&amp;SCORE!$D1191,EVENTOS!$F:$F,0)),0)</f>
        <v>0</v>
      </c>
      <c r="Y1191" s="3">
        <f>SUMIFS(EVENTOS!$D:$D, EVENTOS!$B:$B, D1191, EVENTOS!$E:$E, "*GirAlto*")</f>
        <v>0</v>
      </c>
      <c r="Z1191" s="3">
        <f>SUMIFS(EVENTOS!$D:$D, EVENTOS!$B:$B, D1191, EVENTOS!$E:$E, "*GirMed*")</f>
        <v>0</v>
      </c>
      <c r="AA1191" s="3">
        <f>SUMIFS(EVENTOS!$D:$D, EVENTOS!$B:$B, D1191, EVENTOS!$E:$E, "*GirBajo*")</f>
        <v>0</v>
      </c>
      <c r="AB1191" s="3">
        <f>IFERROR(INDEX(EVENTOS!$D:$D,MATCH(SCORE!AB$2&amp;" "&amp;SCORE!$D1191,EVENTOS!$F:$F,0)),0)</f>
        <v>0</v>
      </c>
      <c r="AC1191" s="3">
        <f>IFERROR(INDEX(EVENTOS!$D:$D,MATCH(SCORE!AC$2&amp;" "&amp;SCORE!$D1191,EVENTOS!$F:$F,0)),0)</f>
        <v>0</v>
      </c>
      <c r="AD1191" s="3">
        <f>IFERROR(INDEX(EVENTOS!$D:$D,MATCH(SCORE!AD$2&amp;" "&amp;SCORE!$D1191,EVENTOS!$F:$F,0)),0)</f>
        <v>0</v>
      </c>
      <c r="AE1191" s="3">
        <f t="shared" si="54"/>
        <v>0</v>
      </c>
      <c r="AF1191" s="10" t="e">
        <f t="shared" si="55"/>
        <v>#N/A</v>
      </c>
      <c r="AG1191" s="3" t="str">
        <f t="shared" si="56"/>
        <v/>
      </c>
    </row>
    <row r="1192" spans="1:33" x14ac:dyDescent="0.25">
      <c r="A1192" s="7"/>
      <c r="B1192" s="8"/>
      <c r="C1192" s="3"/>
      <c r="D1192" s="3"/>
      <c r="E1192" s="3" t="e">
        <f>VLOOKUP(D1192,VIAJES!$D:$E,2,FALSE)</f>
        <v>#N/A</v>
      </c>
      <c r="F1192" s="9" t="e">
        <f>VLOOKUP(D1192,VIAJES!$D:$F,3,FALSE)</f>
        <v>#N/A</v>
      </c>
      <c r="G1192" s="9" t="e">
        <f>VLOOKUP(D1192,VIAJES!$D:$G,4,FALSE)</f>
        <v>#N/A</v>
      </c>
      <c r="H1192" s="3" t="e">
        <f>VLOOKUP(D1192,VIAJES!$D:$H,5,FALSE)</f>
        <v>#N/A</v>
      </c>
      <c r="S1192" s="3">
        <f>IFERROR(INDEX(EVENTOS!$D:$D,MATCH(SCORE!S$2&amp;" "&amp;SCORE!$D1192,EVENTOS!$F:$F,0)),0)</f>
        <v>0</v>
      </c>
      <c r="T1192" s="3">
        <f>IFERROR(INDEX(EVENTOS!$D:$D,MATCH(SCORE!T$2&amp;" "&amp;SCORE!$D1192,EVENTOS!$F:$F,0)),0)</f>
        <v>0</v>
      </c>
      <c r="U1192" s="3">
        <f>IFERROR(INDEX(EVENTOS!$D:$D,MATCH(SCORE!U$2&amp;" "&amp;SCORE!$D1192,EVENTOS!$F:$F,0)),0)</f>
        <v>0</v>
      </c>
      <c r="V1192" s="3">
        <f>IFERROR(INDEX(EVENTOS!$D:$D,MATCH(SCORE!V$2&amp;" "&amp;SCORE!$D1192,EVENTOS!$F:$F,0)),0)</f>
        <v>0</v>
      </c>
      <c r="W1192" s="3">
        <f>IFERROR(INDEX(EVENTOS!$D:$D,MATCH(SCORE!W$2&amp;" "&amp;SCORE!$D1192,EVENTOS!$F:$F,0)),0)</f>
        <v>0</v>
      </c>
      <c r="X1192" s="3">
        <f>IFERROR(INDEX(EVENTOS!$D:$D,MATCH(SCORE!X$2&amp;" "&amp;SCORE!$D1192,EVENTOS!$F:$F,0)),0)</f>
        <v>0</v>
      </c>
      <c r="Y1192" s="3">
        <f>SUMIFS(EVENTOS!$D:$D, EVENTOS!$B:$B, D1192, EVENTOS!$E:$E, "*GirAlto*")</f>
        <v>0</v>
      </c>
      <c r="Z1192" s="3">
        <f>SUMIFS(EVENTOS!$D:$D, EVENTOS!$B:$B, D1192, EVENTOS!$E:$E, "*GirMed*")</f>
        <v>0</v>
      </c>
      <c r="AA1192" s="3">
        <f>SUMIFS(EVENTOS!$D:$D, EVENTOS!$B:$B, D1192, EVENTOS!$E:$E, "*GirBajo*")</f>
        <v>0</v>
      </c>
      <c r="AB1192" s="3">
        <f>IFERROR(INDEX(EVENTOS!$D:$D,MATCH(SCORE!AB$2&amp;" "&amp;SCORE!$D1192,EVENTOS!$F:$F,0)),0)</f>
        <v>0</v>
      </c>
      <c r="AC1192" s="3">
        <f>IFERROR(INDEX(EVENTOS!$D:$D,MATCH(SCORE!AC$2&amp;" "&amp;SCORE!$D1192,EVENTOS!$F:$F,0)),0)</f>
        <v>0</v>
      </c>
      <c r="AD1192" s="3">
        <f>IFERROR(INDEX(EVENTOS!$D:$D,MATCH(SCORE!AD$2&amp;" "&amp;SCORE!$D1192,EVENTOS!$F:$F,0)),0)</f>
        <v>0</v>
      </c>
      <c r="AE1192" s="3">
        <f t="shared" si="54"/>
        <v>0</v>
      </c>
      <c r="AF1192" s="10" t="e">
        <f t="shared" si="55"/>
        <v>#N/A</v>
      </c>
      <c r="AG1192" s="3" t="str">
        <f t="shared" si="56"/>
        <v/>
      </c>
    </row>
    <row r="1193" spans="1:33" x14ac:dyDescent="0.25">
      <c r="A1193" s="7"/>
      <c r="B1193" s="8"/>
      <c r="C1193" s="3"/>
      <c r="D1193" s="3"/>
      <c r="E1193" s="3" t="e">
        <f>VLOOKUP(D1193,VIAJES!$D:$E,2,FALSE)</f>
        <v>#N/A</v>
      </c>
      <c r="F1193" s="9" t="e">
        <f>VLOOKUP(D1193,VIAJES!$D:$F,3,FALSE)</f>
        <v>#N/A</v>
      </c>
      <c r="G1193" s="9" t="e">
        <f>VLOOKUP(D1193,VIAJES!$D:$G,4,FALSE)</f>
        <v>#N/A</v>
      </c>
      <c r="H1193" s="3" t="e">
        <f>VLOOKUP(D1193,VIAJES!$D:$H,5,FALSE)</f>
        <v>#N/A</v>
      </c>
      <c r="S1193" s="3">
        <f>IFERROR(INDEX(EVENTOS!$D:$D,MATCH(SCORE!S$2&amp;" "&amp;SCORE!$D1193,EVENTOS!$F:$F,0)),0)</f>
        <v>0</v>
      </c>
      <c r="T1193" s="3">
        <f>IFERROR(INDEX(EVENTOS!$D:$D,MATCH(SCORE!T$2&amp;" "&amp;SCORE!$D1193,EVENTOS!$F:$F,0)),0)</f>
        <v>0</v>
      </c>
      <c r="U1193" s="3">
        <f>IFERROR(INDEX(EVENTOS!$D:$D,MATCH(SCORE!U$2&amp;" "&amp;SCORE!$D1193,EVENTOS!$F:$F,0)),0)</f>
        <v>0</v>
      </c>
      <c r="V1193" s="3">
        <f>IFERROR(INDEX(EVENTOS!$D:$D,MATCH(SCORE!V$2&amp;" "&amp;SCORE!$D1193,EVENTOS!$F:$F,0)),0)</f>
        <v>0</v>
      </c>
      <c r="W1193" s="3">
        <f>IFERROR(INDEX(EVENTOS!$D:$D,MATCH(SCORE!W$2&amp;" "&amp;SCORE!$D1193,EVENTOS!$F:$F,0)),0)</f>
        <v>0</v>
      </c>
      <c r="X1193" s="3">
        <f>IFERROR(INDEX(EVENTOS!$D:$D,MATCH(SCORE!X$2&amp;" "&amp;SCORE!$D1193,EVENTOS!$F:$F,0)),0)</f>
        <v>0</v>
      </c>
      <c r="Y1193" s="3">
        <f>SUMIFS(EVENTOS!$D:$D, EVENTOS!$B:$B, D1193, EVENTOS!$E:$E, "*GirAlto*")</f>
        <v>0</v>
      </c>
      <c r="Z1193" s="3">
        <f>SUMIFS(EVENTOS!$D:$D, EVENTOS!$B:$B, D1193, EVENTOS!$E:$E, "*GirMed*")</f>
        <v>0</v>
      </c>
      <c r="AA1193" s="3">
        <f>SUMIFS(EVENTOS!$D:$D, EVENTOS!$B:$B, D1193, EVENTOS!$E:$E, "*GirBajo*")</f>
        <v>0</v>
      </c>
      <c r="AB1193" s="3">
        <f>IFERROR(INDEX(EVENTOS!$D:$D,MATCH(SCORE!AB$2&amp;" "&amp;SCORE!$D1193,EVENTOS!$F:$F,0)),0)</f>
        <v>0</v>
      </c>
      <c r="AC1193" s="3">
        <f>IFERROR(INDEX(EVENTOS!$D:$D,MATCH(SCORE!AC$2&amp;" "&amp;SCORE!$D1193,EVENTOS!$F:$F,0)),0)</f>
        <v>0</v>
      </c>
      <c r="AD1193" s="3">
        <f>IFERROR(INDEX(EVENTOS!$D:$D,MATCH(SCORE!AD$2&amp;" "&amp;SCORE!$D1193,EVENTOS!$F:$F,0)),0)</f>
        <v>0</v>
      </c>
      <c r="AE1193" s="3">
        <f t="shared" si="54"/>
        <v>0</v>
      </c>
      <c r="AF1193" s="10" t="e">
        <f t="shared" si="55"/>
        <v>#N/A</v>
      </c>
      <c r="AG1193" s="3" t="str">
        <f t="shared" si="56"/>
        <v/>
      </c>
    </row>
    <row r="1194" spans="1:33" x14ac:dyDescent="0.25">
      <c r="A1194" s="7"/>
      <c r="B1194" s="8"/>
      <c r="C1194" s="3"/>
      <c r="D1194" s="3"/>
      <c r="E1194" s="3" t="e">
        <f>VLOOKUP(D1194,VIAJES!$D:$E,2,FALSE)</f>
        <v>#N/A</v>
      </c>
      <c r="F1194" s="9" t="e">
        <f>VLOOKUP(D1194,VIAJES!$D:$F,3,FALSE)</f>
        <v>#N/A</v>
      </c>
      <c r="G1194" s="9" t="e">
        <f>VLOOKUP(D1194,VIAJES!$D:$G,4,FALSE)</f>
        <v>#N/A</v>
      </c>
      <c r="H1194" s="3" t="e">
        <f>VLOOKUP(D1194,VIAJES!$D:$H,5,FALSE)</f>
        <v>#N/A</v>
      </c>
      <c r="S1194" s="3">
        <f>IFERROR(INDEX(EVENTOS!$D:$D,MATCH(SCORE!S$2&amp;" "&amp;SCORE!$D1194,EVENTOS!$F:$F,0)),0)</f>
        <v>0</v>
      </c>
      <c r="T1194" s="3">
        <f>IFERROR(INDEX(EVENTOS!$D:$D,MATCH(SCORE!T$2&amp;" "&amp;SCORE!$D1194,EVENTOS!$F:$F,0)),0)</f>
        <v>0</v>
      </c>
      <c r="U1194" s="3">
        <f>IFERROR(INDEX(EVENTOS!$D:$D,MATCH(SCORE!U$2&amp;" "&amp;SCORE!$D1194,EVENTOS!$F:$F,0)),0)</f>
        <v>0</v>
      </c>
      <c r="V1194" s="3">
        <f>IFERROR(INDEX(EVENTOS!$D:$D,MATCH(SCORE!V$2&amp;" "&amp;SCORE!$D1194,EVENTOS!$F:$F,0)),0)</f>
        <v>0</v>
      </c>
      <c r="W1194" s="3">
        <f>IFERROR(INDEX(EVENTOS!$D:$D,MATCH(SCORE!W$2&amp;" "&amp;SCORE!$D1194,EVENTOS!$F:$F,0)),0)</f>
        <v>0</v>
      </c>
      <c r="X1194" s="3">
        <f>IFERROR(INDEX(EVENTOS!$D:$D,MATCH(SCORE!X$2&amp;" "&amp;SCORE!$D1194,EVENTOS!$F:$F,0)),0)</f>
        <v>0</v>
      </c>
      <c r="Y1194" s="3">
        <f>SUMIFS(EVENTOS!$D:$D, EVENTOS!$B:$B, D1194, EVENTOS!$E:$E, "*GirAlto*")</f>
        <v>0</v>
      </c>
      <c r="Z1194" s="3">
        <f>SUMIFS(EVENTOS!$D:$D, EVENTOS!$B:$B, D1194, EVENTOS!$E:$E, "*GirMed*")</f>
        <v>0</v>
      </c>
      <c r="AA1194" s="3">
        <f>SUMIFS(EVENTOS!$D:$D, EVENTOS!$B:$B, D1194, EVENTOS!$E:$E, "*GirBajo*")</f>
        <v>0</v>
      </c>
      <c r="AB1194" s="3">
        <f>IFERROR(INDEX(EVENTOS!$D:$D,MATCH(SCORE!AB$2&amp;" "&amp;SCORE!$D1194,EVENTOS!$F:$F,0)),0)</f>
        <v>0</v>
      </c>
      <c r="AC1194" s="3">
        <f>IFERROR(INDEX(EVENTOS!$D:$D,MATCH(SCORE!AC$2&amp;" "&amp;SCORE!$D1194,EVENTOS!$F:$F,0)),0)</f>
        <v>0</v>
      </c>
      <c r="AD1194" s="3">
        <f>IFERROR(INDEX(EVENTOS!$D:$D,MATCH(SCORE!AD$2&amp;" "&amp;SCORE!$D1194,EVENTOS!$F:$F,0)),0)</f>
        <v>0</v>
      </c>
      <c r="AE1194" s="3">
        <f t="shared" si="54"/>
        <v>0</v>
      </c>
      <c r="AF1194" s="10" t="e">
        <f t="shared" si="55"/>
        <v>#N/A</v>
      </c>
      <c r="AG1194" s="3" t="str">
        <f t="shared" si="56"/>
        <v/>
      </c>
    </row>
    <row r="1195" spans="1:33" x14ac:dyDescent="0.25">
      <c r="A1195" s="7"/>
      <c r="B1195" s="8"/>
      <c r="C1195" s="3"/>
      <c r="D1195" s="3"/>
      <c r="E1195" s="3" t="e">
        <f>VLOOKUP(D1195,VIAJES!$D:$E,2,FALSE)</f>
        <v>#N/A</v>
      </c>
      <c r="F1195" s="9" t="e">
        <f>VLOOKUP(D1195,VIAJES!$D:$F,3,FALSE)</f>
        <v>#N/A</v>
      </c>
      <c r="G1195" s="9" t="e">
        <f>VLOOKUP(D1195,VIAJES!$D:$G,4,FALSE)</f>
        <v>#N/A</v>
      </c>
      <c r="H1195" s="3" t="e">
        <f>VLOOKUP(D1195,VIAJES!$D:$H,5,FALSE)</f>
        <v>#N/A</v>
      </c>
      <c r="S1195" s="3">
        <f>IFERROR(INDEX(EVENTOS!$D:$D,MATCH(SCORE!S$2&amp;" "&amp;SCORE!$D1195,EVENTOS!$F:$F,0)),0)</f>
        <v>0</v>
      </c>
      <c r="T1195" s="3">
        <f>IFERROR(INDEX(EVENTOS!$D:$D,MATCH(SCORE!T$2&amp;" "&amp;SCORE!$D1195,EVENTOS!$F:$F,0)),0)</f>
        <v>0</v>
      </c>
      <c r="U1195" s="3">
        <f>IFERROR(INDEX(EVENTOS!$D:$D,MATCH(SCORE!U$2&amp;" "&amp;SCORE!$D1195,EVENTOS!$F:$F,0)),0)</f>
        <v>0</v>
      </c>
      <c r="V1195" s="3">
        <f>IFERROR(INDEX(EVENTOS!$D:$D,MATCH(SCORE!V$2&amp;" "&amp;SCORE!$D1195,EVENTOS!$F:$F,0)),0)</f>
        <v>0</v>
      </c>
      <c r="W1195" s="3">
        <f>IFERROR(INDEX(EVENTOS!$D:$D,MATCH(SCORE!W$2&amp;" "&amp;SCORE!$D1195,EVENTOS!$F:$F,0)),0)</f>
        <v>0</v>
      </c>
      <c r="X1195" s="3">
        <f>IFERROR(INDEX(EVENTOS!$D:$D,MATCH(SCORE!X$2&amp;" "&amp;SCORE!$D1195,EVENTOS!$F:$F,0)),0)</f>
        <v>0</v>
      </c>
      <c r="Y1195" s="3">
        <f>SUMIFS(EVENTOS!$D:$D, EVENTOS!$B:$B, D1195, EVENTOS!$E:$E, "*GirAlto*")</f>
        <v>0</v>
      </c>
      <c r="Z1195" s="3">
        <f>SUMIFS(EVENTOS!$D:$D, EVENTOS!$B:$B, D1195, EVENTOS!$E:$E, "*GirMed*")</f>
        <v>0</v>
      </c>
      <c r="AA1195" s="3">
        <f>SUMIFS(EVENTOS!$D:$D, EVENTOS!$B:$B, D1195, EVENTOS!$E:$E, "*GirBajo*")</f>
        <v>0</v>
      </c>
      <c r="AB1195" s="3">
        <f>IFERROR(INDEX(EVENTOS!$D:$D,MATCH(SCORE!AB$2&amp;" "&amp;SCORE!$D1195,EVENTOS!$F:$F,0)),0)</f>
        <v>0</v>
      </c>
      <c r="AC1195" s="3">
        <f>IFERROR(INDEX(EVENTOS!$D:$D,MATCH(SCORE!AC$2&amp;" "&amp;SCORE!$D1195,EVENTOS!$F:$F,0)),0)</f>
        <v>0</v>
      </c>
      <c r="AD1195" s="3">
        <f>IFERROR(INDEX(EVENTOS!$D:$D,MATCH(SCORE!AD$2&amp;" "&amp;SCORE!$D1195,EVENTOS!$F:$F,0)),0)</f>
        <v>0</v>
      </c>
      <c r="AE1195" s="3">
        <f t="shared" si="54"/>
        <v>0</v>
      </c>
      <c r="AF1195" s="10" t="e">
        <f t="shared" si="55"/>
        <v>#N/A</v>
      </c>
      <c r="AG1195" s="3" t="str">
        <f t="shared" si="56"/>
        <v/>
      </c>
    </row>
    <row r="1196" spans="1:33" x14ac:dyDescent="0.25">
      <c r="A1196" s="7"/>
      <c r="B1196" s="8"/>
      <c r="C1196" s="3"/>
      <c r="D1196" s="3"/>
      <c r="E1196" s="3" t="e">
        <f>VLOOKUP(D1196,VIAJES!$D:$E,2,FALSE)</f>
        <v>#N/A</v>
      </c>
      <c r="F1196" s="9" t="e">
        <f>VLOOKUP(D1196,VIAJES!$D:$F,3,FALSE)</f>
        <v>#N/A</v>
      </c>
      <c r="G1196" s="9" t="e">
        <f>VLOOKUP(D1196,VIAJES!$D:$G,4,FALSE)</f>
        <v>#N/A</v>
      </c>
      <c r="H1196" s="3" t="e">
        <f>VLOOKUP(D1196,VIAJES!$D:$H,5,FALSE)</f>
        <v>#N/A</v>
      </c>
      <c r="S1196" s="3">
        <f>IFERROR(INDEX(EVENTOS!$D:$D,MATCH(SCORE!S$2&amp;" "&amp;SCORE!$D1196,EVENTOS!$F:$F,0)),0)</f>
        <v>0</v>
      </c>
      <c r="T1196" s="3">
        <f>IFERROR(INDEX(EVENTOS!$D:$D,MATCH(SCORE!T$2&amp;" "&amp;SCORE!$D1196,EVENTOS!$F:$F,0)),0)</f>
        <v>0</v>
      </c>
      <c r="U1196" s="3">
        <f>IFERROR(INDEX(EVENTOS!$D:$D,MATCH(SCORE!U$2&amp;" "&amp;SCORE!$D1196,EVENTOS!$F:$F,0)),0)</f>
        <v>0</v>
      </c>
      <c r="V1196" s="3">
        <f>IFERROR(INDEX(EVENTOS!$D:$D,MATCH(SCORE!V$2&amp;" "&amp;SCORE!$D1196,EVENTOS!$F:$F,0)),0)</f>
        <v>0</v>
      </c>
      <c r="W1196" s="3">
        <f>IFERROR(INDEX(EVENTOS!$D:$D,MATCH(SCORE!W$2&amp;" "&amp;SCORE!$D1196,EVENTOS!$F:$F,0)),0)</f>
        <v>0</v>
      </c>
      <c r="X1196" s="3">
        <f>IFERROR(INDEX(EVENTOS!$D:$D,MATCH(SCORE!X$2&amp;" "&amp;SCORE!$D1196,EVENTOS!$F:$F,0)),0)</f>
        <v>0</v>
      </c>
      <c r="Y1196" s="3">
        <f>SUMIFS(EVENTOS!$D:$D, EVENTOS!$B:$B, D1196, EVENTOS!$E:$E, "*GirAlto*")</f>
        <v>0</v>
      </c>
      <c r="Z1196" s="3">
        <f>SUMIFS(EVENTOS!$D:$D, EVENTOS!$B:$B, D1196, EVENTOS!$E:$E, "*GirMed*")</f>
        <v>0</v>
      </c>
      <c r="AA1196" s="3">
        <f>SUMIFS(EVENTOS!$D:$D, EVENTOS!$B:$B, D1196, EVENTOS!$E:$E, "*GirBajo*")</f>
        <v>0</v>
      </c>
      <c r="AB1196" s="3">
        <f>IFERROR(INDEX(EVENTOS!$D:$D,MATCH(SCORE!AB$2&amp;" "&amp;SCORE!$D1196,EVENTOS!$F:$F,0)),0)</f>
        <v>0</v>
      </c>
      <c r="AC1196" s="3">
        <f>IFERROR(INDEX(EVENTOS!$D:$D,MATCH(SCORE!AC$2&amp;" "&amp;SCORE!$D1196,EVENTOS!$F:$F,0)),0)</f>
        <v>0</v>
      </c>
      <c r="AD1196" s="3">
        <f>IFERROR(INDEX(EVENTOS!$D:$D,MATCH(SCORE!AD$2&amp;" "&amp;SCORE!$D1196,EVENTOS!$F:$F,0)),0)</f>
        <v>0</v>
      </c>
      <c r="AE1196" s="3">
        <f t="shared" si="54"/>
        <v>0</v>
      </c>
      <c r="AF1196" s="10" t="e">
        <f t="shared" si="55"/>
        <v>#N/A</v>
      </c>
      <c r="AG1196" s="3" t="str">
        <f t="shared" si="56"/>
        <v/>
      </c>
    </row>
    <row r="1197" spans="1:33" x14ac:dyDescent="0.25">
      <c r="A1197" s="7"/>
      <c r="B1197" s="8"/>
      <c r="C1197" s="3"/>
      <c r="D1197" s="3"/>
      <c r="E1197" s="3" t="e">
        <f>VLOOKUP(D1197,VIAJES!$D:$E,2,FALSE)</f>
        <v>#N/A</v>
      </c>
      <c r="F1197" s="9" t="e">
        <f>VLOOKUP(D1197,VIAJES!$D:$F,3,FALSE)</f>
        <v>#N/A</v>
      </c>
      <c r="G1197" s="9" t="e">
        <f>VLOOKUP(D1197,VIAJES!$D:$G,4,FALSE)</f>
        <v>#N/A</v>
      </c>
      <c r="H1197" s="3" t="e">
        <f>VLOOKUP(D1197,VIAJES!$D:$H,5,FALSE)</f>
        <v>#N/A</v>
      </c>
      <c r="S1197" s="3">
        <f>IFERROR(INDEX(EVENTOS!$D:$D,MATCH(SCORE!S$2&amp;" "&amp;SCORE!$D1197,EVENTOS!$F:$F,0)),0)</f>
        <v>0</v>
      </c>
      <c r="T1197" s="3">
        <f>IFERROR(INDEX(EVENTOS!$D:$D,MATCH(SCORE!T$2&amp;" "&amp;SCORE!$D1197,EVENTOS!$F:$F,0)),0)</f>
        <v>0</v>
      </c>
      <c r="U1197" s="3">
        <f>IFERROR(INDEX(EVENTOS!$D:$D,MATCH(SCORE!U$2&amp;" "&amp;SCORE!$D1197,EVENTOS!$F:$F,0)),0)</f>
        <v>0</v>
      </c>
      <c r="V1197" s="3">
        <f>IFERROR(INDEX(EVENTOS!$D:$D,MATCH(SCORE!V$2&amp;" "&amp;SCORE!$D1197,EVENTOS!$F:$F,0)),0)</f>
        <v>0</v>
      </c>
      <c r="W1197" s="3">
        <f>IFERROR(INDEX(EVENTOS!$D:$D,MATCH(SCORE!W$2&amp;" "&amp;SCORE!$D1197,EVENTOS!$F:$F,0)),0)</f>
        <v>0</v>
      </c>
      <c r="X1197" s="3">
        <f>IFERROR(INDEX(EVENTOS!$D:$D,MATCH(SCORE!X$2&amp;" "&amp;SCORE!$D1197,EVENTOS!$F:$F,0)),0)</f>
        <v>0</v>
      </c>
      <c r="Y1197" s="3">
        <f>SUMIFS(EVENTOS!$D:$D, EVENTOS!$B:$B, D1197, EVENTOS!$E:$E, "*GirAlto*")</f>
        <v>0</v>
      </c>
      <c r="Z1197" s="3">
        <f>SUMIFS(EVENTOS!$D:$D, EVENTOS!$B:$B, D1197, EVENTOS!$E:$E, "*GirMed*")</f>
        <v>0</v>
      </c>
      <c r="AA1197" s="3">
        <f>SUMIFS(EVENTOS!$D:$D, EVENTOS!$B:$B, D1197, EVENTOS!$E:$E, "*GirBajo*")</f>
        <v>0</v>
      </c>
      <c r="AB1197" s="3">
        <f>IFERROR(INDEX(EVENTOS!$D:$D,MATCH(SCORE!AB$2&amp;" "&amp;SCORE!$D1197,EVENTOS!$F:$F,0)),0)</f>
        <v>0</v>
      </c>
      <c r="AC1197" s="3">
        <f>IFERROR(INDEX(EVENTOS!$D:$D,MATCH(SCORE!AC$2&amp;" "&amp;SCORE!$D1197,EVENTOS!$F:$F,0)),0)</f>
        <v>0</v>
      </c>
      <c r="AD1197" s="3">
        <f>IFERROR(INDEX(EVENTOS!$D:$D,MATCH(SCORE!AD$2&amp;" "&amp;SCORE!$D1197,EVENTOS!$F:$F,0)),0)</f>
        <v>0</v>
      </c>
      <c r="AE1197" s="3">
        <f t="shared" si="54"/>
        <v>0</v>
      </c>
      <c r="AF1197" s="10" t="e">
        <f t="shared" si="55"/>
        <v>#N/A</v>
      </c>
      <c r="AG1197" s="3" t="str">
        <f t="shared" si="56"/>
        <v/>
      </c>
    </row>
    <row r="1198" spans="1:33" x14ac:dyDescent="0.25">
      <c r="A1198" s="7"/>
      <c r="B1198" s="8"/>
      <c r="C1198" s="3"/>
      <c r="D1198" s="3"/>
      <c r="E1198" s="3" t="e">
        <f>VLOOKUP(D1198,VIAJES!$D:$E,2,FALSE)</f>
        <v>#N/A</v>
      </c>
      <c r="F1198" s="9" t="e">
        <f>VLOOKUP(D1198,VIAJES!$D:$F,3,FALSE)</f>
        <v>#N/A</v>
      </c>
      <c r="G1198" s="9" t="e">
        <f>VLOOKUP(D1198,VIAJES!$D:$G,4,FALSE)</f>
        <v>#N/A</v>
      </c>
      <c r="H1198" s="3" t="e">
        <f>VLOOKUP(D1198,VIAJES!$D:$H,5,FALSE)</f>
        <v>#N/A</v>
      </c>
      <c r="S1198" s="3">
        <f>IFERROR(INDEX(EVENTOS!$D:$D,MATCH(SCORE!S$2&amp;" "&amp;SCORE!$D1198,EVENTOS!$F:$F,0)),0)</f>
        <v>0</v>
      </c>
      <c r="T1198" s="3">
        <f>IFERROR(INDEX(EVENTOS!$D:$D,MATCH(SCORE!T$2&amp;" "&amp;SCORE!$D1198,EVENTOS!$F:$F,0)),0)</f>
        <v>0</v>
      </c>
      <c r="U1198" s="3">
        <f>IFERROR(INDEX(EVENTOS!$D:$D,MATCH(SCORE!U$2&amp;" "&amp;SCORE!$D1198,EVENTOS!$F:$F,0)),0)</f>
        <v>0</v>
      </c>
      <c r="V1198" s="3">
        <f>IFERROR(INDEX(EVENTOS!$D:$D,MATCH(SCORE!V$2&amp;" "&amp;SCORE!$D1198,EVENTOS!$F:$F,0)),0)</f>
        <v>0</v>
      </c>
      <c r="W1198" s="3">
        <f>IFERROR(INDEX(EVENTOS!$D:$D,MATCH(SCORE!W$2&amp;" "&amp;SCORE!$D1198,EVENTOS!$F:$F,0)),0)</f>
        <v>0</v>
      </c>
      <c r="X1198" s="3">
        <f>IFERROR(INDEX(EVENTOS!$D:$D,MATCH(SCORE!X$2&amp;" "&amp;SCORE!$D1198,EVENTOS!$F:$F,0)),0)</f>
        <v>0</v>
      </c>
      <c r="Y1198" s="3">
        <f>SUMIFS(EVENTOS!$D:$D, EVENTOS!$B:$B, D1198, EVENTOS!$E:$E, "*GirAlto*")</f>
        <v>0</v>
      </c>
      <c r="Z1198" s="3">
        <f>SUMIFS(EVENTOS!$D:$D, EVENTOS!$B:$B, D1198, EVENTOS!$E:$E, "*GirMed*")</f>
        <v>0</v>
      </c>
      <c r="AA1198" s="3">
        <f>SUMIFS(EVENTOS!$D:$D, EVENTOS!$B:$B, D1198, EVENTOS!$E:$E, "*GirBajo*")</f>
        <v>0</v>
      </c>
      <c r="AB1198" s="3">
        <f>IFERROR(INDEX(EVENTOS!$D:$D,MATCH(SCORE!AB$2&amp;" "&amp;SCORE!$D1198,EVENTOS!$F:$F,0)),0)</f>
        <v>0</v>
      </c>
      <c r="AC1198" s="3">
        <f>IFERROR(INDEX(EVENTOS!$D:$D,MATCH(SCORE!AC$2&amp;" "&amp;SCORE!$D1198,EVENTOS!$F:$F,0)),0)</f>
        <v>0</v>
      </c>
      <c r="AD1198" s="3">
        <f>IFERROR(INDEX(EVENTOS!$D:$D,MATCH(SCORE!AD$2&amp;" "&amp;SCORE!$D1198,EVENTOS!$F:$F,0)),0)</f>
        <v>0</v>
      </c>
      <c r="AE1198" s="3">
        <f t="shared" si="54"/>
        <v>0</v>
      </c>
      <c r="AF1198" s="10" t="e">
        <f t="shared" si="55"/>
        <v>#N/A</v>
      </c>
      <c r="AG1198" s="3" t="str">
        <f t="shared" si="56"/>
        <v/>
      </c>
    </row>
    <row r="1199" spans="1:33" x14ac:dyDescent="0.25">
      <c r="A1199" s="7"/>
      <c r="B1199" s="8"/>
      <c r="C1199" s="3"/>
      <c r="D1199" s="3"/>
      <c r="E1199" s="3" t="e">
        <f>VLOOKUP(D1199,VIAJES!$D:$E,2,FALSE)</f>
        <v>#N/A</v>
      </c>
      <c r="F1199" s="9" t="e">
        <f>VLOOKUP(D1199,VIAJES!$D:$F,3,FALSE)</f>
        <v>#N/A</v>
      </c>
      <c r="G1199" s="9" t="e">
        <f>VLOOKUP(D1199,VIAJES!$D:$G,4,FALSE)</f>
        <v>#N/A</v>
      </c>
      <c r="H1199" s="3" t="e">
        <f>VLOOKUP(D1199,VIAJES!$D:$H,5,FALSE)</f>
        <v>#N/A</v>
      </c>
      <c r="S1199" s="3">
        <f>IFERROR(INDEX(EVENTOS!$D:$D,MATCH(SCORE!S$2&amp;" "&amp;SCORE!$D1199,EVENTOS!$F:$F,0)),0)</f>
        <v>0</v>
      </c>
      <c r="T1199" s="3">
        <f>IFERROR(INDEX(EVENTOS!$D:$D,MATCH(SCORE!T$2&amp;" "&amp;SCORE!$D1199,EVENTOS!$F:$F,0)),0)</f>
        <v>0</v>
      </c>
      <c r="U1199" s="3">
        <f>IFERROR(INDEX(EVENTOS!$D:$D,MATCH(SCORE!U$2&amp;" "&amp;SCORE!$D1199,EVENTOS!$F:$F,0)),0)</f>
        <v>0</v>
      </c>
      <c r="V1199" s="3">
        <f>IFERROR(INDEX(EVENTOS!$D:$D,MATCH(SCORE!V$2&amp;" "&amp;SCORE!$D1199,EVENTOS!$F:$F,0)),0)</f>
        <v>0</v>
      </c>
      <c r="W1199" s="3">
        <f>IFERROR(INDEX(EVENTOS!$D:$D,MATCH(SCORE!W$2&amp;" "&amp;SCORE!$D1199,EVENTOS!$F:$F,0)),0)</f>
        <v>0</v>
      </c>
      <c r="X1199" s="3">
        <f>IFERROR(INDEX(EVENTOS!$D:$D,MATCH(SCORE!X$2&amp;" "&amp;SCORE!$D1199,EVENTOS!$F:$F,0)),0)</f>
        <v>0</v>
      </c>
      <c r="Y1199" s="3">
        <f>SUMIFS(EVENTOS!$D:$D, EVENTOS!$B:$B, D1199, EVENTOS!$E:$E, "*GirAlto*")</f>
        <v>0</v>
      </c>
      <c r="Z1199" s="3">
        <f>SUMIFS(EVENTOS!$D:$D, EVENTOS!$B:$B, D1199, EVENTOS!$E:$E, "*GirMed*")</f>
        <v>0</v>
      </c>
      <c r="AA1199" s="3">
        <f>SUMIFS(EVENTOS!$D:$D, EVENTOS!$B:$B, D1199, EVENTOS!$E:$E, "*GirBajo*")</f>
        <v>0</v>
      </c>
      <c r="AB1199" s="3">
        <f>IFERROR(INDEX(EVENTOS!$D:$D,MATCH(SCORE!AB$2&amp;" "&amp;SCORE!$D1199,EVENTOS!$F:$F,0)),0)</f>
        <v>0</v>
      </c>
      <c r="AC1199" s="3">
        <f>IFERROR(INDEX(EVENTOS!$D:$D,MATCH(SCORE!AC$2&amp;" "&amp;SCORE!$D1199,EVENTOS!$F:$F,0)),0)</f>
        <v>0</v>
      </c>
      <c r="AD1199" s="3">
        <f>IFERROR(INDEX(EVENTOS!$D:$D,MATCH(SCORE!AD$2&amp;" "&amp;SCORE!$D1199,EVENTOS!$F:$F,0)),0)</f>
        <v>0</v>
      </c>
      <c r="AE1199" s="3">
        <f t="shared" si="54"/>
        <v>0</v>
      </c>
      <c r="AF1199" s="10" t="e">
        <f t="shared" si="55"/>
        <v>#N/A</v>
      </c>
      <c r="AG1199" s="3" t="str">
        <f t="shared" si="56"/>
        <v/>
      </c>
    </row>
    <row r="1200" spans="1:33" x14ac:dyDescent="0.25">
      <c r="A1200" s="7"/>
      <c r="B1200" s="8"/>
      <c r="C1200" s="3"/>
      <c r="D1200" s="3"/>
      <c r="E1200" s="3" t="e">
        <f>VLOOKUP(D1200,VIAJES!$D:$E,2,FALSE)</f>
        <v>#N/A</v>
      </c>
      <c r="F1200" s="9" t="e">
        <f>VLOOKUP(D1200,VIAJES!$D:$F,3,FALSE)</f>
        <v>#N/A</v>
      </c>
      <c r="G1200" s="9" t="e">
        <f>VLOOKUP(D1200,VIAJES!$D:$G,4,FALSE)</f>
        <v>#N/A</v>
      </c>
      <c r="H1200" s="3" t="e">
        <f>VLOOKUP(D1200,VIAJES!$D:$H,5,FALSE)</f>
        <v>#N/A</v>
      </c>
      <c r="S1200" s="3">
        <f>IFERROR(INDEX(EVENTOS!$D:$D,MATCH(SCORE!S$2&amp;" "&amp;SCORE!$D1200,EVENTOS!$F:$F,0)),0)</f>
        <v>0</v>
      </c>
      <c r="T1200" s="3">
        <f>IFERROR(INDEX(EVENTOS!$D:$D,MATCH(SCORE!T$2&amp;" "&amp;SCORE!$D1200,EVENTOS!$F:$F,0)),0)</f>
        <v>0</v>
      </c>
      <c r="U1200" s="3">
        <f>IFERROR(INDEX(EVENTOS!$D:$D,MATCH(SCORE!U$2&amp;" "&amp;SCORE!$D1200,EVENTOS!$F:$F,0)),0)</f>
        <v>0</v>
      </c>
      <c r="V1200" s="3">
        <f>IFERROR(INDEX(EVENTOS!$D:$D,MATCH(SCORE!V$2&amp;" "&amp;SCORE!$D1200,EVENTOS!$F:$F,0)),0)</f>
        <v>0</v>
      </c>
      <c r="W1200" s="3">
        <f>IFERROR(INDEX(EVENTOS!$D:$D,MATCH(SCORE!W$2&amp;" "&amp;SCORE!$D1200,EVENTOS!$F:$F,0)),0)</f>
        <v>0</v>
      </c>
      <c r="X1200" s="3">
        <f>IFERROR(INDEX(EVENTOS!$D:$D,MATCH(SCORE!X$2&amp;" "&amp;SCORE!$D1200,EVENTOS!$F:$F,0)),0)</f>
        <v>0</v>
      </c>
      <c r="Y1200" s="3">
        <f>SUMIFS(EVENTOS!$D:$D, EVENTOS!$B:$B, D1200, EVENTOS!$E:$E, "*GirAlto*")</f>
        <v>0</v>
      </c>
      <c r="Z1200" s="3">
        <f>SUMIFS(EVENTOS!$D:$D, EVENTOS!$B:$B, D1200, EVENTOS!$E:$E, "*GirMed*")</f>
        <v>0</v>
      </c>
      <c r="AA1200" s="3">
        <f>SUMIFS(EVENTOS!$D:$D, EVENTOS!$B:$B, D1200, EVENTOS!$E:$E, "*GirBajo*")</f>
        <v>0</v>
      </c>
      <c r="AB1200" s="3">
        <f>IFERROR(INDEX(EVENTOS!$D:$D,MATCH(SCORE!AB$2&amp;" "&amp;SCORE!$D1200,EVENTOS!$F:$F,0)),0)</f>
        <v>0</v>
      </c>
      <c r="AC1200" s="3">
        <f>IFERROR(INDEX(EVENTOS!$D:$D,MATCH(SCORE!AC$2&amp;" "&amp;SCORE!$D1200,EVENTOS!$F:$F,0)),0)</f>
        <v>0</v>
      </c>
      <c r="AD1200" s="3">
        <f>IFERROR(INDEX(EVENTOS!$D:$D,MATCH(SCORE!AD$2&amp;" "&amp;SCORE!$D1200,EVENTOS!$F:$F,0)),0)</f>
        <v>0</v>
      </c>
      <c r="AE1200" s="3">
        <f t="shared" si="54"/>
        <v>0</v>
      </c>
      <c r="AF1200" s="10" t="e">
        <f t="shared" si="55"/>
        <v>#N/A</v>
      </c>
      <c r="AG1200" s="3" t="str">
        <f t="shared" si="56"/>
        <v/>
      </c>
    </row>
    <row r="1201" spans="1:33" x14ac:dyDescent="0.25">
      <c r="A1201" s="7"/>
      <c r="B1201" s="8"/>
      <c r="C1201" s="3"/>
      <c r="D1201" s="3"/>
      <c r="E1201" s="3" t="e">
        <f>VLOOKUP(D1201,VIAJES!$D:$E,2,FALSE)</f>
        <v>#N/A</v>
      </c>
      <c r="F1201" s="9" t="e">
        <f>VLOOKUP(D1201,VIAJES!$D:$F,3,FALSE)</f>
        <v>#N/A</v>
      </c>
      <c r="G1201" s="9" t="e">
        <f>VLOOKUP(D1201,VIAJES!$D:$G,4,FALSE)</f>
        <v>#N/A</v>
      </c>
      <c r="H1201" s="3" t="e">
        <f>VLOOKUP(D1201,VIAJES!$D:$H,5,FALSE)</f>
        <v>#N/A</v>
      </c>
      <c r="S1201" s="3">
        <f>IFERROR(INDEX(EVENTOS!$D:$D,MATCH(SCORE!S$2&amp;" "&amp;SCORE!$D1201,EVENTOS!$F:$F,0)),0)</f>
        <v>0</v>
      </c>
      <c r="T1201" s="3">
        <f>IFERROR(INDEX(EVENTOS!$D:$D,MATCH(SCORE!T$2&amp;" "&amp;SCORE!$D1201,EVENTOS!$F:$F,0)),0)</f>
        <v>0</v>
      </c>
      <c r="U1201" s="3">
        <f>IFERROR(INDEX(EVENTOS!$D:$D,MATCH(SCORE!U$2&amp;" "&amp;SCORE!$D1201,EVENTOS!$F:$F,0)),0)</f>
        <v>0</v>
      </c>
      <c r="V1201" s="3">
        <f>IFERROR(INDEX(EVENTOS!$D:$D,MATCH(SCORE!V$2&amp;" "&amp;SCORE!$D1201,EVENTOS!$F:$F,0)),0)</f>
        <v>0</v>
      </c>
      <c r="W1201" s="3">
        <f>IFERROR(INDEX(EVENTOS!$D:$D,MATCH(SCORE!W$2&amp;" "&amp;SCORE!$D1201,EVENTOS!$F:$F,0)),0)</f>
        <v>0</v>
      </c>
      <c r="X1201" s="3">
        <f>IFERROR(INDEX(EVENTOS!$D:$D,MATCH(SCORE!X$2&amp;" "&amp;SCORE!$D1201,EVENTOS!$F:$F,0)),0)</f>
        <v>0</v>
      </c>
      <c r="Y1201" s="3">
        <f>SUMIFS(EVENTOS!$D:$D, EVENTOS!$B:$B, D1201, EVENTOS!$E:$E, "*GirAlto*")</f>
        <v>0</v>
      </c>
      <c r="Z1201" s="3">
        <f>SUMIFS(EVENTOS!$D:$D, EVENTOS!$B:$B, D1201, EVENTOS!$E:$E, "*GirMed*")</f>
        <v>0</v>
      </c>
      <c r="AA1201" s="3">
        <f>SUMIFS(EVENTOS!$D:$D, EVENTOS!$B:$B, D1201, EVENTOS!$E:$E, "*GirBajo*")</f>
        <v>0</v>
      </c>
      <c r="AB1201" s="3">
        <f>IFERROR(INDEX(EVENTOS!$D:$D,MATCH(SCORE!AB$2&amp;" "&amp;SCORE!$D1201,EVENTOS!$F:$F,0)),0)</f>
        <v>0</v>
      </c>
      <c r="AC1201" s="3">
        <f>IFERROR(INDEX(EVENTOS!$D:$D,MATCH(SCORE!AC$2&amp;" "&amp;SCORE!$D1201,EVENTOS!$F:$F,0)),0)</f>
        <v>0</v>
      </c>
      <c r="AD1201" s="3">
        <f>IFERROR(INDEX(EVENTOS!$D:$D,MATCH(SCORE!AD$2&amp;" "&amp;SCORE!$D1201,EVENTOS!$F:$F,0)),0)</f>
        <v>0</v>
      </c>
      <c r="AE1201" s="3">
        <f t="shared" si="54"/>
        <v>0</v>
      </c>
      <c r="AF1201" s="10" t="e">
        <f t="shared" si="55"/>
        <v>#N/A</v>
      </c>
      <c r="AG1201" s="3" t="str">
        <f t="shared" si="56"/>
        <v/>
      </c>
    </row>
    <row r="1202" spans="1:33" x14ac:dyDescent="0.25">
      <c r="A1202" s="7"/>
      <c r="B1202" s="8"/>
      <c r="C1202" s="3"/>
      <c r="D1202" s="3"/>
      <c r="E1202" s="3" t="e">
        <f>VLOOKUP(D1202,VIAJES!$D:$E,2,FALSE)</f>
        <v>#N/A</v>
      </c>
      <c r="F1202" s="9" t="e">
        <f>VLOOKUP(D1202,VIAJES!$D:$F,3,FALSE)</f>
        <v>#N/A</v>
      </c>
      <c r="G1202" s="9" t="e">
        <f>VLOOKUP(D1202,VIAJES!$D:$G,4,FALSE)</f>
        <v>#N/A</v>
      </c>
      <c r="H1202" s="3" t="e">
        <f>VLOOKUP(D1202,VIAJES!$D:$H,5,FALSE)</f>
        <v>#N/A</v>
      </c>
      <c r="S1202" s="3">
        <f>IFERROR(INDEX(EVENTOS!$D:$D,MATCH(SCORE!S$2&amp;" "&amp;SCORE!$D1202,EVENTOS!$F:$F,0)),0)</f>
        <v>0</v>
      </c>
      <c r="T1202" s="3">
        <f>IFERROR(INDEX(EVENTOS!$D:$D,MATCH(SCORE!T$2&amp;" "&amp;SCORE!$D1202,EVENTOS!$F:$F,0)),0)</f>
        <v>0</v>
      </c>
      <c r="U1202" s="3">
        <f>IFERROR(INDEX(EVENTOS!$D:$D,MATCH(SCORE!U$2&amp;" "&amp;SCORE!$D1202,EVENTOS!$F:$F,0)),0)</f>
        <v>0</v>
      </c>
      <c r="V1202" s="3">
        <f>IFERROR(INDEX(EVENTOS!$D:$D,MATCH(SCORE!V$2&amp;" "&amp;SCORE!$D1202,EVENTOS!$F:$F,0)),0)</f>
        <v>0</v>
      </c>
      <c r="W1202" s="3">
        <f>IFERROR(INDEX(EVENTOS!$D:$D,MATCH(SCORE!W$2&amp;" "&amp;SCORE!$D1202,EVENTOS!$F:$F,0)),0)</f>
        <v>0</v>
      </c>
      <c r="X1202" s="3">
        <f>IFERROR(INDEX(EVENTOS!$D:$D,MATCH(SCORE!X$2&amp;" "&amp;SCORE!$D1202,EVENTOS!$F:$F,0)),0)</f>
        <v>0</v>
      </c>
      <c r="Y1202" s="3">
        <f>SUMIFS(EVENTOS!$D:$D, EVENTOS!$B:$B, D1202, EVENTOS!$E:$E, "*GirAlto*")</f>
        <v>0</v>
      </c>
      <c r="Z1202" s="3">
        <f>SUMIFS(EVENTOS!$D:$D, EVENTOS!$B:$B, D1202, EVENTOS!$E:$E, "*GirMed*")</f>
        <v>0</v>
      </c>
      <c r="AA1202" s="3">
        <f>SUMIFS(EVENTOS!$D:$D, EVENTOS!$B:$B, D1202, EVENTOS!$E:$E, "*GirBajo*")</f>
        <v>0</v>
      </c>
      <c r="AB1202" s="3">
        <f>IFERROR(INDEX(EVENTOS!$D:$D,MATCH(SCORE!AB$2&amp;" "&amp;SCORE!$D1202,EVENTOS!$F:$F,0)),0)</f>
        <v>0</v>
      </c>
      <c r="AC1202" s="3">
        <f>IFERROR(INDEX(EVENTOS!$D:$D,MATCH(SCORE!AC$2&amp;" "&amp;SCORE!$D1202,EVENTOS!$F:$F,0)),0)</f>
        <v>0</v>
      </c>
      <c r="AD1202" s="3">
        <f>IFERROR(INDEX(EVENTOS!$D:$D,MATCH(SCORE!AD$2&amp;" "&amp;SCORE!$D1202,EVENTOS!$F:$F,0)),0)</f>
        <v>0</v>
      </c>
      <c r="AE1202" s="3">
        <f t="shared" si="54"/>
        <v>0</v>
      </c>
      <c r="AF1202" s="10" t="e">
        <f t="shared" si="55"/>
        <v>#N/A</v>
      </c>
      <c r="AG1202" s="3" t="str">
        <f t="shared" si="56"/>
        <v/>
      </c>
    </row>
    <row r="1203" spans="1:33" x14ac:dyDescent="0.25">
      <c r="A1203" s="7"/>
      <c r="B1203" s="8"/>
      <c r="C1203" s="3"/>
      <c r="D1203" s="3"/>
      <c r="E1203" s="3" t="e">
        <f>VLOOKUP(D1203,VIAJES!$D:$E,2,FALSE)</f>
        <v>#N/A</v>
      </c>
      <c r="F1203" s="9" t="e">
        <f>VLOOKUP(D1203,VIAJES!$D:$F,3,FALSE)</f>
        <v>#N/A</v>
      </c>
      <c r="G1203" s="9" t="e">
        <f>VLOOKUP(D1203,VIAJES!$D:$G,4,FALSE)</f>
        <v>#N/A</v>
      </c>
      <c r="H1203" s="3" t="e">
        <f>VLOOKUP(D1203,VIAJES!$D:$H,5,FALSE)</f>
        <v>#N/A</v>
      </c>
      <c r="S1203" s="3">
        <f>IFERROR(INDEX(EVENTOS!$D:$D,MATCH(SCORE!S$2&amp;" "&amp;SCORE!$D1203,EVENTOS!$F:$F,0)),0)</f>
        <v>0</v>
      </c>
      <c r="T1203" s="3">
        <f>IFERROR(INDEX(EVENTOS!$D:$D,MATCH(SCORE!T$2&amp;" "&amp;SCORE!$D1203,EVENTOS!$F:$F,0)),0)</f>
        <v>0</v>
      </c>
      <c r="U1203" s="3">
        <f>IFERROR(INDEX(EVENTOS!$D:$D,MATCH(SCORE!U$2&amp;" "&amp;SCORE!$D1203,EVENTOS!$F:$F,0)),0)</f>
        <v>0</v>
      </c>
      <c r="V1203" s="3">
        <f>IFERROR(INDEX(EVENTOS!$D:$D,MATCH(SCORE!V$2&amp;" "&amp;SCORE!$D1203,EVENTOS!$F:$F,0)),0)</f>
        <v>0</v>
      </c>
      <c r="W1203" s="3">
        <f>IFERROR(INDEX(EVENTOS!$D:$D,MATCH(SCORE!W$2&amp;" "&amp;SCORE!$D1203,EVENTOS!$F:$F,0)),0)</f>
        <v>0</v>
      </c>
      <c r="X1203" s="3">
        <f>IFERROR(INDEX(EVENTOS!$D:$D,MATCH(SCORE!X$2&amp;" "&amp;SCORE!$D1203,EVENTOS!$F:$F,0)),0)</f>
        <v>0</v>
      </c>
      <c r="Y1203" s="3">
        <f>SUMIFS(EVENTOS!$D:$D, EVENTOS!$B:$B, D1203, EVENTOS!$E:$E, "*GirAlto*")</f>
        <v>0</v>
      </c>
      <c r="Z1203" s="3">
        <f>SUMIFS(EVENTOS!$D:$D, EVENTOS!$B:$B, D1203, EVENTOS!$E:$E, "*GirMed*")</f>
        <v>0</v>
      </c>
      <c r="AA1203" s="3">
        <f>SUMIFS(EVENTOS!$D:$D, EVENTOS!$B:$B, D1203, EVENTOS!$E:$E, "*GirBajo*")</f>
        <v>0</v>
      </c>
      <c r="AB1203" s="3">
        <f>IFERROR(INDEX(EVENTOS!$D:$D,MATCH(SCORE!AB$2&amp;" "&amp;SCORE!$D1203,EVENTOS!$F:$F,0)),0)</f>
        <v>0</v>
      </c>
      <c r="AC1203" s="3">
        <f>IFERROR(INDEX(EVENTOS!$D:$D,MATCH(SCORE!AC$2&amp;" "&amp;SCORE!$D1203,EVENTOS!$F:$F,0)),0)</f>
        <v>0</v>
      </c>
      <c r="AD1203" s="3">
        <f>IFERROR(INDEX(EVENTOS!$D:$D,MATCH(SCORE!AD$2&amp;" "&amp;SCORE!$D1203,EVENTOS!$F:$F,0)),0)</f>
        <v>0</v>
      </c>
      <c r="AE1203" s="3">
        <f t="shared" si="54"/>
        <v>0</v>
      </c>
      <c r="AF1203" s="10" t="e">
        <f t="shared" si="55"/>
        <v>#N/A</v>
      </c>
      <c r="AG1203" s="3" t="str">
        <f t="shared" si="56"/>
        <v/>
      </c>
    </row>
    <row r="1204" spans="1:33" x14ac:dyDescent="0.25">
      <c r="A1204" s="7"/>
      <c r="B1204" s="8"/>
      <c r="C1204" s="3"/>
      <c r="D1204" s="3"/>
      <c r="E1204" s="3" t="e">
        <f>VLOOKUP(D1204,VIAJES!$D:$E,2,FALSE)</f>
        <v>#N/A</v>
      </c>
      <c r="F1204" s="9" t="e">
        <f>VLOOKUP(D1204,VIAJES!$D:$F,3,FALSE)</f>
        <v>#N/A</v>
      </c>
      <c r="G1204" s="9" t="e">
        <f>VLOOKUP(D1204,VIAJES!$D:$G,4,FALSE)</f>
        <v>#N/A</v>
      </c>
      <c r="H1204" s="3" t="e">
        <f>VLOOKUP(D1204,VIAJES!$D:$H,5,FALSE)</f>
        <v>#N/A</v>
      </c>
      <c r="S1204" s="3">
        <f>IFERROR(INDEX(EVENTOS!$D:$D,MATCH(SCORE!S$2&amp;" "&amp;SCORE!$D1204,EVENTOS!$F:$F,0)),0)</f>
        <v>0</v>
      </c>
      <c r="T1204" s="3">
        <f>IFERROR(INDEX(EVENTOS!$D:$D,MATCH(SCORE!T$2&amp;" "&amp;SCORE!$D1204,EVENTOS!$F:$F,0)),0)</f>
        <v>0</v>
      </c>
      <c r="U1204" s="3">
        <f>IFERROR(INDEX(EVENTOS!$D:$D,MATCH(SCORE!U$2&amp;" "&amp;SCORE!$D1204,EVENTOS!$F:$F,0)),0)</f>
        <v>0</v>
      </c>
      <c r="V1204" s="3">
        <f>IFERROR(INDEX(EVENTOS!$D:$D,MATCH(SCORE!V$2&amp;" "&amp;SCORE!$D1204,EVENTOS!$F:$F,0)),0)</f>
        <v>0</v>
      </c>
      <c r="W1204" s="3">
        <f>IFERROR(INDEX(EVENTOS!$D:$D,MATCH(SCORE!W$2&amp;" "&amp;SCORE!$D1204,EVENTOS!$F:$F,0)),0)</f>
        <v>0</v>
      </c>
      <c r="X1204" s="3">
        <f>IFERROR(INDEX(EVENTOS!$D:$D,MATCH(SCORE!X$2&amp;" "&amp;SCORE!$D1204,EVENTOS!$F:$F,0)),0)</f>
        <v>0</v>
      </c>
      <c r="Y1204" s="3">
        <f>SUMIFS(EVENTOS!$D:$D, EVENTOS!$B:$B, D1204, EVENTOS!$E:$E, "*GirAlto*")</f>
        <v>0</v>
      </c>
      <c r="Z1204" s="3">
        <f>SUMIFS(EVENTOS!$D:$D, EVENTOS!$B:$B, D1204, EVENTOS!$E:$E, "*GirMed*")</f>
        <v>0</v>
      </c>
      <c r="AA1204" s="3">
        <f>SUMIFS(EVENTOS!$D:$D, EVENTOS!$B:$B, D1204, EVENTOS!$E:$E, "*GirBajo*")</f>
        <v>0</v>
      </c>
      <c r="AB1204" s="3">
        <f>IFERROR(INDEX(EVENTOS!$D:$D,MATCH(SCORE!AB$2&amp;" "&amp;SCORE!$D1204,EVENTOS!$F:$F,0)),0)</f>
        <v>0</v>
      </c>
      <c r="AC1204" s="3">
        <f>IFERROR(INDEX(EVENTOS!$D:$D,MATCH(SCORE!AC$2&amp;" "&amp;SCORE!$D1204,EVENTOS!$F:$F,0)),0)</f>
        <v>0</v>
      </c>
      <c r="AD1204" s="3">
        <f>IFERROR(INDEX(EVENTOS!$D:$D,MATCH(SCORE!AD$2&amp;" "&amp;SCORE!$D1204,EVENTOS!$F:$F,0)),0)</f>
        <v>0</v>
      </c>
      <c r="AE1204" s="3">
        <f t="shared" si="54"/>
        <v>0</v>
      </c>
      <c r="AF1204" s="10" t="e">
        <f t="shared" si="55"/>
        <v>#N/A</v>
      </c>
      <c r="AG1204" s="3" t="str">
        <f t="shared" si="56"/>
        <v/>
      </c>
    </row>
    <row r="1205" spans="1:33" x14ac:dyDescent="0.25">
      <c r="A1205" s="7"/>
      <c r="B1205" s="8"/>
      <c r="C1205" s="3"/>
      <c r="D1205" s="3"/>
      <c r="E1205" s="3" t="e">
        <f>VLOOKUP(D1205,VIAJES!$D:$E,2,FALSE)</f>
        <v>#N/A</v>
      </c>
      <c r="F1205" s="9" t="e">
        <f>VLOOKUP(D1205,VIAJES!$D:$F,3,FALSE)</f>
        <v>#N/A</v>
      </c>
      <c r="G1205" s="9" t="e">
        <f>VLOOKUP(D1205,VIAJES!$D:$G,4,FALSE)</f>
        <v>#N/A</v>
      </c>
      <c r="H1205" s="3" t="e">
        <f>VLOOKUP(D1205,VIAJES!$D:$H,5,FALSE)</f>
        <v>#N/A</v>
      </c>
      <c r="S1205" s="3">
        <f>IFERROR(INDEX(EVENTOS!$D:$D,MATCH(SCORE!S$2&amp;" "&amp;SCORE!$D1205,EVENTOS!$F:$F,0)),0)</f>
        <v>0</v>
      </c>
      <c r="T1205" s="3">
        <f>IFERROR(INDEX(EVENTOS!$D:$D,MATCH(SCORE!T$2&amp;" "&amp;SCORE!$D1205,EVENTOS!$F:$F,0)),0)</f>
        <v>0</v>
      </c>
      <c r="U1205" s="3">
        <f>IFERROR(INDEX(EVENTOS!$D:$D,MATCH(SCORE!U$2&amp;" "&amp;SCORE!$D1205,EVENTOS!$F:$F,0)),0)</f>
        <v>0</v>
      </c>
      <c r="V1205" s="3">
        <f>IFERROR(INDEX(EVENTOS!$D:$D,MATCH(SCORE!V$2&amp;" "&amp;SCORE!$D1205,EVENTOS!$F:$F,0)),0)</f>
        <v>0</v>
      </c>
      <c r="W1205" s="3">
        <f>IFERROR(INDEX(EVENTOS!$D:$D,MATCH(SCORE!W$2&amp;" "&amp;SCORE!$D1205,EVENTOS!$F:$F,0)),0)</f>
        <v>0</v>
      </c>
      <c r="X1205" s="3">
        <f>IFERROR(INDEX(EVENTOS!$D:$D,MATCH(SCORE!X$2&amp;" "&amp;SCORE!$D1205,EVENTOS!$F:$F,0)),0)</f>
        <v>0</v>
      </c>
      <c r="Y1205" s="3">
        <f>SUMIFS(EVENTOS!$D:$D, EVENTOS!$B:$B, D1205, EVENTOS!$E:$E, "*GirAlto*")</f>
        <v>0</v>
      </c>
      <c r="Z1205" s="3">
        <f>SUMIFS(EVENTOS!$D:$D, EVENTOS!$B:$B, D1205, EVENTOS!$E:$E, "*GirMed*")</f>
        <v>0</v>
      </c>
      <c r="AA1205" s="3">
        <f>SUMIFS(EVENTOS!$D:$D, EVENTOS!$B:$B, D1205, EVENTOS!$E:$E, "*GirBajo*")</f>
        <v>0</v>
      </c>
      <c r="AB1205" s="3">
        <f>IFERROR(INDEX(EVENTOS!$D:$D,MATCH(SCORE!AB$2&amp;" "&amp;SCORE!$D1205,EVENTOS!$F:$F,0)),0)</f>
        <v>0</v>
      </c>
      <c r="AC1205" s="3">
        <f>IFERROR(INDEX(EVENTOS!$D:$D,MATCH(SCORE!AC$2&amp;" "&amp;SCORE!$D1205,EVENTOS!$F:$F,0)),0)</f>
        <v>0</v>
      </c>
      <c r="AD1205" s="3">
        <f>IFERROR(INDEX(EVENTOS!$D:$D,MATCH(SCORE!AD$2&amp;" "&amp;SCORE!$D1205,EVENTOS!$F:$F,0)),0)</f>
        <v>0</v>
      </c>
      <c r="AE1205" s="3">
        <f t="shared" si="54"/>
        <v>0</v>
      </c>
      <c r="AF1205" s="10" t="e">
        <f t="shared" si="55"/>
        <v>#N/A</v>
      </c>
      <c r="AG1205" s="3" t="str">
        <f t="shared" si="56"/>
        <v/>
      </c>
    </row>
    <row r="1206" spans="1:33" x14ac:dyDescent="0.25">
      <c r="A1206" s="7"/>
      <c r="B1206" s="8"/>
      <c r="C1206" s="3"/>
      <c r="D1206" s="3"/>
      <c r="E1206" s="3" t="e">
        <f>VLOOKUP(D1206,VIAJES!$D:$E,2,FALSE)</f>
        <v>#N/A</v>
      </c>
      <c r="F1206" s="9" t="e">
        <f>VLOOKUP(D1206,VIAJES!$D:$F,3,FALSE)</f>
        <v>#N/A</v>
      </c>
      <c r="G1206" s="9" t="e">
        <f>VLOOKUP(D1206,VIAJES!$D:$G,4,FALSE)</f>
        <v>#N/A</v>
      </c>
      <c r="H1206" s="3" t="e">
        <f>VLOOKUP(D1206,VIAJES!$D:$H,5,FALSE)</f>
        <v>#N/A</v>
      </c>
      <c r="S1206" s="3">
        <f>IFERROR(INDEX(EVENTOS!$D:$D,MATCH(SCORE!S$2&amp;" "&amp;SCORE!$D1206,EVENTOS!$F:$F,0)),0)</f>
        <v>0</v>
      </c>
      <c r="T1206" s="3">
        <f>IFERROR(INDEX(EVENTOS!$D:$D,MATCH(SCORE!T$2&amp;" "&amp;SCORE!$D1206,EVENTOS!$F:$F,0)),0)</f>
        <v>0</v>
      </c>
      <c r="U1206" s="3">
        <f>IFERROR(INDEX(EVENTOS!$D:$D,MATCH(SCORE!U$2&amp;" "&amp;SCORE!$D1206,EVENTOS!$F:$F,0)),0)</f>
        <v>0</v>
      </c>
      <c r="V1206" s="3">
        <f>IFERROR(INDEX(EVENTOS!$D:$D,MATCH(SCORE!V$2&amp;" "&amp;SCORE!$D1206,EVENTOS!$F:$F,0)),0)</f>
        <v>0</v>
      </c>
      <c r="W1206" s="3">
        <f>IFERROR(INDEX(EVENTOS!$D:$D,MATCH(SCORE!W$2&amp;" "&amp;SCORE!$D1206,EVENTOS!$F:$F,0)),0)</f>
        <v>0</v>
      </c>
      <c r="X1206" s="3">
        <f>IFERROR(INDEX(EVENTOS!$D:$D,MATCH(SCORE!X$2&amp;" "&amp;SCORE!$D1206,EVENTOS!$F:$F,0)),0)</f>
        <v>0</v>
      </c>
      <c r="Y1206" s="3">
        <f>SUMIFS(EVENTOS!$D:$D, EVENTOS!$B:$B, D1206, EVENTOS!$E:$E, "*GirAlto*")</f>
        <v>0</v>
      </c>
      <c r="Z1206" s="3">
        <f>SUMIFS(EVENTOS!$D:$D, EVENTOS!$B:$B, D1206, EVENTOS!$E:$E, "*GirMed*")</f>
        <v>0</v>
      </c>
      <c r="AA1206" s="3">
        <f>SUMIFS(EVENTOS!$D:$D, EVENTOS!$B:$B, D1206, EVENTOS!$E:$E, "*GirBajo*")</f>
        <v>0</v>
      </c>
      <c r="AB1206" s="3">
        <f>IFERROR(INDEX(EVENTOS!$D:$D,MATCH(SCORE!AB$2&amp;" "&amp;SCORE!$D1206,EVENTOS!$F:$F,0)),0)</f>
        <v>0</v>
      </c>
      <c r="AC1206" s="3">
        <f>IFERROR(INDEX(EVENTOS!$D:$D,MATCH(SCORE!AC$2&amp;" "&amp;SCORE!$D1206,EVENTOS!$F:$F,0)),0)</f>
        <v>0</v>
      </c>
      <c r="AD1206" s="3">
        <f>IFERROR(INDEX(EVENTOS!$D:$D,MATCH(SCORE!AD$2&amp;" "&amp;SCORE!$D1206,EVENTOS!$F:$F,0)),0)</f>
        <v>0</v>
      </c>
      <c r="AE1206" s="3">
        <f t="shared" si="54"/>
        <v>0</v>
      </c>
      <c r="AF1206" s="10" t="e">
        <f t="shared" si="55"/>
        <v>#N/A</v>
      </c>
      <c r="AG1206" s="3" t="str">
        <f t="shared" si="56"/>
        <v/>
      </c>
    </row>
    <row r="1207" spans="1:33" x14ac:dyDescent="0.25">
      <c r="A1207" s="7"/>
      <c r="B1207" s="8"/>
      <c r="C1207" s="3"/>
      <c r="D1207" s="3"/>
      <c r="E1207" s="3" t="e">
        <f>VLOOKUP(D1207,VIAJES!$D:$E,2,FALSE)</f>
        <v>#N/A</v>
      </c>
      <c r="F1207" s="9" t="e">
        <f>VLOOKUP(D1207,VIAJES!$D:$F,3,FALSE)</f>
        <v>#N/A</v>
      </c>
      <c r="G1207" s="9" t="e">
        <f>VLOOKUP(D1207,VIAJES!$D:$G,4,FALSE)</f>
        <v>#N/A</v>
      </c>
      <c r="H1207" s="3" t="e">
        <f>VLOOKUP(D1207,VIAJES!$D:$H,5,FALSE)</f>
        <v>#N/A</v>
      </c>
      <c r="S1207" s="3">
        <f>IFERROR(INDEX(EVENTOS!$D:$D,MATCH(SCORE!S$2&amp;" "&amp;SCORE!$D1207,EVENTOS!$F:$F,0)),0)</f>
        <v>0</v>
      </c>
      <c r="T1207" s="3">
        <f>IFERROR(INDEX(EVENTOS!$D:$D,MATCH(SCORE!T$2&amp;" "&amp;SCORE!$D1207,EVENTOS!$F:$F,0)),0)</f>
        <v>0</v>
      </c>
      <c r="U1207" s="3">
        <f>IFERROR(INDEX(EVENTOS!$D:$D,MATCH(SCORE!U$2&amp;" "&amp;SCORE!$D1207,EVENTOS!$F:$F,0)),0)</f>
        <v>0</v>
      </c>
      <c r="V1207" s="3">
        <f>IFERROR(INDEX(EVENTOS!$D:$D,MATCH(SCORE!V$2&amp;" "&amp;SCORE!$D1207,EVENTOS!$F:$F,0)),0)</f>
        <v>0</v>
      </c>
      <c r="W1207" s="3">
        <f>IFERROR(INDEX(EVENTOS!$D:$D,MATCH(SCORE!W$2&amp;" "&amp;SCORE!$D1207,EVENTOS!$F:$F,0)),0)</f>
        <v>0</v>
      </c>
      <c r="X1207" s="3">
        <f>IFERROR(INDEX(EVENTOS!$D:$D,MATCH(SCORE!X$2&amp;" "&amp;SCORE!$D1207,EVENTOS!$F:$F,0)),0)</f>
        <v>0</v>
      </c>
      <c r="Y1207" s="3">
        <f>SUMIFS(EVENTOS!$D:$D, EVENTOS!$B:$B, D1207, EVENTOS!$E:$E, "*GirAlto*")</f>
        <v>0</v>
      </c>
      <c r="Z1207" s="3">
        <f>SUMIFS(EVENTOS!$D:$D, EVENTOS!$B:$B, D1207, EVENTOS!$E:$E, "*GirMed*")</f>
        <v>0</v>
      </c>
      <c r="AA1207" s="3">
        <f>SUMIFS(EVENTOS!$D:$D, EVENTOS!$B:$B, D1207, EVENTOS!$E:$E, "*GirBajo*")</f>
        <v>0</v>
      </c>
      <c r="AB1207" s="3">
        <f>IFERROR(INDEX(EVENTOS!$D:$D,MATCH(SCORE!AB$2&amp;" "&amp;SCORE!$D1207,EVENTOS!$F:$F,0)),0)</f>
        <v>0</v>
      </c>
      <c r="AC1207" s="3">
        <f>IFERROR(INDEX(EVENTOS!$D:$D,MATCH(SCORE!AC$2&amp;" "&amp;SCORE!$D1207,EVENTOS!$F:$F,0)),0)</f>
        <v>0</v>
      </c>
      <c r="AD1207" s="3">
        <f>IFERROR(INDEX(EVENTOS!$D:$D,MATCH(SCORE!AD$2&amp;" "&amp;SCORE!$D1207,EVENTOS!$F:$F,0)),0)</f>
        <v>0</v>
      </c>
      <c r="AE1207" s="3">
        <f t="shared" si="54"/>
        <v>0</v>
      </c>
      <c r="AF1207" s="10" t="e">
        <f t="shared" si="55"/>
        <v>#N/A</v>
      </c>
      <c r="AG1207" s="3" t="str">
        <f t="shared" si="56"/>
        <v/>
      </c>
    </row>
    <row r="1208" spans="1:33" x14ac:dyDescent="0.25">
      <c r="A1208" s="7"/>
      <c r="B1208" s="8"/>
      <c r="C1208" s="3"/>
      <c r="D1208" s="3"/>
      <c r="E1208" s="3" t="e">
        <f>VLOOKUP(D1208,VIAJES!$D:$E,2,FALSE)</f>
        <v>#N/A</v>
      </c>
      <c r="F1208" s="9" t="e">
        <f>VLOOKUP(D1208,VIAJES!$D:$F,3,FALSE)</f>
        <v>#N/A</v>
      </c>
      <c r="G1208" s="9" t="e">
        <f>VLOOKUP(D1208,VIAJES!$D:$G,4,FALSE)</f>
        <v>#N/A</v>
      </c>
      <c r="H1208" s="3" t="e">
        <f>VLOOKUP(D1208,VIAJES!$D:$H,5,FALSE)</f>
        <v>#N/A</v>
      </c>
      <c r="S1208" s="3">
        <f>IFERROR(INDEX(EVENTOS!$D:$D,MATCH(SCORE!S$2&amp;" "&amp;SCORE!$D1208,EVENTOS!$F:$F,0)),0)</f>
        <v>0</v>
      </c>
      <c r="T1208" s="3">
        <f>IFERROR(INDEX(EVENTOS!$D:$D,MATCH(SCORE!T$2&amp;" "&amp;SCORE!$D1208,EVENTOS!$F:$F,0)),0)</f>
        <v>0</v>
      </c>
      <c r="U1208" s="3">
        <f>IFERROR(INDEX(EVENTOS!$D:$D,MATCH(SCORE!U$2&amp;" "&amp;SCORE!$D1208,EVENTOS!$F:$F,0)),0)</f>
        <v>0</v>
      </c>
      <c r="V1208" s="3">
        <f>IFERROR(INDEX(EVENTOS!$D:$D,MATCH(SCORE!V$2&amp;" "&amp;SCORE!$D1208,EVENTOS!$F:$F,0)),0)</f>
        <v>0</v>
      </c>
      <c r="W1208" s="3">
        <f>IFERROR(INDEX(EVENTOS!$D:$D,MATCH(SCORE!W$2&amp;" "&amp;SCORE!$D1208,EVENTOS!$F:$F,0)),0)</f>
        <v>0</v>
      </c>
      <c r="X1208" s="3">
        <f>IFERROR(INDEX(EVENTOS!$D:$D,MATCH(SCORE!X$2&amp;" "&amp;SCORE!$D1208,EVENTOS!$F:$F,0)),0)</f>
        <v>0</v>
      </c>
      <c r="Y1208" s="3">
        <f>SUMIFS(EVENTOS!$D:$D, EVENTOS!$B:$B, D1208, EVENTOS!$E:$E, "*GirAlto*")</f>
        <v>0</v>
      </c>
      <c r="Z1208" s="3">
        <f>SUMIFS(EVENTOS!$D:$D, EVENTOS!$B:$B, D1208, EVENTOS!$E:$E, "*GirMed*")</f>
        <v>0</v>
      </c>
      <c r="AA1208" s="3">
        <f>SUMIFS(EVENTOS!$D:$D, EVENTOS!$B:$B, D1208, EVENTOS!$E:$E, "*GirBajo*")</f>
        <v>0</v>
      </c>
      <c r="AB1208" s="3">
        <f>IFERROR(INDEX(EVENTOS!$D:$D,MATCH(SCORE!AB$2&amp;" "&amp;SCORE!$D1208,EVENTOS!$F:$F,0)),0)</f>
        <v>0</v>
      </c>
      <c r="AC1208" s="3">
        <f>IFERROR(INDEX(EVENTOS!$D:$D,MATCH(SCORE!AC$2&amp;" "&amp;SCORE!$D1208,EVENTOS!$F:$F,0)),0)</f>
        <v>0</v>
      </c>
      <c r="AD1208" s="3">
        <f>IFERROR(INDEX(EVENTOS!$D:$D,MATCH(SCORE!AD$2&amp;" "&amp;SCORE!$D1208,EVENTOS!$F:$F,0)),0)</f>
        <v>0</v>
      </c>
      <c r="AE1208" s="3">
        <f t="shared" si="54"/>
        <v>0</v>
      </c>
      <c r="AF1208" s="10" t="e">
        <f t="shared" si="55"/>
        <v>#N/A</v>
      </c>
      <c r="AG1208" s="3" t="str">
        <f t="shared" si="56"/>
        <v/>
      </c>
    </row>
    <row r="1209" spans="1:33" x14ac:dyDescent="0.25">
      <c r="A1209" s="7"/>
      <c r="B1209" s="8"/>
      <c r="C1209" s="3"/>
      <c r="D1209" s="3"/>
      <c r="E1209" s="3" t="e">
        <f>VLOOKUP(D1209,VIAJES!$D:$E,2,FALSE)</f>
        <v>#N/A</v>
      </c>
      <c r="F1209" s="9" t="e">
        <f>VLOOKUP(D1209,VIAJES!$D:$F,3,FALSE)</f>
        <v>#N/A</v>
      </c>
      <c r="G1209" s="9" t="e">
        <f>VLOOKUP(D1209,VIAJES!$D:$G,4,FALSE)</f>
        <v>#N/A</v>
      </c>
      <c r="H1209" s="3" t="e">
        <f>VLOOKUP(D1209,VIAJES!$D:$H,5,FALSE)</f>
        <v>#N/A</v>
      </c>
      <c r="S1209" s="3">
        <f>IFERROR(INDEX(EVENTOS!$D:$D,MATCH(SCORE!S$2&amp;" "&amp;SCORE!$D1209,EVENTOS!$F:$F,0)),0)</f>
        <v>0</v>
      </c>
      <c r="T1209" s="3">
        <f>IFERROR(INDEX(EVENTOS!$D:$D,MATCH(SCORE!T$2&amp;" "&amp;SCORE!$D1209,EVENTOS!$F:$F,0)),0)</f>
        <v>0</v>
      </c>
      <c r="U1209" s="3">
        <f>IFERROR(INDEX(EVENTOS!$D:$D,MATCH(SCORE!U$2&amp;" "&amp;SCORE!$D1209,EVENTOS!$F:$F,0)),0)</f>
        <v>0</v>
      </c>
      <c r="V1209" s="3">
        <f>IFERROR(INDEX(EVENTOS!$D:$D,MATCH(SCORE!V$2&amp;" "&amp;SCORE!$D1209,EVENTOS!$F:$F,0)),0)</f>
        <v>0</v>
      </c>
      <c r="W1209" s="3">
        <f>IFERROR(INDEX(EVENTOS!$D:$D,MATCH(SCORE!W$2&amp;" "&amp;SCORE!$D1209,EVENTOS!$F:$F,0)),0)</f>
        <v>0</v>
      </c>
      <c r="X1209" s="3">
        <f>IFERROR(INDEX(EVENTOS!$D:$D,MATCH(SCORE!X$2&amp;" "&amp;SCORE!$D1209,EVENTOS!$F:$F,0)),0)</f>
        <v>0</v>
      </c>
      <c r="Y1209" s="3">
        <f>SUMIFS(EVENTOS!$D:$D, EVENTOS!$B:$B, D1209, EVENTOS!$E:$E, "*GirAlto*")</f>
        <v>0</v>
      </c>
      <c r="Z1209" s="3">
        <f>SUMIFS(EVENTOS!$D:$D, EVENTOS!$B:$B, D1209, EVENTOS!$E:$E, "*GirMed*")</f>
        <v>0</v>
      </c>
      <c r="AA1209" s="3">
        <f>SUMIFS(EVENTOS!$D:$D, EVENTOS!$B:$B, D1209, EVENTOS!$E:$E, "*GirBajo*")</f>
        <v>0</v>
      </c>
      <c r="AB1209" s="3">
        <f>IFERROR(INDEX(EVENTOS!$D:$D,MATCH(SCORE!AB$2&amp;" "&amp;SCORE!$D1209,EVENTOS!$F:$F,0)),0)</f>
        <v>0</v>
      </c>
      <c r="AC1209" s="3">
        <f>IFERROR(INDEX(EVENTOS!$D:$D,MATCH(SCORE!AC$2&amp;" "&amp;SCORE!$D1209,EVENTOS!$F:$F,0)),0)</f>
        <v>0</v>
      </c>
      <c r="AD1209" s="3">
        <f>IFERROR(INDEX(EVENTOS!$D:$D,MATCH(SCORE!AD$2&amp;" "&amp;SCORE!$D1209,EVENTOS!$F:$F,0)),0)</f>
        <v>0</v>
      </c>
      <c r="AE1209" s="3">
        <f t="shared" si="54"/>
        <v>0</v>
      </c>
      <c r="AF1209" s="10" t="e">
        <f t="shared" si="55"/>
        <v>#N/A</v>
      </c>
      <c r="AG1209" s="3" t="str">
        <f t="shared" si="56"/>
        <v/>
      </c>
    </row>
    <row r="1210" spans="1:33" x14ac:dyDescent="0.25">
      <c r="A1210" s="7"/>
      <c r="B1210" s="8"/>
      <c r="C1210" s="3"/>
      <c r="D1210" s="3"/>
      <c r="E1210" s="3" t="e">
        <f>VLOOKUP(D1210,VIAJES!$D:$E,2,FALSE)</f>
        <v>#N/A</v>
      </c>
      <c r="F1210" s="9" t="e">
        <f>VLOOKUP(D1210,VIAJES!$D:$F,3,FALSE)</f>
        <v>#N/A</v>
      </c>
      <c r="G1210" s="9" t="e">
        <f>VLOOKUP(D1210,VIAJES!$D:$G,4,FALSE)</f>
        <v>#N/A</v>
      </c>
      <c r="H1210" s="3" t="e">
        <f>VLOOKUP(D1210,VIAJES!$D:$H,5,FALSE)</f>
        <v>#N/A</v>
      </c>
      <c r="S1210" s="3">
        <f>IFERROR(INDEX(EVENTOS!$D:$D,MATCH(SCORE!S$2&amp;" "&amp;SCORE!$D1210,EVENTOS!$F:$F,0)),0)</f>
        <v>0</v>
      </c>
      <c r="T1210" s="3">
        <f>IFERROR(INDEX(EVENTOS!$D:$D,MATCH(SCORE!T$2&amp;" "&amp;SCORE!$D1210,EVENTOS!$F:$F,0)),0)</f>
        <v>0</v>
      </c>
      <c r="U1210" s="3">
        <f>IFERROR(INDEX(EVENTOS!$D:$D,MATCH(SCORE!U$2&amp;" "&amp;SCORE!$D1210,EVENTOS!$F:$F,0)),0)</f>
        <v>0</v>
      </c>
      <c r="V1210" s="3">
        <f>IFERROR(INDEX(EVENTOS!$D:$D,MATCH(SCORE!V$2&amp;" "&amp;SCORE!$D1210,EVENTOS!$F:$F,0)),0)</f>
        <v>0</v>
      </c>
      <c r="W1210" s="3">
        <f>IFERROR(INDEX(EVENTOS!$D:$D,MATCH(SCORE!W$2&amp;" "&amp;SCORE!$D1210,EVENTOS!$F:$F,0)),0)</f>
        <v>0</v>
      </c>
      <c r="X1210" s="3">
        <f>IFERROR(INDEX(EVENTOS!$D:$D,MATCH(SCORE!X$2&amp;" "&amp;SCORE!$D1210,EVENTOS!$F:$F,0)),0)</f>
        <v>0</v>
      </c>
      <c r="Y1210" s="3">
        <f>SUMIFS(EVENTOS!$D:$D, EVENTOS!$B:$B, D1210, EVENTOS!$E:$E, "*GirAlto*")</f>
        <v>0</v>
      </c>
      <c r="Z1210" s="3">
        <f>SUMIFS(EVENTOS!$D:$D, EVENTOS!$B:$B, D1210, EVENTOS!$E:$E, "*GirMed*")</f>
        <v>0</v>
      </c>
      <c r="AA1210" s="3">
        <f>SUMIFS(EVENTOS!$D:$D, EVENTOS!$B:$B, D1210, EVENTOS!$E:$E, "*GirBajo*")</f>
        <v>0</v>
      </c>
      <c r="AB1210" s="3">
        <f>IFERROR(INDEX(EVENTOS!$D:$D,MATCH(SCORE!AB$2&amp;" "&amp;SCORE!$D1210,EVENTOS!$F:$F,0)),0)</f>
        <v>0</v>
      </c>
      <c r="AC1210" s="3">
        <f>IFERROR(INDEX(EVENTOS!$D:$D,MATCH(SCORE!AC$2&amp;" "&amp;SCORE!$D1210,EVENTOS!$F:$F,0)),0)</f>
        <v>0</v>
      </c>
      <c r="AD1210" s="3">
        <f>IFERROR(INDEX(EVENTOS!$D:$D,MATCH(SCORE!AD$2&amp;" "&amp;SCORE!$D1210,EVENTOS!$F:$F,0)),0)</f>
        <v>0</v>
      </c>
      <c r="AE1210" s="3">
        <f t="shared" si="54"/>
        <v>0</v>
      </c>
      <c r="AF1210" s="10" t="e">
        <f t="shared" si="55"/>
        <v>#N/A</v>
      </c>
      <c r="AG1210" s="3" t="str">
        <f t="shared" si="56"/>
        <v/>
      </c>
    </row>
    <row r="1211" spans="1:33" x14ac:dyDescent="0.25">
      <c r="A1211" s="7"/>
      <c r="B1211" s="8"/>
      <c r="C1211" s="3"/>
      <c r="D1211" s="3"/>
      <c r="E1211" s="3" t="e">
        <f>VLOOKUP(D1211,VIAJES!$D:$E,2,FALSE)</f>
        <v>#N/A</v>
      </c>
      <c r="F1211" s="9" t="e">
        <f>VLOOKUP(D1211,VIAJES!$D:$F,3,FALSE)</f>
        <v>#N/A</v>
      </c>
      <c r="G1211" s="9" t="e">
        <f>VLOOKUP(D1211,VIAJES!$D:$G,4,FALSE)</f>
        <v>#N/A</v>
      </c>
      <c r="H1211" s="3" t="e">
        <f>VLOOKUP(D1211,VIAJES!$D:$H,5,FALSE)</f>
        <v>#N/A</v>
      </c>
      <c r="S1211" s="3">
        <f>IFERROR(INDEX(EVENTOS!$D:$D,MATCH(SCORE!S$2&amp;" "&amp;SCORE!$D1211,EVENTOS!$F:$F,0)),0)</f>
        <v>0</v>
      </c>
      <c r="T1211" s="3">
        <f>IFERROR(INDEX(EVENTOS!$D:$D,MATCH(SCORE!T$2&amp;" "&amp;SCORE!$D1211,EVENTOS!$F:$F,0)),0)</f>
        <v>0</v>
      </c>
      <c r="U1211" s="3">
        <f>IFERROR(INDEX(EVENTOS!$D:$D,MATCH(SCORE!U$2&amp;" "&amp;SCORE!$D1211,EVENTOS!$F:$F,0)),0)</f>
        <v>0</v>
      </c>
      <c r="V1211" s="3">
        <f>IFERROR(INDEX(EVENTOS!$D:$D,MATCH(SCORE!V$2&amp;" "&amp;SCORE!$D1211,EVENTOS!$F:$F,0)),0)</f>
        <v>0</v>
      </c>
      <c r="W1211" s="3">
        <f>IFERROR(INDEX(EVENTOS!$D:$D,MATCH(SCORE!W$2&amp;" "&amp;SCORE!$D1211,EVENTOS!$F:$F,0)),0)</f>
        <v>0</v>
      </c>
      <c r="X1211" s="3">
        <f>IFERROR(INDEX(EVENTOS!$D:$D,MATCH(SCORE!X$2&amp;" "&amp;SCORE!$D1211,EVENTOS!$F:$F,0)),0)</f>
        <v>0</v>
      </c>
      <c r="Y1211" s="3">
        <f>SUMIFS(EVENTOS!$D:$D, EVENTOS!$B:$B, D1211, EVENTOS!$E:$E, "*GirAlto*")</f>
        <v>0</v>
      </c>
      <c r="Z1211" s="3">
        <f>SUMIFS(EVENTOS!$D:$D, EVENTOS!$B:$B, D1211, EVENTOS!$E:$E, "*GirMed*")</f>
        <v>0</v>
      </c>
      <c r="AA1211" s="3">
        <f>SUMIFS(EVENTOS!$D:$D, EVENTOS!$B:$B, D1211, EVENTOS!$E:$E, "*GirBajo*")</f>
        <v>0</v>
      </c>
      <c r="AB1211" s="3">
        <f>IFERROR(INDEX(EVENTOS!$D:$D,MATCH(SCORE!AB$2&amp;" "&amp;SCORE!$D1211,EVENTOS!$F:$F,0)),0)</f>
        <v>0</v>
      </c>
      <c r="AC1211" s="3">
        <f>IFERROR(INDEX(EVENTOS!$D:$D,MATCH(SCORE!AC$2&amp;" "&amp;SCORE!$D1211,EVENTOS!$F:$F,0)),0)</f>
        <v>0</v>
      </c>
      <c r="AD1211" s="3">
        <f>IFERROR(INDEX(EVENTOS!$D:$D,MATCH(SCORE!AD$2&amp;" "&amp;SCORE!$D1211,EVENTOS!$F:$F,0)),0)</f>
        <v>0</v>
      </c>
      <c r="AE1211" s="3">
        <f t="shared" si="54"/>
        <v>0</v>
      </c>
      <c r="AF1211" s="10" t="e">
        <f t="shared" si="55"/>
        <v>#N/A</v>
      </c>
      <c r="AG1211" s="3" t="str">
        <f t="shared" si="56"/>
        <v/>
      </c>
    </row>
    <row r="1212" spans="1:33" x14ac:dyDescent="0.25">
      <c r="A1212" s="7"/>
      <c r="B1212" s="8"/>
      <c r="C1212" s="3"/>
      <c r="D1212" s="3"/>
      <c r="E1212" s="3" t="e">
        <f>VLOOKUP(D1212,VIAJES!$D:$E,2,FALSE)</f>
        <v>#N/A</v>
      </c>
      <c r="F1212" s="9" t="e">
        <f>VLOOKUP(D1212,VIAJES!$D:$F,3,FALSE)</f>
        <v>#N/A</v>
      </c>
      <c r="G1212" s="9" t="e">
        <f>VLOOKUP(D1212,VIAJES!$D:$G,4,FALSE)</f>
        <v>#N/A</v>
      </c>
      <c r="H1212" s="3" t="e">
        <f>VLOOKUP(D1212,VIAJES!$D:$H,5,FALSE)</f>
        <v>#N/A</v>
      </c>
      <c r="S1212" s="3">
        <f>IFERROR(INDEX(EVENTOS!$D:$D,MATCH(SCORE!S$2&amp;" "&amp;SCORE!$D1212,EVENTOS!$F:$F,0)),0)</f>
        <v>0</v>
      </c>
      <c r="T1212" s="3">
        <f>IFERROR(INDEX(EVENTOS!$D:$D,MATCH(SCORE!T$2&amp;" "&amp;SCORE!$D1212,EVENTOS!$F:$F,0)),0)</f>
        <v>0</v>
      </c>
      <c r="U1212" s="3">
        <f>IFERROR(INDEX(EVENTOS!$D:$D,MATCH(SCORE!U$2&amp;" "&amp;SCORE!$D1212,EVENTOS!$F:$F,0)),0)</f>
        <v>0</v>
      </c>
      <c r="V1212" s="3">
        <f>IFERROR(INDEX(EVENTOS!$D:$D,MATCH(SCORE!V$2&amp;" "&amp;SCORE!$D1212,EVENTOS!$F:$F,0)),0)</f>
        <v>0</v>
      </c>
      <c r="W1212" s="3">
        <f>IFERROR(INDEX(EVENTOS!$D:$D,MATCH(SCORE!W$2&amp;" "&amp;SCORE!$D1212,EVENTOS!$F:$F,0)),0)</f>
        <v>0</v>
      </c>
      <c r="X1212" s="3">
        <f>IFERROR(INDEX(EVENTOS!$D:$D,MATCH(SCORE!X$2&amp;" "&amp;SCORE!$D1212,EVENTOS!$F:$F,0)),0)</f>
        <v>0</v>
      </c>
      <c r="Y1212" s="3">
        <f>SUMIFS(EVENTOS!$D:$D, EVENTOS!$B:$B, D1212, EVENTOS!$E:$E, "*GirAlto*")</f>
        <v>0</v>
      </c>
      <c r="Z1212" s="3">
        <f>SUMIFS(EVENTOS!$D:$D, EVENTOS!$B:$B, D1212, EVENTOS!$E:$E, "*GirMed*")</f>
        <v>0</v>
      </c>
      <c r="AA1212" s="3">
        <f>SUMIFS(EVENTOS!$D:$D, EVENTOS!$B:$B, D1212, EVENTOS!$E:$E, "*GirBajo*")</f>
        <v>0</v>
      </c>
      <c r="AB1212" s="3">
        <f>IFERROR(INDEX(EVENTOS!$D:$D,MATCH(SCORE!AB$2&amp;" "&amp;SCORE!$D1212,EVENTOS!$F:$F,0)),0)</f>
        <v>0</v>
      </c>
      <c r="AC1212" s="3">
        <f>IFERROR(INDEX(EVENTOS!$D:$D,MATCH(SCORE!AC$2&amp;" "&amp;SCORE!$D1212,EVENTOS!$F:$F,0)),0)</f>
        <v>0</v>
      </c>
      <c r="AD1212" s="3">
        <f>IFERROR(INDEX(EVENTOS!$D:$D,MATCH(SCORE!AD$2&amp;" "&amp;SCORE!$D1212,EVENTOS!$F:$F,0)),0)</f>
        <v>0</v>
      </c>
      <c r="AE1212" s="3">
        <f t="shared" si="54"/>
        <v>0</v>
      </c>
      <c r="AF1212" s="10" t="e">
        <f t="shared" si="55"/>
        <v>#N/A</v>
      </c>
      <c r="AG1212" s="3" t="str">
        <f t="shared" si="56"/>
        <v/>
      </c>
    </row>
    <row r="1213" spans="1:33" x14ac:dyDescent="0.25">
      <c r="A1213" s="7"/>
      <c r="B1213" s="8"/>
      <c r="C1213" s="3"/>
      <c r="D1213" s="3"/>
      <c r="E1213" s="3" t="e">
        <f>VLOOKUP(D1213,VIAJES!$D:$E,2,FALSE)</f>
        <v>#N/A</v>
      </c>
      <c r="F1213" s="9" t="e">
        <f>VLOOKUP(D1213,VIAJES!$D:$F,3,FALSE)</f>
        <v>#N/A</v>
      </c>
      <c r="G1213" s="9" t="e">
        <f>VLOOKUP(D1213,VIAJES!$D:$G,4,FALSE)</f>
        <v>#N/A</v>
      </c>
      <c r="H1213" s="3" t="e">
        <f>VLOOKUP(D1213,VIAJES!$D:$H,5,FALSE)</f>
        <v>#N/A</v>
      </c>
      <c r="S1213" s="3">
        <f>IFERROR(INDEX(EVENTOS!$D:$D,MATCH(SCORE!S$2&amp;" "&amp;SCORE!$D1213,EVENTOS!$F:$F,0)),0)</f>
        <v>0</v>
      </c>
      <c r="T1213" s="3">
        <f>IFERROR(INDEX(EVENTOS!$D:$D,MATCH(SCORE!T$2&amp;" "&amp;SCORE!$D1213,EVENTOS!$F:$F,0)),0)</f>
        <v>0</v>
      </c>
      <c r="U1213" s="3">
        <f>IFERROR(INDEX(EVENTOS!$D:$D,MATCH(SCORE!U$2&amp;" "&amp;SCORE!$D1213,EVENTOS!$F:$F,0)),0)</f>
        <v>0</v>
      </c>
      <c r="V1213" s="3">
        <f>IFERROR(INDEX(EVENTOS!$D:$D,MATCH(SCORE!V$2&amp;" "&amp;SCORE!$D1213,EVENTOS!$F:$F,0)),0)</f>
        <v>0</v>
      </c>
      <c r="W1213" s="3">
        <f>IFERROR(INDEX(EVENTOS!$D:$D,MATCH(SCORE!W$2&amp;" "&amp;SCORE!$D1213,EVENTOS!$F:$F,0)),0)</f>
        <v>0</v>
      </c>
      <c r="X1213" s="3">
        <f>IFERROR(INDEX(EVENTOS!$D:$D,MATCH(SCORE!X$2&amp;" "&amp;SCORE!$D1213,EVENTOS!$F:$F,0)),0)</f>
        <v>0</v>
      </c>
      <c r="Y1213" s="3">
        <f>SUMIFS(EVENTOS!$D:$D, EVENTOS!$B:$B, D1213, EVENTOS!$E:$E, "*GirAlto*")</f>
        <v>0</v>
      </c>
      <c r="Z1213" s="3">
        <f>SUMIFS(EVENTOS!$D:$D, EVENTOS!$B:$B, D1213, EVENTOS!$E:$E, "*GirMed*")</f>
        <v>0</v>
      </c>
      <c r="AA1213" s="3">
        <f>SUMIFS(EVENTOS!$D:$D, EVENTOS!$B:$B, D1213, EVENTOS!$E:$E, "*GirBajo*")</f>
        <v>0</v>
      </c>
      <c r="AB1213" s="3">
        <f>IFERROR(INDEX(EVENTOS!$D:$D,MATCH(SCORE!AB$2&amp;" "&amp;SCORE!$D1213,EVENTOS!$F:$F,0)),0)</f>
        <v>0</v>
      </c>
      <c r="AC1213" s="3">
        <f>IFERROR(INDEX(EVENTOS!$D:$D,MATCH(SCORE!AC$2&amp;" "&amp;SCORE!$D1213,EVENTOS!$F:$F,0)),0)</f>
        <v>0</v>
      </c>
      <c r="AD1213" s="3">
        <f>IFERROR(INDEX(EVENTOS!$D:$D,MATCH(SCORE!AD$2&amp;" "&amp;SCORE!$D1213,EVENTOS!$F:$F,0)),0)</f>
        <v>0</v>
      </c>
      <c r="AE1213" s="3">
        <f t="shared" si="54"/>
        <v>0</v>
      </c>
      <c r="AF1213" s="10" t="e">
        <f t="shared" si="55"/>
        <v>#N/A</v>
      </c>
      <c r="AG1213" s="3" t="str">
        <f t="shared" si="56"/>
        <v/>
      </c>
    </row>
    <row r="1214" spans="1:33" x14ac:dyDescent="0.25">
      <c r="A1214" s="7"/>
      <c r="B1214" s="8"/>
      <c r="C1214" s="3"/>
      <c r="D1214" s="3"/>
      <c r="E1214" s="3" t="e">
        <f>VLOOKUP(D1214,VIAJES!$D:$E,2,FALSE)</f>
        <v>#N/A</v>
      </c>
      <c r="F1214" s="9" t="e">
        <f>VLOOKUP(D1214,VIAJES!$D:$F,3,FALSE)</f>
        <v>#N/A</v>
      </c>
      <c r="G1214" s="9" t="e">
        <f>VLOOKUP(D1214,VIAJES!$D:$G,4,FALSE)</f>
        <v>#N/A</v>
      </c>
      <c r="H1214" s="3" t="e">
        <f>VLOOKUP(D1214,VIAJES!$D:$H,5,FALSE)</f>
        <v>#N/A</v>
      </c>
      <c r="S1214" s="3">
        <f>IFERROR(INDEX(EVENTOS!$D:$D,MATCH(SCORE!S$2&amp;" "&amp;SCORE!$D1214,EVENTOS!$F:$F,0)),0)</f>
        <v>0</v>
      </c>
      <c r="T1214" s="3">
        <f>IFERROR(INDEX(EVENTOS!$D:$D,MATCH(SCORE!T$2&amp;" "&amp;SCORE!$D1214,EVENTOS!$F:$F,0)),0)</f>
        <v>0</v>
      </c>
      <c r="U1214" s="3">
        <f>IFERROR(INDEX(EVENTOS!$D:$D,MATCH(SCORE!U$2&amp;" "&amp;SCORE!$D1214,EVENTOS!$F:$F,0)),0)</f>
        <v>0</v>
      </c>
      <c r="V1214" s="3">
        <f>IFERROR(INDEX(EVENTOS!$D:$D,MATCH(SCORE!V$2&amp;" "&amp;SCORE!$D1214,EVENTOS!$F:$F,0)),0)</f>
        <v>0</v>
      </c>
      <c r="W1214" s="3">
        <f>IFERROR(INDEX(EVENTOS!$D:$D,MATCH(SCORE!W$2&amp;" "&amp;SCORE!$D1214,EVENTOS!$F:$F,0)),0)</f>
        <v>0</v>
      </c>
      <c r="X1214" s="3">
        <f>IFERROR(INDEX(EVENTOS!$D:$D,MATCH(SCORE!X$2&amp;" "&amp;SCORE!$D1214,EVENTOS!$F:$F,0)),0)</f>
        <v>0</v>
      </c>
      <c r="Y1214" s="3">
        <f>SUMIFS(EVENTOS!$D:$D, EVENTOS!$B:$B, D1214, EVENTOS!$E:$E, "*GirAlto*")</f>
        <v>0</v>
      </c>
      <c r="Z1214" s="3">
        <f>SUMIFS(EVENTOS!$D:$D, EVENTOS!$B:$B, D1214, EVENTOS!$E:$E, "*GirMed*")</f>
        <v>0</v>
      </c>
      <c r="AA1214" s="3">
        <f>SUMIFS(EVENTOS!$D:$D, EVENTOS!$B:$B, D1214, EVENTOS!$E:$E, "*GirBajo*")</f>
        <v>0</v>
      </c>
      <c r="AB1214" s="3">
        <f>IFERROR(INDEX(EVENTOS!$D:$D,MATCH(SCORE!AB$2&amp;" "&amp;SCORE!$D1214,EVENTOS!$F:$F,0)),0)</f>
        <v>0</v>
      </c>
      <c r="AC1214" s="3">
        <f>IFERROR(INDEX(EVENTOS!$D:$D,MATCH(SCORE!AC$2&amp;" "&amp;SCORE!$D1214,EVENTOS!$F:$F,0)),0)</f>
        <v>0</v>
      </c>
      <c r="AD1214" s="3">
        <f>IFERROR(INDEX(EVENTOS!$D:$D,MATCH(SCORE!AD$2&amp;" "&amp;SCORE!$D1214,EVENTOS!$F:$F,0)),0)</f>
        <v>0</v>
      </c>
      <c r="AE1214" s="3">
        <f t="shared" si="54"/>
        <v>0</v>
      </c>
      <c r="AF1214" s="10" t="e">
        <f t="shared" si="55"/>
        <v>#N/A</v>
      </c>
      <c r="AG1214" s="3" t="str">
        <f t="shared" si="56"/>
        <v/>
      </c>
    </row>
    <row r="1215" spans="1:33" x14ac:dyDescent="0.25">
      <c r="A1215" s="7"/>
      <c r="B1215" s="8"/>
      <c r="C1215" s="3"/>
      <c r="D1215" s="3"/>
      <c r="E1215" s="3" t="e">
        <f>VLOOKUP(D1215,VIAJES!$D:$E,2,FALSE)</f>
        <v>#N/A</v>
      </c>
      <c r="F1215" s="9" t="e">
        <f>VLOOKUP(D1215,VIAJES!$D:$F,3,FALSE)</f>
        <v>#N/A</v>
      </c>
      <c r="G1215" s="9" t="e">
        <f>VLOOKUP(D1215,VIAJES!$D:$G,4,FALSE)</f>
        <v>#N/A</v>
      </c>
      <c r="H1215" s="3" t="e">
        <f>VLOOKUP(D1215,VIAJES!$D:$H,5,FALSE)</f>
        <v>#N/A</v>
      </c>
      <c r="S1215" s="3">
        <f>IFERROR(INDEX(EVENTOS!$D:$D,MATCH(SCORE!S$2&amp;" "&amp;SCORE!$D1215,EVENTOS!$F:$F,0)),0)</f>
        <v>0</v>
      </c>
      <c r="T1215" s="3">
        <f>IFERROR(INDEX(EVENTOS!$D:$D,MATCH(SCORE!T$2&amp;" "&amp;SCORE!$D1215,EVENTOS!$F:$F,0)),0)</f>
        <v>0</v>
      </c>
      <c r="U1215" s="3">
        <f>IFERROR(INDEX(EVENTOS!$D:$D,MATCH(SCORE!U$2&amp;" "&amp;SCORE!$D1215,EVENTOS!$F:$F,0)),0)</f>
        <v>0</v>
      </c>
      <c r="V1215" s="3">
        <f>IFERROR(INDEX(EVENTOS!$D:$D,MATCH(SCORE!V$2&amp;" "&amp;SCORE!$D1215,EVENTOS!$F:$F,0)),0)</f>
        <v>0</v>
      </c>
      <c r="W1215" s="3">
        <f>IFERROR(INDEX(EVENTOS!$D:$D,MATCH(SCORE!W$2&amp;" "&amp;SCORE!$D1215,EVENTOS!$F:$F,0)),0)</f>
        <v>0</v>
      </c>
      <c r="X1215" s="3">
        <f>IFERROR(INDEX(EVENTOS!$D:$D,MATCH(SCORE!X$2&amp;" "&amp;SCORE!$D1215,EVENTOS!$F:$F,0)),0)</f>
        <v>0</v>
      </c>
      <c r="Y1215" s="3">
        <f>SUMIFS(EVENTOS!$D:$D, EVENTOS!$B:$B, D1215, EVENTOS!$E:$E, "*GirAlto*")</f>
        <v>0</v>
      </c>
      <c r="Z1215" s="3">
        <f>SUMIFS(EVENTOS!$D:$D, EVENTOS!$B:$B, D1215, EVENTOS!$E:$E, "*GirMed*")</f>
        <v>0</v>
      </c>
      <c r="AA1215" s="3">
        <f>SUMIFS(EVENTOS!$D:$D, EVENTOS!$B:$B, D1215, EVENTOS!$E:$E, "*GirBajo*")</f>
        <v>0</v>
      </c>
      <c r="AB1215" s="3">
        <f>IFERROR(INDEX(EVENTOS!$D:$D,MATCH(SCORE!AB$2&amp;" "&amp;SCORE!$D1215,EVENTOS!$F:$F,0)),0)</f>
        <v>0</v>
      </c>
      <c r="AC1215" s="3">
        <f>IFERROR(INDEX(EVENTOS!$D:$D,MATCH(SCORE!AC$2&amp;" "&amp;SCORE!$D1215,EVENTOS!$F:$F,0)),0)</f>
        <v>0</v>
      </c>
      <c r="AD1215" s="3">
        <f>IFERROR(INDEX(EVENTOS!$D:$D,MATCH(SCORE!AD$2&amp;" "&amp;SCORE!$D1215,EVENTOS!$F:$F,0)),0)</f>
        <v>0</v>
      </c>
      <c r="AE1215" s="3">
        <f t="shared" si="54"/>
        <v>0</v>
      </c>
      <c r="AF1215" s="10" t="e">
        <f t="shared" si="55"/>
        <v>#N/A</v>
      </c>
      <c r="AG1215" s="3" t="str">
        <f t="shared" si="56"/>
        <v/>
      </c>
    </row>
    <row r="1216" spans="1:33" x14ac:dyDescent="0.25">
      <c r="A1216" s="7"/>
      <c r="B1216" s="8"/>
      <c r="C1216" s="3"/>
      <c r="D1216" s="3"/>
      <c r="E1216" s="3" t="e">
        <f>VLOOKUP(D1216,VIAJES!$D:$E,2,FALSE)</f>
        <v>#N/A</v>
      </c>
      <c r="F1216" s="9" t="e">
        <f>VLOOKUP(D1216,VIAJES!$D:$F,3,FALSE)</f>
        <v>#N/A</v>
      </c>
      <c r="G1216" s="9" t="e">
        <f>VLOOKUP(D1216,VIAJES!$D:$G,4,FALSE)</f>
        <v>#N/A</v>
      </c>
      <c r="H1216" s="3" t="e">
        <f>VLOOKUP(D1216,VIAJES!$D:$H,5,FALSE)</f>
        <v>#N/A</v>
      </c>
      <c r="S1216" s="3">
        <f>IFERROR(INDEX(EVENTOS!$D:$D,MATCH(SCORE!S$2&amp;" "&amp;SCORE!$D1216,EVENTOS!$F:$F,0)),0)</f>
        <v>0</v>
      </c>
      <c r="T1216" s="3">
        <f>IFERROR(INDEX(EVENTOS!$D:$D,MATCH(SCORE!T$2&amp;" "&amp;SCORE!$D1216,EVENTOS!$F:$F,0)),0)</f>
        <v>0</v>
      </c>
      <c r="U1216" s="3">
        <f>IFERROR(INDEX(EVENTOS!$D:$D,MATCH(SCORE!U$2&amp;" "&amp;SCORE!$D1216,EVENTOS!$F:$F,0)),0)</f>
        <v>0</v>
      </c>
      <c r="V1216" s="3">
        <f>IFERROR(INDEX(EVENTOS!$D:$D,MATCH(SCORE!V$2&amp;" "&amp;SCORE!$D1216,EVENTOS!$F:$F,0)),0)</f>
        <v>0</v>
      </c>
      <c r="W1216" s="3">
        <f>IFERROR(INDEX(EVENTOS!$D:$D,MATCH(SCORE!W$2&amp;" "&amp;SCORE!$D1216,EVENTOS!$F:$F,0)),0)</f>
        <v>0</v>
      </c>
      <c r="X1216" s="3">
        <f>IFERROR(INDEX(EVENTOS!$D:$D,MATCH(SCORE!X$2&amp;" "&amp;SCORE!$D1216,EVENTOS!$F:$F,0)),0)</f>
        <v>0</v>
      </c>
      <c r="Y1216" s="3">
        <f>SUMIFS(EVENTOS!$D:$D, EVENTOS!$B:$B, D1216, EVENTOS!$E:$E, "*GirAlto*")</f>
        <v>0</v>
      </c>
      <c r="Z1216" s="3">
        <f>SUMIFS(EVENTOS!$D:$D, EVENTOS!$B:$B, D1216, EVENTOS!$E:$E, "*GirMed*")</f>
        <v>0</v>
      </c>
      <c r="AA1216" s="3">
        <f>SUMIFS(EVENTOS!$D:$D, EVENTOS!$B:$B, D1216, EVENTOS!$E:$E, "*GirBajo*")</f>
        <v>0</v>
      </c>
      <c r="AB1216" s="3">
        <f>IFERROR(INDEX(EVENTOS!$D:$D,MATCH(SCORE!AB$2&amp;" "&amp;SCORE!$D1216,EVENTOS!$F:$F,0)),0)</f>
        <v>0</v>
      </c>
      <c r="AC1216" s="3">
        <f>IFERROR(INDEX(EVENTOS!$D:$D,MATCH(SCORE!AC$2&amp;" "&amp;SCORE!$D1216,EVENTOS!$F:$F,0)),0)</f>
        <v>0</v>
      </c>
      <c r="AD1216" s="3">
        <f>IFERROR(INDEX(EVENTOS!$D:$D,MATCH(SCORE!AD$2&amp;" "&amp;SCORE!$D1216,EVENTOS!$F:$F,0)),0)</f>
        <v>0</v>
      </c>
      <c r="AE1216" s="3">
        <f t="shared" si="54"/>
        <v>0</v>
      </c>
      <c r="AF1216" s="10" t="e">
        <f t="shared" si="55"/>
        <v>#N/A</v>
      </c>
      <c r="AG1216" s="3" t="str">
        <f t="shared" si="56"/>
        <v/>
      </c>
    </row>
    <row r="1217" spans="1:33" x14ac:dyDescent="0.25">
      <c r="A1217" s="7"/>
      <c r="B1217" s="8"/>
      <c r="C1217" s="3"/>
      <c r="D1217" s="3"/>
      <c r="E1217" s="3" t="e">
        <f>VLOOKUP(D1217,VIAJES!$D:$E,2,FALSE)</f>
        <v>#N/A</v>
      </c>
      <c r="F1217" s="9" t="e">
        <f>VLOOKUP(D1217,VIAJES!$D:$F,3,FALSE)</f>
        <v>#N/A</v>
      </c>
      <c r="G1217" s="9" t="e">
        <f>VLOOKUP(D1217,VIAJES!$D:$G,4,FALSE)</f>
        <v>#N/A</v>
      </c>
      <c r="H1217" s="3" t="e">
        <f>VLOOKUP(D1217,VIAJES!$D:$H,5,FALSE)</f>
        <v>#N/A</v>
      </c>
      <c r="S1217" s="3">
        <f>IFERROR(INDEX(EVENTOS!$D:$D,MATCH(SCORE!S$2&amp;" "&amp;SCORE!$D1217,EVENTOS!$F:$F,0)),0)</f>
        <v>0</v>
      </c>
      <c r="T1217" s="3">
        <f>IFERROR(INDEX(EVENTOS!$D:$D,MATCH(SCORE!T$2&amp;" "&amp;SCORE!$D1217,EVENTOS!$F:$F,0)),0)</f>
        <v>0</v>
      </c>
      <c r="U1217" s="3">
        <f>IFERROR(INDEX(EVENTOS!$D:$D,MATCH(SCORE!U$2&amp;" "&amp;SCORE!$D1217,EVENTOS!$F:$F,0)),0)</f>
        <v>0</v>
      </c>
      <c r="V1217" s="3">
        <f>IFERROR(INDEX(EVENTOS!$D:$D,MATCH(SCORE!V$2&amp;" "&amp;SCORE!$D1217,EVENTOS!$F:$F,0)),0)</f>
        <v>0</v>
      </c>
      <c r="W1217" s="3">
        <f>IFERROR(INDEX(EVENTOS!$D:$D,MATCH(SCORE!W$2&amp;" "&amp;SCORE!$D1217,EVENTOS!$F:$F,0)),0)</f>
        <v>0</v>
      </c>
      <c r="X1217" s="3">
        <f>IFERROR(INDEX(EVENTOS!$D:$D,MATCH(SCORE!X$2&amp;" "&amp;SCORE!$D1217,EVENTOS!$F:$F,0)),0)</f>
        <v>0</v>
      </c>
      <c r="Y1217" s="3">
        <f>SUMIFS(EVENTOS!$D:$D, EVENTOS!$B:$B, D1217, EVENTOS!$E:$E, "*GirAlto*")</f>
        <v>0</v>
      </c>
      <c r="Z1217" s="3">
        <f>SUMIFS(EVENTOS!$D:$D, EVENTOS!$B:$B, D1217, EVENTOS!$E:$E, "*GirMed*")</f>
        <v>0</v>
      </c>
      <c r="AA1217" s="3">
        <f>SUMIFS(EVENTOS!$D:$D, EVENTOS!$B:$B, D1217, EVENTOS!$E:$E, "*GirBajo*")</f>
        <v>0</v>
      </c>
      <c r="AB1217" s="3">
        <f>IFERROR(INDEX(EVENTOS!$D:$D,MATCH(SCORE!AB$2&amp;" "&amp;SCORE!$D1217,EVENTOS!$F:$F,0)),0)</f>
        <v>0</v>
      </c>
      <c r="AC1217" s="3">
        <f>IFERROR(INDEX(EVENTOS!$D:$D,MATCH(SCORE!AC$2&amp;" "&amp;SCORE!$D1217,EVENTOS!$F:$F,0)),0)</f>
        <v>0</v>
      </c>
      <c r="AD1217" s="3">
        <f>IFERROR(INDEX(EVENTOS!$D:$D,MATCH(SCORE!AD$2&amp;" "&amp;SCORE!$D1217,EVENTOS!$F:$F,0)),0)</f>
        <v>0</v>
      </c>
      <c r="AE1217" s="3">
        <f t="shared" si="54"/>
        <v>0</v>
      </c>
      <c r="AF1217" s="10" t="e">
        <f t="shared" si="55"/>
        <v>#N/A</v>
      </c>
      <c r="AG1217" s="3" t="str">
        <f t="shared" si="56"/>
        <v/>
      </c>
    </row>
    <row r="1218" spans="1:33" x14ac:dyDescent="0.25">
      <c r="A1218" s="7"/>
      <c r="B1218" s="8"/>
      <c r="C1218" s="3"/>
      <c r="D1218" s="3"/>
      <c r="E1218" s="3" t="e">
        <f>VLOOKUP(D1218,VIAJES!$D:$E,2,FALSE)</f>
        <v>#N/A</v>
      </c>
      <c r="F1218" s="9" t="e">
        <f>VLOOKUP(D1218,VIAJES!$D:$F,3,FALSE)</f>
        <v>#N/A</v>
      </c>
      <c r="G1218" s="9" t="e">
        <f>VLOOKUP(D1218,VIAJES!$D:$G,4,FALSE)</f>
        <v>#N/A</v>
      </c>
      <c r="H1218" s="3" t="e">
        <f>VLOOKUP(D1218,VIAJES!$D:$H,5,FALSE)</f>
        <v>#N/A</v>
      </c>
      <c r="S1218" s="3">
        <f>IFERROR(INDEX(EVENTOS!$D:$D,MATCH(SCORE!S$2&amp;" "&amp;SCORE!$D1218,EVENTOS!$F:$F,0)),0)</f>
        <v>0</v>
      </c>
      <c r="T1218" s="3">
        <f>IFERROR(INDEX(EVENTOS!$D:$D,MATCH(SCORE!T$2&amp;" "&amp;SCORE!$D1218,EVENTOS!$F:$F,0)),0)</f>
        <v>0</v>
      </c>
      <c r="U1218" s="3">
        <f>IFERROR(INDEX(EVENTOS!$D:$D,MATCH(SCORE!U$2&amp;" "&amp;SCORE!$D1218,EVENTOS!$F:$F,0)),0)</f>
        <v>0</v>
      </c>
      <c r="V1218" s="3">
        <f>IFERROR(INDEX(EVENTOS!$D:$D,MATCH(SCORE!V$2&amp;" "&amp;SCORE!$D1218,EVENTOS!$F:$F,0)),0)</f>
        <v>0</v>
      </c>
      <c r="W1218" s="3">
        <f>IFERROR(INDEX(EVENTOS!$D:$D,MATCH(SCORE!W$2&amp;" "&amp;SCORE!$D1218,EVENTOS!$F:$F,0)),0)</f>
        <v>0</v>
      </c>
      <c r="X1218" s="3">
        <f>IFERROR(INDEX(EVENTOS!$D:$D,MATCH(SCORE!X$2&amp;" "&amp;SCORE!$D1218,EVENTOS!$F:$F,0)),0)</f>
        <v>0</v>
      </c>
      <c r="Y1218" s="3">
        <f>SUMIFS(EVENTOS!$D:$D, EVENTOS!$B:$B, D1218, EVENTOS!$E:$E, "*GirAlto*")</f>
        <v>0</v>
      </c>
      <c r="Z1218" s="3">
        <f>SUMIFS(EVENTOS!$D:$D, EVENTOS!$B:$B, D1218, EVENTOS!$E:$E, "*GirMed*")</f>
        <v>0</v>
      </c>
      <c r="AA1218" s="3">
        <f>SUMIFS(EVENTOS!$D:$D, EVENTOS!$B:$B, D1218, EVENTOS!$E:$E, "*GirBajo*")</f>
        <v>0</v>
      </c>
      <c r="AB1218" s="3">
        <f>IFERROR(INDEX(EVENTOS!$D:$D,MATCH(SCORE!AB$2&amp;" "&amp;SCORE!$D1218,EVENTOS!$F:$F,0)),0)</f>
        <v>0</v>
      </c>
      <c r="AC1218" s="3">
        <f>IFERROR(INDEX(EVENTOS!$D:$D,MATCH(SCORE!AC$2&amp;" "&amp;SCORE!$D1218,EVENTOS!$F:$F,0)),0)</f>
        <v>0</v>
      </c>
      <c r="AD1218" s="3">
        <f>IFERROR(INDEX(EVENTOS!$D:$D,MATCH(SCORE!AD$2&amp;" "&amp;SCORE!$D1218,EVENTOS!$F:$F,0)),0)</f>
        <v>0</v>
      </c>
      <c r="AE1218" s="3">
        <f t="shared" si="54"/>
        <v>0</v>
      </c>
      <c r="AF1218" s="10" t="e">
        <f t="shared" si="55"/>
        <v>#N/A</v>
      </c>
      <c r="AG1218" s="3" t="str">
        <f t="shared" si="56"/>
        <v/>
      </c>
    </row>
    <row r="1219" spans="1:33" x14ac:dyDescent="0.25">
      <c r="A1219" s="7"/>
      <c r="B1219" s="8"/>
      <c r="C1219" s="3"/>
      <c r="D1219" s="3"/>
      <c r="E1219" s="3" t="e">
        <f>VLOOKUP(D1219,VIAJES!$D:$E,2,FALSE)</f>
        <v>#N/A</v>
      </c>
      <c r="F1219" s="9" t="e">
        <f>VLOOKUP(D1219,VIAJES!$D:$F,3,FALSE)</f>
        <v>#N/A</v>
      </c>
      <c r="G1219" s="9" t="e">
        <f>VLOOKUP(D1219,VIAJES!$D:$G,4,FALSE)</f>
        <v>#N/A</v>
      </c>
      <c r="H1219" s="3" t="e">
        <f>VLOOKUP(D1219,VIAJES!$D:$H,5,FALSE)</f>
        <v>#N/A</v>
      </c>
      <c r="S1219" s="3">
        <f>IFERROR(INDEX(EVENTOS!$D:$D,MATCH(SCORE!S$2&amp;" "&amp;SCORE!$D1219,EVENTOS!$F:$F,0)),0)</f>
        <v>0</v>
      </c>
      <c r="T1219" s="3">
        <f>IFERROR(INDEX(EVENTOS!$D:$D,MATCH(SCORE!T$2&amp;" "&amp;SCORE!$D1219,EVENTOS!$F:$F,0)),0)</f>
        <v>0</v>
      </c>
      <c r="U1219" s="3">
        <f>IFERROR(INDEX(EVENTOS!$D:$D,MATCH(SCORE!U$2&amp;" "&amp;SCORE!$D1219,EVENTOS!$F:$F,0)),0)</f>
        <v>0</v>
      </c>
      <c r="V1219" s="3">
        <f>IFERROR(INDEX(EVENTOS!$D:$D,MATCH(SCORE!V$2&amp;" "&amp;SCORE!$D1219,EVENTOS!$F:$F,0)),0)</f>
        <v>0</v>
      </c>
      <c r="W1219" s="3">
        <f>IFERROR(INDEX(EVENTOS!$D:$D,MATCH(SCORE!W$2&amp;" "&amp;SCORE!$D1219,EVENTOS!$F:$F,0)),0)</f>
        <v>0</v>
      </c>
      <c r="X1219" s="3">
        <f>IFERROR(INDEX(EVENTOS!$D:$D,MATCH(SCORE!X$2&amp;" "&amp;SCORE!$D1219,EVENTOS!$F:$F,0)),0)</f>
        <v>0</v>
      </c>
      <c r="Y1219" s="3">
        <f>SUMIFS(EVENTOS!$D:$D, EVENTOS!$B:$B, D1219, EVENTOS!$E:$E, "*GirAlto*")</f>
        <v>0</v>
      </c>
      <c r="Z1219" s="3">
        <f>SUMIFS(EVENTOS!$D:$D, EVENTOS!$B:$B, D1219, EVENTOS!$E:$E, "*GirMed*")</f>
        <v>0</v>
      </c>
      <c r="AA1219" s="3">
        <f>SUMIFS(EVENTOS!$D:$D, EVENTOS!$B:$B, D1219, EVENTOS!$E:$E, "*GirBajo*")</f>
        <v>0</v>
      </c>
      <c r="AB1219" s="3">
        <f>IFERROR(INDEX(EVENTOS!$D:$D,MATCH(SCORE!AB$2&amp;" "&amp;SCORE!$D1219,EVENTOS!$F:$F,0)),0)</f>
        <v>0</v>
      </c>
      <c r="AC1219" s="3">
        <f>IFERROR(INDEX(EVENTOS!$D:$D,MATCH(SCORE!AC$2&amp;" "&amp;SCORE!$D1219,EVENTOS!$F:$F,0)),0)</f>
        <v>0</v>
      </c>
      <c r="AD1219" s="3">
        <f>IFERROR(INDEX(EVENTOS!$D:$D,MATCH(SCORE!AD$2&amp;" "&amp;SCORE!$D1219,EVENTOS!$F:$F,0)),0)</f>
        <v>0</v>
      </c>
      <c r="AE1219" s="3">
        <f t="shared" ref="AE1219:AE1282" si="57">((S1219+V1219+Y1219+AB1219)*50)+((T1219+W1219+Z1219+AC1219)*25)+((U1219+X1219+AA1219+AD1219)*5)</f>
        <v>0</v>
      </c>
      <c r="AF1219" s="10" t="e">
        <f t="shared" ref="AF1219:AF1282" si="58">AE1219/(G1219*24)*100</f>
        <v>#N/A</v>
      </c>
      <c r="AG1219" s="3" t="str">
        <f t="shared" ref="AG1219:AG1282" si="59">IF(D1219&lt;&gt;"",IF(AF1219&gt;=30000,5,ROUNDDOWN((((5-95)*(AF1219-0))/(30000-0))+95,0)),"")</f>
        <v/>
      </c>
    </row>
    <row r="1220" spans="1:33" x14ac:dyDescent="0.25">
      <c r="A1220" s="7"/>
      <c r="B1220" s="8"/>
      <c r="C1220" s="3"/>
      <c r="D1220" s="3"/>
      <c r="E1220" s="3" t="e">
        <f>VLOOKUP(D1220,VIAJES!$D:$E,2,FALSE)</f>
        <v>#N/A</v>
      </c>
      <c r="F1220" s="9" t="e">
        <f>VLOOKUP(D1220,VIAJES!$D:$F,3,FALSE)</f>
        <v>#N/A</v>
      </c>
      <c r="G1220" s="9" t="e">
        <f>VLOOKUP(D1220,VIAJES!$D:$G,4,FALSE)</f>
        <v>#N/A</v>
      </c>
      <c r="H1220" s="3" t="e">
        <f>VLOOKUP(D1220,VIAJES!$D:$H,5,FALSE)</f>
        <v>#N/A</v>
      </c>
      <c r="S1220" s="3">
        <f>IFERROR(INDEX(EVENTOS!$D:$D,MATCH(SCORE!S$2&amp;" "&amp;SCORE!$D1220,EVENTOS!$F:$F,0)),0)</f>
        <v>0</v>
      </c>
      <c r="T1220" s="3">
        <f>IFERROR(INDEX(EVENTOS!$D:$D,MATCH(SCORE!T$2&amp;" "&amp;SCORE!$D1220,EVENTOS!$F:$F,0)),0)</f>
        <v>0</v>
      </c>
      <c r="U1220" s="3">
        <f>IFERROR(INDEX(EVENTOS!$D:$D,MATCH(SCORE!U$2&amp;" "&amp;SCORE!$D1220,EVENTOS!$F:$F,0)),0)</f>
        <v>0</v>
      </c>
      <c r="V1220" s="3">
        <f>IFERROR(INDEX(EVENTOS!$D:$D,MATCH(SCORE!V$2&amp;" "&amp;SCORE!$D1220,EVENTOS!$F:$F,0)),0)</f>
        <v>0</v>
      </c>
      <c r="W1220" s="3">
        <f>IFERROR(INDEX(EVENTOS!$D:$D,MATCH(SCORE!W$2&amp;" "&amp;SCORE!$D1220,EVENTOS!$F:$F,0)),0)</f>
        <v>0</v>
      </c>
      <c r="X1220" s="3">
        <f>IFERROR(INDEX(EVENTOS!$D:$D,MATCH(SCORE!X$2&amp;" "&amp;SCORE!$D1220,EVENTOS!$F:$F,0)),0)</f>
        <v>0</v>
      </c>
      <c r="Y1220" s="3">
        <f>SUMIFS(EVENTOS!$D:$D, EVENTOS!$B:$B, D1220, EVENTOS!$E:$E, "*GirAlto*")</f>
        <v>0</v>
      </c>
      <c r="Z1220" s="3">
        <f>SUMIFS(EVENTOS!$D:$D, EVENTOS!$B:$B, D1220, EVENTOS!$E:$E, "*GirMed*")</f>
        <v>0</v>
      </c>
      <c r="AA1220" s="3">
        <f>SUMIFS(EVENTOS!$D:$D, EVENTOS!$B:$B, D1220, EVENTOS!$E:$E, "*GirBajo*")</f>
        <v>0</v>
      </c>
      <c r="AB1220" s="3">
        <f>IFERROR(INDEX(EVENTOS!$D:$D,MATCH(SCORE!AB$2&amp;" "&amp;SCORE!$D1220,EVENTOS!$F:$F,0)),0)</f>
        <v>0</v>
      </c>
      <c r="AC1220" s="3">
        <f>IFERROR(INDEX(EVENTOS!$D:$D,MATCH(SCORE!AC$2&amp;" "&amp;SCORE!$D1220,EVENTOS!$F:$F,0)),0)</f>
        <v>0</v>
      </c>
      <c r="AD1220" s="3">
        <f>IFERROR(INDEX(EVENTOS!$D:$D,MATCH(SCORE!AD$2&amp;" "&amp;SCORE!$D1220,EVENTOS!$F:$F,0)),0)</f>
        <v>0</v>
      </c>
      <c r="AE1220" s="3">
        <f t="shared" si="57"/>
        <v>0</v>
      </c>
      <c r="AF1220" s="10" t="e">
        <f t="shared" si="58"/>
        <v>#N/A</v>
      </c>
      <c r="AG1220" s="3" t="str">
        <f t="shared" si="59"/>
        <v/>
      </c>
    </row>
    <row r="1221" spans="1:33" x14ac:dyDescent="0.25">
      <c r="A1221" s="7"/>
      <c r="B1221" s="8"/>
      <c r="C1221" s="3"/>
      <c r="D1221" s="3"/>
      <c r="E1221" s="3" t="e">
        <f>VLOOKUP(D1221,VIAJES!$D:$E,2,FALSE)</f>
        <v>#N/A</v>
      </c>
      <c r="F1221" s="9" t="e">
        <f>VLOOKUP(D1221,VIAJES!$D:$F,3,FALSE)</f>
        <v>#N/A</v>
      </c>
      <c r="G1221" s="9" t="e">
        <f>VLOOKUP(D1221,VIAJES!$D:$G,4,FALSE)</f>
        <v>#N/A</v>
      </c>
      <c r="H1221" s="3" t="e">
        <f>VLOOKUP(D1221,VIAJES!$D:$H,5,FALSE)</f>
        <v>#N/A</v>
      </c>
      <c r="S1221" s="3">
        <f>IFERROR(INDEX(EVENTOS!$D:$D,MATCH(SCORE!S$2&amp;" "&amp;SCORE!$D1221,EVENTOS!$F:$F,0)),0)</f>
        <v>0</v>
      </c>
      <c r="T1221" s="3">
        <f>IFERROR(INDEX(EVENTOS!$D:$D,MATCH(SCORE!T$2&amp;" "&amp;SCORE!$D1221,EVENTOS!$F:$F,0)),0)</f>
        <v>0</v>
      </c>
      <c r="U1221" s="3">
        <f>IFERROR(INDEX(EVENTOS!$D:$D,MATCH(SCORE!U$2&amp;" "&amp;SCORE!$D1221,EVENTOS!$F:$F,0)),0)</f>
        <v>0</v>
      </c>
      <c r="V1221" s="3">
        <f>IFERROR(INDEX(EVENTOS!$D:$D,MATCH(SCORE!V$2&amp;" "&amp;SCORE!$D1221,EVENTOS!$F:$F,0)),0)</f>
        <v>0</v>
      </c>
      <c r="W1221" s="3">
        <f>IFERROR(INDEX(EVENTOS!$D:$D,MATCH(SCORE!W$2&amp;" "&amp;SCORE!$D1221,EVENTOS!$F:$F,0)),0)</f>
        <v>0</v>
      </c>
      <c r="X1221" s="3">
        <f>IFERROR(INDEX(EVENTOS!$D:$D,MATCH(SCORE!X$2&amp;" "&amp;SCORE!$D1221,EVENTOS!$F:$F,0)),0)</f>
        <v>0</v>
      </c>
      <c r="Y1221" s="3">
        <f>SUMIFS(EVENTOS!$D:$D, EVENTOS!$B:$B, D1221, EVENTOS!$E:$E, "*GirAlto*")</f>
        <v>0</v>
      </c>
      <c r="Z1221" s="3">
        <f>SUMIFS(EVENTOS!$D:$D, EVENTOS!$B:$B, D1221, EVENTOS!$E:$E, "*GirMed*")</f>
        <v>0</v>
      </c>
      <c r="AA1221" s="3">
        <f>SUMIFS(EVENTOS!$D:$D, EVENTOS!$B:$B, D1221, EVENTOS!$E:$E, "*GirBajo*")</f>
        <v>0</v>
      </c>
      <c r="AB1221" s="3">
        <f>IFERROR(INDEX(EVENTOS!$D:$D,MATCH(SCORE!AB$2&amp;" "&amp;SCORE!$D1221,EVENTOS!$F:$F,0)),0)</f>
        <v>0</v>
      </c>
      <c r="AC1221" s="3">
        <f>IFERROR(INDEX(EVENTOS!$D:$D,MATCH(SCORE!AC$2&amp;" "&amp;SCORE!$D1221,EVENTOS!$F:$F,0)),0)</f>
        <v>0</v>
      </c>
      <c r="AD1221" s="3">
        <f>IFERROR(INDEX(EVENTOS!$D:$D,MATCH(SCORE!AD$2&amp;" "&amp;SCORE!$D1221,EVENTOS!$F:$F,0)),0)</f>
        <v>0</v>
      </c>
      <c r="AE1221" s="3">
        <f t="shared" si="57"/>
        <v>0</v>
      </c>
      <c r="AF1221" s="10" t="e">
        <f t="shared" si="58"/>
        <v>#N/A</v>
      </c>
      <c r="AG1221" s="3" t="str">
        <f t="shared" si="59"/>
        <v/>
      </c>
    </row>
    <row r="1222" spans="1:33" x14ac:dyDescent="0.25">
      <c r="A1222" s="7"/>
      <c r="B1222" s="8"/>
      <c r="C1222" s="3"/>
      <c r="D1222" s="3"/>
      <c r="E1222" s="3" t="e">
        <f>VLOOKUP(D1222,VIAJES!$D:$E,2,FALSE)</f>
        <v>#N/A</v>
      </c>
      <c r="F1222" s="9" t="e">
        <f>VLOOKUP(D1222,VIAJES!$D:$F,3,FALSE)</f>
        <v>#N/A</v>
      </c>
      <c r="G1222" s="9" t="e">
        <f>VLOOKUP(D1222,VIAJES!$D:$G,4,FALSE)</f>
        <v>#N/A</v>
      </c>
      <c r="H1222" s="3" t="e">
        <f>VLOOKUP(D1222,VIAJES!$D:$H,5,FALSE)</f>
        <v>#N/A</v>
      </c>
      <c r="S1222" s="3">
        <f>IFERROR(INDEX(EVENTOS!$D:$D,MATCH(SCORE!S$2&amp;" "&amp;SCORE!$D1222,EVENTOS!$F:$F,0)),0)</f>
        <v>0</v>
      </c>
      <c r="T1222" s="3">
        <f>IFERROR(INDEX(EVENTOS!$D:$D,MATCH(SCORE!T$2&amp;" "&amp;SCORE!$D1222,EVENTOS!$F:$F,0)),0)</f>
        <v>0</v>
      </c>
      <c r="U1222" s="3">
        <f>IFERROR(INDEX(EVENTOS!$D:$D,MATCH(SCORE!U$2&amp;" "&amp;SCORE!$D1222,EVENTOS!$F:$F,0)),0)</f>
        <v>0</v>
      </c>
      <c r="V1222" s="3">
        <f>IFERROR(INDEX(EVENTOS!$D:$D,MATCH(SCORE!V$2&amp;" "&amp;SCORE!$D1222,EVENTOS!$F:$F,0)),0)</f>
        <v>0</v>
      </c>
      <c r="W1222" s="3">
        <f>IFERROR(INDEX(EVENTOS!$D:$D,MATCH(SCORE!W$2&amp;" "&amp;SCORE!$D1222,EVENTOS!$F:$F,0)),0)</f>
        <v>0</v>
      </c>
      <c r="X1222" s="3">
        <f>IFERROR(INDEX(EVENTOS!$D:$D,MATCH(SCORE!X$2&amp;" "&amp;SCORE!$D1222,EVENTOS!$F:$F,0)),0)</f>
        <v>0</v>
      </c>
      <c r="Y1222" s="3">
        <f>SUMIFS(EVENTOS!$D:$D, EVENTOS!$B:$B, D1222, EVENTOS!$E:$E, "*GirAlto*")</f>
        <v>0</v>
      </c>
      <c r="Z1222" s="3">
        <f>SUMIFS(EVENTOS!$D:$D, EVENTOS!$B:$B, D1222, EVENTOS!$E:$E, "*GirMed*")</f>
        <v>0</v>
      </c>
      <c r="AA1222" s="3">
        <f>SUMIFS(EVENTOS!$D:$D, EVENTOS!$B:$B, D1222, EVENTOS!$E:$E, "*GirBajo*")</f>
        <v>0</v>
      </c>
      <c r="AB1222" s="3">
        <f>IFERROR(INDEX(EVENTOS!$D:$D,MATCH(SCORE!AB$2&amp;" "&amp;SCORE!$D1222,EVENTOS!$F:$F,0)),0)</f>
        <v>0</v>
      </c>
      <c r="AC1222" s="3">
        <f>IFERROR(INDEX(EVENTOS!$D:$D,MATCH(SCORE!AC$2&amp;" "&amp;SCORE!$D1222,EVENTOS!$F:$F,0)),0)</f>
        <v>0</v>
      </c>
      <c r="AD1222" s="3">
        <f>IFERROR(INDEX(EVENTOS!$D:$D,MATCH(SCORE!AD$2&amp;" "&amp;SCORE!$D1222,EVENTOS!$F:$F,0)),0)</f>
        <v>0</v>
      </c>
      <c r="AE1222" s="3">
        <f t="shared" si="57"/>
        <v>0</v>
      </c>
      <c r="AF1222" s="10" t="e">
        <f t="shared" si="58"/>
        <v>#N/A</v>
      </c>
      <c r="AG1222" s="3" t="str">
        <f t="shared" si="59"/>
        <v/>
      </c>
    </row>
    <row r="1223" spans="1:33" x14ac:dyDescent="0.25">
      <c r="A1223" s="7"/>
      <c r="B1223" s="8"/>
      <c r="C1223" s="3"/>
      <c r="D1223" s="3"/>
      <c r="E1223" s="3" t="e">
        <f>VLOOKUP(D1223,VIAJES!$D:$E,2,FALSE)</f>
        <v>#N/A</v>
      </c>
      <c r="F1223" s="9" t="e">
        <f>VLOOKUP(D1223,VIAJES!$D:$F,3,FALSE)</f>
        <v>#N/A</v>
      </c>
      <c r="G1223" s="9" t="e">
        <f>VLOOKUP(D1223,VIAJES!$D:$G,4,FALSE)</f>
        <v>#N/A</v>
      </c>
      <c r="H1223" s="3" t="e">
        <f>VLOOKUP(D1223,VIAJES!$D:$H,5,FALSE)</f>
        <v>#N/A</v>
      </c>
      <c r="S1223" s="3">
        <f>IFERROR(INDEX(EVENTOS!$D:$D,MATCH(SCORE!S$2&amp;" "&amp;SCORE!$D1223,EVENTOS!$F:$F,0)),0)</f>
        <v>0</v>
      </c>
      <c r="T1223" s="3">
        <f>IFERROR(INDEX(EVENTOS!$D:$D,MATCH(SCORE!T$2&amp;" "&amp;SCORE!$D1223,EVENTOS!$F:$F,0)),0)</f>
        <v>0</v>
      </c>
      <c r="U1223" s="3">
        <f>IFERROR(INDEX(EVENTOS!$D:$D,MATCH(SCORE!U$2&amp;" "&amp;SCORE!$D1223,EVENTOS!$F:$F,0)),0)</f>
        <v>0</v>
      </c>
      <c r="V1223" s="3">
        <f>IFERROR(INDEX(EVENTOS!$D:$D,MATCH(SCORE!V$2&amp;" "&amp;SCORE!$D1223,EVENTOS!$F:$F,0)),0)</f>
        <v>0</v>
      </c>
      <c r="W1223" s="3">
        <f>IFERROR(INDEX(EVENTOS!$D:$D,MATCH(SCORE!W$2&amp;" "&amp;SCORE!$D1223,EVENTOS!$F:$F,0)),0)</f>
        <v>0</v>
      </c>
      <c r="X1223" s="3">
        <f>IFERROR(INDEX(EVENTOS!$D:$D,MATCH(SCORE!X$2&amp;" "&amp;SCORE!$D1223,EVENTOS!$F:$F,0)),0)</f>
        <v>0</v>
      </c>
      <c r="Y1223" s="3">
        <f>SUMIFS(EVENTOS!$D:$D, EVENTOS!$B:$B, D1223, EVENTOS!$E:$E, "*GirAlto*")</f>
        <v>0</v>
      </c>
      <c r="Z1223" s="3">
        <f>SUMIFS(EVENTOS!$D:$D, EVENTOS!$B:$B, D1223, EVENTOS!$E:$E, "*GirMed*")</f>
        <v>0</v>
      </c>
      <c r="AA1223" s="3">
        <f>SUMIFS(EVENTOS!$D:$D, EVENTOS!$B:$B, D1223, EVENTOS!$E:$E, "*GirBajo*")</f>
        <v>0</v>
      </c>
      <c r="AB1223" s="3">
        <f>IFERROR(INDEX(EVENTOS!$D:$D,MATCH(SCORE!AB$2&amp;" "&amp;SCORE!$D1223,EVENTOS!$F:$F,0)),0)</f>
        <v>0</v>
      </c>
      <c r="AC1223" s="3">
        <f>IFERROR(INDEX(EVENTOS!$D:$D,MATCH(SCORE!AC$2&amp;" "&amp;SCORE!$D1223,EVENTOS!$F:$F,0)),0)</f>
        <v>0</v>
      </c>
      <c r="AD1223" s="3">
        <f>IFERROR(INDEX(EVENTOS!$D:$D,MATCH(SCORE!AD$2&amp;" "&amp;SCORE!$D1223,EVENTOS!$F:$F,0)),0)</f>
        <v>0</v>
      </c>
      <c r="AE1223" s="3">
        <f t="shared" si="57"/>
        <v>0</v>
      </c>
      <c r="AF1223" s="10" t="e">
        <f t="shared" si="58"/>
        <v>#N/A</v>
      </c>
      <c r="AG1223" s="3" t="str">
        <f t="shared" si="59"/>
        <v/>
      </c>
    </row>
    <row r="1224" spans="1:33" x14ac:dyDescent="0.25">
      <c r="A1224" s="7"/>
      <c r="B1224" s="8"/>
      <c r="C1224" s="3"/>
      <c r="D1224" s="3"/>
      <c r="E1224" s="3" t="e">
        <f>VLOOKUP(D1224,VIAJES!$D:$E,2,FALSE)</f>
        <v>#N/A</v>
      </c>
      <c r="F1224" s="9" t="e">
        <f>VLOOKUP(D1224,VIAJES!$D:$F,3,FALSE)</f>
        <v>#N/A</v>
      </c>
      <c r="G1224" s="9" t="e">
        <f>VLOOKUP(D1224,VIAJES!$D:$G,4,FALSE)</f>
        <v>#N/A</v>
      </c>
      <c r="H1224" s="3" t="e">
        <f>VLOOKUP(D1224,VIAJES!$D:$H,5,FALSE)</f>
        <v>#N/A</v>
      </c>
      <c r="S1224" s="3">
        <f>IFERROR(INDEX(EVENTOS!$D:$D,MATCH(SCORE!S$2&amp;" "&amp;SCORE!$D1224,EVENTOS!$F:$F,0)),0)</f>
        <v>0</v>
      </c>
      <c r="T1224" s="3">
        <f>IFERROR(INDEX(EVENTOS!$D:$D,MATCH(SCORE!T$2&amp;" "&amp;SCORE!$D1224,EVENTOS!$F:$F,0)),0)</f>
        <v>0</v>
      </c>
      <c r="U1224" s="3">
        <f>IFERROR(INDEX(EVENTOS!$D:$D,MATCH(SCORE!U$2&amp;" "&amp;SCORE!$D1224,EVENTOS!$F:$F,0)),0)</f>
        <v>0</v>
      </c>
      <c r="V1224" s="3">
        <f>IFERROR(INDEX(EVENTOS!$D:$D,MATCH(SCORE!V$2&amp;" "&amp;SCORE!$D1224,EVENTOS!$F:$F,0)),0)</f>
        <v>0</v>
      </c>
      <c r="W1224" s="3">
        <f>IFERROR(INDEX(EVENTOS!$D:$D,MATCH(SCORE!W$2&amp;" "&amp;SCORE!$D1224,EVENTOS!$F:$F,0)),0)</f>
        <v>0</v>
      </c>
      <c r="X1224" s="3">
        <f>IFERROR(INDEX(EVENTOS!$D:$D,MATCH(SCORE!X$2&amp;" "&amp;SCORE!$D1224,EVENTOS!$F:$F,0)),0)</f>
        <v>0</v>
      </c>
      <c r="Y1224" s="3">
        <f>SUMIFS(EVENTOS!$D:$D, EVENTOS!$B:$B, D1224, EVENTOS!$E:$E, "*GirAlto*")</f>
        <v>0</v>
      </c>
      <c r="Z1224" s="3">
        <f>SUMIFS(EVENTOS!$D:$D, EVENTOS!$B:$B, D1224, EVENTOS!$E:$E, "*GirMed*")</f>
        <v>0</v>
      </c>
      <c r="AA1224" s="3">
        <f>SUMIFS(EVENTOS!$D:$D, EVENTOS!$B:$B, D1224, EVENTOS!$E:$E, "*GirBajo*")</f>
        <v>0</v>
      </c>
      <c r="AB1224" s="3">
        <f>IFERROR(INDEX(EVENTOS!$D:$D,MATCH(SCORE!AB$2&amp;" "&amp;SCORE!$D1224,EVENTOS!$F:$F,0)),0)</f>
        <v>0</v>
      </c>
      <c r="AC1224" s="3">
        <f>IFERROR(INDEX(EVENTOS!$D:$D,MATCH(SCORE!AC$2&amp;" "&amp;SCORE!$D1224,EVENTOS!$F:$F,0)),0)</f>
        <v>0</v>
      </c>
      <c r="AD1224" s="3">
        <f>IFERROR(INDEX(EVENTOS!$D:$D,MATCH(SCORE!AD$2&amp;" "&amp;SCORE!$D1224,EVENTOS!$F:$F,0)),0)</f>
        <v>0</v>
      </c>
      <c r="AE1224" s="3">
        <f t="shared" si="57"/>
        <v>0</v>
      </c>
      <c r="AF1224" s="10" t="e">
        <f t="shared" si="58"/>
        <v>#N/A</v>
      </c>
      <c r="AG1224" s="3" t="str">
        <f t="shared" si="59"/>
        <v/>
      </c>
    </row>
    <row r="1225" spans="1:33" x14ac:dyDescent="0.25">
      <c r="A1225" s="7"/>
      <c r="B1225" s="8"/>
      <c r="C1225" s="3"/>
      <c r="D1225" s="3"/>
      <c r="E1225" s="3" t="e">
        <f>VLOOKUP(D1225,VIAJES!$D:$E,2,FALSE)</f>
        <v>#N/A</v>
      </c>
      <c r="F1225" s="9" t="e">
        <f>VLOOKUP(D1225,VIAJES!$D:$F,3,FALSE)</f>
        <v>#N/A</v>
      </c>
      <c r="G1225" s="9" t="e">
        <f>VLOOKUP(D1225,VIAJES!$D:$G,4,FALSE)</f>
        <v>#N/A</v>
      </c>
      <c r="H1225" s="3" t="e">
        <f>VLOOKUP(D1225,VIAJES!$D:$H,5,FALSE)</f>
        <v>#N/A</v>
      </c>
      <c r="S1225" s="3">
        <f>IFERROR(INDEX(EVENTOS!$D:$D,MATCH(SCORE!S$2&amp;" "&amp;SCORE!$D1225,EVENTOS!$F:$F,0)),0)</f>
        <v>0</v>
      </c>
      <c r="T1225" s="3">
        <f>IFERROR(INDEX(EVENTOS!$D:$D,MATCH(SCORE!T$2&amp;" "&amp;SCORE!$D1225,EVENTOS!$F:$F,0)),0)</f>
        <v>0</v>
      </c>
      <c r="U1225" s="3">
        <f>IFERROR(INDEX(EVENTOS!$D:$D,MATCH(SCORE!U$2&amp;" "&amp;SCORE!$D1225,EVENTOS!$F:$F,0)),0)</f>
        <v>0</v>
      </c>
      <c r="V1225" s="3">
        <f>IFERROR(INDEX(EVENTOS!$D:$D,MATCH(SCORE!V$2&amp;" "&amp;SCORE!$D1225,EVENTOS!$F:$F,0)),0)</f>
        <v>0</v>
      </c>
      <c r="W1225" s="3">
        <f>IFERROR(INDEX(EVENTOS!$D:$D,MATCH(SCORE!W$2&amp;" "&amp;SCORE!$D1225,EVENTOS!$F:$F,0)),0)</f>
        <v>0</v>
      </c>
      <c r="X1225" s="3">
        <f>IFERROR(INDEX(EVENTOS!$D:$D,MATCH(SCORE!X$2&amp;" "&amp;SCORE!$D1225,EVENTOS!$F:$F,0)),0)</f>
        <v>0</v>
      </c>
      <c r="Y1225" s="3">
        <f>SUMIFS(EVENTOS!$D:$D, EVENTOS!$B:$B, D1225, EVENTOS!$E:$E, "*GirAlto*")</f>
        <v>0</v>
      </c>
      <c r="Z1225" s="3">
        <f>SUMIFS(EVENTOS!$D:$D, EVENTOS!$B:$B, D1225, EVENTOS!$E:$E, "*GirMed*")</f>
        <v>0</v>
      </c>
      <c r="AA1225" s="3">
        <f>SUMIFS(EVENTOS!$D:$D, EVENTOS!$B:$B, D1225, EVENTOS!$E:$E, "*GirBajo*")</f>
        <v>0</v>
      </c>
      <c r="AB1225" s="3">
        <f>IFERROR(INDEX(EVENTOS!$D:$D,MATCH(SCORE!AB$2&amp;" "&amp;SCORE!$D1225,EVENTOS!$F:$F,0)),0)</f>
        <v>0</v>
      </c>
      <c r="AC1225" s="3">
        <f>IFERROR(INDEX(EVENTOS!$D:$D,MATCH(SCORE!AC$2&amp;" "&amp;SCORE!$D1225,EVENTOS!$F:$F,0)),0)</f>
        <v>0</v>
      </c>
      <c r="AD1225" s="3">
        <f>IFERROR(INDEX(EVENTOS!$D:$D,MATCH(SCORE!AD$2&amp;" "&amp;SCORE!$D1225,EVENTOS!$F:$F,0)),0)</f>
        <v>0</v>
      </c>
      <c r="AE1225" s="3">
        <f t="shared" si="57"/>
        <v>0</v>
      </c>
      <c r="AF1225" s="10" t="e">
        <f t="shared" si="58"/>
        <v>#N/A</v>
      </c>
      <c r="AG1225" s="3" t="str">
        <f t="shared" si="59"/>
        <v/>
      </c>
    </row>
    <row r="1226" spans="1:33" x14ac:dyDescent="0.25">
      <c r="A1226" s="7"/>
      <c r="B1226" s="8"/>
      <c r="C1226" s="3"/>
      <c r="D1226" s="3"/>
      <c r="E1226" s="3" t="e">
        <f>VLOOKUP(D1226,VIAJES!$D:$E,2,FALSE)</f>
        <v>#N/A</v>
      </c>
      <c r="F1226" s="9" t="e">
        <f>VLOOKUP(D1226,VIAJES!$D:$F,3,FALSE)</f>
        <v>#N/A</v>
      </c>
      <c r="G1226" s="9" t="e">
        <f>VLOOKUP(D1226,VIAJES!$D:$G,4,FALSE)</f>
        <v>#N/A</v>
      </c>
      <c r="H1226" s="3" t="e">
        <f>VLOOKUP(D1226,VIAJES!$D:$H,5,FALSE)</f>
        <v>#N/A</v>
      </c>
      <c r="S1226" s="3">
        <f>IFERROR(INDEX(EVENTOS!$D:$D,MATCH(SCORE!S$2&amp;" "&amp;SCORE!$D1226,EVENTOS!$F:$F,0)),0)</f>
        <v>0</v>
      </c>
      <c r="T1226" s="3">
        <f>IFERROR(INDEX(EVENTOS!$D:$D,MATCH(SCORE!T$2&amp;" "&amp;SCORE!$D1226,EVENTOS!$F:$F,0)),0)</f>
        <v>0</v>
      </c>
      <c r="U1226" s="3">
        <f>IFERROR(INDEX(EVENTOS!$D:$D,MATCH(SCORE!U$2&amp;" "&amp;SCORE!$D1226,EVENTOS!$F:$F,0)),0)</f>
        <v>0</v>
      </c>
      <c r="V1226" s="3">
        <f>IFERROR(INDEX(EVENTOS!$D:$D,MATCH(SCORE!V$2&amp;" "&amp;SCORE!$D1226,EVENTOS!$F:$F,0)),0)</f>
        <v>0</v>
      </c>
      <c r="W1226" s="3">
        <f>IFERROR(INDEX(EVENTOS!$D:$D,MATCH(SCORE!W$2&amp;" "&amp;SCORE!$D1226,EVENTOS!$F:$F,0)),0)</f>
        <v>0</v>
      </c>
      <c r="X1226" s="3">
        <f>IFERROR(INDEX(EVENTOS!$D:$D,MATCH(SCORE!X$2&amp;" "&amp;SCORE!$D1226,EVENTOS!$F:$F,0)),0)</f>
        <v>0</v>
      </c>
      <c r="Y1226" s="3">
        <f>SUMIFS(EVENTOS!$D:$D, EVENTOS!$B:$B, D1226, EVENTOS!$E:$E, "*GirAlto*")</f>
        <v>0</v>
      </c>
      <c r="Z1226" s="3">
        <f>SUMIFS(EVENTOS!$D:$D, EVENTOS!$B:$B, D1226, EVENTOS!$E:$E, "*GirMed*")</f>
        <v>0</v>
      </c>
      <c r="AA1226" s="3">
        <f>SUMIFS(EVENTOS!$D:$D, EVENTOS!$B:$B, D1226, EVENTOS!$E:$E, "*GirBajo*")</f>
        <v>0</v>
      </c>
      <c r="AB1226" s="3">
        <f>IFERROR(INDEX(EVENTOS!$D:$D,MATCH(SCORE!AB$2&amp;" "&amp;SCORE!$D1226,EVENTOS!$F:$F,0)),0)</f>
        <v>0</v>
      </c>
      <c r="AC1226" s="3">
        <f>IFERROR(INDEX(EVENTOS!$D:$D,MATCH(SCORE!AC$2&amp;" "&amp;SCORE!$D1226,EVENTOS!$F:$F,0)),0)</f>
        <v>0</v>
      </c>
      <c r="AD1226" s="3">
        <f>IFERROR(INDEX(EVENTOS!$D:$D,MATCH(SCORE!AD$2&amp;" "&amp;SCORE!$D1226,EVENTOS!$F:$F,0)),0)</f>
        <v>0</v>
      </c>
      <c r="AE1226" s="3">
        <f t="shared" si="57"/>
        <v>0</v>
      </c>
      <c r="AF1226" s="10" t="e">
        <f t="shared" si="58"/>
        <v>#N/A</v>
      </c>
      <c r="AG1226" s="3" t="str">
        <f t="shared" si="59"/>
        <v/>
      </c>
    </row>
    <row r="1227" spans="1:33" x14ac:dyDescent="0.25">
      <c r="A1227" s="7"/>
      <c r="B1227" s="8"/>
      <c r="C1227" s="3"/>
      <c r="D1227" s="3"/>
      <c r="E1227" s="3" t="e">
        <f>VLOOKUP(D1227,VIAJES!$D:$E,2,FALSE)</f>
        <v>#N/A</v>
      </c>
      <c r="F1227" s="9" t="e">
        <f>VLOOKUP(D1227,VIAJES!$D:$F,3,FALSE)</f>
        <v>#N/A</v>
      </c>
      <c r="G1227" s="9" t="e">
        <f>VLOOKUP(D1227,VIAJES!$D:$G,4,FALSE)</f>
        <v>#N/A</v>
      </c>
      <c r="H1227" s="3" t="e">
        <f>VLOOKUP(D1227,VIAJES!$D:$H,5,FALSE)</f>
        <v>#N/A</v>
      </c>
      <c r="S1227" s="3">
        <f>IFERROR(INDEX(EVENTOS!$D:$D,MATCH(SCORE!S$2&amp;" "&amp;SCORE!$D1227,EVENTOS!$F:$F,0)),0)</f>
        <v>0</v>
      </c>
      <c r="T1227" s="3">
        <f>IFERROR(INDEX(EVENTOS!$D:$D,MATCH(SCORE!T$2&amp;" "&amp;SCORE!$D1227,EVENTOS!$F:$F,0)),0)</f>
        <v>0</v>
      </c>
      <c r="U1227" s="3">
        <f>IFERROR(INDEX(EVENTOS!$D:$D,MATCH(SCORE!U$2&amp;" "&amp;SCORE!$D1227,EVENTOS!$F:$F,0)),0)</f>
        <v>0</v>
      </c>
      <c r="V1227" s="3">
        <f>IFERROR(INDEX(EVENTOS!$D:$D,MATCH(SCORE!V$2&amp;" "&amp;SCORE!$D1227,EVENTOS!$F:$F,0)),0)</f>
        <v>0</v>
      </c>
      <c r="W1227" s="3">
        <f>IFERROR(INDEX(EVENTOS!$D:$D,MATCH(SCORE!W$2&amp;" "&amp;SCORE!$D1227,EVENTOS!$F:$F,0)),0)</f>
        <v>0</v>
      </c>
      <c r="X1227" s="3">
        <f>IFERROR(INDEX(EVENTOS!$D:$D,MATCH(SCORE!X$2&amp;" "&amp;SCORE!$D1227,EVENTOS!$F:$F,0)),0)</f>
        <v>0</v>
      </c>
      <c r="Y1227" s="3">
        <f>SUMIFS(EVENTOS!$D:$D, EVENTOS!$B:$B, D1227, EVENTOS!$E:$E, "*GirAlto*")</f>
        <v>0</v>
      </c>
      <c r="Z1227" s="3">
        <f>SUMIFS(EVENTOS!$D:$D, EVENTOS!$B:$B, D1227, EVENTOS!$E:$E, "*GirMed*")</f>
        <v>0</v>
      </c>
      <c r="AA1227" s="3">
        <f>SUMIFS(EVENTOS!$D:$D, EVENTOS!$B:$B, D1227, EVENTOS!$E:$E, "*GirBajo*")</f>
        <v>0</v>
      </c>
      <c r="AB1227" s="3">
        <f>IFERROR(INDEX(EVENTOS!$D:$D,MATCH(SCORE!AB$2&amp;" "&amp;SCORE!$D1227,EVENTOS!$F:$F,0)),0)</f>
        <v>0</v>
      </c>
      <c r="AC1227" s="3">
        <f>IFERROR(INDEX(EVENTOS!$D:$D,MATCH(SCORE!AC$2&amp;" "&amp;SCORE!$D1227,EVENTOS!$F:$F,0)),0)</f>
        <v>0</v>
      </c>
      <c r="AD1227" s="3">
        <f>IFERROR(INDEX(EVENTOS!$D:$D,MATCH(SCORE!AD$2&amp;" "&amp;SCORE!$D1227,EVENTOS!$F:$F,0)),0)</f>
        <v>0</v>
      </c>
      <c r="AE1227" s="3">
        <f t="shared" si="57"/>
        <v>0</v>
      </c>
      <c r="AF1227" s="10" t="e">
        <f t="shared" si="58"/>
        <v>#N/A</v>
      </c>
      <c r="AG1227" s="3" t="str">
        <f t="shared" si="59"/>
        <v/>
      </c>
    </row>
    <row r="1228" spans="1:33" x14ac:dyDescent="0.25">
      <c r="A1228" s="7"/>
      <c r="B1228" s="8"/>
      <c r="C1228" s="3"/>
      <c r="D1228" s="3"/>
      <c r="E1228" s="3" t="e">
        <f>VLOOKUP(D1228,VIAJES!$D:$E,2,FALSE)</f>
        <v>#N/A</v>
      </c>
      <c r="F1228" s="9" t="e">
        <f>VLOOKUP(D1228,VIAJES!$D:$F,3,FALSE)</f>
        <v>#N/A</v>
      </c>
      <c r="G1228" s="9" t="e">
        <f>VLOOKUP(D1228,VIAJES!$D:$G,4,FALSE)</f>
        <v>#N/A</v>
      </c>
      <c r="H1228" s="3" t="e">
        <f>VLOOKUP(D1228,VIAJES!$D:$H,5,FALSE)</f>
        <v>#N/A</v>
      </c>
      <c r="S1228" s="3">
        <f>IFERROR(INDEX(EVENTOS!$D:$D,MATCH(SCORE!S$2&amp;" "&amp;SCORE!$D1228,EVENTOS!$F:$F,0)),0)</f>
        <v>0</v>
      </c>
      <c r="T1228" s="3">
        <f>IFERROR(INDEX(EVENTOS!$D:$D,MATCH(SCORE!T$2&amp;" "&amp;SCORE!$D1228,EVENTOS!$F:$F,0)),0)</f>
        <v>0</v>
      </c>
      <c r="U1228" s="3">
        <f>IFERROR(INDEX(EVENTOS!$D:$D,MATCH(SCORE!U$2&amp;" "&amp;SCORE!$D1228,EVENTOS!$F:$F,0)),0)</f>
        <v>0</v>
      </c>
      <c r="V1228" s="3">
        <f>IFERROR(INDEX(EVENTOS!$D:$D,MATCH(SCORE!V$2&amp;" "&amp;SCORE!$D1228,EVENTOS!$F:$F,0)),0)</f>
        <v>0</v>
      </c>
      <c r="W1228" s="3">
        <f>IFERROR(INDEX(EVENTOS!$D:$D,MATCH(SCORE!W$2&amp;" "&amp;SCORE!$D1228,EVENTOS!$F:$F,0)),0)</f>
        <v>0</v>
      </c>
      <c r="X1228" s="3">
        <f>IFERROR(INDEX(EVENTOS!$D:$D,MATCH(SCORE!X$2&amp;" "&amp;SCORE!$D1228,EVENTOS!$F:$F,0)),0)</f>
        <v>0</v>
      </c>
      <c r="Y1228" s="3">
        <f>SUMIFS(EVENTOS!$D:$D, EVENTOS!$B:$B, D1228, EVENTOS!$E:$E, "*GirAlto*")</f>
        <v>0</v>
      </c>
      <c r="Z1228" s="3">
        <f>SUMIFS(EVENTOS!$D:$D, EVENTOS!$B:$B, D1228, EVENTOS!$E:$E, "*GirMed*")</f>
        <v>0</v>
      </c>
      <c r="AA1228" s="3">
        <f>SUMIFS(EVENTOS!$D:$D, EVENTOS!$B:$B, D1228, EVENTOS!$E:$E, "*GirBajo*")</f>
        <v>0</v>
      </c>
      <c r="AB1228" s="3">
        <f>IFERROR(INDEX(EVENTOS!$D:$D,MATCH(SCORE!AB$2&amp;" "&amp;SCORE!$D1228,EVENTOS!$F:$F,0)),0)</f>
        <v>0</v>
      </c>
      <c r="AC1228" s="3">
        <f>IFERROR(INDEX(EVENTOS!$D:$D,MATCH(SCORE!AC$2&amp;" "&amp;SCORE!$D1228,EVENTOS!$F:$F,0)),0)</f>
        <v>0</v>
      </c>
      <c r="AD1228" s="3">
        <f>IFERROR(INDEX(EVENTOS!$D:$D,MATCH(SCORE!AD$2&amp;" "&amp;SCORE!$D1228,EVENTOS!$F:$F,0)),0)</f>
        <v>0</v>
      </c>
      <c r="AE1228" s="3">
        <f t="shared" si="57"/>
        <v>0</v>
      </c>
      <c r="AF1228" s="10" t="e">
        <f t="shared" si="58"/>
        <v>#N/A</v>
      </c>
      <c r="AG1228" s="3" t="str">
        <f t="shared" si="59"/>
        <v/>
      </c>
    </row>
    <row r="1229" spans="1:33" x14ac:dyDescent="0.25">
      <c r="A1229" s="7"/>
      <c r="B1229" s="8"/>
      <c r="C1229" s="3"/>
      <c r="D1229" s="3"/>
      <c r="E1229" s="3" t="e">
        <f>VLOOKUP(D1229,VIAJES!$D:$E,2,FALSE)</f>
        <v>#N/A</v>
      </c>
      <c r="F1229" s="9" t="e">
        <f>VLOOKUP(D1229,VIAJES!$D:$F,3,FALSE)</f>
        <v>#N/A</v>
      </c>
      <c r="G1229" s="9" t="e">
        <f>VLOOKUP(D1229,VIAJES!$D:$G,4,FALSE)</f>
        <v>#N/A</v>
      </c>
      <c r="H1229" s="3" t="e">
        <f>VLOOKUP(D1229,VIAJES!$D:$H,5,FALSE)</f>
        <v>#N/A</v>
      </c>
      <c r="S1229" s="3">
        <f>IFERROR(INDEX(EVENTOS!$D:$D,MATCH(SCORE!S$2&amp;" "&amp;SCORE!$D1229,EVENTOS!$F:$F,0)),0)</f>
        <v>0</v>
      </c>
      <c r="T1229" s="3">
        <f>IFERROR(INDEX(EVENTOS!$D:$D,MATCH(SCORE!T$2&amp;" "&amp;SCORE!$D1229,EVENTOS!$F:$F,0)),0)</f>
        <v>0</v>
      </c>
      <c r="U1229" s="3">
        <f>IFERROR(INDEX(EVENTOS!$D:$D,MATCH(SCORE!U$2&amp;" "&amp;SCORE!$D1229,EVENTOS!$F:$F,0)),0)</f>
        <v>0</v>
      </c>
      <c r="V1229" s="3">
        <f>IFERROR(INDEX(EVENTOS!$D:$D,MATCH(SCORE!V$2&amp;" "&amp;SCORE!$D1229,EVENTOS!$F:$F,0)),0)</f>
        <v>0</v>
      </c>
      <c r="W1229" s="3">
        <f>IFERROR(INDEX(EVENTOS!$D:$D,MATCH(SCORE!W$2&amp;" "&amp;SCORE!$D1229,EVENTOS!$F:$F,0)),0)</f>
        <v>0</v>
      </c>
      <c r="X1229" s="3">
        <f>IFERROR(INDEX(EVENTOS!$D:$D,MATCH(SCORE!X$2&amp;" "&amp;SCORE!$D1229,EVENTOS!$F:$F,0)),0)</f>
        <v>0</v>
      </c>
      <c r="Y1229" s="3">
        <f>SUMIFS(EVENTOS!$D:$D, EVENTOS!$B:$B, D1229, EVENTOS!$E:$E, "*GirAlto*")</f>
        <v>0</v>
      </c>
      <c r="Z1229" s="3">
        <f>SUMIFS(EVENTOS!$D:$D, EVENTOS!$B:$B, D1229, EVENTOS!$E:$E, "*GirMed*")</f>
        <v>0</v>
      </c>
      <c r="AA1229" s="3">
        <f>SUMIFS(EVENTOS!$D:$D, EVENTOS!$B:$B, D1229, EVENTOS!$E:$E, "*GirBajo*")</f>
        <v>0</v>
      </c>
      <c r="AB1229" s="3">
        <f>IFERROR(INDEX(EVENTOS!$D:$D,MATCH(SCORE!AB$2&amp;" "&amp;SCORE!$D1229,EVENTOS!$F:$F,0)),0)</f>
        <v>0</v>
      </c>
      <c r="AC1229" s="3">
        <f>IFERROR(INDEX(EVENTOS!$D:$D,MATCH(SCORE!AC$2&amp;" "&amp;SCORE!$D1229,EVENTOS!$F:$F,0)),0)</f>
        <v>0</v>
      </c>
      <c r="AD1229" s="3">
        <f>IFERROR(INDEX(EVENTOS!$D:$D,MATCH(SCORE!AD$2&amp;" "&amp;SCORE!$D1229,EVENTOS!$F:$F,0)),0)</f>
        <v>0</v>
      </c>
      <c r="AE1229" s="3">
        <f t="shared" si="57"/>
        <v>0</v>
      </c>
      <c r="AF1229" s="10" t="e">
        <f t="shared" si="58"/>
        <v>#N/A</v>
      </c>
      <c r="AG1229" s="3" t="str">
        <f t="shared" si="59"/>
        <v/>
      </c>
    </row>
    <row r="1230" spans="1:33" x14ac:dyDescent="0.25">
      <c r="A1230" s="7"/>
      <c r="B1230" s="8"/>
      <c r="C1230" s="3"/>
      <c r="D1230" s="3"/>
      <c r="E1230" s="3" t="e">
        <f>VLOOKUP(D1230,VIAJES!$D:$E,2,FALSE)</f>
        <v>#N/A</v>
      </c>
      <c r="F1230" s="9" t="e">
        <f>VLOOKUP(D1230,VIAJES!$D:$F,3,FALSE)</f>
        <v>#N/A</v>
      </c>
      <c r="G1230" s="9" t="e">
        <f>VLOOKUP(D1230,VIAJES!$D:$G,4,FALSE)</f>
        <v>#N/A</v>
      </c>
      <c r="H1230" s="3" t="e">
        <f>VLOOKUP(D1230,VIAJES!$D:$H,5,FALSE)</f>
        <v>#N/A</v>
      </c>
      <c r="S1230" s="3">
        <f>IFERROR(INDEX(EVENTOS!$D:$D,MATCH(SCORE!S$2&amp;" "&amp;SCORE!$D1230,EVENTOS!$F:$F,0)),0)</f>
        <v>0</v>
      </c>
      <c r="T1230" s="3">
        <f>IFERROR(INDEX(EVENTOS!$D:$D,MATCH(SCORE!T$2&amp;" "&amp;SCORE!$D1230,EVENTOS!$F:$F,0)),0)</f>
        <v>0</v>
      </c>
      <c r="U1230" s="3">
        <f>IFERROR(INDEX(EVENTOS!$D:$D,MATCH(SCORE!U$2&amp;" "&amp;SCORE!$D1230,EVENTOS!$F:$F,0)),0)</f>
        <v>0</v>
      </c>
      <c r="V1230" s="3">
        <f>IFERROR(INDEX(EVENTOS!$D:$D,MATCH(SCORE!V$2&amp;" "&amp;SCORE!$D1230,EVENTOS!$F:$F,0)),0)</f>
        <v>0</v>
      </c>
      <c r="W1230" s="3">
        <f>IFERROR(INDEX(EVENTOS!$D:$D,MATCH(SCORE!W$2&amp;" "&amp;SCORE!$D1230,EVENTOS!$F:$F,0)),0)</f>
        <v>0</v>
      </c>
      <c r="X1230" s="3">
        <f>IFERROR(INDEX(EVENTOS!$D:$D,MATCH(SCORE!X$2&amp;" "&amp;SCORE!$D1230,EVENTOS!$F:$F,0)),0)</f>
        <v>0</v>
      </c>
      <c r="Y1230" s="3">
        <f>SUMIFS(EVENTOS!$D:$D, EVENTOS!$B:$B, D1230, EVENTOS!$E:$E, "*GirAlto*")</f>
        <v>0</v>
      </c>
      <c r="Z1230" s="3">
        <f>SUMIFS(EVENTOS!$D:$D, EVENTOS!$B:$B, D1230, EVENTOS!$E:$E, "*GirMed*")</f>
        <v>0</v>
      </c>
      <c r="AA1230" s="3">
        <f>SUMIFS(EVENTOS!$D:$D, EVENTOS!$B:$B, D1230, EVENTOS!$E:$E, "*GirBajo*")</f>
        <v>0</v>
      </c>
      <c r="AB1230" s="3">
        <f>IFERROR(INDEX(EVENTOS!$D:$D,MATCH(SCORE!AB$2&amp;" "&amp;SCORE!$D1230,EVENTOS!$F:$F,0)),0)</f>
        <v>0</v>
      </c>
      <c r="AC1230" s="3">
        <f>IFERROR(INDEX(EVENTOS!$D:$D,MATCH(SCORE!AC$2&amp;" "&amp;SCORE!$D1230,EVENTOS!$F:$F,0)),0)</f>
        <v>0</v>
      </c>
      <c r="AD1230" s="3">
        <f>IFERROR(INDEX(EVENTOS!$D:$D,MATCH(SCORE!AD$2&amp;" "&amp;SCORE!$D1230,EVENTOS!$F:$F,0)),0)</f>
        <v>0</v>
      </c>
      <c r="AE1230" s="3">
        <f t="shared" si="57"/>
        <v>0</v>
      </c>
      <c r="AF1230" s="10" t="e">
        <f t="shared" si="58"/>
        <v>#N/A</v>
      </c>
      <c r="AG1230" s="3" t="str">
        <f t="shared" si="59"/>
        <v/>
      </c>
    </row>
    <row r="1231" spans="1:33" x14ac:dyDescent="0.25">
      <c r="A1231" s="7"/>
      <c r="B1231" s="8"/>
      <c r="C1231" s="3"/>
      <c r="D1231" s="3"/>
      <c r="E1231" s="3" t="e">
        <f>VLOOKUP(D1231,VIAJES!$D:$E,2,FALSE)</f>
        <v>#N/A</v>
      </c>
      <c r="F1231" s="9" t="e">
        <f>VLOOKUP(D1231,VIAJES!$D:$F,3,FALSE)</f>
        <v>#N/A</v>
      </c>
      <c r="G1231" s="9" t="e">
        <f>VLOOKUP(D1231,VIAJES!$D:$G,4,FALSE)</f>
        <v>#N/A</v>
      </c>
      <c r="H1231" s="3" t="e">
        <f>VLOOKUP(D1231,VIAJES!$D:$H,5,FALSE)</f>
        <v>#N/A</v>
      </c>
      <c r="S1231" s="3">
        <f>IFERROR(INDEX(EVENTOS!$D:$D,MATCH(SCORE!S$2&amp;" "&amp;SCORE!$D1231,EVENTOS!$F:$F,0)),0)</f>
        <v>0</v>
      </c>
      <c r="T1231" s="3">
        <f>IFERROR(INDEX(EVENTOS!$D:$D,MATCH(SCORE!T$2&amp;" "&amp;SCORE!$D1231,EVENTOS!$F:$F,0)),0)</f>
        <v>0</v>
      </c>
      <c r="U1231" s="3">
        <f>IFERROR(INDEX(EVENTOS!$D:$D,MATCH(SCORE!U$2&amp;" "&amp;SCORE!$D1231,EVENTOS!$F:$F,0)),0)</f>
        <v>0</v>
      </c>
      <c r="V1231" s="3">
        <f>IFERROR(INDEX(EVENTOS!$D:$D,MATCH(SCORE!V$2&amp;" "&amp;SCORE!$D1231,EVENTOS!$F:$F,0)),0)</f>
        <v>0</v>
      </c>
      <c r="W1231" s="3">
        <f>IFERROR(INDEX(EVENTOS!$D:$D,MATCH(SCORE!W$2&amp;" "&amp;SCORE!$D1231,EVENTOS!$F:$F,0)),0)</f>
        <v>0</v>
      </c>
      <c r="X1231" s="3">
        <f>IFERROR(INDEX(EVENTOS!$D:$D,MATCH(SCORE!X$2&amp;" "&amp;SCORE!$D1231,EVENTOS!$F:$F,0)),0)</f>
        <v>0</v>
      </c>
      <c r="Y1231" s="3">
        <f>SUMIFS(EVENTOS!$D:$D, EVENTOS!$B:$B, D1231, EVENTOS!$E:$E, "*GirAlto*")</f>
        <v>0</v>
      </c>
      <c r="Z1231" s="3">
        <f>SUMIFS(EVENTOS!$D:$D, EVENTOS!$B:$B, D1231, EVENTOS!$E:$E, "*GirMed*")</f>
        <v>0</v>
      </c>
      <c r="AA1231" s="3">
        <f>SUMIFS(EVENTOS!$D:$D, EVENTOS!$B:$B, D1231, EVENTOS!$E:$E, "*GirBajo*")</f>
        <v>0</v>
      </c>
      <c r="AB1231" s="3">
        <f>IFERROR(INDEX(EVENTOS!$D:$D,MATCH(SCORE!AB$2&amp;" "&amp;SCORE!$D1231,EVENTOS!$F:$F,0)),0)</f>
        <v>0</v>
      </c>
      <c r="AC1231" s="3">
        <f>IFERROR(INDEX(EVENTOS!$D:$D,MATCH(SCORE!AC$2&amp;" "&amp;SCORE!$D1231,EVENTOS!$F:$F,0)),0)</f>
        <v>0</v>
      </c>
      <c r="AD1231" s="3">
        <f>IFERROR(INDEX(EVENTOS!$D:$D,MATCH(SCORE!AD$2&amp;" "&amp;SCORE!$D1231,EVENTOS!$F:$F,0)),0)</f>
        <v>0</v>
      </c>
      <c r="AE1231" s="3">
        <f t="shared" si="57"/>
        <v>0</v>
      </c>
      <c r="AF1231" s="10" t="e">
        <f t="shared" si="58"/>
        <v>#N/A</v>
      </c>
      <c r="AG1231" s="3" t="str">
        <f t="shared" si="59"/>
        <v/>
      </c>
    </row>
    <row r="1232" spans="1:33" x14ac:dyDescent="0.25">
      <c r="A1232" s="7"/>
      <c r="B1232" s="8"/>
      <c r="C1232" s="3"/>
      <c r="D1232" s="3"/>
      <c r="E1232" s="3" t="e">
        <f>VLOOKUP(D1232,VIAJES!$D:$E,2,FALSE)</f>
        <v>#N/A</v>
      </c>
      <c r="F1232" s="9" t="e">
        <f>VLOOKUP(D1232,VIAJES!$D:$F,3,FALSE)</f>
        <v>#N/A</v>
      </c>
      <c r="G1232" s="9" t="e">
        <f>VLOOKUP(D1232,VIAJES!$D:$G,4,FALSE)</f>
        <v>#N/A</v>
      </c>
      <c r="H1232" s="3" t="e">
        <f>VLOOKUP(D1232,VIAJES!$D:$H,5,FALSE)</f>
        <v>#N/A</v>
      </c>
      <c r="S1232" s="3">
        <f>IFERROR(INDEX(EVENTOS!$D:$D,MATCH(SCORE!S$2&amp;" "&amp;SCORE!$D1232,EVENTOS!$F:$F,0)),0)</f>
        <v>0</v>
      </c>
      <c r="T1232" s="3">
        <f>IFERROR(INDEX(EVENTOS!$D:$D,MATCH(SCORE!T$2&amp;" "&amp;SCORE!$D1232,EVENTOS!$F:$F,0)),0)</f>
        <v>0</v>
      </c>
      <c r="U1232" s="3">
        <f>IFERROR(INDEX(EVENTOS!$D:$D,MATCH(SCORE!U$2&amp;" "&amp;SCORE!$D1232,EVENTOS!$F:$F,0)),0)</f>
        <v>0</v>
      </c>
      <c r="V1232" s="3">
        <f>IFERROR(INDEX(EVENTOS!$D:$D,MATCH(SCORE!V$2&amp;" "&amp;SCORE!$D1232,EVENTOS!$F:$F,0)),0)</f>
        <v>0</v>
      </c>
      <c r="W1232" s="3">
        <f>IFERROR(INDEX(EVENTOS!$D:$D,MATCH(SCORE!W$2&amp;" "&amp;SCORE!$D1232,EVENTOS!$F:$F,0)),0)</f>
        <v>0</v>
      </c>
      <c r="X1232" s="3">
        <f>IFERROR(INDEX(EVENTOS!$D:$D,MATCH(SCORE!X$2&amp;" "&amp;SCORE!$D1232,EVENTOS!$F:$F,0)),0)</f>
        <v>0</v>
      </c>
      <c r="Y1232" s="3">
        <f>SUMIFS(EVENTOS!$D:$D, EVENTOS!$B:$B, D1232, EVENTOS!$E:$E, "*GirAlto*")</f>
        <v>0</v>
      </c>
      <c r="Z1232" s="3">
        <f>SUMIFS(EVENTOS!$D:$D, EVENTOS!$B:$B, D1232, EVENTOS!$E:$E, "*GirMed*")</f>
        <v>0</v>
      </c>
      <c r="AA1232" s="3">
        <f>SUMIFS(EVENTOS!$D:$D, EVENTOS!$B:$B, D1232, EVENTOS!$E:$E, "*GirBajo*")</f>
        <v>0</v>
      </c>
      <c r="AB1232" s="3">
        <f>IFERROR(INDEX(EVENTOS!$D:$D,MATCH(SCORE!AB$2&amp;" "&amp;SCORE!$D1232,EVENTOS!$F:$F,0)),0)</f>
        <v>0</v>
      </c>
      <c r="AC1232" s="3">
        <f>IFERROR(INDEX(EVENTOS!$D:$D,MATCH(SCORE!AC$2&amp;" "&amp;SCORE!$D1232,EVENTOS!$F:$F,0)),0)</f>
        <v>0</v>
      </c>
      <c r="AD1232" s="3">
        <f>IFERROR(INDEX(EVENTOS!$D:$D,MATCH(SCORE!AD$2&amp;" "&amp;SCORE!$D1232,EVENTOS!$F:$F,0)),0)</f>
        <v>0</v>
      </c>
      <c r="AE1232" s="3">
        <f t="shared" si="57"/>
        <v>0</v>
      </c>
      <c r="AF1232" s="10" t="e">
        <f t="shared" si="58"/>
        <v>#N/A</v>
      </c>
      <c r="AG1232" s="3" t="str">
        <f t="shared" si="59"/>
        <v/>
      </c>
    </row>
    <row r="1233" spans="1:33" x14ac:dyDescent="0.25">
      <c r="A1233" s="7"/>
      <c r="B1233" s="8"/>
      <c r="C1233" s="3"/>
      <c r="D1233" s="3"/>
      <c r="E1233" s="3" t="e">
        <f>VLOOKUP(D1233,VIAJES!$D:$E,2,FALSE)</f>
        <v>#N/A</v>
      </c>
      <c r="F1233" s="9" t="e">
        <f>VLOOKUP(D1233,VIAJES!$D:$F,3,FALSE)</f>
        <v>#N/A</v>
      </c>
      <c r="G1233" s="9" t="e">
        <f>VLOOKUP(D1233,VIAJES!$D:$G,4,FALSE)</f>
        <v>#N/A</v>
      </c>
      <c r="H1233" s="3" t="e">
        <f>VLOOKUP(D1233,VIAJES!$D:$H,5,FALSE)</f>
        <v>#N/A</v>
      </c>
      <c r="S1233" s="3">
        <f>IFERROR(INDEX(EVENTOS!$D:$D,MATCH(SCORE!S$2&amp;" "&amp;SCORE!$D1233,EVENTOS!$F:$F,0)),0)</f>
        <v>0</v>
      </c>
      <c r="T1233" s="3">
        <f>IFERROR(INDEX(EVENTOS!$D:$D,MATCH(SCORE!T$2&amp;" "&amp;SCORE!$D1233,EVENTOS!$F:$F,0)),0)</f>
        <v>0</v>
      </c>
      <c r="U1233" s="3">
        <f>IFERROR(INDEX(EVENTOS!$D:$D,MATCH(SCORE!U$2&amp;" "&amp;SCORE!$D1233,EVENTOS!$F:$F,0)),0)</f>
        <v>0</v>
      </c>
      <c r="V1233" s="3">
        <f>IFERROR(INDEX(EVENTOS!$D:$D,MATCH(SCORE!V$2&amp;" "&amp;SCORE!$D1233,EVENTOS!$F:$F,0)),0)</f>
        <v>0</v>
      </c>
      <c r="W1233" s="3">
        <f>IFERROR(INDEX(EVENTOS!$D:$D,MATCH(SCORE!W$2&amp;" "&amp;SCORE!$D1233,EVENTOS!$F:$F,0)),0)</f>
        <v>0</v>
      </c>
      <c r="X1233" s="3">
        <f>IFERROR(INDEX(EVENTOS!$D:$D,MATCH(SCORE!X$2&amp;" "&amp;SCORE!$D1233,EVENTOS!$F:$F,0)),0)</f>
        <v>0</v>
      </c>
      <c r="Y1233" s="3">
        <f>SUMIFS(EVENTOS!$D:$D, EVENTOS!$B:$B, D1233, EVENTOS!$E:$E, "*GirAlto*")</f>
        <v>0</v>
      </c>
      <c r="Z1233" s="3">
        <f>SUMIFS(EVENTOS!$D:$D, EVENTOS!$B:$B, D1233, EVENTOS!$E:$E, "*GirMed*")</f>
        <v>0</v>
      </c>
      <c r="AA1233" s="3">
        <f>SUMIFS(EVENTOS!$D:$D, EVENTOS!$B:$B, D1233, EVENTOS!$E:$E, "*GirBajo*")</f>
        <v>0</v>
      </c>
      <c r="AB1233" s="3">
        <f>IFERROR(INDEX(EVENTOS!$D:$D,MATCH(SCORE!AB$2&amp;" "&amp;SCORE!$D1233,EVENTOS!$F:$F,0)),0)</f>
        <v>0</v>
      </c>
      <c r="AC1233" s="3">
        <f>IFERROR(INDEX(EVENTOS!$D:$D,MATCH(SCORE!AC$2&amp;" "&amp;SCORE!$D1233,EVENTOS!$F:$F,0)),0)</f>
        <v>0</v>
      </c>
      <c r="AD1233" s="3">
        <f>IFERROR(INDEX(EVENTOS!$D:$D,MATCH(SCORE!AD$2&amp;" "&amp;SCORE!$D1233,EVENTOS!$F:$F,0)),0)</f>
        <v>0</v>
      </c>
      <c r="AE1233" s="3">
        <f t="shared" si="57"/>
        <v>0</v>
      </c>
      <c r="AF1233" s="10" t="e">
        <f t="shared" si="58"/>
        <v>#N/A</v>
      </c>
      <c r="AG1233" s="3" t="str">
        <f t="shared" si="59"/>
        <v/>
      </c>
    </row>
    <row r="1234" spans="1:33" x14ac:dyDescent="0.25">
      <c r="A1234" s="7"/>
      <c r="B1234" s="8"/>
      <c r="C1234" s="3"/>
      <c r="D1234" s="3"/>
      <c r="E1234" s="3" t="e">
        <f>VLOOKUP(D1234,VIAJES!$D:$E,2,FALSE)</f>
        <v>#N/A</v>
      </c>
      <c r="F1234" s="9" t="e">
        <f>VLOOKUP(D1234,VIAJES!$D:$F,3,FALSE)</f>
        <v>#N/A</v>
      </c>
      <c r="G1234" s="9" t="e">
        <f>VLOOKUP(D1234,VIAJES!$D:$G,4,FALSE)</f>
        <v>#N/A</v>
      </c>
      <c r="H1234" s="3" t="e">
        <f>VLOOKUP(D1234,VIAJES!$D:$H,5,FALSE)</f>
        <v>#N/A</v>
      </c>
      <c r="S1234" s="3">
        <f>IFERROR(INDEX(EVENTOS!$D:$D,MATCH(SCORE!S$2&amp;" "&amp;SCORE!$D1234,EVENTOS!$F:$F,0)),0)</f>
        <v>0</v>
      </c>
      <c r="T1234" s="3">
        <f>IFERROR(INDEX(EVENTOS!$D:$D,MATCH(SCORE!T$2&amp;" "&amp;SCORE!$D1234,EVENTOS!$F:$F,0)),0)</f>
        <v>0</v>
      </c>
      <c r="U1234" s="3">
        <f>IFERROR(INDEX(EVENTOS!$D:$D,MATCH(SCORE!U$2&amp;" "&amp;SCORE!$D1234,EVENTOS!$F:$F,0)),0)</f>
        <v>0</v>
      </c>
      <c r="V1234" s="3">
        <f>IFERROR(INDEX(EVENTOS!$D:$D,MATCH(SCORE!V$2&amp;" "&amp;SCORE!$D1234,EVENTOS!$F:$F,0)),0)</f>
        <v>0</v>
      </c>
      <c r="W1234" s="3">
        <f>IFERROR(INDEX(EVENTOS!$D:$D,MATCH(SCORE!W$2&amp;" "&amp;SCORE!$D1234,EVENTOS!$F:$F,0)),0)</f>
        <v>0</v>
      </c>
      <c r="X1234" s="3">
        <f>IFERROR(INDEX(EVENTOS!$D:$D,MATCH(SCORE!X$2&amp;" "&amp;SCORE!$D1234,EVENTOS!$F:$F,0)),0)</f>
        <v>0</v>
      </c>
      <c r="Y1234" s="3">
        <f>SUMIFS(EVENTOS!$D:$D, EVENTOS!$B:$B, D1234, EVENTOS!$E:$E, "*GirAlto*")</f>
        <v>0</v>
      </c>
      <c r="Z1234" s="3">
        <f>SUMIFS(EVENTOS!$D:$D, EVENTOS!$B:$B, D1234, EVENTOS!$E:$E, "*GirMed*")</f>
        <v>0</v>
      </c>
      <c r="AA1234" s="3">
        <f>SUMIFS(EVENTOS!$D:$D, EVENTOS!$B:$B, D1234, EVENTOS!$E:$E, "*GirBajo*")</f>
        <v>0</v>
      </c>
      <c r="AB1234" s="3">
        <f>IFERROR(INDEX(EVENTOS!$D:$D,MATCH(SCORE!AB$2&amp;" "&amp;SCORE!$D1234,EVENTOS!$F:$F,0)),0)</f>
        <v>0</v>
      </c>
      <c r="AC1234" s="3">
        <f>IFERROR(INDEX(EVENTOS!$D:$D,MATCH(SCORE!AC$2&amp;" "&amp;SCORE!$D1234,EVENTOS!$F:$F,0)),0)</f>
        <v>0</v>
      </c>
      <c r="AD1234" s="3">
        <f>IFERROR(INDEX(EVENTOS!$D:$D,MATCH(SCORE!AD$2&amp;" "&amp;SCORE!$D1234,EVENTOS!$F:$F,0)),0)</f>
        <v>0</v>
      </c>
      <c r="AE1234" s="3">
        <f t="shared" si="57"/>
        <v>0</v>
      </c>
      <c r="AF1234" s="10" t="e">
        <f t="shared" si="58"/>
        <v>#N/A</v>
      </c>
      <c r="AG1234" s="3" t="str">
        <f t="shared" si="59"/>
        <v/>
      </c>
    </row>
    <row r="1235" spans="1:33" x14ac:dyDescent="0.25">
      <c r="A1235" s="7"/>
      <c r="B1235" s="8"/>
      <c r="C1235" s="3"/>
      <c r="D1235" s="3"/>
      <c r="E1235" s="3" t="e">
        <f>VLOOKUP(D1235,VIAJES!$D:$E,2,FALSE)</f>
        <v>#N/A</v>
      </c>
      <c r="F1235" s="9" t="e">
        <f>VLOOKUP(D1235,VIAJES!$D:$F,3,FALSE)</f>
        <v>#N/A</v>
      </c>
      <c r="G1235" s="9" t="e">
        <f>VLOOKUP(D1235,VIAJES!$D:$G,4,FALSE)</f>
        <v>#N/A</v>
      </c>
      <c r="H1235" s="3" t="e">
        <f>VLOOKUP(D1235,VIAJES!$D:$H,5,FALSE)</f>
        <v>#N/A</v>
      </c>
      <c r="S1235" s="3">
        <f>IFERROR(INDEX(EVENTOS!$D:$D,MATCH(SCORE!S$2&amp;" "&amp;SCORE!$D1235,EVENTOS!$F:$F,0)),0)</f>
        <v>0</v>
      </c>
      <c r="T1235" s="3">
        <f>IFERROR(INDEX(EVENTOS!$D:$D,MATCH(SCORE!T$2&amp;" "&amp;SCORE!$D1235,EVENTOS!$F:$F,0)),0)</f>
        <v>0</v>
      </c>
      <c r="U1235" s="3">
        <f>IFERROR(INDEX(EVENTOS!$D:$D,MATCH(SCORE!U$2&amp;" "&amp;SCORE!$D1235,EVENTOS!$F:$F,0)),0)</f>
        <v>0</v>
      </c>
      <c r="V1235" s="3">
        <f>IFERROR(INDEX(EVENTOS!$D:$D,MATCH(SCORE!V$2&amp;" "&amp;SCORE!$D1235,EVENTOS!$F:$F,0)),0)</f>
        <v>0</v>
      </c>
      <c r="W1235" s="3">
        <f>IFERROR(INDEX(EVENTOS!$D:$D,MATCH(SCORE!W$2&amp;" "&amp;SCORE!$D1235,EVENTOS!$F:$F,0)),0)</f>
        <v>0</v>
      </c>
      <c r="X1235" s="3">
        <f>IFERROR(INDEX(EVENTOS!$D:$D,MATCH(SCORE!X$2&amp;" "&amp;SCORE!$D1235,EVENTOS!$F:$F,0)),0)</f>
        <v>0</v>
      </c>
      <c r="Y1235" s="3">
        <f>SUMIFS(EVENTOS!$D:$D, EVENTOS!$B:$B, D1235, EVENTOS!$E:$E, "*GirAlto*")</f>
        <v>0</v>
      </c>
      <c r="Z1235" s="3">
        <f>SUMIFS(EVENTOS!$D:$D, EVENTOS!$B:$B, D1235, EVENTOS!$E:$E, "*GirMed*")</f>
        <v>0</v>
      </c>
      <c r="AA1235" s="3">
        <f>SUMIFS(EVENTOS!$D:$D, EVENTOS!$B:$B, D1235, EVENTOS!$E:$E, "*GirBajo*")</f>
        <v>0</v>
      </c>
      <c r="AB1235" s="3">
        <f>IFERROR(INDEX(EVENTOS!$D:$D,MATCH(SCORE!AB$2&amp;" "&amp;SCORE!$D1235,EVENTOS!$F:$F,0)),0)</f>
        <v>0</v>
      </c>
      <c r="AC1235" s="3">
        <f>IFERROR(INDEX(EVENTOS!$D:$D,MATCH(SCORE!AC$2&amp;" "&amp;SCORE!$D1235,EVENTOS!$F:$F,0)),0)</f>
        <v>0</v>
      </c>
      <c r="AD1235" s="3">
        <f>IFERROR(INDEX(EVENTOS!$D:$D,MATCH(SCORE!AD$2&amp;" "&amp;SCORE!$D1235,EVENTOS!$F:$F,0)),0)</f>
        <v>0</v>
      </c>
      <c r="AE1235" s="3">
        <f t="shared" si="57"/>
        <v>0</v>
      </c>
      <c r="AF1235" s="10" t="e">
        <f t="shared" si="58"/>
        <v>#N/A</v>
      </c>
      <c r="AG1235" s="3" t="str">
        <f t="shared" si="59"/>
        <v/>
      </c>
    </row>
    <row r="1236" spans="1:33" x14ac:dyDescent="0.25">
      <c r="A1236" s="7"/>
      <c r="B1236" s="8"/>
      <c r="C1236" s="3"/>
      <c r="D1236" s="3"/>
      <c r="E1236" s="3" t="e">
        <f>VLOOKUP(D1236,VIAJES!$D:$E,2,FALSE)</f>
        <v>#N/A</v>
      </c>
      <c r="F1236" s="9" t="e">
        <f>VLOOKUP(D1236,VIAJES!$D:$F,3,FALSE)</f>
        <v>#N/A</v>
      </c>
      <c r="G1236" s="9" t="e">
        <f>VLOOKUP(D1236,VIAJES!$D:$G,4,FALSE)</f>
        <v>#N/A</v>
      </c>
      <c r="H1236" s="3" t="e">
        <f>VLOOKUP(D1236,VIAJES!$D:$H,5,FALSE)</f>
        <v>#N/A</v>
      </c>
      <c r="S1236" s="3">
        <f>IFERROR(INDEX(EVENTOS!$D:$D,MATCH(SCORE!S$2&amp;" "&amp;SCORE!$D1236,EVENTOS!$F:$F,0)),0)</f>
        <v>0</v>
      </c>
      <c r="T1236" s="3">
        <f>IFERROR(INDEX(EVENTOS!$D:$D,MATCH(SCORE!T$2&amp;" "&amp;SCORE!$D1236,EVENTOS!$F:$F,0)),0)</f>
        <v>0</v>
      </c>
      <c r="U1236" s="3">
        <f>IFERROR(INDEX(EVENTOS!$D:$D,MATCH(SCORE!U$2&amp;" "&amp;SCORE!$D1236,EVENTOS!$F:$F,0)),0)</f>
        <v>0</v>
      </c>
      <c r="V1236" s="3">
        <f>IFERROR(INDEX(EVENTOS!$D:$D,MATCH(SCORE!V$2&amp;" "&amp;SCORE!$D1236,EVENTOS!$F:$F,0)),0)</f>
        <v>0</v>
      </c>
      <c r="W1236" s="3">
        <f>IFERROR(INDEX(EVENTOS!$D:$D,MATCH(SCORE!W$2&amp;" "&amp;SCORE!$D1236,EVENTOS!$F:$F,0)),0)</f>
        <v>0</v>
      </c>
      <c r="X1236" s="3">
        <f>IFERROR(INDEX(EVENTOS!$D:$D,MATCH(SCORE!X$2&amp;" "&amp;SCORE!$D1236,EVENTOS!$F:$F,0)),0)</f>
        <v>0</v>
      </c>
      <c r="Y1236" s="3">
        <f>SUMIFS(EVENTOS!$D:$D, EVENTOS!$B:$B, D1236, EVENTOS!$E:$E, "*GirAlto*")</f>
        <v>0</v>
      </c>
      <c r="Z1236" s="3">
        <f>SUMIFS(EVENTOS!$D:$D, EVENTOS!$B:$B, D1236, EVENTOS!$E:$E, "*GirMed*")</f>
        <v>0</v>
      </c>
      <c r="AA1236" s="3">
        <f>SUMIFS(EVENTOS!$D:$D, EVENTOS!$B:$B, D1236, EVENTOS!$E:$E, "*GirBajo*")</f>
        <v>0</v>
      </c>
      <c r="AB1236" s="3">
        <f>IFERROR(INDEX(EVENTOS!$D:$D,MATCH(SCORE!AB$2&amp;" "&amp;SCORE!$D1236,EVENTOS!$F:$F,0)),0)</f>
        <v>0</v>
      </c>
      <c r="AC1236" s="3">
        <f>IFERROR(INDEX(EVENTOS!$D:$D,MATCH(SCORE!AC$2&amp;" "&amp;SCORE!$D1236,EVENTOS!$F:$F,0)),0)</f>
        <v>0</v>
      </c>
      <c r="AD1236" s="3">
        <f>IFERROR(INDEX(EVENTOS!$D:$D,MATCH(SCORE!AD$2&amp;" "&amp;SCORE!$D1236,EVENTOS!$F:$F,0)),0)</f>
        <v>0</v>
      </c>
      <c r="AE1236" s="3">
        <f t="shared" si="57"/>
        <v>0</v>
      </c>
      <c r="AF1236" s="10" t="e">
        <f t="shared" si="58"/>
        <v>#N/A</v>
      </c>
      <c r="AG1236" s="3" t="str">
        <f t="shared" si="59"/>
        <v/>
      </c>
    </row>
    <row r="1237" spans="1:33" x14ac:dyDescent="0.25">
      <c r="A1237" s="7"/>
      <c r="B1237" s="8"/>
      <c r="C1237" s="3"/>
      <c r="D1237" s="3"/>
      <c r="E1237" s="3" t="e">
        <f>VLOOKUP(D1237,VIAJES!$D:$E,2,FALSE)</f>
        <v>#N/A</v>
      </c>
      <c r="F1237" s="9" t="e">
        <f>VLOOKUP(D1237,VIAJES!$D:$F,3,FALSE)</f>
        <v>#N/A</v>
      </c>
      <c r="G1237" s="9" t="e">
        <f>VLOOKUP(D1237,VIAJES!$D:$G,4,FALSE)</f>
        <v>#N/A</v>
      </c>
      <c r="H1237" s="3" t="e">
        <f>VLOOKUP(D1237,VIAJES!$D:$H,5,FALSE)</f>
        <v>#N/A</v>
      </c>
      <c r="S1237" s="3">
        <f>IFERROR(INDEX(EVENTOS!$D:$D,MATCH(SCORE!S$2&amp;" "&amp;SCORE!$D1237,EVENTOS!$F:$F,0)),0)</f>
        <v>0</v>
      </c>
      <c r="T1237" s="3">
        <f>IFERROR(INDEX(EVENTOS!$D:$D,MATCH(SCORE!T$2&amp;" "&amp;SCORE!$D1237,EVENTOS!$F:$F,0)),0)</f>
        <v>0</v>
      </c>
      <c r="U1237" s="3">
        <f>IFERROR(INDEX(EVENTOS!$D:$D,MATCH(SCORE!U$2&amp;" "&amp;SCORE!$D1237,EVENTOS!$F:$F,0)),0)</f>
        <v>0</v>
      </c>
      <c r="V1237" s="3">
        <f>IFERROR(INDEX(EVENTOS!$D:$D,MATCH(SCORE!V$2&amp;" "&amp;SCORE!$D1237,EVENTOS!$F:$F,0)),0)</f>
        <v>0</v>
      </c>
      <c r="W1237" s="3">
        <f>IFERROR(INDEX(EVENTOS!$D:$D,MATCH(SCORE!W$2&amp;" "&amp;SCORE!$D1237,EVENTOS!$F:$F,0)),0)</f>
        <v>0</v>
      </c>
      <c r="X1237" s="3">
        <f>IFERROR(INDEX(EVENTOS!$D:$D,MATCH(SCORE!X$2&amp;" "&amp;SCORE!$D1237,EVENTOS!$F:$F,0)),0)</f>
        <v>0</v>
      </c>
      <c r="Y1237" s="3">
        <f>SUMIFS(EVENTOS!$D:$D, EVENTOS!$B:$B, D1237, EVENTOS!$E:$E, "*GirAlto*")</f>
        <v>0</v>
      </c>
      <c r="Z1237" s="3">
        <f>SUMIFS(EVENTOS!$D:$D, EVENTOS!$B:$B, D1237, EVENTOS!$E:$E, "*GirMed*")</f>
        <v>0</v>
      </c>
      <c r="AA1237" s="3">
        <f>SUMIFS(EVENTOS!$D:$D, EVENTOS!$B:$B, D1237, EVENTOS!$E:$E, "*GirBajo*")</f>
        <v>0</v>
      </c>
      <c r="AB1237" s="3">
        <f>IFERROR(INDEX(EVENTOS!$D:$D,MATCH(SCORE!AB$2&amp;" "&amp;SCORE!$D1237,EVENTOS!$F:$F,0)),0)</f>
        <v>0</v>
      </c>
      <c r="AC1237" s="3">
        <f>IFERROR(INDEX(EVENTOS!$D:$D,MATCH(SCORE!AC$2&amp;" "&amp;SCORE!$D1237,EVENTOS!$F:$F,0)),0)</f>
        <v>0</v>
      </c>
      <c r="AD1237" s="3">
        <f>IFERROR(INDEX(EVENTOS!$D:$D,MATCH(SCORE!AD$2&amp;" "&amp;SCORE!$D1237,EVENTOS!$F:$F,0)),0)</f>
        <v>0</v>
      </c>
      <c r="AE1237" s="3">
        <f t="shared" si="57"/>
        <v>0</v>
      </c>
      <c r="AF1237" s="10" t="e">
        <f t="shared" si="58"/>
        <v>#N/A</v>
      </c>
      <c r="AG1237" s="3" t="str">
        <f t="shared" si="59"/>
        <v/>
      </c>
    </row>
    <row r="1238" spans="1:33" x14ac:dyDescent="0.25">
      <c r="A1238" s="7"/>
      <c r="B1238" s="8"/>
      <c r="C1238" s="3"/>
      <c r="D1238" s="3"/>
      <c r="E1238" s="3" t="e">
        <f>VLOOKUP(D1238,VIAJES!$D:$E,2,FALSE)</f>
        <v>#N/A</v>
      </c>
      <c r="F1238" s="9" t="e">
        <f>VLOOKUP(D1238,VIAJES!$D:$F,3,FALSE)</f>
        <v>#N/A</v>
      </c>
      <c r="G1238" s="9" t="e">
        <f>VLOOKUP(D1238,VIAJES!$D:$G,4,FALSE)</f>
        <v>#N/A</v>
      </c>
      <c r="H1238" s="3" t="e">
        <f>VLOOKUP(D1238,VIAJES!$D:$H,5,FALSE)</f>
        <v>#N/A</v>
      </c>
      <c r="S1238" s="3">
        <f>IFERROR(INDEX(EVENTOS!$D:$D,MATCH(SCORE!S$2&amp;" "&amp;SCORE!$D1238,EVENTOS!$F:$F,0)),0)</f>
        <v>0</v>
      </c>
      <c r="T1238" s="3">
        <f>IFERROR(INDEX(EVENTOS!$D:$D,MATCH(SCORE!T$2&amp;" "&amp;SCORE!$D1238,EVENTOS!$F:$F,0)),0)</f>
        <v>0</v>
      </c>
      <c r="U1238" s="3">
        <f>IFERROR(INDEX(EVENTOS!$D:$D,MATCH(SCORE!U$2&amp;" "&amp;SCORE!$D1238,EVENTOS!$F:$F,0)),0)</f>
        <v>0</v>
      </c>
      <c r="V1238" s="3">
        <f>IFERROR(INDEX(EVENTOS!$D:$D,MATCH(SCORE!V$2&amp;" "&amp;SCORE!$D1238,EVENTOS!$F:$F,0)),0)</f>
        <v>0</v>
      </c>
      <c r="W1238" s="3">
        <f>IFERROR(INDEX(EVENTOS!$D:$D,MATCH(SCORE!W$2&amp;" "&amp;SCORE!$D1238,EVENTOS!$F:$F,0)),0)</f>
        <v>0</v>
      </c>
      <c r="X1238" s="3">
        <f>IFERROR(INDEX(EVENTOS!$D:$D,MATCH(SCORE!X$2&amp;" "&amp;SCORE!$D1238,EVENTOS!$F:$F,0)),0)</f>
        <v>0</v>
      </c>
      <c r="Y1238" s="3">
        <f>SUMIFS(EVENTOS!$D:$D, EVENTOS!$B:$B, D1238, EVENTOS!$E:$E, "*GirAlto*")</f>
        <v>0</v>
      </c>
      <c r="Z1238" s="3">
        <f>SUMIFS(EVENTOS!$D:$D, EVENTOS!$B:$B, D1238, EVENTOS!$E:$E, "*GirMed*")</f>
        <v>0</v>
      </c>
      <c r="AA1238" s="3">
        <f>SUMIFS(EVENTOS!$D:$D, EVENTOS!$B:$B, D1238, EVENTOS!$E:$E, "*GirBajo*")</f>
        <v>0</v>
      </c>
      <c r="AB1238" s="3">
        <f>IFERROR(INDEX(EVENTOS!$D:$D,MATCH(SCORE!AB$2&amp;" "&amp;SCORE!$D1238,EVENTOS!$F:$F,0)),0)</f>
        <v>0</v>
      </c>
      <c r="AC1238" s="3">
        <f>IFERROR(INDEX(EVENTOS!$D:$D,MATCH(SCORE!AC$2&amp;" "&amp;SCORE!$D1238,EVENTOS!$F:$F,0)),0)</f>
        <v>0</v>
      </c>
      <c r="AD1238" s="3">
        <f>IFERROR(INDEX(EVENTOS!$D:$D,MATCH(SCORE!AD$2&amp;" "&amp;SCORE!$D1238,EVENTOS!$F:$F,0)),0)</f>
        <v>0</v>
      </c>
      <c r="AE1238" s="3">
        <f t="shared" si="57"/>
        <v>0</v>
      </c>
      <c r="AF1238" s="10" t="e">
        <f t="shared" si="58"/>
        <v>#N/A</v>
      </c>
      <c r="AG1238" s="3" t="str">
        <f t="shared" si="59"/>
        <v/>
      </c>
    </row>
    <row r="1239" spans="1:33" x14ac:dyDescent="0.25">
      <c r="A1239" s="7"/>
      <c r="B1239" s="8"/>
      <c r="C1239" s="3"/>
      <c r="D1239" s="3"/>
      <c r="E1239" s="3" t="e">
        <f>VLOOKUP(D1239,VIAJES!$D:$E,2,FALSE)</f>
        <v>#N/A</v>
      </c>
      <c r="F1239" s="9" t="e">
        <f>VLOOKUP(D1239,VIAJES!$D:$F,3,FALSE)</f>
        <v>#N/A</v>
      </c>
      <c r="G1239" s="9" t="e">
        <f>VLOOKUP(D1239,VIAJES!$D:$G,4,FALSE)</f>
        <v>#N/A</v>
      </c>
      <c r="H1239" s="3" t="e">
        <f>VLOOKUP(D1239,VIAJES!$D:$H,5,FALSE)</f>
        <v>#N/A</v>
      </c>
      <c r="S1239" s="3">
        <f>IFERROR(INDEX(EVENTOS!$D:$D,MATCH(SCORE!S$2&amp;" "&amp;SCORE!$D1239,EVENTOS!$F:$F,0)),0)</f>
        <v>0</v>
      </c>
      <c r="T1239" s="3">
        <f>IFERROR(INDEX(EVENTOS!$D:$D,MATCH(SCORE!T$2&amp;" "&amp;SCORE!$D1239,EVENTOS!$F:$F,0)),0)</f>
        <v>0</v>
      </c>
      <c r="U1239" s="3">
        <f>IFERROR(INDEX(EVENTOS!$D:$D,MATCH(SCORE!U$2&amp;" "&amp;SCORE!$D1239,EVENTOS!$F:$F,0)),0)</f>
        <v>0</v>
      </c>
      <c r="V1239" s="3">
        <f>IFERROR(INDEX(EVENTOS!$D:$D,MATCH(SCORE!V$2&amp;" "&amp;SCORE!$D1239,EVENTOS!$F:$F,0)),0)</f>
        <v>0</v>
      </c>
      <c r="W1239" s="3">
        <f>IFERROR(INDEX(EVENTOS!$D:$D,MATCH(SCORE!W$2&amp;" "&amp;SCORE!$D1239,EVENTOS!$F:$F,0)),0)</f>
        <v>0</v>
      </c>
      <c r="X1239" s="3">
        <f>IFERROR(INDEX(EVENTOS!$D:$D,MATCH(SCORE!X$2&amp;" "&amp;SCORE!$D1239,EVENTOS!$F:$F,0)),0)</f>
        <v>0</v>
      </c>
      <c r="Y1239" s="3">
        <f>SUMIFS(EVENTOS!$D:$D, EVENTOS!$B:$B, D1239, EVENTOS!$E:$E, "*GirAlto*")</f>
        <v>0</v>
      </c>
      <c r="Z1239" s="3">
        <f>SUMIFS(EVENTOS!$D:$D, EVENTOS!$B:$B, D1239, EVENTOS!$E:$E, "*GirMed*")</f>
        <v>0</v>
      </c>
      <c r="AA1239" s="3">
        <f>SUMIFS(EVENTOS!$D:$D, EVENTOS!$B:$B, D1239, EVENTOS!$E:$E, "*GirBajo*")</f>
        <v>0</v>
      </c>
      <c r="AB1239" s="3">
        <f>IFERROR(INDEX(EVENTOS!$D:$D,MATCH(SCORE!AB$2&amp;" "&amp;SCORE!$D1239,EVENTOS!$F:$F,0)),0)</f>
        <v>0</v>
      </c>
      <c r="AC1239" s="3">
        <f>IFERROR(INDEX(EVENTOS!$D:$D,MATCH(SCORE!AC$2&amp;" "&amp;SCORE!$D1239,EVENTOS!$F:$F,0)),0)</f>
        <v>0</v>
      </c>
      <c r="AD1239" s="3">
        <f>IFERROR(INDEX(EVENTOS!$D:$D,MATCH(SCORE!AD$2&amp;" "&amp;SCORE!$D1239,EVENTOS!$F:$F,0)),0)</f>
        <v>0</v>
      </c>
      <c r="AE1239" s="3">
        <f t="shared" si="57"/>
        <v>0</v>
      </c>
      <c r="AF1239" s="10" t="e">
        <f t="shared" si="58"/>
        <v>#N/A</v>
      </c>
      <c r="AG1239" s="3" t="str">
        <f t="shared" si="59"/>
        <v/>
      </c>
    </row>
    <row r="1240" spans="1:33" x14ac:dyDescent="0.25">
      <c r="A1240" s="7"/>
      <c r="B1240" s="8"/>
      <c r="C1240" s="3"/>
      <c r="D1240" s="3"/>
      <c r="E1240" s="3" t="e">
        <f>VLOOKUP(D1240,VIAJES!$D:$E,2,FALSE)</f>
        <v>#N/A</v>
      </c>
      <c r="F1240" s="9" t="e">
        <f>VLOOKUP(D1240,VIAJES!$D:$F,3,FALSE)</f>
        <v>#N/A</v>
      </c>
      <c r="G1240" s="9" t="e">
        <f>VLOOKUP(D1240,VIAJES!$D:$G,4,FALSE)</f>
        <v>#N/A</v>
      </c>
      <c r="H1240" s="3" t="e">
        <f>VLOOKUP(D1240,VIAJES!$D:$H,5,FALSE)</f>
        <v>#N/A</v>
      </c>
      <c r="S1240" s="3">
        <f>IFERROR(INDEX(EVENTOS!$D:$D,MATCH(SCORE!S$2&amp;" "&amp;SCORE!$D1240,EVENTOS!$F:$F,0)),0)</f>
        <v>0</v>
      </c>
      <c r="T1240" s="3">
        <f>IFERROR(INDEX(EVENTOS!$D:$D,MATCH(SCORE!T$2&amp;" "&amp;SCORE!$D1240,EVENTOS!$F:$F,0)),0)</f>
        <v>0</v>
      </c>
      <c r="U1240" s="3">
        <f>IFERROR(INDEX(EVENTOS!$D:$D,MATCH(SCORE!U$2&amp;" "&amp;SCORE!$D1240,EVENTOS!$F:$F,0)),0)</f>
        <v>0</v>
      </c>
      <c r="V1240" s="3">
        <f>IFERROR(INDEX(EVENTOS!$D:$D,MATCH(SCORE!V$2&amp;" "&amp;SCORE!$D1240,EVENTOS!$F:$F,0)),0)</f>
        <v>0</v>
      </c>
      <c r="W1240" s="3">
        <f>IFERROR(INDEX(EVENTOS!$D:$D,MATCH(SCORE!W$2&amp;" "&amp;SCORE!$D1240,EVENTOS!$F:$F,0)),0)</f>
        <v>0</v>
      </c>
      <c r="X1240" s="3">
        <f>IFERROR(INDEX(EVENTOS!$D:$D,MATCH(SCORE!X$2&amp;" "&amp;SCORE!$D1240,EVENTOS!$F:$F,0)),0)</f>
        <v>0</v>
      </c>
      <c r="Y1240" s="3">
        <f>SUMIFS(EVENTOS!$D:$D, EVENTOS!$B:$B, D1240, EVENTOS!$E:$E, "*GirAlto*")</f>
        <v>0</v>
      </c>
      <c r="Z1240" s="3">
        <f>SUMIFS(EVENTOS!$D:$D, EVENTOS!$B:$B, D1240, EVENTOS!$E:$E, "*GirMed*")</f>
        <v>0</v>
      </c>
      <c r="AA1240" s="3">
        <f>SUMIFS(EVENTOS!$D:$D, EVENTOS!$B:$B, D1240, EVENTOS!$E:$E, "*GirBajo*")</f>
        <v>0</v>
      </c>
      <c r="AB1240" s="3">
        <f>IFERROR(INDEX(EVENTOS!$D:$D,MATCH(SCORE!AB$2&amp;" "&amp;SCORE!$D1240,EVENTOS!$F:$F,0)),0)</f>
        <v>0</v>
      </c>
      <c r="AC1240" s="3">
        <f>IFERROR(INDEX(EVENTOS!$D:$D,MATCH(SCORE!AC$2&amp;" "&amp;SCORE!$D1240,EVENTOS!$F:$F,0)),0)</f>
        <v>0</v>
      </c>
      <c r="AD1240" s="3">
        <f>IFERROR(INDEX(EVENTOS!$D:$D,MATCH(SCORE!AD$2&amp;" "&amp;SCORE!$D1240,EVENTOS!$F:$F,0)),0)</f>
        <v>0</v>
      </c>
      <c r="AE1240" s="3">
        <f t="shared" si="57"/>
        <v>0</v>
      </c>
      <c r="AF1240" s="10" t="e">
        <f t="shared" si="58"/>
        <v>#N/A</v>
      </c>
      <c r="AG1240" s="3" t="str">
        <f t="shared" si="59"/>
        <v/>
      </c>
    </row>
    <row r="1241" spans="1:33" x14ac:dyDescent="0.25">
      <c r="A1241" s="7"/>
      <c r="B1241" s="8"/>
      <c r="C1241" s="3"/>
      <c r="D1241" s="3"/>
      <c r="E1241" s="3" t="e">
        <f>VLOOKUP(D1241,VIAJES!$D:$E,2,FALSE)</f>
        <v>#N/A</v>
      </c>
      <c r="F1241" s="9" t="e">
        <f>VLOOKUP(D1241,VIAJES!$D:$F,3,FALSE)</f>
        <v>#N/A</v>
      </c>
      <c r="G1241" s="9" t="e">
        <f>VLOOKUP(D1241,VIAJES!$D:$G,4,FALSE)</f>
        <v>#N/A</v>
      </c>
      <c r="H1241" s="3" t="e">
        <f>VLOOKUP(D1241,VIAJES!$D:$H,5,FALSE)</f>
        <v>#N/A</v>
      </c>
      <c r="S1241" s="3">
        <f>IFERROR(INDEX(EVENTOS!$D:$D,MATCH(SCORE!S$2&amp;" "&amp;SCORE!$D1241,EVENTOS!$F:$F,0)),0)</f>
        <v>0</v>
      </c>
      <c r="T1241" s="3">
        <f>IFERROR(INDEX(EVENTOS!$D:$D,MATCH(SCORE!T$2&amp;" "&amp;SCORE!$D1241,EVENTOS!$F:$F,0)),0)</f>
        <v>0</v>
      </c>
      <c r="U1241" s="3">
        <f>IFERROR(INDEX(EVENTOS!$D:$D,MATCH(SCORE!U$2&amp;" "&amp;SCORE!$D1241,EVENTOS!$F:$F,0)),0)</f>
        <v>0</v>
      </c>
      <c r="V1241" s="3">
        <f>IFERROR(INDEX(EVENTOS!$D:$D,MATCH(SCORE!V$2&amp;" "&amp;SCORE!$D1241,EVENTOS!$F:$F,0)),0)</f>
        <v>0</v>
      </c>
      <c r="W1241" s="3">
        <f>IFERROR(INDEX(EVENTOS!$D:$D,MATCH(SCORE!W$2&amp;" "&amp;SCORE!$D1241,EVENTOS!$F:$F,0)),0)</f>
        <v>0</v>
      </c>
      <c r="X1241" s="3">
        <f>IFERROR(INDEX(EVENTOS!$D:$D,MATCH(SCORE!X$2&amp;" "&amp;SCORE!$D1241,EVENTOS!$F:$F,0)),0)</f>
        <v>0</v>
      </c>
      <c r="Y1241" s="3">
        <f>SUMIFS(EVENTOS!$D:$D, EVENTOS!$B:$B, D1241, EVENTOS!$E:$E, "*GirAlto*")</f>
        <v>0</v>
      </c>
      <c r="Z1241" s="3">
        <f>SUMIFS(EVENTOS!$D:$D, EVENTOS!$B:$B, D1241, EVENTOS!$E:$E, "*GirMed*")</f>
        <v>0</v>
      </c>
      <c r="AA1241" s="3">
        <f>SUMIFS(EVENTOS!$D:$D, EVENTOS!$B:$B, D1241, EVENTOS!$E:$E, "*GirBajo*")</f>
        <v>0</v>
      </c>
      <c r="AB1241" s="3">
        <f>IFERROR(INDEX(EVENTOS!$D:$D,MATCH(SCORE!AB$2&amp;" "&amp;SCORE!$D1241,EVENTOS!$F:$F,0)),0)</f>
        <v>0</v>
      </c>
      <c r="AC1241" s="3">
        <f>IFERROR(INDEX(EVENTOS!$D:$D,MATCH(SCORE!AC$2&amp;" "&amp;SCORE!$D1241,EVENTOS!$F:$F,0)),0)</f>
        <v>0</v>
      </c>
      <c r="AD1241" s="3">
        <f>IFERROR(INDEX(EVENTOS!$D:$D,MATCH(SCORE!AD$2&amp;" "&amp;SCORE!$D1241,EVENTOS!$F:$F,0)),0)</f>
        <v>0</v>
      </c>
      <c r="AE1241" s="3">
        <f t="shared" si="57"/>
        <v>0</v>
      </c>
      <c r="AF1241" s="10" t="e">
        <f t="shared" si="58"/>
        <v>#N/A</v>
      </c>
      <c r="AG1241" s="3" t="str">
        <f t="shared" si="59"/>
        <v/>
      </c>
    </row>
    <row r="1242" spans="1:33" x14ac:dyDescent="0.25">
      <c r="A1242" s="7"/>
      <c r="B1242" s="8"/>
      <c r="C1242" s="3"/>
      <c r="D1242" s="3"/>
      <c r="E1242" s="3" t="e">
        <f>VLOOKUP(D1242,VIAJES!$D:$E,2,FALSE)</f>
        <v>#N/A</v>
      </c>
      <c r="F1242" s="9" t="e">
        <f>VLOOKUP(D1242,VIAJES!$D:$F,3,FALSE)</f>
        <v>#N/A</v>
      </c>
      <c r="G1242" s="9" t="e">
        <f>VLOOKUP(D1242,VIAJES!$D:$G,4,FALSE)</f>
        <v>#N/A</v>
      </c>
      <c r="H1242" s="3" t="e">
        <f>VLOOKUP(D1242,VIAJES!$D:$H,5,FALSE)</f>
        <v>#N/A</v>
      </c>
      <c r="S1242" s="3">
        <f>IFERROR(INDEX(EVENTOS!$D:$D,MATCH(SCORE!S$2&amp;" "&amp;SCORE!$D1242,EVENTOS!$F:$F,0)),0)</f>
        <v>0</v>
      </c>
      <c r="T1242" s="3">
        <f>IFERROR(INDEX(EVENTOS!$D:$D,MATCH(SCORE!T$2&amp;" "&amp;SCORE!$D1242,EVENTOS!$F:$F,0)),0)</f>
        <v>0</v>
      </c>
      <c r="U1242" s="3">
        <f>IFERROR(INDEX(EVENTOS!$D:$D,MATCH(SCORE!U$2&amp;" "&amp;SCORE!$D1242,EVENTOS!$F:$F,0)),0)</f>
        <v>0</v>
      </c>
      <c r="V1242" s="3">
        <f>IFERROR(INDEX(EVENTOS!$D:$D,MATCH(SCORE!V$2&amp;" "&amp;SCORE!$D1242,EVENTOS!$F:$F,0)),0)</f>
        <v>0</v>
      </c>
      <c r="W1242" s="3">
        <f>IFERROR(INDEX(EVENTOS!$D:$D,MATCH(SCORE!W$2&amp;" "&amp;SCORE!$D1242,EVENTOS!$F:$F,0)),0)</f>
        <v>0</v>
      </c>
      <c r="X1242" s="3">
        <f>IFERROR(INDEX(EVENTOS!$D:$D,MATCH(SCORE!X$2&amp;" "&amp;SCORE!$D1242,EVENTOS!$F:$F,0)),0)</f>
        <v>0</v>
      </c>
      <c r="Y1242" s="3">
        <f>SUMIFS(EVENTOS!$D:$D, EVENTOS!$B:$B, D1242, EVENTOS!$E:$E, "*GirAlto*")</f>
        <v>0</v>
      </c>
      <c r="Z1242" s="3">
        <f>SUMIFS(EVENTOS!$D:$D, EVENTOS!$B:$B, D1242, EVENTOS!$E:$E, "*GirMed*")</f>
        <v>0</v>
      </c>
      <c r="AA1242" s="3">
        <f>SUMIFS(EVENTOS!$D:$D, EVENTOS!$B:$B, D1242, EVENTOS!$E:$E, "*GirBajo*")</f>
        <v>0</v>
      </c>
      <c r="AB1242" s="3">
        <f>IFERROR(INDEX(EVENTOS!$D:$D,MATCH(SCORE!AB$2&amp;" "&amp;SCORE!$D1242,EVENTOS!$F:$F,0)),0)</f>
        <v>0</v>
      </c>
      <c r="AC1242" s="3">
        <f>IFERROR(INDEX(EVENTOS!$D:$D,MATCH(SCORE!AC$2&amp;" "&amp;SCORE!$D1242,EVENTOS!$F:$F,0)),0)</f>
        <v>0</v>
      </c>
      <c r="AD1242" s="3">
        <f>IFERROR(INDEX(EVENTOS!$D:$D,MATCH(SCORE!AD$2&amp;" "&amp;SCORE!$D1242,EVENTOS!$F:$F,0)),0)</f>
        <v>0</v>
      </c>
      <c r="AE1242" s="3">
        <f t="shared" si="57"/>
        <v>0</v>
      </c>
      <c r="AF1242" s="10" t="e">
        <f t="shared" si="58"/>
        <v>#N/A</v>
      </c>
      <c r="AG1242" s="3" t="str">
        <f t="shared" si="59"/>
        <v/>
      </c>
    </row>
    <row r="1243" spans="1:33" x14ac:dyDescent="0.25">
      <c r="A1243" s="7"/>
      <c r="B1243" s="8"/>
      <c r="C1243" s="3"/>
      <c r="D1243" s="3"/>
      <c r="E1243" s="3" t="e">
        <f>VLOOKUP(D1243,VIAJES!$D:$E,2,FALSE)</f>
        <v>#N/A</v>
      </c>
      <c r="F1243" s="9" t="e">
        <f>VLOOKUP(D1243,VIAJES!$D:$F,3,FALSE)</f>
        <v>#N/A</v>
      </c>
      <c r="G1243" s="9" t="e">
        <f>VLOOKUP(D1243,VIAJES!$D:$G,4,FALSE)</f>
        <v>#N/A</v>
      </c>
      <c r="H1243" s="3" t="e">
        <f>VLOOKUP(D1243,VIAJES!$D:$H,5,FALSE)</f>
        <v>#N/A</v>
      </c>
      <c r="S1243" s="3">
        <f>IFERROR(INDEX(EVENTOS!$D:$D,MATCH(SCORE!S$2&amp;" "&amp;SCORE!$D1243,EVENTOS!$F:$F,0)),0)</f>
        <v>0</v>
      </c>
      <c r="T1243" s="3">
        <f>IFERROR(INDEX(EVENTOS!$D:$D,MATCH(SCORE!T$2&amp;" "&amp;SCORE!$D1243,EVENTOS!$F:$F,0)),0)</f>
        <v>0</v>
      </c>
      <c r="U1243" s="3">
        <f>IFERROR(INDEX(EVENTOS!$D:$D,MATCH(SCORE!U$2&amp;" "&amp;SCORE!$D1243,EVENTOS!$F:$F,0)),0)</f>
        <v>0</v>
      </c>
      <c r="V1243" s="3">
        <f>IFERROR(INDEX(EVENTOS!$D:$D,MATCH(SCORE!V$2&amp;" "&amp;SCORE!$D1243,EVENTOS!$F:$F,0)),0)</f>
        <v>0</v>
      </c>
      <c r="W1243" s="3">
        <f>IFERROR(INDEX(EVENTOS!$D:$D,MATCH(SCORE!W$2&amp;" "&amp;SCORE!$D1243,EVENTOS!$F:$F,0)),0)</f>
        <v>0</v>
      </c>
      <c r="X1243" s="3">
        <f>IFERROR(INDEX(EVENTOS!$D:$D,MATCH(SCORE!X$2&amp;" "&amp;SCORE!$D1243,EVENTOS!$F:$F,0)),0)</f>
        <v>0</v>
      </c>
      <c r="Y1243" s="3">
        <f>SUMIFS(EVENTOS!$D:$D, EVENTOS!$B:$B, D1243, EVENTOS!$E:$E, "*GirAlto*")</f>
        <v>0</v>
      </c>
      <c r="Z1243" s="3">
        <f>SUMIFS(EVENTOS!$D:$D, EVENTOS!$B:$B, D1243, EVENTOS!$E:$E, "*GirMed*")</f>
        <v>0</v>
      </c>
      <c r="AA1243" s="3">
        <f>SUMIFS(EVENTOS!$D:$D, EVENTOS!$B:$B, D1243, EVENTOS!$E:$E, "*GirBajo*")</f>
        <v>0</v>
      </c>
      <c r="AB1243" s="3">
        <f>IFERROR(INDEX(EVENTOS!$D:$D,MATCH(SCORE!AB$2&amp;" "&amp;SCORE!$D1243,EVENTOS!$F:$F,0)),0)</f>
        <v>0</v>
      </c>
      <c r="AC1243" s="3">
        <f>IFERROR(INDEX(EVENTOS!$D:$D,MATCH(SCORE!AC$2&amp;" "&amp;SCORE!$D1243,EVENTOS!$F:$F,0)),0)</f>
        <v>0</v>
      </c>
      <c r="AD1243" s="3">
        <f>IFERROR(INDEX(EVENTOS!$D:$D,MATCH(SCORE!AD$2&amp;" "&amp;SCORE!$D1243,EVENTOS!$F:$F,0)),0)</f>
        <v>0</v>
      </c>
      <c r="AE1243" s="3">
        <f t="shared" si="57"/>
        <v>0</v>
      </c>
      <c r="AF1243" s="10" t="e">
        <f t="shared" si="58"/>
        <v>#N/A</v>
      </c>
      <c r="AG1243" s="3" t="str">
        <f t="shared" si="59"/>
        <v/>
      </c>
    </row>
    <row r="1244" spans="1:33" x14ac:dyDescent="0.25">
      <c r="A1244" s="7"/>
      <c r="B1244" s="8"/>
      <c r="C1244" s="3"/>
      <c r="D1244" s="3"/>
      <c r="E1244" s="3" t="e">
        <f>VLOOKUP(D1244,VIAJES!$D:$E,2,FALSE)</f>
        <v>#N/A</v>
      </c>
      <c r="F1244" s="9" t="e">
        <f>VLOOKUP(D1244,VIAJES!$D:$F,3,FALSE)</f>
        <v>#N/A</v>
      </c>
      <c r="G1244" s="9" t="e">
        <f>VLOOKUP(D1244,VIAJES!$D:$G,4,FALSE)</f>
        <v>#N/A</v>
      </c>
      <c r="H1244" s="3" t="e">
        <f>VLOOKUP(D1244,VIAJES!$D:$H,5,FALSE)</f>
        <v>#N/A</v>
      </c>
      <c r="S1244" s="3">
        <f>IFERROR(INDEX(EVENTOS!$D:$D,MATCH(SCORE!S$2&amp;" "&amp;SCORE!$D1244,EVENTOS!$F:$F,0)),0)</f>
        <v>0</v>
      </c>
      <c r="T1244" s="3">
        <f>IFERROR(INDEX(EVENTOS!$D:$D,MATCH(SCORE!T$2&amp;" "&amp;SCORE!$D1244,EVENTOS!$F:$F,0)),0)</f>
        <v>0</v>
      </c>
      <c r="U1244" s="3">
        <f>IFERROR(INDEX(EVENTOS!$D:$D,MATCH(SCORE!U$2&amp;" "&amp;SCORE!$D1244,EVENTOS!$F:$F,0)),0)</f>
        <v>0</v>
      </c>
      <c r="V1244" s="3">
        <f>IFERROR(INDEX(EVENTOS!$D:$D,MATCH(SCORE!V$2&amp;" "&amp;SCORE!$D1244,EVENTOS!$F:$F,0)),0)</f>
        <v>0</v>
      </c>
      <c r="W1244" s="3">
        <f>IFERROR(INDEX(EVENTOS!$D:$D,MATCH(SCORE!W$2&amp;" "&amp;SCORE!$D1244,EVENTOS!$F:$F,0)),0)</f>
        <v>0</v>
      </c>
      <c r="X1244" s="3">
        <f>IFERROR(INDEX(EVENTOS!$D:$D,MATCH(SCORE!X$2&amp;" "&amp;SCORE!$D1244,EVENTOS!$F:$F,0)),0)</f>
        <v>0</v>
      </c>
      <c r="Y1244" s="3">
        <f>SUMIFS(EVENTOS!$D:$D, EVENTOS!$B:$B, D1244, EVENTOS!$E:$E, "*GirAlto*")</f>
        <v>0</v>
      </c>
      <c r="Z1244" s="3">
        <f>SUMIFS(EVENTOS!$D:$D, EVENTOS!$B:$B, D1244, EVENTOS!$E:$E, "*GirMed*")</f>
        <v>0</v>
      </c>
      <c r="AA1244" s="3">
        <f>SUMIFS(EVENTOS!$D:$D, EVENTOS!$B:$B, D1244, EVENTOS!$E:$E, "*GirBajo*")</f>
        <v>0</v>
      </c>
      <c r="AB1244" s="3">
        <f>IFERROR(INDEX(EVENTOS!$D:$D,MATCH(SCORE!AB$2&amp;" "&amp;SCORE!$D1244,EVENTOS!$F:$F,0)),0)</f>
        <v>0</v>
      </c>
      <c r="AC1244" s="3">
        <f>IFERROR(INDEX(EVENTOS!$D:$D,MATCH(SCORE!AC$2&amp;" "&amp;SCORE!$D1244,EVENTOS!$F:$F,0)),0)</f>
        <v>0</v>
      </c>
      <c r="AD1244" s="3">
        <f>IFERROR(INDEX(EVENTOS!$D:$D,MATCH(SCORE!AD$2&amp;" "&amp;SCORE!$D1244,EVENTOS!$F:$F,0)),0)</f>
        <v>0</v>
      </c>
      <c r="AE1244" s="3">
        <f t="shared" si="57"/>
        <v>0</v>
      </c>
      <c r="AF1244" s="10" t="e">
        <f t="shared" si="58"/>
        <v>#N/A</v>
      </c>
      <c r="AG1244" s="3" t="str">
        <f t="shared" si="59"/>
        <v/>
      </c>
    </row>
    <row r="1245" spans="1:33" x14ac:dyDescent="0.25">
      <c r="A1245" s="7"/>
      <c r="B1245" s="8"/>
      <c r="C1245" s="3"/>
      <c r="D1245" s="3"/>
      <c r="E1245" s="3" t="e">
        <f>VLOOKUP(D1245,VIAJES!$D:$E,2,FALSE)</f>
        <v>#N/A</v>
      </c>
      <c r="F1245" s="9" t="e">
        <f>VLOOKUP(D1245,VIAJES!$D:$F,3,FALSE)</f>
        <v>#N/A</v>
      </c>
      <c r="G1245" s="9" t="e">
        <f>VLOOKUP(D1245,VIAJES!$D:$G,4,FALSE)</f>
        <v>#N/A</v>
      </c>
      <c r="H1245" s="3" t="e">
        <f>VLOOKUP(D1245,VIAJES!$D:$H,5,FALSE)</f>
        <v>#N/A</v>
      </c>
      <c r="S1245" s="3">
        <f>IFERROR(INDEX(EVENTOS!$D:$D,MATCH(SCORE!S$2&amp;" "&amp;SCORE!$D1245,EVENTOS!$F:$F,0)),0)</f>
        <v>0</v>
      </c>
      <c r="T1245" s="3">
        <f>IFERROR(INDEX(EVENTOS!$D:$D,MATCH(SCORE!T$2&amp;" "&amp;SCORE!$D1245,EVENTOS!$F:$F,0)),0)</f>
        <v>0</v>
      </c>
      <c r="U1245" s="3">
        <f>IFERROR(INDEX(EVENTOS!$D:$D,MATCH(SCORE!U$2&amp;" "&amp;SCORE!$D1245,EVENTOS!$F:$F,0)),0)</f>
        <v>0</v>
      </c>
      <c r="V1245" s="3">
        <f>IFERROR(INDEX(EVENTOS!$D:$D,MATCH(SCORE!V$2&amp;" "&amp;SCORE!$D1245,EVENTOS!$F:$F,0)),0)</f>
        <v>0</v>
      </c>
      <c r="W1245" s="3">
        <f>IFERROR(INDEX(EVENTOS!$D:$D,MATCH(SCORE!W$2&amp;" "&amp;SCORE!$D1245,EVENTOS!$F:$F,0)),0)</f>
        <v>0</v>
      </c>
      <c r="X1245" s="3">
        <f>IFERROR(INDEX(EVENTOS!$D:$D,MATCH(SCORE!X$2&amp;" "&amp;SCORE!$D1245,EVENTOS!$F:$F,0)),0)</f>
        <v>0</v>
      </c>
      <c r="Y1245" s="3">
        <f>SUMIFS(EVENTOS!$D:$D, EVENTOS!$B:$B, D1245, EVENTOS!$E:$E, "*GirAlto*")</f>
        <v>0</v>
      </c>
      <c r="Z1245" s="3">
        <f>SUMIFS(EVENTOS!$D:$D, EVENTOS!$B:$B, D1245, EVENTOS!$E:$E, "*GirMed*")</f>
        <v>0</v>
      </c>
      <c r="AA1245" s="3">
        <f>SUMIFS(EVENTOS!$D:$D, EVENTOS!$B:$B, D1245, EVENTOS!$E:$E, "*GirBajo*")</f>
        <v>0</v>
      </c>
      <c r="AB1245" s="3">
        <f>IFERROR(INDEX(EVENTOS!$D:$D,MATCH(SCORE!AB$2&amp;" "&amp;SCORE!$D1245,EVENTOS!$F:$F,0)),0)</f>
        <v>0</v>
      </c>
      <c r="AC1245" s="3">
        <f>IFERROR(INDEX(EVENTOS!$D:$D,MATCH(SCORE!AC$2&amp;" "&amp;SCORE!$D1245,EVENTOS!$F:$F,0)),0)</f>
        <v>0</v>
      </c>
      <c r="AD1245" s="3">
        <f>IFERROR(INDEX(EVENTOS!$D:$D,MATCH(SCORE!AD$2&amp;" "&amp;SCORE!$D1245,EVENTOS!$F:$F,0)),0)</f>
        <v>0</v>
      </c>
      <c r="AE1245" s="3">
        <f t="shared" si="57"/>
        <v>0</v>
      </c>
      <c r="AF1245" s="10" t="e">
        <f t="shared" si="58"/>
        <v>#N/A</v>
      </c>
      <c r="AG1245" s="3" t="str">
        <f t="shared" si="59"/>
        <v/>
      </c>
    </row>
    <row r="1246" spans="1:33" x14ac:dyDescent="0.25">
      <c r="A1246" s="7"/>
      <c r="B1246" s="8"/>
      <c r="C1246" s="3"/>
      <c r="D1246" s="3"/>
      <c r="E1246" s="3" t="e">
        <f>VLOOKUP(D1246,VIAJES!$D:$E,2,FALSE)</f>
        <v>#N/A</v>
      </c>
      <c r="F1246" s="9" t="e">
        <f>VLOOKUP(D1246,VIAJES!$D:$F,3,FALSE)</f>
        <v>#N/A</v>
      </c>
      <c r="G1246" s="9" t="e">
        <f>VLOOKUP(D1246,VIAJES!$D:$G,4,FALSE)</f>
        <v>#N/A</v>
      </c>
      <c r="H1246" s="3" t="e">
        <f>VLOOKUP(D1246,VIAJES!$D:$H,5,FALSE)</f>
        <v>#N/A</v>
      </c>
      <c r="S1246" s="3">
        <f>IFERROR(INDEX(EVENTOS!$D:$D,MATCH(SCORE!S$2&amp;" "&amp;SCORE!$D1246,EVENTOS!$F:$F,0)),0)</f>
        <v>0</v>
      </c>
      <c r="T1246" s="3">
        <f>IFERROR(INDEX(EVENTOS!$D:$D,MATCH(SCORE!T$2&amp;" "&amp;SCORE!$D1246,EVENTOS!$F:$F,0)),0)</f>
        <v>0</v>
      </c>
      <c r="U1246" s="3">
        <f>IFERROR(INDEX(EVENTOS!$D:$D,MATCH(SCORE!U$2&amp;" "&amp;SCORE!$D1246,EVENTOS!$F:$F,0)),0)</f>
        <v>0</v>
      </c>
      <c r="V1246" s="3">
        <f>IFERROR(INDEX(EVENTOS!$D:$D,MATCH(SCORE!V$2&amp;" "&amp;SCORE!$D1246,EVENTOS!$F:$F,0)),0)</f>
        <v>0</v>
      </c>
      <c r="W1246" s="3">
        <f>IFERROR(INDEX(EVENTOS!$D:$D,MATCH(SCORE!W$2&amp;" "&amp;SCORE!$D1246,EVENTOS!$F:$F,0)),0)</f>
        <v>0</v>
      </c>
      <c r="X1246" s="3">
        <f>IFERROR(INDEX(EVENTOS!$D:$D,MATCH(SCORE!X$2&amp;" "&amp;SCORE!$D1246,EVENTOS!$F:$F,0)),0)</f>
        <v>0</v>
      </c>
      <c r="Y1246" s="3">
        <f>SUMIFS(EVENTOS!$D:$D, EVENTOS!$B:$B, D1246, EVENTOS!$E:$E, "*GirAlto*")</f>
        <v>0</v>
      </c>
      <c r="Z1246" s="3">
        <f>SUMIFS(EVENTOS!$D:$D, EVENTOS!$B:$B, D1246, EVENTOS!$E:$E, "*GirMed*")</f>
        <v>0</v>
      </c>
      <c r="AA1246" s="3">
        <f>SUMIFS(EVENTOS!$D:$D, EVENTOS!$B:$B, D1246, EVENTOS!$E:$E, "*GirBajo*")</f>
        <v>0</v>
      </c>
      <c r="AB1246" s="3">
        <f>IFERROR(INDEX(EVENTOS!$D:$D,MATCH(SCORE!AB$2&amp;" "&amp;SCORE!$D1246,EVENTOS!$F:$F,0)),0)</f>
        <v>0</v>
      </c>
      <c r="AC1246" s="3">
        <f>IFERROR(INDEX(EVENTOS!$D:$D,MATCH(SCORE!AC$2&amp;" "&amp;SCORE!$D1246,EVENTOS!$F:$F,0)),0)</f>
        <v>0</v>
      </c>
      <c r="AD1246" s="3">
        <f>IFERROR(INDEX(EVENTOS!$D:$D,MATCH(SCORE!AD$2&amp;" "&amp;SCORE!$D1246,EVENTOS!$F:$F,0)),0)</f>
        <v>0</v>
      </c>
      <c r="AE1246" s="3">
        <f t="shared" si="57"/>
        <v>0</v>
      </c>
      <c r="AF1246" s="10" t="e">
        <f t="shared" si="58"/>
        <v>#N/A</v>
      </c>
      <c r="AG1246" s="3" t="str">
        <f t="shared" si="59"/>
        <v/>
      </c>
    </row>
    <row r="1247" spans="1:33" x14ac:dyDescent="0.25">
      <c r="A1247" s="7"/>
      <c r="B1247" s="8"/>
      <c r="C1247" s="3"/>
      <c r="D1247" s="3"/>
      <c r="E1247" s="3" t="e">
        <f>VLOOKUP(D1247,VIAJES!$D:$E,2,FALSE)</f>
        <v>#N/A</v>
      </c>
      <c r="F1247" s="9" t="e">
        <f>VLOOKUP(D1247,VIAJES!$D:$F,3,FALSE)</f>
        <v>#N/A</v>
      </c>
      <c r="G1247" s="9" t="e">
        <f>VLOOKUP(D1247,VIAJES!$D:$G,4,FALSE)</f>
        <v>#N/A</v>
      </c>
      <c r="H1247" s="3" t="e">
        <f>VLOOKUP(D1247,VIAJES!$D:$H,5,FALSE)</f>
        <v>#N/A</v>
      </c>
      <c r="S1247" s="3">
        <f>IFERROR(INDEX(EVENTOS!$D:$D,MATCH(SCORE!S$2&amp;" "&amp;SCORE!$D1247,EVENTOS!$F:$F,0)),0)</f>
        <v>0</v>
      </c>
      <c r="T1247" s="3">
        <f>IFERROR(INDEX(EVENTOS!$D:$D,MATCH(SCORE!T$2&amp;" "&amp;SCORE!$D1247,EVENTOS!$F:$F,0)),0)</f>
        <v>0</v>
      </c>
      <c r="U1247" s="3">
        <f>IFERROR(INDEX(EVENTOS!$D:$D,MATCH(SCORE!U$2&amp;" "&amp;SCORE!$D1247,EVENTOS!$F:$F,0)),0)</f>
        <v>0</v>
      </c>
      <c r="V1247" s="3">
        <f>IFERROR(INDEX(EVENTOS!$D:$D,MATCH(SCORE!V$2&amp;" "&amp;SCORE!$D1247,EVENTOS!$F:$F,0)),0)</f>
        <v>0</v>
      </c>
      <c r="W1247" s="3">
        <f>IFERROR(INDEX(EVENTOS!$D:$D,MATCH(SCORE!W$2&amp;" "&amp;SCORE!$D1247,EVENTOS!$F:$F,0)),0)</f>
        <v>0</v>
      </c>
      <c r="X1247" s="3">
        <f>IFERROR(INDEX(EVENTOS!$D:$D,MATCH(SCORE!X$2&amp;" "&amp;SCORE!$D1247,EVENTOS!$F:$F,0)),0)</f>
        <v>0</v>
      </c>
      <c r="Y1247" s="3">
        <f>SUMIFS(EVENTOS!$D:$D, EVENTOS!$B:$B, D1247, EVENTOS!$E:$E, "*GirAlto*")</f>
        <v>0</v>
      </c>
      <c r="Z1247" s="3">
        <f>SUMIFS(EVENTOS!$D:$D, EVENTOS!$B:$B, D1247, EVENTOS!$E:$E, "*GirMed*")</f>
        <v>0</v>
      </c>
      <c r="AA1247" s="3">
        <f>SUMIFS(EVENTOS!$D:$D, EVENTOS!$B:$B, D1247, EVENTOS!$E:$E, "*GirBajo*")</f>
        <v>0</v>
      </c>
      <c r="AB1247" s="3">
        <f>IFERROR(INDEX(EVENTOS!$D:$D,MATCH(SCORE!AB$2&amp;" "&amp;SCORE!$D1247,EVENTOS!$F:$F,0)),0)</f>
        <v>0</v>
      </c>
      <c r="AC1247" s="3">
        <f>IFERROR(INDEX(EVENTOS!$D:$D,MATCH(SCORE!AC$2&amp;" "&amp;SCORE!$D1247,EVENTOS!$F:$F,0)),0)</f>
        <v>0</v>
      </c>
      <c r="AD1247" s="3">
        <f>IFERROR(INDEX(EVENTOS!$D:$D,MATCH(SCORE!AD$2&amp;" "&amp;SCORE!$D1247,EVENTOS!$F:$F,0)),0)</f>
        <v>0</v>
      </c>
      <c r="AE1247" s="3">
        <f t="shared" si="57"/>
        <v>0</v>
      </c>
      <c r="AF1247" s="10" t="e">
        <f t="shared" si="58"/>
        <v>#N/A</v>
      </c>
      <c r="AG1247" s="3" t="str">
        <f t="shared" si="59"/>
        <v/>
      </c>
    </row>
    <row r="1248" spans="1:33" x14ac:dyDescent="0.25">
      <c r="A1248" s="7"/>
      <c r="B1248" s="8"/>
      <c r="C1248" s="3"/>
      <c r="D1248" s="3"/>
      <c r="E1248" s="3" t="e">
        <f>VLOOKUP(D1248,VIAJES!$D:$E,2,FALSE)</f>
        <v>#N/A</v>
      </c>
      <c r="F1248" s="9" t="e">
        <f>VLOOKUP(D1248,VIAJES!$D:$F,3,FALSE)</f>
        <v>#N/A</v>
      </c>
      <c r="G1248" s="9" t="e">
        <f>VLOOKUP(D1248,VIAJES!$D:$G,4,FALSE)</f>
        <v>#N/A</v>
      </c>
      <c r="H1248" s="3" t="e">
        <f>VLOOKUP(D1248,VIAJES!$D:$H,5,FALSE)</f>
        <v>#N/A</v>
      </c>
      <c r="S1248" s="3">
        <f>IFERROR(INDEX(EVENTOS!$D:$D,MATCH(SCORE!S$2&amp;" "&amp;SCORE!$D1248,EVENTOS!$F:$F,0)),0)</f>
        <v>0</v>
      </c>
      <c r="T1248" s="3">
        <f>IFERROR(INDEX(EVENTOS!$D:$D,MATCH(SCORE!T$2&amp;" "&amp;SCORE!$D1248,EVENTOS!$F:$F,0)),0)</f>
        <v>0</v>
      </c>
      <c r="U1248" s="3">
        <f>IFERROR(INDEX(EVENTOS!$D:$D,MATCH(SCORE!U$2&amp;" "&amp;SCORE!$D1248,EVENTOS!$F:$F,0)),0)</f>
        <v>0</v>
      </c>
      <c r="V1248" s="3">
        <f>IFERROR(INDEX(EVENTOS!$D:$D,MATCH(SCORE!V$2&amp;" "&amp;SCORE!$D1248,EVENTOS!$F:$F,0)),0)</f>
        <v>0</v>
      </c>
      <c r="W1248" s="3">
        <f>IFERROR(INDEX(EVENTOS!$D:$D,MATCH(SCORE!W$2&amp;" "&amp;SCORE!$D1248,EVENTOS!$F:$F,0)),0)</f>
        <v>0</v>
      </c>
      <c r="X1248" s="3">
        <f>IFERROR(INDEX(EVENTOS!$D:$D,MATCH(SCORE!X$2&amp;" "&amp;SCORE!$D1248,EVENTOS!$F:$F,0)),0)</f>
        <v>0</v>
      </c>
      <c r="Y1248" s="3">
        <f>SUMIFS(EVENTOS!$D:$D, EVENTOS!$B:$B, D1248, EVENTOS!$E:$E, "*GirAlto*")</f>
        <v>0</v>
      </c>
      <c r="Z1248" s="3">
        <f>SUMIFS(EVENTOS!$D:$D, EVENTOS!$B:$B, D1248, EVENTOS!$E:$E, "*GirMed*")</f>
        <v>0</v>
      </c>
      <c r="AA1248" s="3">
        <f>SUMIFS(EVENTOS!$D:$D, EVENTOS!$B:$B, D1248, EVENTOS!$E:$E, "*GirBajo*")</f>
        <v>0</v>
      </c>
      <c r="AB1248" s="3">
        <f>IFERROR(INDEX(EVENTOS!$D:$D,MATCH(SCORE!AB$2&amp;" "&amp;SCORE!$D1248,EVENTOS!$F:$F,0)),0)</f>
        <v>0</v>
      </c>
      <c r="AC1248" s="3">
        <f>IFERROR(INDEX(EVENTOS!$D:$D,MATCH(SCORE!AC$2&amp;" "&amp;SCORE!$D1248,EVENTOS!$F:$F,0)),0)</f>
        <v>0</v>
      </c>
      <c r="AD1248" s="3">
        <f>IFERROR(INDEX(EVENTOS!$D:$D,MATCH(SCORE!AD$2&amp;" "&amp;SCORE!$D1248,EVENTOS!$F:$F,0)),0)</f>
        <v>0</v>
      </c>
      <c r="AE1248" s="3">
        <f t="shared" si="57"/>
        <v>0</v>
      </c>
      <c r="AF1248" s="10" t="e">
        <f t="shared" si="58"/>
        <v>#N/A</v>
      </c>
      <c r="AG1248" s="3" t="str">
        <f t="shared" si="59"/>
        <v/>
      </c>
    </row>
    <row r="1249" spans="1:33" x14ac:dyDescent="0.25">
      <c r="A1249" s="7"/>
      <c r="B1249" s="8"/>
      <c r="C1249" s="3"/>
      <c r="D1249" s="3"/>
      <c r="E1249" s="3" t="e">
        <f>VLOOKUP(D1249,VIAJES!$D:$E,2,FALSE)</f>
        <v>#N/A</v>
      </c>
      <c r="F1249" s="9" t="e">
        <f>VLOOKUP(D1249,VIAJES!$D:$F,3,FALSE)</f>
        <v>#N/A</v>
      </c>
      <c r="G1249" s="9" t="e">
        <f>VLOOKUP(D1249,VIAJES!$D:$G,4,FALSE)</f>
        <v>#N/A</v>
      </c>
      <c r="H1249" s="3" t="e">
        <f>VLOOKUP(D1249,VIAJES!$D:$H,5,FALSE)</f>
        <v>#N/A</v>
      </c>
      <c r="S1249" s="3">
        <f>IFERROR(INDEX(EVENTOS!$D:$D,MATCH(SCORE!S$2&amp;" "&amp;SCORE!$D1249,EVENTOS!$F:$F,0)),0)</f>
        <v>0</v>
      </c>
      <c r="T1249" s="3">
        <f>IFERROR(INDEX(EVENTOS!$D:$D,MATCH(SCORE!T$2&amp;" "&amp;SCORE!$D1249,EVENTOS!$F:$F,0)),0)</f>
        <v>0</v>
      </c>
      <c r="U1249" s="3">
        <f>IFERROR(INDEX(EVENTOS!$D:$D,MATCH(SCORE!U$2&amp;" "&amp;SCORE!$D1249,EVENTOS!$F:$F,0)),0)</f>
        <v>0</v>
      </c>
      <c r="V1249" s="3">
        <f>IFERROR(INDEX(EVENTOS!$D:$D,MATCH(SCORE!V$2&amp;" "&amp;SCORE!$D1249,EVENTOS!$F:$F,0)),0)</f>
        <v>0</v>
      </c>
      <c r="W1249" s="3">
        <f>IFERROR(INDEX(EVENTOS!$D:$D,MATCH(SCORE!W$2&amp;" "&amp;SCORE!$D1249,EVENTOS!$F:$F,0)),0)</f>
        <v>0</v>
      </c>
      <c r="X1249" s="3">
        <f>IFERROR(INDEX(EVENTOS!$D:$D,MATCH(SCORE!X$2&amp;" "&amp;SCORE!$D1249,EVENTOS!$F:$F,0)),0)</f>
        <v>0</v>
      </c>
      <c r="Y1249" s="3">
        <f>SUMIFS(EVENTOS!$D:$D, EVENTOS!$B:$B, D1249, EVENTOS!$E:$E, "*GirAlto*")</f>
        <v>0</v>
      </c>
      <c r="Z1249" s="3">
        <f>SUMIFS(EVENTOS!$D:$D, EVENTOS!$B:$B, D1249, EVENTOS!$E:$E, "*GirMed*")</f>
        <v>0</v>
      </c>
      <c r="AA1249" s="3">
        <f>SUMIFS(EVENTOS!$D:$D, EVENTOS!$B:$B, D1249, EVENTOS!$E:$E, "*GirBajo*")</f>
        <v>0</v>
      </c>
      <c r="AB1249" s="3">
        <f>IFERROR(INDEX(EVENTOS!$D:$D,MATCH(SCORE!AB$2&amp;" "&amp;SCORE!$D1249,EVENTOS!$F:$F,0)),0)</f>
        <v>0</v>
      </c>
      <c r="AC1249" s="3">
        <f>IFERROR(INDEX(EVENTOS!$D:$D,MATCH(SCORE!AC$2&amp;" "&amp;SCORE!$D1249,EVENTOS!$F:$F,0)),0)</f>
        <v>0</v>
      </c>
      <c r="AD1249" s="3">
        <f>IFERROR(INDEX(EVENTOS!$D:$D,MATCH(SCORE!AD$2&amp;" "&amp;SCORE!$D1249,EVENTOS!$F:$F,0)),0)</f>
        <v>0</v>
      </c>
      <c r="AE1249" s="3">
        <f t="shared" si="57"/>
        <v>0</v>
      </c>
      <c r="AF1249" s="10" t="e">
        <f t="shared" si="58"/>
        <v>#N/A</v>
      </c>
      <c r="AG1249" s="3" t="str">
        <f t="shared" si="59"/>
        <v/>
      </c>
    </row>
    <row r="1250" spans="1:33" x14ac:dyDescent="0.25">
      <c r="A1250" s="7"/>
      <c r="B1250" s="8"/>
      <c r="C1250" s="3"/>
      <c r="D1250" s="3"/>
      <c r="E1250" s="3" t="e">
        <f>VLOOKUP(D1250,VIAJES!$D:$E,2,FALSE)</f>
        <v>#N/A</v>
      </c>
      <c r="F1250" s="9" t="e">
        <f>VLOOKUP(D1250,VIAJES!$D:$F,3,FALSE)</f>
        <v>#N/A</v>
      </c>
      <c r="G1250" s="9" t="e">
        <f>VLOOKUP(D1250,VIAJES!$D:$G,4,FALSE)</f>
        <v>#N/A</v>
      </c>
      <c r="H1250" s="3" t="e">
        <f>VLOOKUP(D1250,VIAJES!$D:$H,5,FALSE)</f>
        <v>#N/A</v>
      </c>
      <c r="S1250" s="3">
        <f>IFERROR(INDEX(EVENTOS!$D:$D,MATCH(SCORE!S$2&amp;" "&amp;SCORE!$D1250,EVENTOS!$F:$F,0)),0)</f>
        <v>0</v>
      </c>
      <c r="T1250" s="3">
        <f>IFERROR(INDEX(EVENTOS!$D:$D,MATCH(SCORE!T$2&amp;" "&amp;SCORE!$D1250,EVENTOS!$F:$F,0)),0)</f>
        <v>0</v>
      </c>
      <c r="U1250" s="3">
        <f>IFERROR(INDEX(EVENTOS!$D:$D,MATCH(SCORE!U$2&amp;" "&amp;SCORE!$D1250,EVENTOS!$F:$F,0)),0)</f>
        <v>0</v>
      </c>
      <c r="V1250" s="3">
        <f>IFERROR(INDEX(EVENTOS!$D:$D,MATCH(SCORE!V$2&amp;" "&amp;SCORE!$D1250,EVENTOS!$F:$F,0)),0)</f>
        <v>0</v>
      </c>
      <c r="W1250" s="3">
        <f>IFERROR(INDEX(EVENTOS!$D:$D,MATCH(SCORE!W$2&amp;" "&amp;SCORE!$D1250,EVENTOS!$F:$F,0)),0)</f>
        <v>0</v>
      </c>
      <c r="X1250" s="3">
        <f>IFERROR(INDEX(EVENTOS!$D:$D,MATCH(SCORE!X$2&amp;" "&amp;SCORE!$D1250,EVENTOS!$F:$F,0)),0)</f>
        <v>0</v>
      </c>
      <c r="Y1250" s="3">
        <f>SUMIFS(EVENTOS!$D:$D, EVENTOS!$B:$B, D1250, EVENTOS!$E:$E, "*GirAlto*")</f>
        <v>0</v>
      </c>
      <c r="Z1250" s="3">
        <f>SUMIFS(EVENTOS!$D:$D, EVENTOS!$B:$B, D1250, EVENTOS!$E:$E, "*GirMed*")</f>
        <v>0</v>
      </c>
      <c r="AA1250" s="3">
        <f>SUMIFS(EVENTOS!$D:$D, EVENTOS!$B:$B, D1250, EVENTOS!$E:$E, "*GirBajo*")</f>
        <v>0</v>
      </c>
      <c r="AB1250" s="3">
        <f>IFERROR(INDEX(EVENTOS!$D:$D,MATCH(SCORE!AB$2&amp;" "&amp;SCORE!$D1250,EVENTOS!$F:$F,0)),0)</f>
        <v>0</v>
      </c>
      <c r="AC1250" s="3">
        <f>IFERROR(INDEX(EVENTOS!$D:$D,MATCH(SCORE!AC$2&amp;" "&amp;SCORE!$D1250,EVENTOS!$F:$F,0)),0)</f>
        <v>0</v>
      </c>
      <c r="AD1250" s="3">
        <f>IFERROR(INDEX(EVENTOS!$D:$D,MATCH(SCORE!AD$2&amp;" "&amp;SCORE!$D1250,EVENTOS!$F:$F,0)),0)</f>
        <v>0</v>
      </c>
      <c r="AE1250" s="3">
        <f t="shared" si="57"/>
        <v>0</v>
      </c>
      <c r="AF1250" s="10" t="e">
        <f t="shared" si="58"/>
        <v>#N/A</v>
      </c>
      <c r="AG1250" s="3" t="str">
        <f t="shared" si="59"/>
        <v/>
      </c>
    </row>
    <row r="1251" spans="1:33" x14ac:dyDescent="0.25">
      <c r="A1251" s="7"/>
      <c r="B1251" s="8"/>
      <c r="C1251" s="3"/>
      <c r="D1251" s="3"/>
      <c r="E1251" s="3" t="e">
        <f>VLOOKUP(D1251,VIAJES!$D:$E,2,FALSE)</f>
        <v>#N/A</v>
      </c>
      <c r="F1251" s="9" t="e">
        <f>VLOOKUP(D1251,VIAJES!$D:$F,3,FALSE)</f>
        <v>#N/A</v>
      </c>
      <c r="G1251" s="9" t="e">
        <f>VLOOKUP(D1251,VIAJES!$D:$G,4,FALSE)</f>
        <v>#N/A</v>
      </c>
      <c r="H1251" s="3" t="e">
        <f>VLOOKUP(D1251,VIAJES!$D:$H,5,FALSE)</f>
        <v>#N/A</v>
      </c>
      <c r="S1251" s="3">
        <f>IFERROR(INDEX(EVENTOS!$D:$D,MATCH(SCORE!S$2&amp;" "&amp;SCORE!$D1251,EVENTOS!$F:$F,0)),0)</f>
        <v>0</v>
      </c>
      <c r="T1251" s="3">
        <f>IFERROR(INDEX(EVENTOS!$D:$D,MATCH(SCORE!T$2&amp;" "&amp;SCORE!$D1251,EVENTOS!$F:$F,0)),0)</f>
        <v>0</v>
      </c>
      <c r="U1251" s="3">
        <f>IFERROR(INDEX(EVENTOS!$D:$D,MATCH(SCORE!U$2&amp;" "&amp;SCORE!$D1251,EVENTOS!$F:$F,0)),0)</f>
        <v>0</v>
      </c>
      <c r="V1251" s="3">
        <f>IFERROR(INDEX(EVENTOS!$D:$D,MATCH(SCORE!V$2&amp;" "&amp;SCORE!$D1251,EVENTOS!$F:$F,0)),0)</f>
        <v>0</v>
      </c>
      <c r="W1251" s="3">
        <f>IFERROR(INDEX(EVENTOS!$D:$D,MATCH(SCORE!W$2&amp;" "&amp;SCORE!$D1251,EVENTOS!$F:$F,0)),0)</f>
        <v>0</v>
      </c>
      <c r="X1251" s="3">
        <f>IFERROR(INDEX(EVENTOS!$D:$D,MATCH(SCORE!X$2&amp;" "&amp;SCORE!$D1251,EVENTOS!$F:$F,0)),0)</f>
        <v>0</v>
      </c>
      <c r="Y1251" s="3">
        <f>SUMIFS(EVENTOS!$D:$D, EVENTOS!$B:$B, D1251, EVENTOS!$E:$E, "*GirAlto*")</f>
        <v>0</v>
      </c>
      <c r="Z1251" s="3">
        <f>SUMIFS(EVENTOS!$D:$D, EVENTOS!$B:$B, D1251, EVENTOS!$E:$E, "*GirMed*")</f>
        <v>0</v>
      </c>
      <c r="AA1251" s="3">
        <f>SUMIFS(EVENTOS!$D:$D, EVENTOS!$B:$B, D1251, EVENTOS!$E:$E, "*GirBajo*")</f>
        <v>0</v>
      </c>
      <c r="AB1251" s="3">
        <f>IFERROR(INDEX(EVENTOS!$D:$D,MATCH(SCORE!AB$2&amp;" "&amp;SCORE!$D1251,EVENTOS!$F:$F,0)),0)</f>
        <v>0</v>
      </c>
      <c r="AC1251" s="3">
        <f>IFERROR(INDEX(EVENTOS!$D:$D,MATCH(SCORE!AC$2&amp;" "&amp;SCORE!$D1251,EVENTOS!$F:$F,0)),0)</f>
        <v>0</v>
      </c>
      <c r="AD1251" s="3">
        <f>IFERROR(INDEX(EVENTOS!$D:$D,MATCH(SCORE!AD$2&amp;" "&amp;SCORE!$D1251,EVENTOS!$F:$F,0)),0)</f>
        <v>0</v>
      </c>
      <c r="AE1251" s="3">
        <f t="shared" si="57"/>
        <v>0</v>
      </c>
      <c r="AF1251" s="10" t="e">
        <f t="shared" si="58"/>
        <v>#N/A</v>
      </c>
      <c r="AG1251" s="3" t="str">
        <f t="shared" si="59"/>
        <v/>
      </c>
    </row>
    <row r="1252" spans="1:33" x14ac:dyDescent="0.25">
      <c r="A1252" s="7"/>
      <c r="B1252" s="8"/>
      <c r="C1252" s="3"/>
      <c r="D1252" s="3"/>
      <c r="E1252" s="3" t="e">
        <f>VLOOKUP(D1252,VIAJES!$D:$E,2,FALSE)</f>
        <v>#N/A</v>
      </c>
      <c r="F1252" s="9" t="e">
        <f>VLOOKUP(D1252,VIAJES!$D:$F,3,FALSE)</f>
        <v>#N/A</v>
      </c>
      <c r="G1252" s="9" t="e">
        <f>VLOOKUP(D1252,VIAJES!$D:$G,4,FALSE)</f>
        <v>#N/A</v>
      </c>
      <c r="H1252" s="3" t="e">
        <f>VLOOKUP(D1252,VIAJES!$D:$H,5,FALSE)</f>
        <v>#N/A</v>
      </c>
      <c r="S1252" s="3">
        <f>IFERROR(INDEX(EVENTOS!$D:$D,MATCH(SCORE!S$2&amp;" "&amp;SCORE!$D1252,EVENTOS!$F:$F,0)),0)</f>
        <v>0</v>
      </c>
      <c r="T1252" s="3">
        <f>IFERROR(INDEX(EVENTOS!$D:$D,MATCH(SCORE!T$2&amp;" "&amp;SCORE!$D1252,EVENTOS!$F:$F,0)),0)</f>
        <v>0</v>
      </c>
      <c r="U1252" s="3">
        <f>IFERROR(INDEX(EVENTOS!$D:$D,MATCH(SCORE!U$2&amp;" "&amp;SCORE!$D1252,EVENTOS!$F:$F,0)),0)</f>
        <v>0</v>
      </c>
      <c r="V1252" s="3">
        <f>IFERROR(INDEX(EVENTOS!$D:$D,MATCH(SCORE!V$2&amp;" "&amp;SCORE!$D1252,EVENTOS!$F:$F,0)),0)</f>
        <v>0</v>
      </c>
      <c r="W1252" s="3">
        <f>IFERROR(INDEX(EVENTOS!$D:$D,MATCH(SCORE!W$2&amp;" "&amp;SCORE!$D1252,EVENTOS!$F:$F,0)),0)</f>
        <v>0</v>
      </c>
      <c r="X1252" s="3">
        <f>IFERROR(INDEX(EVENTOS!$D:$D,MATCH(SCORE!X$2&amp;" "&amp;SCORE!$D1252,EVENTOS!$F:$F,0)),0)</f>
        <v>0</v>
      </c>
      <c r="Y1252" s="3">
        <f>SUMIFS(EVENTOS!$D:$D, EVENTOS!$B:$B, D1252, EVENTOS!$E:$E, "*GirAlto*")</f>
        <v>0</v>
      </c>
      <c r="Z1252" s="3">
        <f>SUMIFS(EVENTOS!$D:$D, EVENTOS!$B:$B, D1252, EVENTOS!$E:$E, "*GirMed*")</f>
        <v>0</v>
      </c>
      <c r="AA1252" s="3">
        <f>SUMIFS(EVENTOS!$D:$D, EVENTOS!$B:$B, D1252, EVENTOS!$E:$E, "*GirBajo*")</f>
        <v>0</v>
      </c>
      <c r="AB1252" s="3">
        <f>IFERROR(INDEX(EVENTOS!$D:$D,MATCH(SCORE!AB$2&amp;" "&amp;SCORE!$D1252,EVENTOS!$F:$F,0)),0)</f>
        <v>0</v>
      </c>
      <c r="AC1252" s="3">
        <f>IFERROR(INDEX(EVENTOS!$D:$D,MATCH(SCORE!AC$2&amp;" "&amp;SCORE!$D1252,EVENTOS!$F:$F,0)),0)</f>
        <v>0</v>
      </c>
      <c r="AD1252" s="3">
        <f>IFERROR(INDEX(EVENTOS!$D:$D,MATCH(SCORE!AD$2&amp;" "&amp;SCORE!$D1252,EVENTOS!$F:$F,0)),0)</f>
        <v>0</v>
      </c>
      <c r="AE1252" s="3">
        <f t="shared" si="57"/>
        <v>0</v>
      </c>
      <c r="AF1252" s="10" t="e">
        <f t="shared" si="58"/>
        <v>#N/A</v>
      </c>
      <c r="AG1252" s="3" t="str">
        <f t="shared" si="59"/>
        <v/>
      </c>
    </row>
    <row r="1253" spans="1:33" x14ac:dyDescent="0.25">
      <c r="A1253" s="7"/>
      <c r="B1253" s="8"/>
      <c r="C1253" s="3"/>
      <c r="D1253" s="3"/>
      <c r="E1253" s="3" t="e">
        <f>VLOOKUP(D1253,VIAJES!$D:$E,2,FALSE)</f>
        <v>#N/A</v>
      </c>
      <c r="F1253" s="9" t="e">
        <f>VLOOKUP(D1253,VIAJES!$D:$F,3,FALSE)</f>
        <v>#N/A</v>
      </c>
      <c r="G1253" s="9" t="e">
        <f>VLOOKUP(D1253,VIAJES!$D:$G,4,FALSE)</f>
        <v>#N/A</v>
      </c>
      <c r="H1253" s="3" t="e">
        <f>VLOOKUP(D1253,VIAJES!$D:$H,5,FALSE)</f>
        <v>#N/A</v>
      </c>
      <c r="S1253" s="3">
        <f>IFERROR(INDEX(EVENTOS!$D:$D,MATCH(SCORE!S$2&amp;" "&amp;SCORE!$D1253,EVENTOS!$F:$F,0)),0)</f>
        <v>0</v>
      </c>
      <c r="T1253" s="3">
        <f>IFERROR(INDEX(EVENTOS!$D:$D,MATCH(SCORE!T$2&amp;" "&amp;SCORE!$D1253,EVENTOS!$F:$F,0)),0)</f>
        <v>0</v>
      </c>
      <c r="U1253" s="3">
        <f>IFERROR(INDEX(EVENTOS!$D:$D,MATCH(SCORE!U$2&amp;" "&amp;SCORE!$D1253,EVENTOS!$F:$F,0)),0)</f>
        <v>0</v>
      </c>
      <c r="V1253" s="3">
        <f>IFERROR(INDEX(EVENTOS!$D:$D,MATCH(SCORE!V$2&amp;" "&amp;SCORE!$D1253,EVENTOS!$F:$F,0)),0)</f>
        <v>0</v>
      </c>
      <c r="W1253" s="3">
        <f>IFERROR(INDEX(EVENTOS!$D:$D,MATCH(SCORE!W$2&amp;" "&amp;SCORE!$D1253,EVENTOS!$F:$F,0)),0)</f>
        <v>0</v>
      </c>
      <c r="X1253" s="3">
        <f>IFERROR(INDEX(EVENTOS!$D:$D,MATCH(SCORE!X$2&amp;" "&amp;SCORE!$D1253,EVENTOS!$F:$F,0)),0)</f>
        <v>0</v>
      </c>
      <c r="Y1253" s="3">
        <f>SUMIFS(EVENTOS!$D:$D, EVENTOS!$B:$B, D1253, EVENTOS!$E:$E, "*GirAlto*")</f>
        <v>0</v>
      </c>
      <c r="Z1253" s="3">
        <f>SUMIFS(EVENTOS!$D:$D, EVENTOS!$B:$B, D1253, EVENTOS!$E:$E, "*GirMed*")</f>
        <v>0</v>
      </c>
      <c r="AA1253" s="3">
        <f>SUMIFS(EVENTOS!$D:$D, EVENTOS!$B:$B, D1253, EVENTOS!$E:$E, "*GirBajo*")</f>
        <v>0</v>
      </c>
      <c r="AB1253" s="3">
        <f>IFERROR(INDEX(EVENTOS!$D:$D,MATCH(SCORE!AB$2&amp;" "&amp;SCORE!$D1253,EVENTOS!$F:$F,0)),0)</f>
        <v>0</v>
      </c>
      <c r="AC1253" s="3">
        <f>IFERROR(INDEX(EVENTOS!$D:$D,MATCH(SCORE!AC$2&amp;" "&amp;SCORE!$D1253,EVENTOS!$F:$F,0)),0)</f>
        <v>0</v>
      </c>
      <c r="AD1253" s="3">
        <f>IFERROR(INDEX(EVENTOS!$D:$D,MATCH(SCORE!AD$2&amp;" "&amp;SCORE!$D1253,EVENTOS!$F:$F,0)),0)</f>
        <v>0</v>
      </c>
      <c r="AE1253" s="3">
        <f t="shared" si="57"/>
        <v>0</v>
      </c>
      <c r="AF1253" s="10" t="e">
        <f t="shared" si="58"/>
        <v>#N/A</v>
      </c>
      <c r="AG1253" s="3" t="str">
        <f t="shared" si="59"/>
        <v/>
      </c>
    </row>
    <row r="1254" spans="1:33" x14ac:dyDescent="0.25">
      <c r="A1254" s="7"/>
      <c r="B1254" s="8"/>
      <c r="C1254" s="3"/>
      <c r="D1254" s="3"/>
      <c r="E1254" s="3" t="e">
        <f>VLOOKUP(D1254,VIAJES!$D:$E,2,FALSE)</f>
        <v>#N/A</v>
      </c>
      <c r="F1254" s="9" t="e">
        <f>VLOOKUP(D1254,VIAJES!$D:$F,3,FALSE)</f>
        <v>#N/A</v>
      </c>
      <c r="G1254" s="9" t="e">
        <f>VLOOKUP(D1254,VIAJES!$D:$G,4,FALSE)</f>
        <v>#N/A</v>
      </c>
      <c r="H1254" s="3" t="e">
        <f>VLOOKUP(D1254,VIAJES!$D:$H,5,FALSE)</f>
        <v>#N/A</v>
      </c>
      <c r="S1254" s="3">
        <f>IFERROR(INDEX(EVENTOS!$D:$D,MATCH(SCORE!S$2&amp;" "&amp;SCORE!$D1254,EVENTOS!$F:$F,0)),0)</f>
        <v>0</v>
      </c>
      <c r="T1254" s="3">
        <f>IFERROR(INDEX(EVENTOS!$D:$D,MATCH(SCORE!T$2&amp;" "&amp;SCORE!$D1254,EVENTOS!$F:$F,0)),0)</f>
        <v>0</v>
      </c>
      <c r="U1254" s="3">
        <f>IFERROR(INDEX(EVENTOS!$D:$D,MATCH(SCORE!U$2&amp;" "&amp;SCORE!$D1254,EVENTOS!$F:$F,0)),0)</f>
        <v>0</v>
      </c>
      <c r="V1254" s="3">
        <f>IFERROR(INDEX(EVENTOS!$D:$D,MATCH(SCORE!V$2&amp;" "&amp;SCORE!$D1254,EVENTOS!$F:$F,0)),0)</f>
        <v>0</v>
      </c>
      <c r="W1254" s="3">
        <f>IFERROR(INDEX(EVENTOS!$D:$D,MATCH(SCORE!W$2&amp;" "&amp;SCORE!$D1254,EVENTOS!$F:$F,0)),0)</f>
        <v>0</v>
      </c>
      <c r="X1254" s="3">
        <f>IFERROR(INDEX(EVENTOS!$D:$D,MATCH(SCORE!X$2&amp;" "&amp;SCORE!$D1254,EVENTOS!$F:$F,0)),0)</f>
        <v>0</v>
      </c>
      <c r="Y1254" s="3">
        <f>SUMIFS(EVENTOS!$D:$D, EVENTOS!$B:$B, D1254, EVENTOS!$E:$E, "*GirAlto*")</f>
        <v>0</v>
      </c>
      <c r="Z1254" s="3">
        <f>SUMIFS(EVENTOS!$D:$D, EVENTOS!$B:$B, D1254, EVENTOS!$E:$E, "*GirMed*")</f>
        <v>0</v>
      </c>
      <c r="AA1254" s="3">
        <f>SUMIFS(EVENTOS!$D:$D, EVENTOS!$B:$B, D1254, EVENTOS!$E:$E, "*GirBajo*")</f>
        <v>0</v>
      </c>
      <c r="AB1254" s="3">
        <f>IFERROR(INDEX(EVENTOS!$D:$D,MATCH(SCORE!AB$2&amp;" "&amp;SCORE!$D1254,EVENTOS!$F:$F,0)),0)</f>
        <v>0</v>
      </c>
      <c r="AC1254" s="3">
        <f>IFERROR(INDEX(EVENTOS!$D:$D,MATCH(SCORE!AC$2&amp;" "&amp;SCORE!$D1254,EVENTOS!$F:$F,0)),0)</f>
        <v>0</v>
      </c>
      <c r="AD1254" s="3">
        <f>IFERROR(INDEX(EVENTOS!$D:$D,MATCH(SCORE!AD$2&amp;" "&amp;SCORE!$D1254,EVENTOS!$F:$F,0)),0)</f>
        <v>0</v>
      </c>
      <c r="AE1254" s="3">
        <f t="shared" si="57"/>
        <v>0</v>
      </c>
      <c r="AF1254" s="10" t="e">
        <f t="shared" si="58"/>
        <v>#N/A</v>
      </c>
      <c r="AG1254" s="3" t="str">
        <f t="shared" si="59"/>
        <v/>
      </c>
    </row>
    <row r="1255" spans="1:33" x14ac:dyDescent="0.25">
      <c r="A1255" s="7"/>
      <c r="B1255" s="8"/>
      <c r="C1255" s="3"/>
      <c r="D1255" s="3"/>
      <c r="E1255" s="3" t="e">
        <f>VLOOKUP(D1255,VIAJES!$D:$E,2,FALSE)</f>
        <v>#N/A</v>
      </c>
      <c r="F1255" s="9" t="e">
        <f>VLOOKUP(D1255,VIAJES!$D:$F,3,FALSE)</f>
        <v>#N/A</v>
      </c>
      <c r="G1255" s="9" t="e">
        <f>VLOOKUP(D1255,VIAJES!$D:$G,4,FALSE)</f>
        <v>#N/A</v>
      </c>
      <c r="H1255" s="3" t="e">
        <f>VLOOKUP(D1255,VIAJES!$D:$H,5,FALSE)</f>
        <v>#N/A</v>
      </c>
      <c r="S1255" s="3">
        <f>IFERROR(INDEX(EVENTOS!$D:$D,MATCH(SCORE!S$2&amp;" "&amp;SCORE!$D1255,EVENTOS!$F:$F,0)),0)</f>
        <v>0</v>
      </c>
      <c r="T1255" s="3">
        <f>IFERROR(INDEX(EVENTOS!$D:$D,MATCH(SCORE!T$2&amp;" "&amp;SCORE!$D1255,EVENTOS!$F:$F,0)),0)</f>
        <v>0</v>
      </c>
      <c r="U1255" s="3">
        <f>IFERROR(INDEX(EVENTOS!$D:$D,MATCH(SCORE!U$2&amp;" "&amp;SCORE!$D1255,EVENTOS!$F:$F,0)),0)</f>
        <v>0</v>
      </c>
      <c r="V1255" s="3">
        <f>IFERROR(INDEX(EVENTOS!$D:$D,MATCH(SCORE!V$2&amp;" "&amp;SCORE!$D1255,EVENTOS!$F:$F,0)),0)</f>
        <v>0</v>
      </c>
      <c r="W1255" s="3">
        <f>IFERROR(INDEX(EVENTOS!$D:$D,MATCH(SCORE!W$2&amp;" "&amp;SCORE!$D1255,EVENTOS!$F:$F,0)),0)</f>
        <v>0</v>
      </c>
      <c r="X1255" s="3">
        <f>IFERROR(INDEX(EVENTOS!$D:$D,MATCH(SCORE!X$2&amp;" "&amp;SCORE!$D1255,EVENTOS!$F:$F,0)),0)</f>
        <v>0</v>
      </c>
      <c r="Y1255" s="3">
        <f>SUMIFS(EVENTOS!$D:$D, EVENTOS!$B:$B, D1255, EVENTOS!$E:$E, "*GirAlto*")</f>
        <v>0</v>
      </c>
      <c r="Z1255" s="3">
        <f>SUMIFS(EVENTOS!$D:$D, EVENTOS!$B:$B, D1255, EVENTOS!$E:$E, "*GirMed*")</f>
        <v>0</v>
      </c>
      <c r="AA1255" s="3">
        <f>SUMIFS(EVENTOS!$D:$D, EVENTOS!$B:$B, D1255, EVENTOS!$E:$E, "*GirBajo*")</f>
        <v>0</v>
      </c>
      <c r="AB1255" s="3">
        <f>IFERROR(INDEX(EVENTOS!$D:$D,MATCH(SCORE!AB$2&amp;" "&amp;SCORE!$D1255,EVENTOS!$F:$F,0)),0)</f>
        <v>0</v>
      </c>
      <c r="AC1255" s="3">
        <f>IFERROR(INDEX(EVENTOS!$D:$D,MATCH(SCORE!AC$2&amp;" "&amp;SCORE!$D1255,EVENTOS!$F:$F,0)),0)</f>
        <v>0</v>
      </c>
      <c r="AD1255" s="3">
        <f>IFERROR(INDEX(EVENTOS!$D:$D,MATCH(SCORE!AD$2&amp;" "&amp;SCORE!$D1255,EVENTOS!$F:$F,0)),0)</f>
        <v>0</v>
      </c>
      <c r="AE1255" s="3">
        <f t="shared" si="57"/>
        <v>0</v>
      </c>
      <c r="AF1255" s="10" t="e">
        <f t="shared" si="58"/>
        <v>#N/A</v>
      </c>
      <c r="AG1255" s="3" t="str">
        <f t="shared" si="59"/>
        <v/>
      </c>
    </row>
    <row r="1256" spans="1:33" x14ac:dyDescent="0.25">
      <c r="A1256" s="7"/>
      <c r="B1256" s="8"/>
      <c r="C1256" s="3"/>
      <c r="D1256" s="3"/>
      <c r="E1256" s="3" t="e">
        <f>VLOOKUP(D1256,VIAJES!$D:$E,2,FALSE)</f>
        <v>#N/A</v>
      </c>
      <c r="F1256" s="9" t="e">
        <f>VLOOKUP(D1256,VIAJES!$D:$F,3,FALSE)</f>
        <v>#N/A</v>
      </c>
      <c r="G1256" s="9" t="e">
        <f>VLOOKUP(D1256,VIAJES!$D:$G,4,FALSE)</f>
        <v>#N/A</v>
      </c>
      <c r="H1256" s="3" t="e">
        <f>VLOOKUP(D1256,VIAJES!$D:$H,5,FALSE)</f>
        <v>#N/A</v>
      </c>
      <c r="S1256" s="3">
        <f>IFERROR(INDEX(EVENTOS!$D:$D,MATCH(SCORE!S$2&amp;" "&amp;SCORE!$D1256,EVENTOS!$F:$F,0)),0)</f>
        <v>0</v>
      </c>
      <c r="T1256" s="3">
        <f>IFERROR(INDEX(EVENTOS!$D:$D,MATCH(SCORE!T$2&amp;" "&amp;SCORE!$D1256,EVENTOS!$F:$F,0)),0)</f>
        <v>0</v>
      </c>
      <c r="U1256" s="3">
        <f>IFERROR(INDEX(EVENTOS!$D:$D,MATCH(SCORE!U$2&amp;" "&amp;SCORE!$D1256,EVENTOS!$F:$F,0)),0)</f>
        <v>0</v>
      </c>
      <c r="V1256" s="3">
        <f>IFERROR(INDEX(EVENTOS!$D:$D,MATCH(SCORE!V$2&amp;" "&amp;SCORE!$D1256,EVENTOS!$F:$F,0)),0)</f>
        <v>0</v>
      </c>
      <c r="W1256" s="3">
        <f>IFERROR(INDEX(EVENTOS!$D:$D,MATCH(SCORE!W$2&amp;" "&amp;SCORE!$D1256,EVENTOS!$F:$F,0)),0)</f>
        <v>0</v>
      </c>
      <c r="X1256" s="3">
        <f>IFERROR(INDEX(EVENTOS!$D:$D,MATCH(SCORE!X$2&amp;" "&amp;SCORE!$D1256,EVENTOS!$F:$F,0)),0)</f>
        <v>0</v>
      </c>
      <c r="Y1256" s="3">
        <f>SUMIFS(EVENTOS!$D:$D, EVENTOS!$B:$B, D1256, EVENTOS!$E:$E, "*GirAlto*")</f>
        <v>0</v>
      </c>
      <c r="Z1256" s="3">
        <f>SUMIFS(EVENTOS!$D:$D, EVENTOS!$B:$B, D1256, EVENTOS!$E:$E, "*GirMed*")</f>
        <v>0</v>
      </c>
      <c r="AA1256" s="3">
        <f>SUMIFS(EVENTOS!$D:$D, EVENTOS!$B:$B, D1256, EVENTOS!$E:$E, "*GirBajo*")</f>
        <v>0</v>
      </c>
      <c r="AB1256" s="3">
        <f>IFERROR(INDEX(EVENTOS!$D:$D,MATCH(SCORE!AB$2&amp;" "&amp;SCORE!$D1256,EVENTOS!$F:$F,0)),0)</f>
        <v>0</v>
      </c>
      <c r="AC1256" s="3">
        <f>IFERROR(INDEX(EVENTOS!$D:$D,MATCH(SCORE!AC$2&amp;" "&amp;SCORE!$D1256,EVENTOS!$F:$F,0)),0)</f>
        <v>0</v>
      </c>
      <c r="AD1256" s="3">
        <f>IFERROR(INDEX(EVENTOS!$D:$D,MATCH(SCORE!AD$2&amp;" "&amp;SCORE!$D1256,EVENTOS!$F:$F,0)),0)</f>
        <v>0</v>
      </c>
      <c r="AE1256" s="3">
        <f t="shared" si="57"/>
        <v>0</v>
      </c>
      <c r="AF1256" s="10" t="e">
        <f t="shared" si="58"/>
        <v>#N/A</v>
      </c>
      <c r="AG1256" s="3" t="str">
        <f t="shared" si="59"/>
        <v/>
      </c>
    </row>
    <row r="1257" spans="1:33" x14ac:dyDescent="0.25">
      <c r="A1257" s="7"/>
      <c r="B1257" s="8"/>
      <c r="C1257" s="3"/>
      <c r="D1257" s="3"/>
      <c r="E1257" s="3" t="e">
        <f>VLOOKUP(D1257,VIAJES!$D:$E,2,FALSE)</f>
        <v>#N/A</v>
      </c>
      <c r="F1257" s="9" t="e">
        <f>VLOOKUP(D1257,VIAJES!$D:$F,3,FALSE)</f>
        <v>#N/A</v>
      </c>
      <c r="G1257" s="9" t="e">
        <f>VLOOKUP(D1257,VIAJES!$D:$G,4,FALSE)</f>
        <v>#N/A</v>
      </c>
      <c r="H1257" s="3" t="e">
        <f>VLOOKUP(D1257,VIAJES!$D:$H,5,FALSE)</f>
        <v>#N/A</v>
      </c>
      <c r="S1257" s="3">
        <f>IFERROR(INDEX(EVENTOS!$D:$D,MATCH(SCORE!S$2&amp;" "&amp;SCORE!$D1257,EVENTOS!$F:$F,0)),0)</f>
        <v>0</v>
      </c>
      <c r="T1257" s="3">
        <f>IFERROR(INDEX(EVENTOS!$D:$D,MATCH(SCORE!T$2&amp;" "&amp;SCORE!$D1257,EVENTOS!$F:$F,0)),0)</f>
        <v>0</v>
      </c>
      <c r="U1257" s="3">
        <f>IFERROR(INDEX(EVENTOS!$D:$D,MATCH(SCORE!U$2&amp;" "&amp;SCORE!$D1257,EVENTOS!$F:$F,0)),0)</f>
        <v>0</v>
      </c>
      <c r="V1257" s="3">
        <f>IFERROR(INDEX(EVENTOS!$D:$D,MATCH(SCORE!V$2&amp;" "&amp;SCORE!$D1257,EVENTOS!$F:$F,0)),0)</f>
        <v>0</v>
      </c>
      <c r="W1257" s="3">
        <f>IFERROR(INDEX(EVENTOS!$D:$D,MATCH(SCORE!W$2&amp;" "&amp;SCORE!$D1257,EVENTOS!$F:$F,0)),0)</f>
        <v>0</v>
      </c>
      <c r="X1257" s="3">
        <f>IFERROR(INDEX(EVENTOS!$D:$D,MATCH(SCORE!X$2&amp;" "&amp;SCORE!$D1257,EVENTOS!$F:$F,0)),0)</f>
        <v>0</v>
      </c>
      <c r="Y1257" s="3">
        <f>SUMIFS(EVENTOS!$D:$D, EVENTOS!$B:$B, D1257, EVENTOS!$E:$E, "*GirAlto*")</f>
        <v>0</v>
      </c>
      <c r="Z1257" s="3">
        <f>SUMIFS(EVENTOS!$D:$D, EVENTOS!$B:$B, D1257, EVENTOS!$E:$E, "*GirMed*")</f>
        <v>0</v>
      </c>
      <c r="AA1257" s="3">
        <f>SUMIFS(EVENTOS!$D:$D, EVENTOS!$B:$B, D1257, EVENTOS!$E:$E, "*GirBajo*")</f>
        <v>0</v>
      </c>
      <c r="AB1257" s="3">
        <f>IFERROR(INDEX(EVENTOS!$D:$D,MATCH(SCORE!AB$2&amp;" "&amp;SCORE!$D1257,EVENTOS!$F:$F,0)),0)</f>
        <v>0</v>
      </c>
      <c r="AC1257" s="3">
        <f>IFERROR(INDEX(EVENTOS!$D:$D,MATCH(SCORE!AC$2&amp;" "&amp;SCORE!$D1257,EVENTOS!$F:$F,0)),0)</f>
        <v>0</v>
      </c>
      <c r="AD1257" s="3">
        <f>IFERROR(INDEX(EVENTOS!$D:$D,MATCH(SCORE!AD$2&amp;" "&amp;SCORE!$D1257,EVENTOS!$F:$F,0)),0)</f>
        <v>0</v>
      </c>
      <c r="AE1257" s="3">
        <f t="shared" si="57"/>
        <v>0</v>
      </c>
      <c r="AF1257" s="10" t="e">
        <f t="shared" si="58"/>
        <v>#N/A</v>
      </c>
      <c r="AG1257" s="3" t="str">
        <f t="shared" si="59"/>
        <v/>
      </c>
    </row>
    <row r="1258" spans="1:33" x14ac:dyDescent="0.25">
      <c r="A1258" s="7"/>
      <c r="B1258" s="8"/>
      <c r="C1258" s="3"/>
      <c r="D1258" s="3"/>
      <c r="E1258" s="3" t="e">
        <f>VLOOKUP(D1258,VIAJES!$D:$E,2,FALSE)</f>
        <v>#N/A</v>
      </c>
      <c r="F1258" s="9" t="e">
        <f>VLOOKUP(D1258,VIAJES!$D:$F,3,FALSE)</f>
        <v>#N/A</v>
      </c>
      <c r="G1258" s="9" t="e">
        <f>VLOOKUP(D1258,VIAJES!$D:$G,4,FALSE)</f>
        <v>#N/A</v>
      </c>
      <c r="H1258" s="3" t="e">
        <f>VLOOKUP(D1258,VIAJES!$D:$H,5,FALSE)</f>
        <v>#N/A</v>
      </c>
      <c r="S1258" s="3">
        <f>IFERROR(INDEX(EVENTOS!$D:$D,MATCH(SCORE!S$2&amp;" "&amp;SCORE!$D1258,EVENTOS!$F:$F,0)),0)</f>
        <v>0</v>
      </c>
      <c r="T1258" s="3">
        <f>IFERROR(INDEX(EVENTOS!$D:$D,MATCH(SCORE!T$2&amp;" "&amp;SCORE!$D1258,EVENTOS!$F:$F,0)),0)</f>
        <v>0</v>
      </c>
      <c r="U1258" s="3">
        <f>IFERROR(INDEX(EVENTOS!$D:$D,MATCH(SCORE!U$2&amp;" "&amp;SCORE!$D1258,EVENTOS!$F:$F,0)),0)</f>
        <v>0</v>
      </c>
      <c r="V1258" s="3">
        <f>IFERROR(INDEX(EVENTOS!$D:$D,MATCH(SCORE!V$2&amp;" "&amp;SCORE!$D1258,EVENTOS!$F:$F,0)),0)</f>
        <v>0</v>
      </c>
      <c r="W1258" s="3">
        <f>IFERROR(INDEX(EVENTOS!$D:$D,MATCH(SCORE!W$2&amp;" "&amp;SCORE!$D1258,EVENTOS!$F:$F,0)),0)</f>
        <v>0</v>
      </c>
      <c r="X1258" s="3">
        <f>IFERROR(INDEX(EVENTOS!$D:$D,MATCH(SCORE!X$2&amp;" "&amp;SCORE!$D1258,EVENTOS!$F:$F,0)),0)</f>
        <v>0</v>
      </c>
      <c r="Y1258" s="3">
        <f>SUMIFS(EVENTOS!$D:$D, EVENTOS!$B:$B, D1258, EVENTOS!$E:$E, "*GirAlto*")</f>
        <v>0</v>
      </c>
      <c r="Z1258" s="3">
        <f>SUMIFS(EVENTOS!$D:$D, EVENTOS!$B:$B, D1258, EVENTOS!$E:$E, "*GirMed*")</f>
        <v>0</v>
      </c>
      <c r="AA1258" s="3">
        <f>SUMIFS(EVENTOS!$D:$D, EVENTOS!$B:$B, D1258, EVENTOS!$E:$E, "*GirBajo*")</f>
        <v>0</v>
      </c>
      <c r="AB1258" s="3">
        <f>IFERROR(INDEX(EVENTOS!$D:$D,MATCH(SCORE!AB$2&amp;" "&amp;SCORE!$D1258,EVENTOS!$F:$F,0)),0)</f>
        <v>0</v>
      </c>
      <c r="AC1258" s="3">
        <f>IFERROR(INDEX(EVENTOS!$D:$D,MATCH(SCORE!AC$2&amp;" "&amp;SCORE!$D1258,EVENTOS!$F:$F,0)),0)</f>
        <v>0</v>
      </c>
      <c r="AD1258" s="3">
        <f>IFERROR(INDEX(EVENTOS!$D:$D,MATCH(SCORE!AD$2&amp;" "&amp;SCORE!$D1258,EVENTOS!$F:$F,0)),0)</f>
        <v>0</v>
      </c>
      <c r="AE1258" s="3">
        <f t="shared" si="57"/>
        <v>0</v>
      </c>
      <c r="AF1258" s="10" t="e">
        <f t="shared" si="58"/>
        <v>#N/A</v>
      </c>
      <c r="AG1258" s="3" t="str">
        <f t="shared" si="59"/>
        <v/>
      </c>
    </row>
    <row r="1259" spans="1:33" x14ac:dyDescent="0.25">
      <c r="A1259" s="7"/>
      <c r="B1259" s="8"/>
      <c r="C1259" s="3"/>
      <c r="D1259" s="3"/>
      <c r="E1259" s="3" t="e">
        <f>VLOOKUP(D1259,VIAJES!$D:$E,2,FALSE)</f>
        <v>#N/A</v>
      </c>
      <c r="F1259" s="9" t="e">
        <f>VLOOKUP(D1259,VIAJES!$D:$F,3,FALSE)</f>
        <v>#N/A</v>
      </c>
      <c r="G1259" s="9" t="e">
        <f>VLOOKUP(D1259,VIAJES!$D:$G,4,FALSE)</f>
        <v>#N/A</v>
      </c>
      <c r="H1259" s="3" t="e">
        <f>VLOOKUP(D1259,VIAJES!$D:$H,5,FALSE)</f>
        <v>#N/A</v>
      </c>
      <c r="S1259" s="3">
        <f>IFERROR(INDEX(EVENTOS!$D:$D,MATCH(SCORE!S$2&amp;" "&amp;SCORE!$D1259,EVENTOS!$F:$F,0)),0)</f>
        <v>0</v>
      </c>
      <c r="T1259" s="3">
        <f>IFERROR(INDEX(EVENTOS!$D:$D,MATCH(SCORE!T$2&amp;" "&amp;SCORE!$D1259,EVENTOS!$F:$F,0)),0)</f>
        <v>0</v>
      </c>
      <c r="U1259" s="3">
        <f>IFERROR(INDEX(EVENTOS!$D:$D,MATCH(SCORE!U$2&amp;" "&amp;SCORE!$D1259,EVENTOS!$F:$F,0)),0)</f>
        <v>0</v>
      </c>
      <c r="V1259" s="3">
        <f>IFERROR(INDEX(EVENTOS!$D:$D,MATCH(SCORE!V$2&amp;" "&amp;SCORE!$D1259,EVENTOS!$F:$F,0)),0)</f>
        <v>0</v>
      </c>
      <c r="W1259" s="3">
        <f>IFERROR(INDEX(EVENTOS!$D:$D,MATCH(SCORE!W$2&amp;" "&amp;SCORE!$D1259,EVENTOS!$F:$F,0)),0)</f>
        <v>0</v>
      </c>
      <c r="X1259" s="3">
        <f>IFERROR(INDEX(EVENTOS!$D:$D,MATCH(SCORE!X$2&amp;" "&amp;SCORE!$D1259,EVENTOS!$F:$F,0)),0)</f>
        <v>0</v>
      </c>
      <c r="Y1259" s="3">
        <f>SUMIFS(EVENTOS!$D:$D, EVENTOS!$B:$B, D1259, EVENTOS!$E:$E, "*GirAlto*")</f>
        <v>0</v>
      </c>
      <c r="Z1259" s="3">
        <f>SUMIFS(EVENTOS!$D:$D, EVENTOS!$B:$B, D1259, EVENTOS!$E:$E, "*GirMed*")</f>
        <v>0</v>
      </c>
      <c r="AA1259" s="3">
        <f>SUMIFS(EVENTOS!$D:$D, EVENTOS!$B:$B, D1259, EVENTOS!$E:$E, "*GirBajo*")</f>
        <v>0</v>
      </c>
      <c r="AB1259" s="3">
        <f>IFERROR(INDEX(EVENTOS!$D:$D,MATCH(SCORE!AB$2&amp;" "&amp;SCORE!$D1259,EVENTOS!$F:$F,0)),0)</f>
        <v>0</v>
      </c>
      <c r="AC1259" s="3">
        <f>IFERROR(INDEX(EVENTOS!$D:$D,MATCH(SCORE!AC$2&amp;" "&amp;SCORE!$D1259,EVENTOS!$F:$F,0)),0)</f>
        <v>0</v>
      </c>
      <c r="AD1259" s="3">
        <f>IFERROR(INDEX(EVENTOS!$D:$D,MATCH(SCORE!AD$2&amp;" "&amp;SCORE!$D1259,EVENTOS!$F:$F,0)),0)</f>
        <v>0</v>
      </c>
      <c r="AE1259" s="3">
        <f t="shared" si="57"/>
        <v>0</v>
      </c>
      <c r="AF1259" s="10" t="e">
        <f t="shared" si="58"/>
        <v>#N/A</v>
      </c>
      <c r="AG1259" s="3" t="str">
        <f t="shared" si="59"/>
        <v/>
      </c>
    </row>
    <row r="1260" spans="1:33" x14ac:dyDescent="0.25">
      <c r="A1260" s="7"/>
      <c r="B1260" s="8"/>
      <c r="C1260" s="3"/>
      <c r="D1260" s="3"/>
      <c r="E1260" s="3" t="e">
        <f>VLOOKUP(D1260,VIAJES!$D:$E,2,FALSE)</f>
        <v>#N/A</v>
      </c>
      <c r="F1260" s="9" t="e">
        <f>VLOOKUP(D1260,VIAJES!$D:$F,3,FALSE)</f>
        <v>#N/A</v>
      </c>
      <c r="G1260" s="9" t="e">
        <f>VLOOKUP(D1260,VIAJES!$D:$G,4,FALSE)</f>
        <v>#N/A</v>
      </c>
      <c r="H1260" s="3" t="e">
        <f>VLOOKUP(D1260,VIAJES!$D:$H,5,FALSE)</f>
        <v>#N/A</v>
      </c>
      <c r="S1260" s="3">
        <f>IFERROR(INDEX(EVENTOS!$D:$D,MATCH(SCORE!S$2&amp;" "&amp;SCORE!$D1260,EVENTOS!$F:$F,0)),0)</f>
        <v>0</v>
      </c>
      <c r="T1260" s="3">
        <f>IFERROR(INDEX(EVENTOS!$D:$D,MATCH(SCORE!T$2&amp;" "&amp;SCORE!$D1260,EVENTOS!$F:$F,0)),0)</f>
        <v>0</v>
      </c>
      <c r="U1260" s="3">
        <f>IFERROR(INDEX(EVENTOS!$D:$D,MATCH(SCORE!U$2&amp;" "&amp;SCORE!$D1260,EVENTOS!$F:$F,0)),0)</f>
        <v>0</v>
      </c>
      <c r="V1260" s="3">
        <f>IFERROR(INDEX(EVENTOS!$D:$D,MATCH(SCORE!V$2&amp;" "&amp;SCORE!$D1260,EVENTOS!$F:$F,0)),0)</f>
        <v>0</v>
      </c>
      <c r="W1260" s="3">
        <f>IFERROR(INDEX(EVENTOS!$D:$D,MATCH(SCORE!W$2&amp;" "&amp;SCORE!$D1260,EVENTOS!$F:$F,0)),0)</f>
        <v>0</v>
      </c>
      <c r="X1260" s="3">
        <f>IFERROR(INDEX(EVENTOS!$D:$D,MATCH(SCORE!X$2&amp;" "&amp;SCORE!$D1260,EVENTOS!$F:$F,0)),0)</f>
        <v>0</v>
      </c>
      <c r="Y1260" s="3">
        <f>SUMIFS(EVENTOS!$D:$D, EVENTOS!$B:$B, D1260, EVENTOS!$E:$E, "*GirAlto*")</f>
        <v>0</v>
      </c>
      <c r="Z1260" s="3">
        <f>SUMIFS(EVENTOS!$D:$D, EVENTOS!$B:$B, D1260, EVENTOS!$E:$E, "*GirMed*")</f>
        <v>0</v>
      </c>
      <c r="AA1260" s="3">
        <f>SUMIFS(EVENTOS!$D:$D, EVENTOS!$B:$B, D1260, EVENTOS!$E:$E, "*GirBajo*")</f>
        <v>0</v>
      </c>
      <c r="AB1260" s="3">
        <f>IFERROR(INDEX(EVENTOS!$D:$D,MATCH(SCORE!AB$2&amp;" "&amp;SCORE!$D1260,EVENTOS!$F:$F,0)),0)</f>
        <v>0</v>
      </c>
      <c r="AC1260" s="3">
        <f>IFERROR(INDEX(EVENTOS!$D:$D,MATCH(SCORE!AC$2&amp;" "&amp;SCORE!$D1260,EVENTOS!$F:$F,0)),0)</f>
        <v>0</v>
      </c>
      <c r="AD1260" s="3">
        <f>IFERROR(INDEX(EVENTOS!$D:$D,MATCH(SCORE!AD$2&amp;" "&amp;SCORE!$D1260,EVENTOS!$F:$F,0)),0)</f>
        <v>0</v>
      </c>
      <c r="AE1260" s="3">
        <f t="shared" si="57"/>
        <v>0</v>
      </c>
      <c r="AF1260" s="10" t="e">
        <f t="shared" si="58"/>
        <v>#N/A</v>
      </c>
      <c r="AG1260" s="3" t="str">
        <f t="shared" si="59"/>
        <v/>
      </c>
    </row>
    <row r="1261" spans="1:33" x14ac:dyDescent="0.25">
      <c r="A1261" s="7"/>
      <c r="B1261" s="8"/>
      <c r="C1261" s="3"/>
      <c r="D1261" s="3"/>
      <c r="E1261" s="3" t="e">
        <f>VLOOKUP(D1261,VIAJES!$D:$E,2,FALSE)</f>
        <v>#N/A</v>
      </c>
      <c r="F1261" s="9" t="e">
        <f>VLOOKUP(D1261,VIAJES!$D:$F,3,FALSE)</f>
        <v>#N/A</v>
      </c>
      <c r="G1261" s="9" t="e">
        <f>VLOOKUP(D1261,VIAJES!$D:$G,4,FALSE)</f>
        <v>#N/A</v>
      </c>
      <c r="H1261" s="3" t="e">
        <f>VLOOKUP(D1261,VIAJES!$D:$H,5,FALSE)</f>
        <v>#N/A</v>
      </c>
      <c r="S1261" s="3">
        <f>IFERROR(INDEX(EVENTOS!$D:$D,MATCH(SCORE!S$2&amp;" "&amp;SCORE!$D1261,EVENTOS!$F:$F,0)),0)</f>
        <v>0</v>
      </c>
      <c r="T1261" s="3">
        <f>IFERROR(INDEX(EVENTOS!$D:$D,MATCH(SCORE!T$2&amp;" "&amp;SCORE!$D1261,EVENTOS!$F:$F,0)),0)</f>
        <v>0</v>
      </c>
      <c r="U1261" s="3">
        <f>IFERROR(INDEX(EVENTOS!$D:$D,MATCH(SCORE!U$2&amp;" "&amp;SCORE!$D1261,EVENTOS!$F:$F,0)),0)</f>
        <v>0</v>
      </c>
      <c r="V1261" s="3">
        <f>IFERROR(INDEX(EVENTOS!$D:$D,MATCH(SCORE!V$2&amp;" "&amp;SCORE!$D1261,EVENTOS!$F:$F,0)),0)</f>
        <v>0</v>
      </c>
      <c r="W1261" s="3">
        <f>IFERROR(INDEX(EVENTOS!$D:$D,MATCH(SCORE!W$2&amp;" "&amp;SCORE!$D1261,EVENTOS!$F:$F,0)),0)</f>
        <v>0</v>
      </c>
      <c r="X1261" s="3">
        <f>IFERROR(INDEX(EVENTOS!$D:$D,MATCH(SCORE!X$2&amp;" "&amp;SCORE!$D1261,EVENTOS!$F:$F,0)),0)</f>
        <v>0</v>
      </c>
      <c r="Y1261" s="3">
        <f>SUMIFS(EVENTOS!$D:$D, EVENTOS!$B:$B, D1261, EVENTOS!$E:$E, "*GirAlto*")</f>
        <v>0</v>
      </c>
      <c r="Z1261" s="3">
        <f>SUMIFS(EVENTOS!$D:$D, EVENTOS!$B:$B, D1261, EVENTOS!$E:$E, "*GirMed*")</f>
        <v>0</v>
      </c>
      <c r="AA1261" s="3">
        <f>SUMIFS(EVENTOS!$D:$D, EVENTOS!$B:$B, D1261, EVENTOS!$E:$E, "*GirBajo*")</f>
        <v>0</v>
      </c>
      <c r="AB1261" s="3">
        <f>IFERROR(INDEX(EVENTOS!$D:$D,MATCH(SCORE!AB$2&amp;" "&amp;SCORE!$D1261,EVENTOS!$F:$F,0)),0)</f>
        <v>0</v>
      </c>
      <c r="AC1261" s="3">
        <f>IFERROR(INDEX(EVENTOS!$D:$D,MATCH(SCORE!AC$2&amp;" "&amp;SCORE!$D1261,EVENTOS!$F:$F,0)),0)</f>
        <v>0</v>
      </c>
      <c r="AD1261" s="3">
        <f>IFERROR(INDEX(EVENTOS!$D:$D,MATCH(SCORE!AD$2&amp;" "&amp;SCORE!$D1261,EVENTOS!$F:$F,0)),0)</f>
        <v>0</v>
      </c>
      <c r="AE1261" s="3">
        <f t="shared" si="57"/>
        <v>0</v>
      </c>
      <c r="AF1261" s="10" t="e">
        <f t="shared" si="58"/>
        <v>#N/A</v>
      </c>
      <c r="AG1261" s="3" t="str">
        <f t="shared" si="59"/>
        <v/>
      </c>
    </row>
    <row r="1262" spans="1:33" x14ac:dyDescent="0.25">
      <c r="A1262" s="7"/>
      <c r="B1262" s="8"/>
      <c r="C1262" s="3"/>
      <c r="D1262" s="3"/>
      <c r="E1262" s="3" t="e">
        <f>VLOOKUP(D1262,VIAJES!$D:$E,2,FALSE)</f>
        <v>#N/A</v>
      </c>
      <c r="F1262" s="9" t="e">
        <f>VLOOKUP(D1262,VIAJES!$D:$F,3,FALSE)</f>
        <v>#N/A</v>
      </c>
      <c r="G1262" s="9" t="e">
        <f>VLOOKUP(D1262,VIAJES!$D:$G,4,FALSE)</f>
        <v>#N/A</v>
      </c>
      <c r="H1262" s="3" t="e">
        <f>VLOOKUP(D1262,VIAJES!$D:$H,5,FALSE)</f>
        <v>#N/A</v>
      </c>
      <c r="S1262" s="3">
        <f>IFERROR(INDEX(EVENTOS!$D:$D,MATCH(SCORE!S$2&amp;" "&amp;SCORE!$D1262,EVENTOS!$F:$F,0)),0)</f>
        <v>0</v>
      </c>
      <c r="T1262" s="3">
        <f>IFERROR(INDEX(EVENTOS!$D:$D,MATCH(SCORE!T$2&amp;" "&amp;SCORE!$D1262,EVENTOS!$F:$F,0)),0)</f>
        <v>0</v>
      </c>
      <c r="U1262" s="3">
        <f>IFERROR(INDEX(EVENTOS!$D:$D,MATCH(SCORE!U$2&amp;" "&amp;SCORE!$D1262,EVENTOS!$F:$F,0)),0)</f>
        <v>0</v>
      </c>
      <c r="V1262" s="3">
        <f>IFERROR(INDEX(EVENTOS!$D:$D,MATCH(SCORE!V$2&amp;" "&amp;SCORE!$D1262,EVENTOS!$F:$F,0)),0)</f>
        <v>0</v>
      </c>
      <c r="W1262" s="3">
        <f>IFERROR(INDEX(EVENTOS!$D:$D,MATCH(SCORE!W$2&amp;" "&amp;SCORE!$D1262,EVENTOS!$F:$F,0)),0)</f>
        <v>0</v>
      </c>
      <c r="X1262" s="3">
        <f>IFERROR(INDEX(EVENTOS!$D:$D,MATCH(SCORE!X$2&amp;" "&amp;SCORE!$D1262,EVENTOS!$F:$F,0)),0)</f>
        <v>0</v>
      </c>
      <c r="Y1262" s="3">
        <f>SUMIFS(EVENTOS!$D:$D, EVENTOS!$B:$B, D1262, EVENTOS!$E:$E, "*GirAlto*")</f>
        <v>0</v>
      </c>
      <c r="Z1262" s="3">
        <f>SUMIFS(EVENTOS!$D:$D, EVENTOS!$B:$B, D1262, EVENTOS!$E:$E, "*GirMed*")</f>
        <v>0</v>
      </c>
      <c r="AA1262" s="3">
        <f>SUMIFS(EVENTOS!$D:$D, EVENTOS!$B:$B, D1262, EVENTOS!$E:$E, "*GirBajo*")</f>
        <v>0</v>
      </c>
      <c r="AB1262" s="3">
        <f>IFERROR(INDEX(EVENTOS!$D:$D,MATCH(SCORE!AB$2&amp;" "&amp;SCORE!$D1262,EVENTOS!$F:$F,0)),0)</f>
        <v>0</v>
      </c>
      <c r="AC1262" s="3">
        <f>IFERROR(INDEX(EVENTOS!$D:$D,MATCH(SCORE!AC$2&amp;" "&amp;SCORE!$D1262,EVENTOS!$F:$F,0)),0)</f>
        <v>0</v>
      </c>
      <c r="AD1262" s="3">
        <f>IFERROR(INDEX(EVENTOS!$D:$D,MATCH(SCORE!AD$2&amp;" "&amp;SCORE!$D1262,EVENTOS!$F:$F,0)),0)</f>
        <v>0</v>
      </c>
      <c r="AE1262" s="3">
        <f t="shared" si="57"/>
        <v>0</v>
      </c>
      <c r="AF1262" s="10" t="e">
        <f t="shared" si="58"/>
        <v>#N/A</v>
      </c>
      <c r="AG1262" s="3" t="str">
        <f t="shared" si="59"/>
        <v/>
      </c>
    </row>
    <row r="1263" spans="1:33" x14ac:dyDescent="0.25">
      <c r="A1263" s="7"/>
      <c r="B1263" s="8"/>
      <c r="C1263" s="3"/>
      <c r="D1263" s="3"/>
      <c r="E1263" s="3" t="e">
        <f>VLOOKUP(D1263,VIAJES!$D:$E,2,FALSE)</f>
        <v>#N/A</v>
      </c>
      <c r="F1263" s="9" t="e">
        <f>VLOOKUP(D1263,VIAJES!$D:$F,3,FALSE)</f>
        <v>#N/A</v>
      </c>
      <c r="G1263" s="9" t="e">
        <f>VLOOKUP(D1263,VIAJES!$D:$G,4,FALSE)</f>
        <v>#N/A</v>
      </c>
      <c r="H1263" s="3" t="e">
        <f>VLOOKUP(D1263,VIAJES!$D:$H,5,FALSE)</f>
        <v>#N/A</v>
      </c>
      <c r="S1263" s="3">
        <f>IFERROR(INDEX(EVENTOS!$D:$D,MATCH(SCORE!S$2&amp;" "&amp;SCORE!$D1263,EVENTOS!$F:$F,0)),0)</f>
        <v>0</v>
      </c>
      <c r="T1263" s="3">
        <f>IFERROR(INDEX(EVENTOS!$D:$D,MATCH(SCORE!T$2&amp;" "&amp;SCORE!$D1263,EVENTOS!$F:$F,0)),0)</f>
        <v>0</v>
      </c>
      <c r="U1263" s="3">
        <f>IFERROR(INDEX(EVENTOS!$D:$D,MATCH(SCORE!U$2&amp;" "&amp;SCORE!$D1263,EVENTOS!$F:$F,0)),0)</f>
        <v>0</v>
      </c>
      <c r="V1263" s="3">
        <f>IFERROR(INDEX(EVENTOS!$D:$D,MATCH(SCORE!V$2&amp;" "&amp;SCORE!$D1263,EVENTOS!$F:$F,0)),0)</f>
        <v>0</v>
      </c>
      <c r="W1263" s="3">
        <f>IFERROR(INDEX(EVENTOS!$D:$D,MATCH(SCORE!W$2&amp;" "&amp;SCORE!$D1263,EVENTOS!$F:$F,0)),0)</f>
        <v>0</v>
      </c>
      <c r="X1263" s="3">
        <f>IFERROR(INDEX(EVENTOS!$D:$D,MATCH(SCORE!X$2&amp;" "&amp;SCORE!$D1263,EVENTOS!$F:$F,0)),0)</f>
        <v>0</v>
      </c>
      <c r="Y1263" s="3">
        <f>SUMIFS(EVENTOS!$D:$D, EVENTOS!$B:$B, D1263, EVENTOS!$E:$E, "*GirAlto*")</f>
        <v>0</v>
      </c>
      <c r="Z1263" s="3">
        <f>SUMIFS(EVENTOS!$D:$D, EVENTOS!$B:$B, D1263, EVENTOS!$E:$E, "*GirMed*")</f>
        <v>0</v>
      </c>
      <c r="AA1263" s="3">
        <f>SUMIFS(EVENTOS!$D:$D, EVENTOS!$B:$B, D1263, EVENTOS!$E:$E, "*GirBajo*")</f>
        <v>0</v>
      </c>
      <c r="AB1263" s="3">
        <f>IFERROR(INDEX(EVENTOS!$D:$D,MATCH(SCORE!AB$2&amp;" "&amp;SCORE!$D1263,EVENTOS!$F:$F,0)),0)</f>
        <v>0</v>
      </c>
      <c r="AC1263" s="3">
        <f>IFERROR(INDEX(EVENTOS!$D:$D,MATCH(SCORE!AC$2&amp;" "&amp;SCORE!$D1263,EVENTOS!$F:$F,0)),0)</f>
        <v>0</v>
      </c>
      <c r="AD1263" s="3">
        <f>IFERROR(INDEX(EVENTOS!$D:$D,MATCH(SCORE!AD$2&amp;" "&amp;SCORE!$D1263,EVENTOS!$F:$F,0)),0)</f>
        <v>0</v>
      </c>
      <c r="AE1263" s="3">
        <f t="shared" si="57"/>
        <v>0</v>
      </c>
      <c r="AF1263" s="10" t="e">
        <f t="shared" si="58"/>
        <v>#N/A</v>
      </c>
      <c r="AG1263" s="3" t="str">
        <f t="shared" si="59"/>
        <v/>
      </c>
    </row>
    <row r="1264" spans="1:33" x14ac:dyDescent="0.25">
      <c r="A1264" s="7"/>
      <c r="B1264" s="8"/>
      <c r="C1264" s="3"/>
      <c r="D1264" s="3"/>
      <c r="E1264" s="3" t="e">
        <f>VLOOKUP(D1264,VIAJES!$D:$E,2,FALSE)</f>
        <v>#N/A</v>
      </c>
      <c r="F1264" s="9" t="e">
        <f>VLOOKUP(D1264,VIAJES!$D:$F,3,FALSE)</f>
        <v>#N/A</v>
      </c>
      <c r="G1264" s="9" t="e">
        <f>VLOOKUP(D1264,VIAJES!$D:$G,4,FALSE)</f>
        <v>#N/A</v>
      </c>
      <c r="H1264" s="3" t="e">
        <f>VLOOKUP(D1264,VIAJES!$D:$H,5,FALSE)</f>
        <v>#N/A</v>
      </c>
      <c r="S1264" s="3">
        <f>IFERROR(INDEX(EVENTOS!$D:$D,MATCH(SCORE!S$2&amp;" "&amp;SCORE!$D1264,EVENTOS!$F:$F,0)),0)</f>
        <v>0</v>
      </c>
      <c r="T1264" s="3">
        <f>IFERROR(INDEX(EVENTOS!$D:$D,MATCH(SCORE!T$2&amp;" "&amp;SCORE!$D1264,EVENTOS!$F:$F,0)),0)</f>
        <v>0</v>
      </c>
      <c r="U1264" s="3">
        <f>IFERROR(INDEX(EVENTOS!$D:$D,MATCH(SCORE!U$2&amp;" "&amp;SCORE!$D1264,EVENTOS!$F:$F,0)),0)</f>
        <v>0</v>
      </c>
      <c r="V1264" s="3">
        <f>IFERROR(INDEX(EVENTOS!$D:$D,MATCH(SCORE!V$2&amp;" "&amp;SCORE!$D1264,EVENTOS!$F:$F,0)),0)</f>
        <v>0</v>
      </c>
      <c r="W1264" s="3">
        <f>IFERROR(INDEX(EVENTOS!$D:$D,MATCH(SCORE!W$2&amp;" "&amp;SCORE!$D1264,EVENTOS!$F:$F,0)),0)</f>
        <v>0</v>
      </c>
      <c r="X1264" s="3">
        <f>IFERROR(INDEX(EVENTOS!$D:$D,MATCH(SCORE!X$2&amp;" "&amp;SCORE!$D1264,EVENTOS!$F:$F,0)),0)</f>
        <v>0</v>
      </c>
      <c r="Y1264" s="3">
        <f>SUMIFS(EVENTOS!$D:$D, EVENTOS!$B:$B, D1264, EVENTOS!$E:$E, "*GirAlto*")</f>
        <v>0</v>
      </c>
      <c r="Z1264" s="3">
        <f>SUMIFS(EVENTOS!$D:$D, EVENTOS!$B:$B, D1264, EVENTOS!$E:$E, "*GirMed*")</f>
        <v>0</v>
      </c>
      <c r="AA1264" s="3">
        <f>SUMIFS(EVENTOS!$D:$D, EVENTOS!$B:$B, D1264, EVENTOS!$E:$E, "*GirBajo*")</f>
        <v>0</v>
      </c>
      <c r="AB1264" s="3">
        <f>IFERROR(INDEX(EVENTOS!$D:$D,MATCH(SCORE!AB$2&amp;" "&amp;SCORE!$D1264,EVENTOS!$F:$F,0)),0)</f>
        <v>0</v>
      </c>
      <c r="AC1264" s="3">
        <f>IFERROR(INDEX(EVENTOS!$D:$D,MATCH(SCORE!AC$2&amp;" "&amp;SCORE!$D1264,EVENTOS!$F:$F,0)),0)</f>
        <v>0</v>
      </c>
      <c r="AD1264" s="3">
        <f>IFERROR(INDEX(EVENTOS!$D:$D,MATCH(SCORE!AD$2&amp;" "&amp;SCORE!$D1264,EVENTOS!$F:$F,0)),0)</f>
        <v>0</v>
      </c>
      <c r="AE1264" s="3">
        <f t="shared" si="57"/>
        <v>0</v>
      </c>
      <c r="AF1264" s="10" t="e">
        <f t="shared" si="58"/>
        <v>#N/A</v>
      </c>
      <c r="AG1264" s="3" t="str">
        <f t="shared" si="59"/>
        <v/>
      </c>
    </row>
    <row r="1265" spans="1:33" x14ac:dyDescent="0.25">
      <c r="A1265" s="7"/>
      <c r="B1265" s="8"/>
      <c r="C1265" s="3"/>
      <c r="D1265" s="3"/>
      <c r="E1265" s="3" t="e">
        <f>VLOOKUP(D1265,VIAJES!$D:$E,2,FALSE)</f>
        <v>#N/A</v>
      </c>
      <c r="F1265" s="9" t="e">
        <f>VLOOKUP(D1265,VIAJES!$D:$F,3,FALSE)</f>
        <v>#N/A</v>
      </c>
      <c r="G1265" s="9" t="e">
        <f>VLOOKUP(D1265,VIAJES!$D:$G,4,FALSE)</f>
        <v>#N/A</v>
      </c>
      <c r="H1265" s="3" t="e">
        <f>VLOOKUP(D1265,VIAJES!$D:$H,5,FALSE)</f>
        <v>#N/A</v>
      </c>
      <c r="S1265" s="3">
        <f>IFERROR(INDEX(EVENTOS!$D:$D,MATCH(SCORE!S$2&amp;" "&amp;SCORE!$D1265,EVENTOS!$F:$F,0)),0)</f>
        <v>0</v>
      </c>
      <c r="T1265" s="3">
        <f>IFERROR(INDEX(EVENTOS!$D:$D,MATCH(SCORE!T$2&amp;" "&amp;SCORE!$D1265,EVENTOS!$F:$F,0)),0)</f>
        <v>0</v>
      </c>
      <c r="U1265" s="3">
        <f>IFERROR(INDEX(EVENTOS!$D:$D,MATCH(SCORE!U$2&amp;" "&amp;SCORE!$D1265,EVENTOS!$F:$F,0)),0)</f>
        <v>0</v>
      </c>
      <c r="V1265" s="3">
        <f>IFERROR(INDEX(EVENTOS!$D:$D,MATCH(SCORE!V$2&amp;" "&amp;SCORE!$D1265,EVENTOS!$F:$F,0)),0)</f>
        <v>0</v>
      </c>
      <c r="W1265" s="3">
        <f>IFERROR(INDEX(EVENTOS!$D:$D,MATCH(SCORE!W$2&amp;" "&amp;SCORE!$D1265,EVENTOS!$F:$F,0)),0)</f>
        <v>0</v>
      </c>
      <c r="X1265" s="3">
        <f>IFERROR(INDEX(EVENTOS!$D:$D,MATCH(SCORE!X$2&amp;" "&amp;SCORE!$D1265,EVENTOS!$F:$F,0)),0)</f>
        <v>0</v>
      </c>
      <c r="Y1265" s="3">
        <f>SUMIFS(EVENTOS!$D:$D, EVENTOS!$B:$B, D1265, EVENTOS!$E:$E, "*GirAlto*")</f>
        <v>0</v>
      </c>
      <c r="Z1265" s="3">
        <f>SUMIFS(EVENTOS!$D:$D, EVENTOS!$B:$B, D1265, EVENTOS!$E:$E, "*GirMed*")</f>
        <v>0</v>
      </c>
      <c r="AA1265" s="3">
        <f>SUMIFS(EVENTOS!$D:$D, EVENTOS!$B:$B, D1265, EVENTOS!$E:$E, "*GirBajo*")</f>
        <v>0</v>
      </c>
      <c r="AB1265" s="3">
        <f>IFERROR(INDEX(EVENTOS!$D:$D,MATCH(SCORE!AB$2&amp;" "&amp;SCORE!$D1265,EVENTOS!$F:$F,0)),0)</f>
        <v>0</v>
      </c>
      <c r="AC1265" s="3">
        <f>IFERROR(INDEX(EVENTOS!$D:$D,MATCH(SCORE!AC$2&amp;" "&amp;SCORE!$D1265,EVENTOS!$F:$F,0)),0)</f>
        <v>0</v>
      </c>
      <c r="AD1265" s="3">
        <f>IFERROR(INDEX(EVENTOS!$D:$D,MATCH(SCORE!AD$2&amp;" "&amp;SCORE!$D1265,EVENTOS!$F:$F,0)),0)</f>
        <v>0</v>
      </c>
      <c r="AE1265" s="3">
        <f t="shared" si="57"/>
        <v>0</v>
      </c>
      <c r="AF1265" s="10" t="e">
        <f t="shared" si="58"/>
        <v>#N/A</v>
      </c>
      <c r="AG1265" s="3" t="str">
        <f t="shared" si="59"/>
        <v/>
      </c>
    </row>
    <row r="1266" spans="1:33" x14ac:dyDescent="0.25">
      <c r="A1266" s="7"/>
      <c r="B1266" s="8"/>
      <c r="C1266" s="3"/>
      <c r="D1266" s="3"/>
      <c r="E1266" s="3" t="e">
        <f>VLOOKUP(D1266,VIAJES!$D:$E,2,FALSE)</f>
        <v>#N/A</v>
      </c>
      <c r="F1266" s="9" t="e">
        <f>VLOOKUP(D1266,VIAJES!$D:$F,3,FALSE)</f>
        <v>#N/A</v>
      </c>
      <c r="G1266" s="9" t="e">
        <f>VLOOKUP(D1266,VIAJES!$D:$G,4,FALSE)</f>
        <v>#N/A</v>
      </c>
      <c r="H1266" s="3" t="e">
        <f>VLOOKUP(D1266,VIAJES!$D:$H,5,FALSE)</f>
        <v>#N/A</v>
      </c>
      <c r="S1266" s="3">
        <f>IFERROR(INDEX(EVENTOS!$D:$D,MATCH(SCORE!S$2&amp;" "&amp;SCORE!$D1266,EVENTOS!$F:$F,0)),0)</f>
        <v>0</v>
      </c>
      <c r="T1266" s="3">
        <f>IFERROR(INDEX(EVENTOS!$D:$D,MATCH(SCORE!T$2&amp;" "&amp;SCORE!$D1266,EVENTOS!$F:$F,0)),0)</f>
        <v>0</v>
      </c>
      <c r="U1266" s="3">
        <f>IFERROR(INDEX(EVENTOS!$D:$D,MATCH(SCORE!U$2&amp;" "&amp;SCORE!$D1266,EVENTOS!$F:$F,0)),0)</f>
        <v>0</v>
      </c>
      <c r="V1266" s="3">
        <f>IFERROR(INDEX(EVENTOS!$D:$D,MATCH(SCORE!V$2&amp;" "&amp;SCORE!$D1266,EVENTOS!$F:$F,0)),0)</f>
        <v>0</v>
      </c>
      <c r="W1266" s="3">
        <f>IFERROR(INDEX(EVENTOS!$D:$D,MATCH(SCORE!W$2&amp;" "&amp;SCORE!$D1266,EVENTOS!$F:$F,0)),0)</f>
        <v>0</v>
      </c>
      <c r="X1266" s="3">
        <f>IFERROR(INDEX(EVENTOS!$D:$D,MATCH(SCORE!X$2&amp;" "&amp;SCORE!$D1266,EVENTOS!$F:$F,0)),0)</f>
        <v>0</v>
      </c>
      <c r="Y1266" s="3">
        <f>SUMIFS(EVENTOS!$D:$D, EVENTOS!$B:$B, D1266, EVENTOS!$E:$E, "*GirAlto*")</f>
        <v>0</v>
      </c>
      <c r="Z1266" s="3">
        <f>SUMIFS(EVENTOS!$D:$D, EVENTOS!$B:$B, D1266, EVENTOS!$E:$E, "*GirMed*")</f>
        <v>0</v>
      </c>
      <c r="AA1266" s="3">
        <f>SUMIFS(EVENTOS!$D:$D, EVENTOS!$B:$B, D1266, EVENTOS!$E:$E, "*GirBajo*")</f>
        <v>0</v>
      </c>
      <c r="AB1266" s="3">
        <f>IFERROR(INDEX(EVENTOS!$D:$D,MATCH(SCORE!AB$2&amp;" "&amp;SCORE!$D1266,EVENTOS!$F:$F,0)),0)</f>
        <v>0</v>
      </c>
      <c r="AC1266" s="3">
        <f>IFERROR(INDEX(EVENTOS!$D:$D,MATCH(SCORE!AC$2&amp;" "&amp;SCORE!$D1266,EVENTOS!$F:$F,0)),0)</f>
        <v>0</v>
      </c>
      <c r="AD1266" s="3">
        <f>IFERROR(INDEX(EVENTOS!$D:$D,MATCH(SCORE!AD$2&amp;" "&amp;SCORE!$D1266,EVENTOS!$F:$F,0)),0)</f>
        <v>0</v>
      </c>
      <c r="AE1266" s="3">
        <f t="shared" si="57"/>
        <v>0</v>
      </c>
      <c r="AF1266" s="10" t="e">
        <f t="shared" si="58"/>
        <v>#N/A</v>
      </c>
      <c r="AG1266" s="3" t="str">
        <f t="shared" si="59"/>
        <v/>
      </c>
    </row>
    <row r="1267" spans="1:33" x14ac:dyDescent="0.25">
      <c r="A1267" s="7"/>
      <c r="B1267" s="8"/>
      <c r="C1267" s="3"/>
      <c r="D1267" s="3"/>
      <c r="E1267" s="3" t="e">
        <f>VLOOKUP(D1267,VIAJES!$D:$E,2,FALSE)</f>
        <v>#N/A</v>
      </c>
      <c r="F1267" s="9" t="e">
        <f>VLOOKUP(D1267,VIAJES!$D:$F,3,FALSE)</f>
        <v>#N/A</v>
      </c>
      <c r="G1267" s="9" t="e">
        <f>VLOOKUP(D1267,VIAJES!$D:$G,4,FALSE)</f>
        <v>#N/A</v>
      </c>
      <c r="H1267" s="3" t="e">
        <f>VLOOKUP(D1267,VIAJES!$D:$H,5,FALSE)</f>
        <v>#N/A</v>
      </c>
      <c r="S1267" s="3">
        <f>IFERROR(INDEX(EVENTOS!$D:$D,MATCH(SCORE!S$2&amp;" "&amp;SCORE!$D1267,EVENTOS!$F:$F,0)),0)</f>
        <v>0</v>
      </c>
      <c r="T1267" s="3">
        <f>IFERROR(INDEX(EVENTOS!$D:$D,MATCH(SCORE!T$2&amp;" "&amp;SCORE!$D1267,EVENTOS!$F:$F,0)),0)</f>
        <v>0</v>
      </c>
      <c r="U1267" s="3">
        <f>IFERROR(INDEX(EVENTOS!$D:$D,MATCH(SCORE!U$2&amp;" "&amp;SCORE!$D1267,EVENTOS!$F:$F,0)),0)</f>
        <v>0</v>
      </c>
      <c r="V1267" s="3">
        <f>IFERROR(INDEX(EVENTOS!$D:$D,MATCH(SCORE!V$2&amp;" "&amp;SCORE!$D1267,EVENTOS!$F:$F,0)),0)</f>
        <v>0</v>
      </c>
      <c r="W1267" s="3">
        <f>IFERROR(INDEX(EVENTOS!$D:$D,MATCH(SCORE!W$2&amp;" "&amp;SCORE!$D1267,EVENTOS!$F:$F,0)),0)</f>
        <v>0</v>
      </c>
      <c r="X1267" s="3">
        <f>IFERROR(INDEX(EVENTOS!$D:$D,MATCH(SCORE!X$2&amp;" "&amp;SCORE!$D1267,EVENTOS!$F:$F,0)),0)</f>
        <v>0</v>
      </c>
      <c r="Y1267" s="3">
        <f>SUMIFS(EVENTOS!$D:$D, EVENTOS!$B:$B, D1267, EVENTOS!$E:$E, "*GirAlto*")</f>
        <v>0</v>
      </c>
      <c r="Z1267" s="3">
        <f>SUMIFS(EVENTOS!$D:$D, EVENTOS!$B:$B, D1267, EVENTOS!$E:$E, "*GirMed*")</f>
        <v>0</v>
      </c>
      <c r="AA1267" s="3">
        <f>SUMIFS(EVENTOS!$D:$D, EVENTOS!$B:$B, D1267, EVENTOS!$E:$E, "*GirBajo*")</f>
        <v>0</v>
      </c>
      <c r="AB1267" s="3">
        <f>IFERROR(INDEX(EVENTOS!$D:$D,MATCH(SCORE!AB$2&amp;" "&amp;SCORE!$D1267,EVENTOS!$F:$F,0)),0)</f>
        <v>0</v>
      </c>
      <c r="AC1267" s="3">
        <f>IFERROR(INDEX(EVENTOS!$D:$D,MATCH(SCORE!AC$2&amp;" "&amp;SCORE!$D1267,EVENTOS!$F:$F,0)),0)</f>
        <v>0</v>
      </c>
      <c r="AD1267" s="3">
        <f>IFERROR(INDEX(EVENTOS!$D:$D,MATCH(SCORE!AD$2&amp;" "&amp;SCORE!$D1267,EVENTOS!$F:$F,0)),0)</f>
        <v>0</v>
      </c>
      <c r="AE1267" s="3">
        <f t="shared" si="57"/>
        <v>0</v>
      </c>
      <c r="AF1267" s="10" t="e">
        <f t="shared" si="58"/>
        <v>#N/A</v>
      </c>
      <c r="AG1267" s="3" t="str">
        <f t="shared" si="59"/>
        <v/>
      </c>
    </row>
    <row r="1268" spans="1:33" x14ac:dyDescent="0.25">
      <c r="A1268" s="7"/>
      <c r="B1268" s="8"/>
      <c r="C1268" s="3"/>
      <c r="D1268" s="3"/>
      <c r="E1268" s="3" t="e">
        <f>VLOOKUP(D1268,VIAJES!$D:$E,2,FALSE)</f>
        <v>#N/A</v>
      </c>
      <c r="F1268" s="9" t="e">
        <f>VLOOKUP(D1268,VIAJES!$D:$F,3,FALSE)</f>
        <v>#N/A</v>
      </c>
      <c r="G1268" s="9" t="e">
        <f>VLOOKUP(D1268,VIAJES!$D:$G,4,FALSE)</f>
        <v>#N/A</v>
      </c>
      <c r="H1268" s="3" t="e">
        <f>VLOOKUP(D1268,VIAJES!$D:$H,5,FALSE)</f>
        <v>#N/A</v>
      </c>
      <c r="S1268" s="3">
        <f>IFERROR(INDEX(EVENTOS!$D:$D,MATCH(SCORE!S$2&amp;" "&amp;SCORE!$D1268,EVENTOS!$F:$F,0)),0)</f>
        <v>0</v>
      </c>
      <c r="T1268" s="3">
        <f>IFERROR(INDEX(EVENTOS!$D:$D,MATCH(SCORE!T$2&amp;" "&amp;SCORE!$D1268,EVENTOS!$F:$F,0)),0)</f>
        <v>0</v>
      </c>
      <c r="U1268" s="3">
        <f>IFERROR(INDEX(EVENTOS!$D:$D,MATCH(SCORE!U$2&amp;" "&amp;SCORE!$D1268,EVENTOS!$F:$F,0)),0)</f>
        <v>0</v>
      </c>
      <c r="V1268" s="3">
        <f>IFERROR(INDEX(EVENTOS!$D:$D,MATCH(SCORE!V$2&amp;" "&amp;SCORE!$D1268,EVENTOS!$F:$F,0)),0)</f>
        <v>0</v>
      </c>
      <c r="W1268" s="3">
        <f>IFERROR(INDEX(EVENTOS!$D:$D,MATCH(SCORE!W$2&amp;" "&amp;SCORE!$D1268,EVENTOS!$F:$F,0)),0)</f>
        <v>0</v>
      </c>
      <c r="X1268" s="3">
        <f>IFERROR(INDEX(EVENTOS!$D:$D,MATCH(SCORE!X$2&amp;" "&amp;SCORE!$D1268,EVENTOS!$F:$F,0)),0)</f>
        <v>0</v>
      </c>
      <c r="Y1268" s="3">
        <f>SUMIFS(EVENTOS!$D:$D, EVENTOS!$B:$B, D1268, EVENTOS!$E:$E, "*GirAlto*")</f>
        <v>0</v>
      </c>
      <c r="Z1268" s="3">
        <f>SUMIFS(EVENTOS!$D:$D, EVENTOS!$B:$B, D1268, EVENTOS!$E:$E, "*GirMed*")</f>
        <v>0</v>
      </c>
      <c r="AA1268" s="3">
        <f>SUMIFS(EVENTOS!$D:$D, EVENTOS!$B:$B, D1268, EVENTOS!$E:$E, "*GirBajo*")</f>
        <v>0</v>
      </c>
      <c r="AB1268" s="3">
        <f>IFERROR(INDEX(EVENTOS!$D:$D,MATCH(SCORE!AB$2&amp;" "&amp;SCORE!$D1268,EVENTOS!$F:$F,0)),0)</f>
        <v>0</v>
      </c>
      <c r="AC1268" s="3">
        <f>IFERROR(INDEX(EVENTOS!$D:$D,MATCH(SCORE!AC$2&amp;" "&amp;SCORE!$D1268,EVENTOS!$F:$F,0)),0)</f>
        <v>0</v>
      </c>
      <c r="AD1268" s="3">
        <f>IFERROR(INDEX(EVENTOS!$D:$D,MATCH(SCORE!AD$2&amp;" "&amp;SCORE!$D1268,EVENTOS!$F:$F,0)),0)</f>
        <v>0</v>
      </c>
      <c r="AE1268" s="3">
        <f t="shared" si="57"/>
        <v>0</v>
      </c>
      <c r="AF1268" s="10" t="e">
        <f t="shared" si="58"/>
        <v>#N/A</v>
      </c>
      <c r="AG1268" s="3" t="str">
        <f t="shared" si="59"/>
        <v/>
      </c>
    </row>
    <row r="1269" spans="1:33" x14ac:dyDescent="0.25">
      <c r="A1269" s="7"/>
      <c r="B1269" s="8"/>
      <c r="C1269" s="3"/>
      <c r="D1269" s="3"/>
      <c r="E1269" s="3" t="e">
        <f>VLOOKUP(D1269,VIAJES!$D:$E,2,FALSE)</f>
        <v>#N/A</v>
      </c>
      <c r="F1269" s="9" t="e">
        <f>VLOOKUP(D1269,VIAJES!$D:$F,3,FALSE)</f>
        <v>#N/A</v>
      </c>
      <c r="G1269" s="9" t="e">
        <f>VLOOKUP(D1269,VIAJES!$D:$G,4,FALSE)</f>
        <v>#N/A</v>
      </c>
      <c r="H1269" s="3" t="e">
        <f>VLOOKUP(D1269,VIAJES!$D:$H,5,FALSE)</f>
        <v>#N/A</v>
      </c>
      <c r="S1269" s="3">
        <f>IFERROR(INDEX(EVENTOS!$D:$D,MATCH(SCORE!S$2&amp;" "&amp;SCORE!$D1269,EVENTOS!$F:$F,0)),0)</f>
        <v>0</v>
      </c>
      <c r="T1269" s="3">
        <f>IFERROR(INDEX(EVENTOS!$D:$D,MATCH(SCORE!T$2&amp;" "&amp;SCORE!$D1269,EVENTOS!$F:$F,0)),0)</f>
        <v>0</v>
      </c>
      <c r="U1269" s="3">
        <f>IFERROR(INDEX(EVENTOS!$D:$D,MATCH(SCORE!U$2&amp;" "&amp;SCORE!$D1269,EVENTOS!$F:$F,0)),0)</f>
        <v>0</v>
      </c>
      <c r="V1269" s="3">
        <f>IFERROR(INDEX(EVENTOS!$D:$D,MATCH(SCORE!V$2&amp;" "&amp;SCORE!$D1269,EVENTOS!$F:$F,0)),0)</f>
        <v>0</v>
      </c>
      <c r="W1269" s="3">
        <f>IFERROR(INDEX(EVENTOS!$D:$D,MATCH(SCORE!W$2&amp;" "&amp;SCORE!$D1269,EVENTOS!$F:$F,0)),0)</f>
        <v>0</v>
      </c>
      <c r="X1269" s="3">
        <f>IFERROR(INDEX(EVENTOS!$D:$D,MATCH(SCORE!X$2&amp;" "&amp;SCORE!$D1269,EVENTOS!$F:$F,0)),0)</f>
        <v>0</v>
      </c>
      <c r="Y1269" s="3">
        <f>SUMIFS(EVENTOS!$D:$D, EVENTOS!$B:$B, D1269, EVENTOS!$E:$E, "*GirAlto*")</f>
        <v>0</v>
      </c>
      <c r="Z1269" s="3">
        <f>SUMIFS(EVENTOS!$D:$D, EVENTOS!$B:$B, D1269, EVENTOS!$E:$E, "*GirMed*")</f>
        <v>0</v>
      </c>
      <c r="AA1269" s="3">
        <f>SUMIFS(EVENTOS!$D:$D, EVENTOS!$B:$B, D1269, EVENTOS!$E:$E, "*GirBajo*")</f>
        <v>0</v>
      </c>
      <c r="AB1269" s="3">
        <f>IFERROR(INDEX(EVENTOS!$D:$D,MATCH(SCORE!AB$2&amp;" "&amp;SCORE!$D1269,EVENTOS!$F:$F,0)),0)</f>
        <v>0</v>
      </c>
      <c r="AC1269" s="3">
        <f>IFERROR(INDEX(EVENTOS!$D:$D,MATCH(SCORE!AC$2&amp;" "&amp;SCORE!$D1269,EVENTOS!$F:$F,0)),0)</f>
        <v>0</v>
      </c>
      <c r="AD1269" s="3">
        <f>IFERROR(INDEX(EVENTOS!$D:$D,MATCH(SCORE!AD$2&amp;" "&amp;SCORE!$D1269,EVENTOS!$F:$F,0)),0)</f>
        <v>0</v>
      </c>
      <c r="AE1269" s="3">
        <f t="shared" si="57"/>
        <v>0</v>
      </c>
      <c r="AF1269" s="10" t="e">
        <f t="shared" si="58"/>
        <v>#N/A</v>
      </c>
      <c r="AG1269" s="3" t="str">
        <f t="shared" si="59"/>
        <v/>
      </c>
    </row>
    <row r="1270" spans="1:33" x14ac:dyDescent="0.25">
      <c r="A1270" s="7"/>
      <c r="B1270" s="8"/>
      <c r="C1270" s="3"/>
      <c r="D1270" s="3"/>
      <c r="E1270" s="3" t="e">
        <f>VLOOKUP(D1270,VIAJES!$D:$E,2,FALSE)</f>
        <v>#N/A</v>
      </c>
      <c r="F1270" s="9" t="e">
        <f>VLOOKUP(D1270,VIAJES!$D:$F,3,FALSE)</f>
        <v>#N/A</v>
      </c>
      <c r="G1270" s="9" t="e">
        <f>VLOOKUP(D1270,VIAJES!$D:$G,4,FALSE)</f>
        <v>#N/A</v>
      </c>
      <c r="H1270" s="3" t="e">
        <f>VLOOKUP(D1270,VIAJES!$D:$H,5,FALSE)</f>
        <v>#N/A</v>
      </c>
      <c r="S1270" s="3">
        <f>IFERROR(INDEX(EVENTOS!$D:$D,MATCH(SCORE!S$2&amp;" "&amp;SCORE!$D1270,EVENTOS!$F:$F,0)),0)</f>
        <v>0</v>
      </c>
      <c r="T1270" s="3">
        <f>IFERROR(INDEX(EVENTOS!$D:$D,MATCH(SCORE!T$2&amp;" "&amp;SCORE!$D1270,EVENTOS!$F:$F,0)),0)</f>
        <v>0</v>
      </c>
      <c r="U1270" s="3">
        <f>IFERROR(INDEX(EVENTOS!$D:$D,MATCH(SCORE!U$2&amp;" "&amp;SCORE!$D1270,EVENTOS!$F:$F,0)),0)</f>
        <v>0</v>
      </c>
      <c r="V1270" s="3">
        <f>IFERROR(INDEX(EVENTOS!$D:$D,MATCH(SCORE!V$2&amp;" "&amp;SCORE!$D1270,EVENTOS!$F:$F,0)),0)</f>
        <v>0</v>
      </c>
      <c r="W1270" s="3">
        <f>IFERROR(INDEX(EVENTOS!$D:$D,MATCH(SCORE!W$2&amp;" "&amp;SCORE!$D1270,EVENTOS!$F:$F,0)),0)</f>
        <v>0</v>
      </c>
      <c r="X1270" s="3">
        <f>IFERROR(INDEX(EVENTOS!$D:$D,MATCH(SCORE!X$2&amp;" "&amp;SCORE!$D1270,EVENTOS!$F:$F,0)),0)</f>
        <v>0</v>
      </c>
      <c r="Y1270" s="3">
        <f>SUMIFS(EVENTOS!$D:$D, EVENTOS!$B:$B, D1270, EVENTOS!$E:$E, "*GirAlto*")</f>
        <v>0</v>
      </c>
      <c r="Z1270" s="3">
        <f>SUMIFS(EVENTOS!$D:$D, EVENTOS!$B:$B, D1270, EVENTOS!$E:$E, "*GirMed*")</f>
        <v>0</v>
      </c>
      <c r="AA1270" s="3">
        <f>SUMIFS(EVENTOS!$D:$D, EVENTOS!$B:$B, D1270, EVENTOS!$E:$E, "*GirBajo*")</f>
        <v>0</v>
      </c>
      <c r="AB1270" s="3">
        <f>IFERROR(INDEX(EVENTOS!$D:$D,MATCH(SCORE!AB$2&amp;" "&amp;SCORE!$D1270,EVENTOS!$F:$F,0)),0)</f>
        <v>0</v>
      </c>
      <c r="AC1270" s="3">
        <f>IFERROR(INDEX(EVENTOS!$D:$D,MATCH(SCORE!AC$2&amp;" "&amp;SCORE!$D1270,EVENTOS!$F:$F,0)),0)</f>
        <v>0</v>
      </c>
      <c r="AD1270" s="3">
        <f>IFERROR(INDEX(EVENTOS!$D:$D,MATCH(SCORE!AD$2&amp;" "&amp;SCORE!$D1270,EVENTOS!$F:$F,0)),0)</f>
        <v>0</v>
      </c>
      <c r="AE1270" s="3">
        <f t="shared" si="57"/>
        <v>0</v>
      </c>
      <c r="AF1270" s="10" t="e">
        <f t="shared" si="58"/>
        <v>#N/A</v>
      </c>
      <c r="AG1270" s="3" t="str">
        <f t="shared" si="59"/>
        <v/>
      </c>
    </row>
    <row r="1271" spans="1:33" x14ac:dyDescent="0.25">
      <c r="A1271" s="7"/>
      <c r="B1271" s="8"/>
      <c r="C1271" s="3"/>
      <c r="D1271" s="3"/>
      <c r="E1271" s="3" t="e">
        <f>VLOOKUP(D1271,VIAJES!$D:$E,2,FALSE)</f>
        <v>#N/A</v>
      </c>
      <c r="F1271" s="9" t="e">
        <f>VLOOKUP(D1271,VIAJES!$D:$F,3,FALSE)</f>
        <v>#N/A</v>
      </c>
      <c r="G1271" s="9" t="e">
        <f>VLOOKUP(D1271,VIAJES!$D:$G,4,FALSE)</f>
        <v>#N/A</v>
      </c>
      <c r="H1271" s="3" t="e">
        <f>VLOOKUP(D1271,VIAJES!$D:$H,5,FALSE)</f>
        <v>#N/A</v>
      </c>
      <c r="S1271" s="3">
        <f>IFERROR(INDEX(EVENTOS!$D:$D,MATCH(SCORE!S$2&amp;" "&amp;SCORE!$D1271,EVENTOS!$F:$F,0)),0)</f>
        <v>0</v>
      </c>
      <c r="T1271" s="3">
        <f>IFERROR(INDEX(EVENTOS!$D:$D,MATCH(SCORE!T$2&amp;" "&amp;SCORE!$D1271,EVENTOS!$F:$F,0)),0)</f>
        <v>0</v>
      </c>
      <c r="U1271" s="3">
        <f>IFERROR(INDEX(EVENTOS!$D:$D,MATCH(SCORE!U$2&amp;" "&amp;SCORE!$D1271,EVENTOS!$F:$F,0)),0)</f>
        <v>0</v>
      </c>
      <c r="V1271" s="3">
        <f>IFERROR(INDEX(EVENTOS!$D:$D,MATCH(SCORE!V$2&amp;" "&amp;SCORE!$D1271,EVENTOS!$F:$F,0)),0)</f>
        <v>0</v>
      </c>
      <c r="W1271" s="3">
        <f>IFERROR(INDEX(EVENTOS!$D:$D,MATCH(SCORE!W$2&amp;" "&amp;SCORE!$D1271,EVENTOS!$F:$F,0)),0)</f>
        <v>0</v>
      </c>
      <c r="X1271" s="3">
        <f>IFERROR(INDEX(EVENTOS!$D:$D,MATCH(SCORE!X$2&amp;" "&amp;SCORE!$D1271,EVENTOS!$F:$F,0)),0)</f>
        <v>0</v>
      </c>
      <c r="Y1271" s="3">
        <f>SUMIFS(EVENTOS!$D:$D, EVENTOS!$B:$B, D1271, EVENTOS!$E:$E, "*GirAlto*")</f>
        <v>0</v>
      </c>
      <c r="Z1271" s="3">
        <f>SUMIFS(EVENTOS!$D:$D, EVENTOS!$B:$B, D1271, EVENTOS!$E:$E, "*GirMed*")</f>
        <v>0</v>
      </c>
      <c r="AA1271" s="3">
        <f>SUMIFS(EVENTOS!$D:$D, EVENTOS!$B:$B, D1271, EVENTOS!$E:$E, "*GirBajo*")</f>
        <v>0</v>
      </c>
      <c r="AB1271" s="3">
        <f>IFERROR(INDEX(EVENTOS!$D:$D,MATCH(SCORE!AB$2&amp;" "&amp;SCORE!$D1271,EVENTOS!$F:$F,0)),0)</f>
        <v>0</v>
      </c>
      <c r="AC1271" s="3">
        <f>IFERROR(INDEX(EVENTOS!$D:$D,MATCH(SCORE!AC$2&amp;" "&amp;SCORE!$D1271,EVENTOS!$F:$F,0)),0)</f>
        <v>0</v>
      </c>
      <c r="AD1271" s="3">
        <f>IFERROR(INDEX(EVENTOS!$D:$D,MATCH(SCORE!AD$2&amp;" "&amp;SCORE!$D1271,EVENTOS!$F:$F,0)),0)</f>
        <v>0</v>
      </c>
      <c r="AE1271" s="3">
        <f t="shared" si="57"/>
        <v>0</v>
      </c>
      <c r="AF1271" s="10" t="e">
        <f t="shared" si="58"/>
        <v>#N/A</v>
      </c>
      <c r="AG1271" s="3" t="str">
        <f t="shared" si="59"/>
        <v/>
      </c>
    </row>
    <row r="1272" spans="1:33" x14ac:dyDescent="0.25">
      <c r="A1272" s="7"/>
      <c r="B1272" s="8"/>
      <c r="C1272" s="3"/>
      <c r="D1272" s="3"/>
      <c r="E1272" s="3" t="e">
        <f>VLOOKUP(D1272,VIAJES!$D:$E,2,FALSE)</f>
        <v>#N/A</v>
      </c>
      <c r="F1272" s="9" t="e">
        <f>VLOOKUP(D1272,VIAJES!$D:$F,3,FALSE)</f>
        <v>#N/A</v>
      </c>
      <c r="G1272" s="9" t="e">
        <f>VLOOKUP(D1272,VIAJES!$D:$G,4,FALSE)</f>
        <v>#N/A</v>
      </c>
      <c r="H1272" s="3" t="e">
        <f>VLOOKUP(D1272,VIAJES!$D:$H,5,FALSE)</f>
        <v>#N/A</v>
      </c>
      <c r="S1272" s="3">
        <f>IFERROR(INDEX(EVENTOS!$D:$D,MATCH(SCORE!S$2&amp;" "&amp;SCORE!$D1272,EVENTOS!$F:$F,0)),0)</f>
        <v>0</v>
      </c>
      <c r="T1272" s="3">
        <f>IFERROR(INDEX(EVENTOS!$D:$D,MATCH(SCORE!T$2&amp;" "&amp;SCORE!$D1272,EVENTOS!$F:$F,0)),0)</f>
        <v>0</v>
      </c>
      <c r="U1272" s="3">
        <f>IFERROR(INDEX(EVENTOS!$D:$D,MATCH(SCORE!U$2&amp;" "&amp;SCORE!$D1272,EVENTOS!$F:$F,0)),0)</f>
        <v>0</v>
      </c>
      <c r="V1272" s="3">
        <f>IFERROR(INDEX(EVENTOS!$D:$D,MATCH(SCORE!V$2&amp;" "&amp;SCORE!$D1272,EVENTOS!$F:$F,0)),0)</f>
        <v>0</v>
      </c>
      <c r="W1272" s="3">
        <f>IFERROR(INDEX(EVENTOS!$D:$D,MATCH(SCORE!W$2&amp;" "&amp;SCORE!$D1272,EVENTOS!$F:$F,0)),0)</f>
        <v>0</v>
      </c>
      <c r="X1272" s="3">
        <f>IFERROR(INDEX(EVENTOS!$D:$D,MATCH(SCORE!X$2&amp;" "&amp;SCORE!$D1272,EVENTOS!$F:$F,0)),0)</f>
        <v>0</v>
      </c>
      <c r="Y1272" s="3">
        <f>SUMIFS(EVENTOS!$D:$D, EVENTOS!$B:$B, D1272, EVENTOS!$E:$E, "*GirAlto*")</f>
        <v>0</v>
      </c>
      <c r="Z1272" s="3">
        <f>SUMIFS(EVENTOS!$D:$D, EVENTOS!$B:$B, D1272, EVENTOS!$E:$E, "*GirMed*")</f>
        <v>0</v>
      </c>
      <c r="AA1272" s="3">
        <f>SUMIFS(EVENTOS!$D:$D, EVENTOS!$B:$B, D1272, EVENTOS!$E:$E, "*GirBajo*")</f>
        <v>0</v>
      </c>
      <c r="AB1272" s="3">
        <f>IFERROR(INDEX(EVENTOS!$D:$D,MATCH(SCORE!AB$2&amp;" "&amp;SCORE!$D1272,EVENTOS!$F:$F,0)),0)</f>
        <v>0</v>
      </c>
      <c r="AC1272" s="3">
        <f>IFERROR(INDEX(EVENTOS!$D:$D,MATCH(SCORE!AC$2&amp;" "&amp;SCORE!$D1272,EVENTOS!$F:$F,0)),0)</f>
        <v>0</v>
      </c>
      <c r="AD1272" s="3">
        <f>IFERROR(INDEX(EVENTOS!$D:$D,MATCH(SCORE!AD$2&amp;" "&amp;SCORE!$D1272,EVENTOS!$F:$F,0)),0)</f>
        <v>0</v>
      </c>
      <c r="AE1272" s="3">
        <f t="shared" si="57"/>
        <v>0</v>
      </c>
      <c r="AF1272" s="10" t="e">
        <f t="shared" si="58"/>
        <v>#N/A</v>
      </c>
      <c r="AG1272" s="3" t="str">
        <f t="shared" si="59"/>
        <v/>
      </c>
    </row>
    <row r="1273" spans="1:33" x14ac:dyDescent="0.25">
      <c r="A1273" s="7"/>
      <c r="B1273" s="8"/>
      <c r="C1273" s="3"/>
      <c r="D1273" s="3"/>
      <c r="E1273" s="3" t="e">
        <f>VLOOKUP(D1273,VIAJES!$D:$E,2,FALSE)</f>
        <v>#N/A</v>
      </c>
      <c r="F1273" s="9" t="e">
        <f>VLOOKUP(D1273,VIAJES!$D:$F,3,FALSE)</f>
        <v>#N/A</v>
      </c>
      <c r="G1273" s="9" t="e">
        <f>VLOOKUP(D1273,VIAJES!$D:$G,4,FALSE)</f>
        <v>#N/A</v>
      </c>
      <c r="H1273" s="3" t="e">
        <f>VLOOKUP(D1273,VIAJES!$D:$H,5,FALSE)</f>
        <v>#N/A</v>
      </c>
      <c r="S1273" s="3">
        <f>IFERROR(INDEX(EVENTOS!$D:$D,MATCH(SCORE!S$2&amp;" "&amp;SCORE!$D1273,EVENTOS!$F:$F,0)),0)</f>
        <v>0</v>
      </c>
      <c r="T1273" s="3">
        <f>IFERROR(INDEX(EVENTOS!$D:$D,MATCH(SCORE!T$2&amp;" "&amp;SCORE!$D1273,EVENTOS!$F:$F,0)),0)</f>
        <v>0</v>
      </c>
      <c r="U1273" s="3">
        <f>IFERROR(INDEX(EVENTOS!$D:$D,MATCH(SCORE!U$2&amp;" "&amp;SCORE!$D1273,EVENTOS!$F:$F,0)),0)</f>
        <v>0</v>
      </c>
      <c r="V1273" s="3">
        <f>IFERROR(INDEX(EVENTOS!$D:$D,MATCH(SCORE!V$2&amp;" "&amp;SCORE!$D1273,EVENTOS!$F:$F,0)),0)</f>
        <v>0</v>
      </c>
      <c r="W1273" s="3">
        <f>IFERROR(INDEX(EVENTOS!$D:$D,MATCH(SCORE!W$2&amp;" "&amp;SCORE!$D1273,EVENTOS!$F:$F,0)),0)</f>
        <v>0</v>
      </c>
      <c r="X1273" s="3">
        <f>IFERROR(INDEX(EVENTOS!$D:$D,MATCH(SCORE!X$2&amp;" "&amp;SCORE!$D1273,EVENTOS!$F:$F,0)),0)</f>
        <v>0</v>
      </c>
      <c r="Y1273" s="3">
        <f>SUMIFS(EVENTOS!$D:$D, EVENTOS!$B:$B, D1273, EVENTOS!$E:$E, "*GirAlto*")</f>
        <v>0</v>
      </c>
      <c r="Z1273" s="3">
        <f>SUMIFS(EVENTOS!$D:$D, EVENTOS!$B:$B, D1273, EVENTOS!$E:$E, "*GirMed*")</f>
        <v>0</v>
      </c>
      <c r="AA1273" s="3">
        <f>SUMIFS(EVENTOS!$D:$D, EVENTOS!$B:$B, D1273, EVENTOS!$E:$E, "*GirBajo*")</f>
        <v>0</v>
      </c>
      <c r="AB1273" s="3">
        <f>IFERROR(INDEX(EVENTOS!$D:$D,MATCH(SCORE!AB$2&amp;" "&amp;SCORE!$D1273,EVENTOS!$F:$F,0)),0)</f>
        <v>0</v>
      </c>
      <c r="AC1273" s="3">
        <f>IFERROR(INDEX(EVENTOS!$D:$D,MATCH(SCORE!AC$2&amp;" "&amp;SCORE!$D1273,EVENTOS!$F:$F,0)),0)</f>
        <v>0</v>
      </c>
      <c r="AD1273" s="3">
        <f>IFERROR(INDEX(EVENTOS!$D:$D,MATCH(SCORE!AD$2&amp;" "&amp;SCORE!$D1273,EVENTOS!$F:$F,0)),0)</f>
        <v>0</v>
      </c>
      <c r="AE1273" s="3">
        <f t="shared" si="57"/>
        <v>0</v>
      </c>
      <c r="AF1273" s="10" t="e">
        <f t="shared" si="58"/>
        <v>#N/A</v>
      </c>
      <c r="AG1273" s="3" t="str">
        <f t="shared" si="59"/>
        <v/>
      </c>
    </row>
    <row r="1274" spans="1:33" x14ac:dyDescent="0.25">
      <c r="A1274" s="7"/>
      <c r="B1274" s="8"/>
      <c r="C1274" s="3"/>
      <c r="D1274" s="3"/>
      <c r="E1274" s="3" t="e">
        <f>VLOOKUP(D1274,VIAJES!$D:$E,2,FALSE)</f>
        <v>#N/A</v>
      </c>
      <c r="F1274" s="9" t="e">
        <f>VLOOKUP(D1274,VIAJES!$D:$F,3,FALSE)</f>
        <v>#N/A</v>
      </c>
      <c r="G1274" s="9" t="e">
        <f>VLOOKUP(D1274,VIAJES!$D:$G,4,FALSE)</f>
        <v>#N/A</v>
      </c>
      <c r="H1274" s="3" t="e">
        <f>VLOOKUP(D1274,VIAJES!$D:$H,5,FALSE)</f>
        <v>#N/A</v>
      </c>
      <c r="S1274" s="3">
        <f>IFERROR(INDEX(EVENTOS!$D:$D,MATCH(SCORE!S$2&amp;" "&amp;SCORE!$D1274,EVENTOS!$F:$F,0)),0)</f>
        <v>0</v>
      </c>
      <c r="T1274" s="3">
        <f>IFERROR(INDEX(EVENTOS!$D:$D,MATCH(SCORE!T$2&amp;" "&amp;SCORE!$D1274,EVENTOS!$F:$F,0)),0)</f>
        <v>0</v>
      </c>
      <c r="U1274" s="3">
        <f>IFERROR(INDEX(EVENTOS!$D:$D,MATCH(SCORE!U$2&amp;" "&amp;SCORE!$D1274,EVENTOS!$F:$F,0)),0)</f>
        <v>0</v>
      </c>
      <c r="V1274" s="3">
        <f>IFERROR(INDEX(EVENTOS!$D:$D,MATCH(SCORE!V$2&amp;" "&amp;SCORE!$D1274,EVENTOS!$F:$F,0)),0)</f>
        <v>0</v>
      </c>
      <c r="W1274" s="3">
        <f>IFERROR(INDEX(EVENTOS!$D:$D,MATCH(SCORE!W$2&amp;" "&amp;SCORE!$D1274,EVENTOS!$F:$F,0)),0)</f>
        <v>0</v>
      </c>
      <c r="X1274" s="3">
        <f>IFERROR(INDEX(EVENTOS!$D:$D,MATCH(SCORE!X$2&amp;" "&amp;SCORE!$D1274,EVENTOS!$F:$F,0)),0)</f>
        <v>0</v>
      </c>
      <c r="Y1274" s="3">
        <f>SUMIFS(EVENTOS!$D:$D, EVENTOS!$B:$B, D1274, EVENTOS!$E:$E, "*GirAlto*")</f>
        <v>0</v>
      </c>
      <c r="Z1274" s="3">
        <f>SUMIFS(EVENTOS!$D:$D, EVENTOS!$B:$B, D1274, EVENTOS!$E:$E, "*GirMed*")</f>
        <v>0</v>
      </c>
      <c r="AA1274" s="3">
        <f>SUMIFS(EVENTOS!$D:$D, EVENTOS!$B:$B, D1274, EVENTOS!$E:$E, "*GirBajo*")</f>
        <v>0</v>
      </c>
      <c r="AB1274" s="3">
        <f>IFERROR(INDEX(EVENTOS!$D:$D,MATCH(SCORE!AB$2&amp;" "&amp;SCORE!$D1274,EVENTOS!$F:$F,0)),0)</f>
        <v>0</v>
      </c>
      <c r="AC1274" s="3">
        <f>IFERROR(INDEX(EVENTOS!$D:$D,MATCH(SCORE!AC$2&amp;" "&amp;SCORE!$D1274,EVENTOS!$F:$F,0)),0)</f>
        <v>0</v>
      </c>
      <c r="AD1274" s="3">
        <f>IFERROR(INDEX(EVENTOS!$D:$D,MATCH(SCORE!AD$2&amp;" "&amp;SCORE!$D1274,EVENTOS!$F:$F,0)),0)</f>
        <v>0</v>
      </c>
      <c r="AE1274" s="3">
        <f t="shared" si="57"/>
        <v>0</v>
      </c>
      <c r="AF1274" s="10" t="e">
        <f t="shared" si="58"/>
        <v>#N/A</v>
      </c>
      <c r="AG1274" s="3" t="str">
        <f t="shared" si="59"/>
        <v/>
      </c>
    </row>
    <row r="1275" spans="1:33" x14ac:dyDescent="0.25">
      <c r="A1275" s="7"/>
      <c r="B1275" s="8"/>
      <c r="C1275" s="3"/>
      <c r="D1275" s="3"/>
      <c r="E1275" s="3" t="e">
        <f>VLOOKUP(D1275,VIAJES!$D:$E,2,FALSE)</f>
        <v>#N/A</v>
      </c>
      <c r="F1275" s="9" t="e">
        <f>VLOOKUP(D1275,VIAJES!$D:$F,3,FALSE)</f>
        <v>#N/A</v>
      </c>
      <c r="G1275" s="9" t="e">
        <f>VLOOKUP(D1275,VIAJES!$D:$G,4,FALSE)</f>
        <v>#N/A</v>
      </c>
      <c r="H1275" s="3" t="e">
        <f>VLOOKUP(D1275,VIAJES!$D:$H,5,FALSE)</f>
        <v>#N/A</v>
      </c>
      <c r="S1275" s="3">
        <f>IFERROR(INDEX(EVENTOS!$D:$D,MATCH(SCORE!S$2&amp;" "&amp;SCORE!$D1275,EVENTOS!$F:$F,0)),0)</f>
        <v>0</v>
      </c>
      <c r="T1275" s="3">
        <f>IFERROR(INDEX(EVENTOS!$D:$D,MATCH(SCORE!T$2&amp;" "&amp;SCORE!$D1275,EVENTOS!$F:$F,0)),0)</f>
        <v>0</v>
      </c>
      <c r="U1275" s="3">
        <f>IFERROR(INDEX(EVENTOS!$D:$D,MATCH(SCORE!U$2&amp;" "&amp;SCORE!$D1275,EVENTOS!$F:$F,0)),0)</f>
        <v>0</v>
      </c>
      <c r="V1275" s="3">
        <f>IFERROR(INDEX(EVENTOS!$D:$D,MATCH(SCORE!V$2&amp;" "&amp;SCORE!$D1275,EVENTOS!$F:$F,0)),0)</f>
        <v>0</v>
      </c>
      <c r="W1275" s="3">
        <f>IFERROR(INDEX(EVENTOS!$D:$D,MATCH(SCORE!W$2&amp;" "&amp;SCORE!$D1275,EVENTOS!$F:$F,0)),0)</f>
        <v>0</v>
      </c>
      <c r="X1275" s="3">
        <f>IFERROR(INDEX(EVENTOS!$D:$D,MATCH(SCORE!X$2&amp;" "&amp;SCORE!$D1275,EVENTOS!$F:$F,0)),0)</f>
        <v>0</v>
      </c>
      <c r="Y1275" s="3">
        <f>SUMIFS(EVENTOS!$D:$D, EVENTOS!$B:$B, D1275, EVENTOS!$E:$E, "*GirAlto*")</f>
        <v>0</v>
      </c>
      <c r="Z1275" s="3">
        <f>SUMIFS(EVENTOS!$D:$D, EVENTOS!$B:$B, D1275, EVENTOS!$E:$E, "*GirMed*")</f>
        <v>0</v>
      </c>
      <c r="AA1275" s="3">
        <f>SUMIFS(EVENTOS!$D:$D, EVENTOS!$B:$B, D1275, EVENTOS!$E:$E, "*GirBajo*")</f>
        <v>0</v>
      </c>
      <c r="AB1275" s="3">
        <f>IFERROR(INDEX(EVENTOS!$D:$D,MATCH(SCORE!AB$2&amp;" "&amp;SCORE!$D1275,EVENTOS!$F:$F,0)),0)</f>
        <v>0</v>
      </c>
      <c r="AC1275" s="3">
        <f>IFERROR(INDEX(EVENTOS!$D:$D,MATCH(SCORE!AC$2&amp;" "&amp;SCORE!$D1275,EVENTOS!$F:$F,0)),0)</f>
        <v>0</v>
      </c>
      <c r="AD1275" s="3">
        <f>IFERROR(INDEX(EVENTOS!$D:$D,MATCH(SCORE!AD$2&amp;" "&amp;SCORE!$D1275,EVENTOS!$F:$F,0)),0)</f>
        <v>0</v>
      </c>
      <c r="AE1275" s="3">
        <f t="shared" si="57"/>
        <v>0</v>
      </c>
      <c r="AF1275" s="10" t="e">
        <f t="shared" si="58"/>
        <v>#N/A</v>
      </c>
      <c r="AG1275" s="3" t="str">
        <f t="shared" si="59"/>
        <v/>
      </c>
    </row>
    <row r="1276" spans="1:33" x14ac:dyDescent="0.25">
      <c r="A1276" s="7"/>
      <c r="B1276" s="8"/>
      <c r="C1276" s="3"/>
      <c r="D1276" s="3"/>
      <c r="E1276" s="3" t="e">
        <f>VLOOKUP(D1276,VIAJES!$D:$E,2,FALSE)</f>
        <v>#N/A</v>
      </c>
      <c r="F1276" s="9" t="e">
        <f>VLOOKUP(D1276,VIAJES!$D:$F,3,FALSE)</f>
        <v>#N/A</v>
      </c>
      <c r="G1276" s="9" t="e">
        <f>VLOOKUP(D1276,VIAJES!$D:$G,4,FALSE)</f>
        <v>#N/A</v>
      </c>
      <c r="H1276" s="3" t="e">
        <f>VLOOKUP(D1276,VIAJES!$D:$H,5,FALSE)</f>
        <v>#N/A</v>
      </c>
      <c r="S1276" s="3">
        <f>IFERROR(INDEX(EVENTOS!$D:$D,MATCH(SCORE!S$2&amp;" "&amp;SCORE!$D1276,EVENTOS!$F:$F,0)),0)</f>
        <v>0</v>
      </c>
      <c r="T1276" s="3">
        <f>IFERROR(INDEX(EVENTOS!$D:$D,MATCH(SCORE!T$2&amp;" "&amp;SCORE!$D1276,EVENTOS!$F:$F,0)),0)</f>
        <v>0</v>
      </c>
      <c r="U1276" s="3">
        <f>IFERROR(INDEX(EVENTOS!$D:$D,MATCH(SCORE!U$2&amp;" "&amp;SCORE!$D1276,EVENTOS!$F:$F,0)),0)</f>
        <v>0</v>
      </c>
      <c r="V1276" s="3">
        <f>IFERROR(INDEX(EVENTOS!$D:$D,MATCH(SCORE!V$2&amp;" "&amp;SCORE!$D1276,EVENTOS!$F:$F,0)),0)</f>
        <v>0</v>
      </c>
      <c r="W1276" s="3">
        <f>IFERROR(INDEX(EVENTOS!$D:$D,MATCH(SCORE!W$2&amp;" "&amp;SCORE!$D1276,EVENTOS!$F:$F,0)),0)</f>
        <v>0</v>
      </c>
      <c r="X1276" s="3">
        <f>IFERROR(INDEX(EVENTOS!$D:$D,MATCH(SCORE!X$2&amp;" "&amp;SCORE!$D1276,EVENTOS!$F:$F,0)),0)</f>
        <v>0</v>
      </c>
      <c r="Y1276" s="3">
        <f>SUMIFS(EVENTOS!$D:$D, EVENTOS!$B:$B, D1276, EVENTOS!$E:$E, "*GirAlto*")</f>
        <v>0</v>
      </c>
      <c r="Z1276" s="3">
        <f>SUMIFS(EVENTOS!$D:$D, EVENTOS!$B:$B, D1276, EVENTOS!$E:$E, "*GirMed*")</f>
        <v>0</v>
      </c>
      <c r="AA1276" s="3">
        <f>SUMIFS(EVENTOS!$D:$D, EVENTOS!$B:$B, D1276, EVENTOS!$E:$E, "*GirBajo*")</f>
        <v>0</v>
      </c>
      <c r="AB1276" s="3">
        <f>IFERROR(INDEX(EVENTOS!$D:$D,MATCH(SCORE!AB$2&amp;" "&amp;SCORE!$D1276,EVENTOS!$F:$F,0)),0)</f>
        <v>0</v>
      </c>
      <c r="AC1276" s="3">
        <f>IFERROR(INDEX(EVENTOS!$D:$D,MATCH(SCORE!AC$2&amp;" "&amp;SCORE!$D1276,EVENTOS!$F:$F,0)),0)</f>
        <v>0</v>
      </c>
      <c r="AD1276" s="3">
        <f>IFERROR(INDEX(EVENTOS!$D:$D,MATCH(SCORE!AD$2&amp;" "&amp;SCORE!$D1276,EVENTOS!$F:$F,0)),0)</f>
        <v>0</v>
      </c>
      <c r="AE1276" s="3">
        <f t="shared" si="57"/>
        <v>0</v>
      </c>
      <c r="AF1276" s="10" t="e">
        <f t="shared" si="58"/>
        <v>#N/A</v>
      </c>
      <c r="AG1276" s="3" t="str">
        <f t="shared" si="59"/>
        <v/>
      </c>
    </row>
    <row r="1277" spans="1:33" x14ac:dyDescent="0.25">
      <c r="A1277" s="7"/>
      <c r="B1277" s="8"/>
      <c r="C1277" s="3"/>
      <c r="D1277" s="3"/>
      <c r="E1277" s="3" t="e">
        <f>VLOOKUP(D1277,VIAJES!$D:$E,2,FALSE)</f>
        <v>#N/A</v>
      </c>
      <c r="F1277" s="9" t="e">
        <f>VLOOKUP(D1277,VIAJES!$D:$F,3,FALSE)</f>
        <v>#N/A</v>
      </c>
      <c r="G1277" s="9" t="e">
        <f>VLOOKUP(D1277,VIAJES!$D:$G,4,FALSE)</f>
        <v>#N/A</v>
      </c>
      <c r="H1277" s="3" t="e">
        <f>VLOOKUP(D1277,VIAJES!$D:$H,5,FALSE)</f>
        <v>#N/A</v>
      </c>
      <c r="S1277" s="3">
        <f>IFERROR(INDEX(EVENTOS!$D:$D,MATCH(SCORE!S$2&amp;" "&amp;SCORE!$D1277,EVENTOS!$F:$F,0)),0)</f>
        <v>0</v>
      </c>
      <c r="T1277" s="3">
        <f>IFERROR(INDEX(EVENTOS!$D:$D,MATCH(SCORE!T$2&amp;" "&amp;SCORE!$D1277,EVENTOS!$F:$F,0)),0)</f>
        <v>0</v>
      </c>
      <c r="U1277" s="3">
        <f>IFERROR(INDEX(EVENTOS!$D:$D,MATCH(SCORE!U$2&amp;" "&amp;SCORE!$D1277,EVENTOS!$F:$F,0)),0)</f>
        <v>0</v>
      </c>
      <c r="V1277" s="3">
        <f>IFERROR(INDEX(EVENTOS!$D:$D,MATCH(SCORE!V$2&amp;" "&amp;SCORE!$D1277,EVENTOS!$F:$F,0)),0)</f>
        <v>0</v>
      </c>
      <c r="W1277" s="3">
        <f>IFERROR(INDEX(EVENTOS!$D:$D,MATCH(SCORE!W$2&amp;" "&amp;SCORE!$D1277,EVENTOS!$F:$F,0)),0)</f>
        <v>0</v>
      </c>
      <c r="X1277" s="3">
        <f>IFERROR(INDEX(EVENTOS!$D:$D,MATCH(SCORE!X$2&amp;" "&amp;SCORE!$D1277,EVENTOS!$F:$F,0)),0)</f>
        <v>0</v>
      </c>
      <c r="Y1277" s="3">
        <f>SUMIFS(EVENTOS!$D:$D, EVENTOS!$B:$B, D1277, EVENTOS!$E:$E, "*GirAlto*")</f>
        <v>0</v>
      </c>
      <c r="Z1277" s="3">
        <f>SUMIFS(EVENTOS!$D:$D, EVENTOS!$B:$B, D1277, EVENTOS!$E:$E, "*GirMed*")</f>
        <v>0</v>
      </c>
      <c r="AA1277" s="3">
        <f>SUMIFS(EVENTOS!$D:$D, EVENTOS!$B:$B, D1277, EVENTOS!$E:$E, "*GirBajo*")</f>
        <v>0</v>
      </c>
      <c r="AB1277" s="3">
        <f>IFERROR(INDEX(EVENTOS!$D:$D,MATCH(SCORE!AB$2&amp;" "&amp;SCORE!$D1277,EVENTOS!$F:$F,0)),0)</f>
        <v>0</v>
      </c>
      <c r="AC1277" s="3">
        <f>IFERROR(INDEX(EVENTOS!$D:$D,MATCH(SCORE!AC$2&amp;" "&amp;SCORE!$D1277,EVENTOS!$F:$F,0)),0)</f>
        <v>0</v>
      </c>
      <c r="AD1277" s="3">
        <f>IFERROR(INDEX(EVENTOS!$D:$D,MATCH(SCORE!AD$2&amp;" "&amp;SCORE!$D1277,EVENTOS!$F:$F,0)),0)</f>
        <v>0</v>
      </c>
      <c r="AE1277" s="3">
        <f t="shared" si="57"/>
        <v>0</v>
      </c>
      <c r="AF1277" s="10" t="e">
        <f t="shared" si="58"/>
        <v>#N/A</v>
      </c>
      <c r="AG1277" s="3" t="str">
        <f t="shared" si="59"/>
        <v/>
      </c>
    </row>
    <row r="1278" spans="1:33" x14ac:dyDescent="0.25">
      <c r="A1278" s="7"/>
      <c r="B1278" s="8"/>
      <c r="C1278" s="3"/>
      <c r="D1278" s="3"/>
      <c r="E1278" s="3" t="e">
        <f>VLOOKUP(D1278,VIAJES!$D:$E,2,FALSE)</f>
        <v>#N/A</v>
      </c>
      <c r="F1278" s="9" t="e">
        <f>VLOOKUP(D1278,VIAJES!$D:$F,3,FALSE)</f>
        <v>#N/A</v>
      </c>
      <c r="G1278" s="9" t="e">
        <f>VLOOKUP(D1278,VIAJES!$D:$G,4,FALSE)</f>
        <v>#N/A</v>
      </c>
      <c r="H1278" s="3" t="e">
        <f>VLOOKUP(D1278,VIAJES!$D:$H,5,FALSE)</f>
        <v>#N/A</v>
      </c>
      <c r="S1278" s="3">
        <f>IFERROR(INDEX(EVENTOS!$D:$D,MATCH(SCORE!S$2&amp;" "&amp;SCORE!$D1278,EVENTOS!$F:$F,0)),0)</f>
        <v>0</v>
      </c>
      <c r="T1278" s="3">
        <f>IFERROR(INDEX(EVENTOS!$D:$D,MATCH(SCORE!T$2&amp;" "&amp;SCORE!$D1278,EVENTOS!$F:$F,0)),0)</f>
        <v>0</v>
      </c>
      <c r="U1278" s="3">
        <f>IFERROR(INDEX(EVENTOS!$D:$D,MATCH(SCORE!U$2&amp;" "&amp;SCORE!$D1278,EVENTOS!$F:$F,0)),0)</f>
        <v>0</v>
      </c>
      <c r="V1278" s="3">
        <f>IFERROR(INDEX(EVENTOS!$D:$D,MATCH(SCORE!V$2&amp;" "&amp;SCORE!$D1278,EVENTOS!$F:$F,0)),0)</f>
        <v>0</v>
      </c>
      <c r="W1278" s="3">
        <f>IFERROR(INDEX(EVENTOS!$D:$D,MATCH(SCORE!W$2&amp;" "&amp;SCORE!$D1278,EVENTOS!$F:$F,0)),0)</f>
        <v>0</v>
      </c>
      <c r="X1278" s="3">
        <f>IFERROR(INDEX(EVENTOS!$D:$D,MATCH(SCORE!X$2&amp;" "&amp;SCORE!$D1278,EVENTOS!$F:$F,0)),0)</f>
        <v>0</v>
      </c>
      <c r="Y1278" s="3">
        <f>SUMIFS(EVENTOS!$D:$D, EVENTOS!$B:$B, D1278, EVENTOS!$E:$E, "*GirAlto*")</f>
        <v>0</v>
      </c>
      <c r="Z1278" s="3">
        <f>SUMIFS(EVENTOS!$D:$D, EVENTOS!$B:$B, D1278, EVENTOS!$E:$E, "*GirMed*")</f>
        <v>0</v>
      </c>
      <c r="AA1278" s="3">
        <f>SUMIFS(EVENTOS!$D:$D, EVENTOS!$B:$B, D1278, EVENTOS!$E:$E, "*GirBajo*")</f>
        <v>0</v>
      </c>
      <c r="AB1278" s="3">
        <f>IFERROR(INDEX(EVENTOS!$D:$D,MATCH(SCORE!AB$2&amp;" "&amp;SCORE!$D1278,EVENTOS!$F:$F,0)),0)</f>
        <v>0</v>
      </c>
      <c r="AC1278" s="3">
        <f>IFERROR(INDEX(EVENTOS!$D:$D,MATCH(SCORE!AC$2&amp;" "&amp;SCORE!$D1278,EVENTOS!$F:$F,0)),0)</f>
        <v>0</v>
      </c>
      <c r="AD1278" s="3">
        <f>IFERROR(INDEX(EVENTOS!$D:$D,MATCH(SCORE!AD$2&amp;" "&amp;SCORE!$D1278,EVENTOS!$F:$F,0)),0)</f>
        <v>0</v>
      </c>
      <c r="AE1278" s="3">
        <f t="shared" si="57"/>
        <v>0</v>
      </c>
      <c r="AF1278" s="10" t="e">
        <f t="shared" si="58"/>
        <v>#N/A</v>
      </c>
      <c r="AG1278" s="3" t="str">
        <f t="shared" si="59"/>
        <v/>
      </c>
    </row>
    <row r="1279" spans="1:33" x14ac:dyDescent="0.25">
      <c r="A1279" s="7"/>
      <c r="B1279" s="8"/>
      <c r="C1279" s="3"/>
      <c r="D1279" s="3"/>
      <c r="E1279" s="3" t="e">
        <f>VLOOKUP(D1279,VIAJES!$D:$E,2,FALSE)</f>
        <v>#N/A</v>
      </c>
      <c r="F1279" s="9" t="e">
        <f>VLOOKUP(D1279,VIAJES!$D:$F,3,FALSE)</f>
        <v>#N/A</v>
      </c>
      <c r="G1279" s="9" t="e">
        <f>VLOOKUP(D1279,VIAJES!$D:$G,4,FALSE)</f>
        <v>#N/A</v>
      </c>
      <c r="H1279" s="3" t="e">
        <f>VLOOKUP(D1279,VIAJES!$D:$H,5,FALSE)</f>
        <v>#N/A</v>
      </c>
      <c r="S1279" s="3">
        <f>IFERROR(INDEX(EVENTOS!$D:$D,MATCH(SCORE!S$2&amp;" "&amp;SCORE!$D1279,EVENTOS!$F:$F,0)),0)</f>
        <v>0</v>
      </c>
      <c r="T1279" s="3">
        <f>IFERROR(INDEX(EVENTOS!$D:$D,MATCH(SCORE!T$2&amp;" "&amp;SCORE!$D1279,EVENTOS!$F:$F,0)),0)</f>
        <v>0</v>
      </c>
      <c r="U1279" s="3">
        <f>IFERROR(INDEX(EVENTOS!$D:$D,MATCH(SCORE!U$2&amp;" "&amp;SCORE!$D1279,EVENTOS!$F:$F,0)),0)</f>
        <v>0</v>
      </c>
      <c r="V1279" s="3">
        <f>IFERROR(INDEX(EVENTOS!$D:$D,MATCH(SCORE!V$2&amp;" "&amp;SCORE!$D1279,EVENTOS!$F:$F,0)),0)</f>
        <v>0</v>
      </c>
      <c r="W1279" s="3">
        <f>IFERROR(INDEX(EVENTOS!$D:$D,MATCH(SCORE!W$2&amp;" "&amp;SCORE!$D1279,EVENTOS!$F:$F,0)),0)</f>
        <v>0</v>
      </c>
      <c r="X1279" s="3">
        <f>IFERROR(INDEX(EVENTOS!$D:$D,MATCH(SCORE!X$2&amp;" "&amp;SCORE!$D1279,EVENTOS!$F:$F,0)),0)</f>
        <v>0</v>
      </c>
      <c r="Y1279" s="3">
        <f>SUMIFS(EVENTOS!$D:$D, EVENTOS!$B:$B, D1279, EVENTOS!$E:$E, "*GirAlto*")</f>
        <v>0</v>
      </c>
      <c r="Z1279" s="3">
        <f>SUMIFS(EVENTOS!$D:$D, EVENTOS!$B:$B, D1279, EVENTOS!$E:$E, "*GirMed*")</f>
        <v>0</v>
      </c>
      <c r="AA1279" s="3">
        <f>SUMIFS(EVENTOS!$D:$D, EVENTOS!$B:$B, D1279, EVENTOS!$E:$E, "*GirBajo*")</f>
        <v>0</v>
      </c>
      <c r="AB1279" s="3">
        <f>IFERROR(INDEX(EVENTOS!$D:$D,MATCH(SCORE!AB$2&amp;" "&amp;SCORE!$D1279,EVENTOS!$F:$F,0)),0)</f>
        <v>0</v>
      </c>
      <c r="AC1279" s="3">
        <f>IFERROR(INDEX(EVENTOS!$D:$D,MATCH(SCORE!AC$2&amp;" "&amp;SCORE!$D1279,EVENTOS!$F:$F,0)),0)</f>
        <v>0</v>
      </c>
      <c r="AD1279" s="3">
        <f>IFERROR(INDEX(EVENTOS!$D:$D,MATCH(SCORE!AD$2&amp;" "&amp;SCORE!$D1279,EVENTOS!$F:$F,0)),0)</f>
        <v>0</v>
      </c>
      <c r="AE1279" s="3">
        <f t="shared" si="57"/>
        <v>0</v>
      </c>
      <c r="AF1279" s="10" t="e">
        <f t="shared" si="58"/>
        <v>#N/A</v>
      </c>
      <c r="AG1279" s="3" t="str">
        <f t="shared" si="59"/>
        <v/>
      </c>
    </row>
    <row r="1280" spans="1:33" x14ac:dyDescent="0.25">
      <c r="A1280" s="7"/>
      <c r="B1280" s="8"/>
      <c r="C1280" s="3"/>
      <c r="D1280" s="3"/>
      <c r="E1280" s="3" t="e">
        <f>VLOOKUP(D1280,VIAJES!$D:$E,2,FALSE)</f>
        <v>#N/A</v>
      </c>
      <c r="F1280" s="9" t="e">
        <f>VLOOKUP(D1280,VIAJES!$D:$F,3,FALSE)</f>
        <v>#N/A</v>
      </c>
      <c r="G1280" s="9" t="e">
        <f>VLOOKUP(D1280,VIAJES!$D:$G,4,FALSE)</f>
        <v>#N/A</v>
      </c>
      <c r="H1280" s="3" t="e">
        <f>VLOOKUP(D1280,VIAJES!$D:$H,5,FALSE)</f>
        <v>#N/A</v>
      </c>
      <c r="S1280" s="3">
        <f>IFERROR(INDEX(EVENTOS!$D:$D,MATCH(SCORE!S$2&amp;" "&amp;SCORE!$D1280,EVENTOS!$F:$F,0)),0)</f>
        <v>0</v>
      </c>
      <c r="T1280" s="3">
        <f>IFERROR(INDEX(EVENTOS!$D:$D,MATCH(SCORE!T$2&amp;" "&amp;SCORE!$D1280,EVENTOS!$F:$F,0)),0)</f>
        <v>0</v>
      </c>
      <c r="U1280" s="3">
        <f>IFERROR(INDEX(EVENTOS!$D:$D,MATCH(SCORE!U$2&amp;" "&amp;SCORE!$D1280,EVENTOS!$F:$F,0)),0)</f>
        <v>0</v>
      </c>
      <c r="V1280" s="3">
        <f>IFERROR(INDEX(EVENTOS!$D:$D,MATCH(SCORE!V$2&amp;" "&amp;SCORE!$D1280,EVENTOS!$F:$F,0)),0)</f>
        <v>0</v>
      </c>
      <c r="W1280" s="3">
        <f>IFERROR(INDEX(EVENTOS!$D:$D,MATCH(SCORE!W$2&amp;" "&amp;SCORE!$D1280,EVENTOS!$F:$F,0)),0)</f>
        <v>0</v>
      </c>
      <c r="X1280" s="3">
        <f>IFERROR(INDEX(EVENTOS!$D:$D,MATCH(SCORE!X$2&amp;" "&amp;SCORE!$D1280,EVENTOS!$F:$F,0)),0)</f>
        <v>0</v>
      </c>
      <c r="Y1280" s="3">
        <f>SUMIFS(EVENTOS!$D:$D, EVENTOS!$B:$B, D1280, EVENTOS!$E:$E, "*GirAlto*")</f>
        <v>0</v>
      </c>
      <c r="Z1280" s="3">
        <f>SUMIFS(EVENTOS!$D:$D, EVENTOS!$B:$B, D1280, EVENTOS!$E:$E, "*GirMed*")</f>
        <v>0</v>
      </c>
      <c r="AA1280" s="3">
        <f>SUMIFS(EVENTOS!$D:$D, EVENTOS!$B:$B, D1280, EVENTOS!$E:$E, "*GirBajo*")</f>
        <v>0</v>
      </c>
      <c r="AB1280" s="3">
        <f>IFERROR(INDEX(EVENTOS!$D:$D,MATCH(SCORE!AB$2&amp;" "&amp;SCORE!$D1280,EVENTOS!$F:$F,0)),0)</f>
        <v>0</v>
      </c>
      <c r="AC1280" s="3">
        <f>IFERROR(INDEX(EVENTOS!$D:$D,MATCH(SCORE!AC$2&amp;" "&amp;SCORE!$D1280,EVENTOS!$F:$F,0)),0)</f>
        <v>0</v>
      </c>
      <c r="AD1280" s="3">
        <f>IFERROR(INDEX(EVENTOS!$D:$D,MATCH(SCORE!AD$2&amp;" "&amp;SCORE!$D1280,EVENTOS!$F:$F,0)),0)</f>
        <v>0</v>
      </c>
      <c r="AE1280" s="3">
        <f t="shared" si="57"/>
        <v>0</v>
      </c>
      <c r="AF1280" s="10" t="e">
        <f t="shared" si="58"/>
        <v>#N/A</v>
      </c>
      <c r="AG1280" s="3" t="str">
        <f t="shared" si="59"/>
        <v/>
      </c>
    </row>
    <row r="1281" spans="1:33" x14ac:dyDescent="0.25">
      <c r="A1281" s="7"/>
      <c r="B1281" s="8"/>
      <c r="C1281" s="3"/>
      <c r="D1281" s="3"/>
      <c r="E1281" s="3" t="e">
        <f>VLOOKUP(D1281,VIAJES!$D:$E,2,FALSE)</f>
        <v>#N/A</v>
      </c>
      <c r="F1281" s="9" t="e">
        <f>VLOOKUP(D1281,VIAJES!$D:$F,3,FALSE)</f>
        <v>#N/A</v>
      </c>
      <c r="G1281" s="9" t="e">
        <f>VLOOKUP(D1281,VIAJES!$D:$G,4,FALSE)</f>
        <v>#N/A</v>
      </c>
      <c r="H1281" s="3" t="e">
        <f>VLOOKUP(D1281,VIAJES!$D:$H,5,FALSE)</f>
        <v>#N/A</v>
      </c>
      <c r="S1281" s="3">
        <f>IFERROR(INDEX(EVENTOS!$D:$D,MATCH(SCORE!S$2&amp;" "&amp;SCORE!$D1281,EVENTOS!$F:$F,0)),0)</f>
        <v>0</v>
      </c>
      <c r="T1281" s="3">
        <f>IFERROR(INDEX(EVENTOS!$D:$D,MATCH(SCORE!T$2&amp;" "&amp;SCORE!$D1281,EVENTOS!$F:$F,0)),0)</f>
        <v>0</v>
      </c>
      <c r="U1281" s="3">
        <f>IFERROR(INDEX(EVENTOS!$D:$D,MATCH(SCORE!U$2&amp;" "&amp;SCORE!$D1281,EVENTOS!$F:$F,0)),0)</f>
        <v>0</v>
      </c>
      <c r="V1281" s="3">
        <f>IFERROR(INDEX(EVENTOS!$D:$D,MATCH(SCORE!V$2&amp;" "&amp;SCORE!$D1281,EVENTOS!$F:$F,0)),0)</f>
        <v>0</v>
      </c>
      <c r="W1281" s="3">
        <f>IFERROR(INDEX(EVENTOS!$D:$D,MATCH(SCORE!W$2&amp;" "&amp;SCORE!$D1281,EVENTOS!$F:$F,0)),0)</f>
        <v>0</v>
      </c>
      <c r="X1281" s="3">
        <f>IFERROR(INDEX(EVENTOS!$D:$D,MATCH(SCORE!X$2&amp;" "&amp;SCORE!$D1281,EVENTOS!$F:$F,0)),0)</f>
        <v>0</v>
      </c>
      <c r="Y1281" s="3">
        <f>SUMIFS(EVENTOS!$D:$D, EVENTOS!$B:$B, D1281, EVENTOS!$E:$E, "*GirAlto*")</f>
        <v>0</v>
      </c>
      <c r="Z1281" s="3">
        <f>SUMIFS(EVENTOS!$D:$D, EVENTOS!$B:$B, D1281, EVENTOS!$E:$E, "*GirMed*")</f>
        <v>0</v>
      </c>
      <c r="AA1281" s="3">
        <f>SUMIFS(EVENTOS!$D:$D, EVENTOS!$B:$B, D1281, EVENTOS!$E:$E, "*GirBajo*")</f>
        <v>0</v>
      </c>
      <c r="AB1281" s="3">
        <f>IFERROR(INDEX(EVENTOS!$D:$D,MATCH(SCORE!AB$2&amp;" "&amp;SCORE!$D1281,EVENTOS!$F:$F,0)),0)</f>
        <v>0</v>
      </c>
      <c r="AC1281" s="3">
        <f>IFERROR(INDEX(EVENTOS!$D:$D,MATCH(SCORE!AC$2&amp;" "&amp;SCORE!$D1281,EVENTOS!$F:$F,0)),0)</f>
        <v>0</v>
      </c>
      <c r="AD1281" s="3">
        <f>IFERROR(INDEX(EVENTOS!$D:$D,MATCH(SCORE!AD$2&amp;" "&amp;SCORE!$D1281,EVENTOS!$F:$F,0)),0)</f>
        <v>0</v>
      </c>
      <c r="AE1281" s="3">
        <f t="shared" si="57"/>
        <v>0</v>
      </c>
      <c r="AF1281" s="10" t="e">
        <f t="shared" si="58"/>
        <v>#N/A</v>
      </c>
      <c r="AG1281" s="3" t="str">
        <f t="shared" si="59"/>
        <v/>
      </c>
    </row>
    <row r="1282" spans="1:33" x14ac:dyDescent="0.25">
      <c r="A1282" s="7"/>
      <c r="B1282" s="8"/>
      <c r="C1282" s="3"/>
      <c r="D1282" s="3"/>
      <c r="E1282" s="3" t="e">
        <f>VLOOKUP(D1282,VIAJES!$D:$E,2,FALSE)</f>
        <v>#N/A</v>
      </c>
      <c r="F1282" s="9" t="e">
        <f>VLOOKUP(D1282,VIAJES!$D:$F,3,FALSE)</f>
        <v>#N/A</v>
      </c>
      <c r="G1282" s="9" t="e">
        <f>VLOOKUP(D1282,VIAJES!$D:$G,4,FALSE)</f>
        <v>#N/A</v>
      </c>
      <c r="H1282" s="3" t="e">
        <f>VLOOKUP(D1282,VIAJES!$D:$H,5,FALSE)</f>
        <v>#N/A</v>
      </c>
      <c r="S1282" s="3">
        <f>IFERROR(INDEX(EVENTOS!$D:$D,MATCH(SCORE!S$2&amp;" "&amp;SCORE!$D1282,EVENTOS!$F:$F,0)),0)</f>
        <v>0</v>
      </c>
      <c r="T1282" s="3">
        <f>IFERROR(INDEX(EVENTOS!$D:$D,MATCH(SCORE!T$2&amp;" "&amp;SCORE!$D1282,EVENTOS!$F:$F,0)),0)</f>
        <v>0</v>
      </c>
      <c r="U1282" s="3">
        <f>IFERROR(INDEX(EVENTOS!$D:$D,MATCH(SCORE!U$2&amp;" "&amp;SCORE!$D1282,EVENTOS!$F:$F,0)),0)</f>
        <v>0</v>
      </c>
      <c r="V1282" s="3">
        <f>IFERROR(INDEX(EVENTOS!$D:$D,MATCH(SCORE!V$2&amp;" "&amp;SCORE!$D1282,EVENTOS!$F:$F,0)),0)</f>
        <v>0</v>
      </c>
      <c r="W1282" s="3">
        <f>IFERROR(INDEX(EVENTOS!$D:$D,MATCH(SCORE!W$2&amp;" "&amp;SCORE!$D1282,EVENTOS!$F:$F,0)),0)</f>
        <v>0</v>
      </c>
      <c r="X1282" s="3">
        <f>IFERROR(INDEX(EVENTOS!$D:$D,MATCH(SCORE!X$2&amp;" "&amp;SCORE!$D1282,EVENTOS!$F:$F,0)),0)</f>
        <v>0</v>
      </c>
      <c r="Y1282" s="3">
        <f>SUMIFS(EVENTOS!$D:$D, EVENTOS!$B:$B, D1282, EVENTOS!$E:$E, "*GirAlto*")</f>
        <v>0</v>
      </c>
      <c r="Z1282" s="3">
        <f>SUMIFS(EVENTOS!$D:$D, EVENTOS!$B:$B, D1282, EVENTOS!$E:$E, "*GirMed*")</f>
        <v>0</v>
      </c>
      <c r="AA1282" s="3">
        <f>SUMIFS(EVENTOS!$D:$D, EVENTOS!$B:$B, D1282, EVENTOS!$E:$E, "*GirBajo*")</f>
        <v>0</v>
      </c>
      <c r="AB1282" s="3">
        <f>IFERROR(INDEX(EVENTOS!$D:$D,MATCH(SCORE!AB$2&amp;" "&amp;SCORE!$D1282,EVENTOS!$F:$F,0)),0)</f>
        <v>0</v>
      </c>
      <c r="AC1282" s="3">
        <f>IFERROR(INDEX(EVENTOS!$D:$D,MATCH(SCORE!AC$2&amp;" "&amp;SCORE!$D1282,EVENTOS!$F:$F,0)),0)</f>
        <v>0</v>
      </c>
      <c r="AD1282" s="3">
        <f>IFERROR(INDEX(EVENTOS!$D:$D,MATCH(SCORE!AD$2&amp;" "&amp;SCORE!$D1282,EVENTOS!$F:$F,0)),0)</f>
        <v>0</v>
      </c>
      <c r="AE1282" s="3">
        <f t="shared" si="57"/>
        <v>0</v>
      </c>
      <c r="AF1282" s="10" t="e">
        <f t="shared" si="58"/>
        <v>#N/A</v>
      </c>
      <c r="AG1282" s="3" t="str">
        <f t="shared" si="59"/>
        <v/>
      </c>
    </row>
    <row r="1283" spans="1:33" x14ac:dyDescent="0.25">
      <c r="A1283" s="7"/>
      <c r="B1283" s="8"/>
      <c r="C1283" s="3"/>
      <c r="D1283" s="3"/>
      <c r="E1283" s="3" t="e">
        <f>VLOOKUP(D1283,VIAJES!$D:$E,2,FALSE)</f>
        <v>#N/A</v>
      </c>
      <c r="F1283" s="9" t="e">
        <f>VLOOKUP(D1283,VIAJES!$D:$F,3,FALSE)</f>
        <v>#N/A</v>
      </c>
      <c r="G1283" s="9" t="e">
        <f>VLOOKUP(D1283,VIAJES!$D:$G,4,FALSE)</f>
        <v>#N/A</v>
      </c>
      <c r="H1283" s="3" t="e">
        <f>VLOOKUP(D1283,VIAJES!$D:$H,5,FALSE)</f>
        <v>#N/A</v>
      </c>
      <c r="S1283" s="3">
        <f>IFERROR(INDEX(EVENTOS!$D:$D,MATCH(SCORE!S$2&amp;" "&amp;SCORE!$D1283,EVENTOS!$F:$F,0)),0)</f>
        <v>0</v>
      </c>
      <c r="T1283" s="3">
        <f>IFERROR(INDEX(EVENTOS!$D:$D,MATCH(SCORE!T$2&amp;" "&amp;SCORE!$D1283,EVENTOS!$F:$F,0)),0)</f>
        <v>0</v>
      </c>
      <c r="U1283" s="3">
        <f>IFERROR(INDEX(EVENTOS!$D:$D,MATCH(SCORE!U$2&amp;" "&amp;SCORE!$D1283,EVENTOS!$F:$F,0)),0)</f>
        <v>0</v>
      </c>
      <c r="V1283" s="3">
        <f>IFERROR(INDEX(EVENTOS!$D:$D,MATCH(SCORE!V$2&amp;" "&amp;SCORE!$D1283,EVENTOS!$F:$F,0)),0)</f>
        <v>0</v>
      </c>
      <c r="W1283" s="3">
        <f>IFERROR(INDEX(EVENTOS!$D:$D,MATCH(SCORE!W$2&amp;" "&amp;SCORE!$D1283,EVENTOS!$F:$F,0)),0)</f>
        <v>0</v>
      </c>
      <c r="X1283" s="3">
        <f>IFERROR(INDEX(EVENTOS!$D:$D,MATCH(SCORE!X$2&amp;" "&amp;SCORE!$D1283,EVENTOS!$F:$F,0)),0)</f>
        <v>0</v>
      </c>
      <c r="Y1283" s="3">
        <f>SUMIFS(EVENTOS!$D:$D, EVENTOS!$B:$B, D1283, EVENTOS!$E:$E, "*GirAlto*")</f>
        <v>0</v>
      </c>
      <c r="Z1283" s="3">
        <f>SUMIFS(EVENTOS!$D:$D, EVENTOS!$B:$B, D1283, EVENTOS!$E:$E, "*GirMed*")</f>
        <v>0</v>
      </c>
      <c r="AA1283" s="3">
        <f>SUMIFS(EVENTOS!$D:$D, EVENTOS!$B:$B, D1283, EVENTOS!$E:$E, "*GirBajo*")</f>
        <v>0</v>
      </c>
      <c r="AB1283" s="3">
        <f>IFERROR(INDEX(EVENTOS!$D:$D,MATCH(SCORE!AB$2&amp;" "&amp;SCORE!$D1283,EVENTOS!$F:$F,0)),0)</f>
        <v>0</v>
      </c>
      <c r="AC1283" s="3">
        <f>IFERROR(INDEX(EVENTOS!$D:$D,MATCH(SCORE!AC$2&amp;" "&amp;SCORE!$D1283,EVENTOS!$F:$F,0)),0)</f>
        <v>0</v>
      </c>
      <c r="AD1283" s="3">
        <f>IFERROR(INDEX(EVENTOS!$D:$D,MATCH(SCORE!AD$2&amp;" "&amp;SCORE!$D1283,EVENTOS!$F:$F,0)),0)</f>
        <v>0</v>
      </c>
      <c r="AE1283" s="3">
        <f t="shared" ref="AE1283:AE1300" si="60">((S1283+V1283+Y1283+AB1283)*50)+((T1283+W1283+Z1283+AC1283)*25)+((U1283+X1283+AA1283+AD1283)*5)</f>
        <v>0</v>
      </c>
      <c r="AF1283" s="10" t="e">
        <f t="shared" ref="AF1283:AF1300" si="61">AE1283/(G1283*24)*100</f>
        <v>#N/A</v>
      </c>
      <c r="AG1283" s="3" t="str">
        <f t="shared" ref="AG1283:AG1300" si="62">IF(D1283&lt;&gt;"",IF(AF1283&gt;=30000,5,ROUNDDOWN((((5-95)*(AF1283-0))/(30000-0))+95,0)),"")</f>
        <v/>
      </c>
    </row>
    <row r="1284" spans="1:33" x14ac:dyDescent="0.25">
      <c r="A1284" s="7"/>
      <c r="B1284" s="8"/>
      <c r="C1284" s="3"/>
      <c r="D1284" s="3"/>
      <c r="E1284" s="3" t="e">
        <f>VLOOKUP(D1284,VIAJES!$D:$E,2,FALSE)</f>
        <v>#N/A</v>
      </c>
      <c r="F1284" s="9" t="e">
        <f>VLOOKUP(D1284,VIAJES!$D:$F,3,FALSE)</f>
        <v>#N/A</v>
      </c>
      <c r="G1284" s="9" t="e">
        <f>VLOOKUP(D1284,VIAJES!$D:$G,4,FALSE)</f>
        <v>#N/A</v>
      </c>
      <c r="H1284" s="3" t="e">
        <f>VLOOKUP(D1284,VIAJES!$D:$H,5,FALSE)</f>
        <v>#N/A</v>
      </c>
      <c r="S1284" s="3">
        <f>IFERROR(INDEX(EVENTOS!$D:$D,MATCH(SCORE!S$2&amp;" "&amp;SCORE!$D1284,EVENTOS!$F:$F,0)),0)</f>
        <v>0</v>
      </c>
      <c r="T1284" s="3">
        <f>IFERROR(INDEX(EVENTOS!$D:$D,MATCH(SCORE!T$2&amp;" "&amp;SCORE!$D1284,EVENTOS!$F:$F,0)),0)</f>
        <v>0</v>
      </c>
      <c r="U1284" s="3">
        <f>IFERROR(INDEX(EVENTOS!$D:$D,MATCH(SCORE!U$2&amp;" "&amp;SCORE!$D1284,EVENTOS!$F:$F,0)),0)</f>
        <v>0</v>
      </c>
      <c r="V1284" s="3">
        <f>IFERROR(INDEX(EVENTOS!$D:$D,MATCH(SCORE!V$2&amp;" "&amp;SCORE!$D1284,EVENTOS!$F:$F,0)),0)</f>
        <v>0</v>
      </c>
      <c r="W1284" s="3">
        <f>IFERROR(INDEX(EVENTOS!$D:$D,MATCH(SCORE!W$2&amp;" "&amp;SCORE!$D1284,EVENTOS!$F:$F,0)),0)</f>
        <v>0</v>
      </c>
      <c r="X1284" s="3">
        <f>IFERROR(INDEX(EVENTOS!$D:$D,MATCH(SCORE!X$2&amp;" "&amp;SCORE!$D1284,EVENTOS!$F:$F,0)),0)</f>
        <v>0</v>
      </c>
      <c r="Y1284" s="3">
        <f>SUMIFS(EVENTOS!$D:$D, EVENTOS!$B:$B, D1284, EVENTOS!$E:$E, "*GirAlto*")</f>
        <v>0</v>
      </c>
      <c r="Z1284" s="3">
        <f>SUMIFS(EVENTOS!$D:$D, EVENTOS!$B:$B, D1284, EVENTOS!$E:$E, "*GirMed*")</f>
        <v>0</v>
      </c>
      <c r="AA1284" s="3">
        <f>SUMIFS(EVENTOS!$D:$D, EVENTOS!$B:$B, D1284, EVENTOS!$E:$E, "*GirBajo*")</f>
        <v>0</v>
      </c>
      <c r="AB1284" s="3">
        <f>IFERROR(INDEX(EVENTOS!$D:$D,MATCH(SCORE!AB$2&amp;" "&amp;SCORE!$D1284,EVENTOS!$F:$F,0)),0)</f>
        <v>0</v>
      </c>
      <c r="AC1284" s="3">
        <f>IFERROR(INDEX(EVENTOS!$D:$D,MATCH(SCORE!AC$2&amp;" "&amp;SCORE!$D1284,EVENTOS!$F:$F,0)),0)</f>
        <v>0</v>
      </c>
      <c r="AD1284" s="3">
        <f>IFERROR(INDEX(EVENTOS!$D:$D,MATCH(SCORE!AD$2&amp;" "&amp;SCORE!$D1284,EVENTOS!$F:$F,0)),0)</f>
        <v>0</v>
      </c>
      <c r="AE1284" s="3">
        <f t="shared" si="60"/>
        <v>0</v>
      </c>
      <c r="AF1284" s="10" t="e">
        <f t="shared" si="61"/>
        <v>#N/A</v>
      </c>
      <c r="AG1284" s="3" t="str">
        <f t="shared" si="62"/>
        <v/>
      </c>
    </row>
    <row r="1285" spans="1:33" x14ac:dyDescent="0.25">
      <c r="A1285" s="7"/>
      <c r="B1285" s="8"/>
      <c r="C1285" s="3"/>
      <c r="D1285" s="3"/>
      <c r="E1285" s="3" t="e">
        <f>VLOOKUP(D1285,VIAJES!$D:$E,2,FALSE)</f>
        <v>#N/A</v>
      </c>
      <c r="F1285" s="9" t="e">
        <f>VLOOKUP(D1285,VIAJES!$D:$F,3,FALSE)</f>
        <v>#N/A</v>
      </c>
      <c r="G1285" s="9" t="e">
        <f>VLOOKUP(D1285,VIAJES!$D:$G,4,FALSE)</f>
        <v>#N/A</v>
      </c>
      <c r="H1285" s="3" t="e">
        <f>VLOOKUP(D1285,VIAJES!$D:$H,5,FALSE)</f>
        <v>#N/A</v>
      </c>
      <c r="S1285" s="3">
        <f>IFERROR(INDEX(EVENTOS!$D:$D,MATCH(SCORE!S$2&amp;" "&amp;SCORE!$D1285,EVENTOS!$F:$F,0)),0)</f>
        <v>0</v>
      </c>
      <c r="T1285" s="3">
        <f>IFERROR(INDEX(EVENTOS!$D:$D,MATCH(SCORE!T$2&amp;" "&amp;SCORE!$D1285,EVENTOS!$F:$F,0)),0)</f>
        <v>0</v>
      </c>
      <c r="U1285" s="3">
        <f>IFERROR(INDEX(EVENTOS!$D:$D,MATCH(SCORE!U$2&amp;" "&amp;SCORE!$D1285,EVENTOS!$F:$F,0)),0)</f>
        <v>0</v>
      </c>
      <c r="V1285" s="3">
        <f>IFERROR(INDEX(EVENTOS!$D:$D,MATCH(SCORE!V$2&amp;" "&amp;SCORE!$D1285,EVENTOS!$F:$F,0)),0)</f>
        <v>0</v>
      </c>
      <c r="W1285" s="3">
        <f>IFERROR(INDEX(EVENTOS!$D:$D,MATCH(SCORE!W$2&amp;" "&amp;SCORE!$D1285,EVENTOS!$F:$F,0)),0)</f>
        <v>0</v>
      </c>
      <c r="X1285" s="3">
        <f>IFERROR(INDEX(EVENTOS!$D:$D,MATCH(SCORE!X$2&amp;" "&amp;SCORE!$D1285,EVENTOS!$F:$F,0)),0)</f>
        <v>0</v>
      </c>
      <c r="Y1285" s="3">
        <f>SUMIFS(EVENTOS!$D:$D, EVENTOS!$B:$B, D1285, EVENTOS!$E:$E, "*GirAlto*")</f>
        <v>0</v>
      </c>
      <c r="Z1285" s="3">
        <f>SUMIFS(EVENTOS!$D:$D, EVENTOS!$B:$B, D1285, EVENTOS!$E:$E, "*GirMed*")</f>
        <v>0</v>
      </c>
      <c r="AA1285" s="3">
        <f>SUMIFS(EVENTOS!$D:$D, EVENTOS!$B:$B, D1285, EVENTOS!$E:$E, "*GirBajo*")</f>
        <v>0</v>
      </c>
      <c r="AB1285" s="3">
        <f>IFERROR(INDEX(EVENTOS!$D:$D,MATCH(SCORE!AB$2&amp;" "&amp;SCORE!$D1285,EVENTOS!$F:$F,0)),0)</f>
        <v>0</v>
      </c>
      <c r="AC1285" s="3">
        <f>IFERROR(INDEX(EVENTOS!$D:$D,MATCH(SCORE!AC$2&amp;" "&amp;SCORE!$D1285,EVENTOS!$F:$F,0)),0)</f>
        <v>0</v>
      </c>
      <c r="AD1285" s="3">
        <f>IFERROR(INDEX(EVENTOS!$D:$D,MATCH(SCORE!AD$2&amp;" "&amp;SCORE!$D1285,EVENTOS!$F:$F,0)),0)</f>
        <v>0</v>
      </c>
      <c r="AE1285" s="3">
        <f t="shared" si="60"/>
        <v>0</v>
      </c>
      <c r="AF1285" s="10" t="e">
        <f t="shared" si="61"/>
        <v>#N/A</v>
      </c>
      <c r="AG1285" s="3" t="str">
        <f t="shared" si="62"/>
        <v/>
      </c>
    </row>
    <row r="1286" spans="1:33" x14ac:dyDescent="0.25">
      <c r="A1286" s="7"/>
      <c r="B1286" s="8"/>
      <c r="C1286" s="3"/>
      <c r="D1286" s="3"/>
      <c r="E1286" s="3" t="e">
        <f>VLOOKUP(D1286,VIAJES!$D:$E,2,FALSE)</f>
        <v>#N/A</v>
      </c>
      <c r="F1286" s="9" t="e">
        <f>VLOOKUP(D1286,VIAJES!$D:$F,3,FALSE)</f>
        <v>#N/A</v>
      </c>
      <c r="G1286" s="9" t="e">
        <f>VLOOKUP(D1286,VIAJES!$D:$G,4,FALSE)</f>
        <v>#N/A</v>
      </c>
      <c r="H1286" s="3" t="e">
        <f>VLOOKUP(D1286,VIAJES!$D:$H,5,FALSE)</f>
        <v>#N/A</v>
      </c>
      <c r="S1286" s="3">
        <f>IFERROR(INDEX(EVENTOS!$D:$D,MATCH(SCORE!S$2&amp;" "&amp;SCORE!$D1286,EVENTOS!$F:$F,0)),0)</f>
        <v>0</v>
      </c>
      <c r="T1286" s="3">
        <f>IFERROR(INDEX(EVENTOS!$D:$D,MATCH(SCORE!T$2&amp;" "&amp;SCORE!$D1286,EVENTOS!$F:$F,0)),0)</f>
        <v>0</v>
      </c>
      <c r="U1286" s="3">
        <f>IFERROR(INDEX(EVENTOS!$D:$D,MATCH(SCORE!U$2&amp;" "&amp;SCORE!$D1286,EVENTOS!$F:$F,0)),0)</f>
        <v>0</v>
      </c>
      <c r="V1286" s="3">
        <f>IFERROR(INDEX(EVENTOS!$D:$D,MATCH(SCORE!V$2&amp;" "&amp;SCORE!$D1286,EVENTOS!$F:$F,0)),0)</f>
        <v>0</v>
      </c>
      <c r="W1286" s="3">
        <f>IFERROR(INDEX(EVENTOS!$D:$D,MATCH(SCORE!W$2&amp;" "&amp;SCORE!$D1286,EVENTOS!$F:$F,0)),0)</f>
        <v>0</v>
      </c>
      <c r="X1286" s="3">
        <f>IFERROR(INDEX(EVENTOS!$D:$D,MATCH(SCORE!X$2&amp;" "&amp;SCORE!$D1286,EVENTOS!$F:$F,0)),0)</f>
        <v>0</v>
      </c>
      <c r="Y1286" s="3">
        <f>SUMIFS(EVENTOS!$D:$D, EVENTOS!$B:$B, D1286, EVENTOS!$E:$E, "*GirAlto*")</f>
        <v>0</v>
      </c>
      <c r="Z1286" s="3">
        <f>SUMIFS(EVENTOS!$D:$D, EVENTOS!$B:$B, D1286, EVENTOS!$E:$E, "*GirMed*")</f>
        <v>0</v>
      </c>
      <c r="AA1286" s="3">
        <f>SUMIFS(EVENTOS!$D:$D, EVENTOS!$B:$B, D1286, EVENTOS!$E:$E, "*GirBajo*")</f>
        <v>0</v>
      </c>
      <c r="AB1286" s="3">
        <f>IFERROR(INDEX(EVENTOS!$D:$D,MATCH(SCORE!AB$2&amp;" "&amp;SCORE!$D1286,EVENTOS!$F:$F,0)),0)</f>
        <v>0</v>
      </c>
      <c r="AC1286" s="3">
        <f>IFERROR(INDEX(EVENTOS!$D:$D,MATCH(SCORE!AC$2&amp;" "&amp;SCORE!$D1286,EVENTOS!$F:$F,0)),0)</f>
        <v>0</v>
      </c>
      <c r="AD1286" s="3">
        <f>IFERROR(INDEX(EVENTOS!$D:$D,MATCH(SCORE!AD$2&amp;" "&amp;SCORE!$D1286,EVENTOS!$F:$F,0)),0)</f>
        <v>0</v>
      </c>
      <c r="AE1286" s="3">
        <f t="shared" si="60"/>
        <v>0</v>
      </c>
      <c r="AF1286" s="10" t="e">
        <f t="shared" si="61"/>
        <v>#N/A</v>
      </c>
      <c r="AG1286" s="3" t="str">
        <f t="shared" si="62"/>
        <v/>
      </c>
    </row>
    <row r="1287" spans="1:33" x14ac:dyDescent="0.25">
      <c r="A1287" s="7"/>
      <c r="B1287" s="8"/>
      <c r="C1287" s="3"/>
      <c r="D1287" s="3"/>
      <c r="E1287" s="3" t="e">
        <f>VLOOKUP(D1287,VIAJES!$D:$E,2,FALSE)</f>
        <v>#N/A</v>
      </c>
      <c r="F1287" s="9" t="e">
        <f>VLOOKUP(D1287,VIAJES!$D:$F,3,FALSE)</f>
        <v>#N/A</v>
      </c>
      <c r="G1287" s="9" t="e">
        <f>VLOOKUP(D1287,VIAJES!$D:$G,4,FALSE)</f>
        <v>#N/A</v>
      </c>
      <c r="H1287" s="3" t="e">
        <f>VLOOKUP(D1287,VIAJES!$D:$H,5,FALSE)</f>
        <v>#N/A</v>
      </c>
      <c r="S1287" s="3">
        <f>IFERROR(INDEX(EVENTOS!$D:$D,MATCH(SCORE!S$2&amp;" "&amp;SCORE!$D1287,EVENTOS!$F:$F,0)),0)</f>
        <v>0</v>
      </c>
      <c r="T1287" s="3">
        <f>IFERROR(INDEX(EVENTOS!$D:$D,MATCH(SCORE!T$2&amp;" "&amp;SCORE!$D1287,EVENTOS!$F:$F,0)),0)</f>
        <v>0</v>
      </c>
      <c r="U1287" s="3">
        <f>IFERROR(INDEX(EVENTOS!$D:$D,MATCH(SCORE!U$2&amp;" "&amp;SCORE!$D1287,EVENTOS!$F:$F,0)),0)</f>
        <v>0</v>
      </c>
      <c r="V1287" s="3">
        <f>IFERROR(INDEX(EVENTOS!$D:$D,MATCH(SCORE!V$2&amp;" "&amp;SCORE!$D1287,EVENTOS!$F:$F,0)),0)</f>
        <v>0</v>
      </c>
      <c r="W1287" s="3">
        <f>IFERROR(INDEX(EVENTOS!$D:$D,MATCH(SCORE!W$2&amp;" "&amp;SCORE!$D1287,EVENTOS!$F:$F,0)),0)</f>
        <v>0</v>
      </c>
      <c r="X1287" s="3">
        <f>IFERROR(INDEX(EVENTOS!$D:$D,MATCH(SCORE!X$2&amp;" "&amp;SCORE!$D1287,EVENTOS!$F:$F,0)),0)</f>
        <v>0</v>
      </c>
      <c r="Y1287" s="3">
        <f>SUMIFS(EVENTOS!$D:$D, EVENTOS!$B:$B, D1287, EVENTOS!$E:$E, "*GirAlto*")</f>
        <v>0</v>
      </c>
      <c r="Z1287" s="3">
        <f>SUMIFS(EVENTOS!$D:$D, EVENTOS!$B:$B, D1287, EVENTOS!$E:$E, "*GirMed*")</f>
        <v>0</v>
      </c>
      <c r="AA1287" s="3">
        <f>SUMIFS(EVENTOS!$D:$D, EVENTOS!$B:$B, D1287, EVENTOS!$E:$E, "*GirBajo*")</f>
        <v>0</v>
      </c>
      <c r="AB1287" s="3">
        <f>IFERROR(INDEX(EVENTOS!$D:$D,MATCH(SCORE!AB$2&amp;" "&amp;SCORE!$D1287,EVENTOS!$F:$F,0)),0)</f>
        <v>0</v>
      </c>
      <c r="AC1287" s="3">
        <f>IFERROR(INDEX(EVENTOS!$D:$D,MATCH(SCORE!AC$2&amp;" "&amp;SCORE!$D1287,EVENTOS!$F:$F,0)),0)</f>
        <v>0</v>
      </c>
      <c r="AD1287" s="3">
        <f>IFERROR(INDEX(EVENTOS!$D:$D,MATCH(SCORE!AD$2&amp;" "&amp;SCORE!$D1287,EVENTOS!$F:$F,0)),0)</f>
        <v>0</v>
      </c>
      <c r="AE1287" s="3">
        <f t="shared" si="60"/>
        <v>0</v>
      </c>
      <c r="AF1287" s="10" t="e">
        <f t="shared" si="61"/>
        <v>#N/A</v>
      </c>
      <c r="AG1287" s="3" t="str">
        <f t="shared" si="62"/>
        <v/>
      </c>
    </row>
    <row r="1288" spans="1:33" x14ac:dyDescent="0.25">
      <c r="A1288" s="7"/>
      <c r="B1288" s="8"/>
      <c r="C1288" s="3"/>
      <c r="D1288" s="3"/>
      <c r="E1288" s="3" t="e">
        <f>VLOOKUP(D1288,VIAJES!$D:$E,2,FALSE)</f>
        <v>#N/A</v>
      </c>
      <c r="F1288" s="9" t="e">
        <f>VLOOKUP(D1288,VIAJES!$D:$F,3,FALSE)</f>
        <v>#N/A</v>
      </c>
      <c r="G1288" s="9" t="e">
        <f>VLOOKUP(D1288,VIAJES!$D:$G,4,FALSE)</f>
        <v>#N/A</v>
      </c>
      <c r="H1288" s="3" t="e">
        <f>VLOOKUP(D1288,VIAJES!$D:$H,5,FALSE)</f>
        <v>#N/A</v>
      </c>
      <c r="S1288" s="3">
        <f>IFERROR(INDEX(EVENTOS!$D:$D,MATCH(SCORE!S$2&amp;" "&amp;SCORE!$D1288,EVENTOS!$F:$F,0)),0)</f>
        <v>0</v>
      </c>
      <c r="T1288" s="3">
        <f>IFERROR(INDEX(EVENTOS!$D:$D,MATCH(SCORE!T$2&amp;" "&amp;SCORE!$D1288,EVENTOS!$F:$F,0)),0)</f>
        <v>0</v>
      </c>
      <c r="U1288" s="3">
        <f>IFERROR(INDEX(EVENTOS!$D:$D,MATCH(SCORE!U$2&amp;" "&amp;SCORE!$D1288,EVENTOS!$F:$F,0)),0)</f>
        <v>0</v>
      </c>
      <c r="V1288" s="3">
        <f>IFERROR(INDEX(EVENTOS!$D:$D,MATCH(SCORE!V$2&amp;" "&amp;SCORE!$D1288,EVENTOS!$F:$F,0)),0)</f>
        <v>0</v>
      </c>
      <c r="W1288" s="3">
        <f>IFERROR(INDEX(EVENTOS!$D:$D,MATCH(SCORE!W$2&amp;" "&amp;SCORE!$D1288,EVENTOS!$F:$F,0)),0)</f>
        <v>0</v>
      </c>
      <c r="X1288" s="3">
        <f>IFERROR(INDEX(EVENTOS!$D:$D,MATCH(SCORE!X$2&amp;" "&amp;SCORE!$D1288,EVENTOS!$F:$F,0)),0)</f>
        <v>0</v>
      </c>
      <c r="Y1288" s="3">
        <f>SUMIFS(EVENTOS!$D:$D, EVENTOS!$B:$B, D1288, EVENTOS!$E:$E, "*GirAlto*")</f>
        <v>0</v>
      </c>
      <c r="Z1288" s="3">
        <f>SUMIFS(EVENTOS!$D:$D, EVENTOS!$B:$B, D1288, EVENTOS!$E:$E, "*GirMed*")</f>
        <v>0</v>
      </c>
      <c r="AA1288" s="3">
        <f>SUMIFS(EVENTOS!$D:$D, EVENTOS!$B:$B, D1288, EVENTOS!$E:$E, "*GirBajo*")</f>
        <v>0</v>
      </c>
      <c r="AB1288" s="3">
        <f>IFERROR(INDEX(EVENTOS!$D:$D,MATCH(SCORE!AB$2&amp;" "&amp;SCORE!$D1288,EVENTOS!$F:$F,0)),0)</f>
        <v>0</v>
      </c>
      <c r="AC1288" s="3">
        <f>IFERROR(INDEX(EVENTOS!$D:$D,MATCH(SCORE!AC$2&amp;" "&amp;SCORE!$D1288,EVENTOS!$F:$F,0)),0)</f>
        <v>0</v>
      </c>
      <c r="AD1288" s="3">
        <f>IFERROR(INDEX(EVENTOS!$D:$D,MATCH(SCORE!AD$2&amp;" "&amp;SCORE!$D1288,EVENTOS!$F:$F,0)),0)</f>
        <v>0</v>
      </c>
      <c r="AE1288" s="3">
        <f t="shared" si="60"/>
        <v>0</v>
      </c>
      <c r="AF1288" s="10" t="e">
        <f t="shared" si="61"/>
        <v>#N/A</v>
      </c>
      <c r="AG1288" s="3" t="str">
        <f t="shared" si="62"/>
        <v/>
      </c>
    </row>
    <row r="1289" spans="1:33" x14ac:dyDescent="0.25">
      <c r="A1289" s="7"/>
      <c r="B1289" s="8"/>
      <c r="C1289" s="3"/>
      <c r="D1289" s="3"/>
      <c r="E1289" s="3" t="e">
        <f>VLOOKUP(D1289,VIAJES!$D:$E,2,FALSE)</f>
        <v>#N/A</v>
      </c>
      <c r="F1289" s="9" t="e">
        <f>VLOOKUP(D1289,VIAJES!$D:$F,3,FALSE)</f>
        <v>#N/A</v>
      </c>
      <c r="G1289" s="9" t="e">
        <f>VLOOKUP(D1289,VIAJES!$D:$G,4,FALSE)</f>
        <v>#N/A</v>
      </c>
      <c r="H1289" s="3" t="e">
        <f>VLOOKUP(D1289,VIAJES!$D:$H,5,FALSE)</f>
        <v>#N/A</v>
      </c>
      <c r="S1289" s="3">
        <f>IFERROR(INDEX(EVENTOS!$D:$D,MATCH(SCORE!S$2&amp;" "&amp;SCORE!$D1289,EVENTOS!$F:$F,0)),0)</f>
        <v>0</v>
      </c>
      <c r="T1289" s="3">
        <f>IFERROR(INDEX(EVENTOS!$D:$D,MATCH(SCORE!T$2&amp;" "&amp;SCORE!$D1289,EVENTOS!$F:$F,0)),0)</f>
        <v>0</v>
      </c>
      <c r="U1289" s="3">
        <f>IFERROR(INDEX(EVENTOS!$D:$D,MATCH(SCORE!U$2&amp;" "&amp;SCORE!$D1289,EVENTOS!$F:$F,0)),0)</f>
        <v>0</v>
      </c>
      <c r="V1289" s="3">
        <f>IFERROR(INDEX(EVENTOS!$D:$D,MATCH(SCORE!V$2&amp;" "&amp;SCORE!$D1289,EVENTOS!$F:$F,0)),0)</f>
        <v>0</v>
      </c>
      <c r="W1289" s="3">
        <f>IFERROR(INDEX(EVENTOS!$D:$D,MATCH(SCORE!W$2&amp;" "&amp;SCORE!$D1289,EVENTOS!$F:$F,0)),0)</f>
        <v>0</v>
      </c>
      <c r="X1289" s="3">
        <f>IFERROR(INDEX(EVENTOS!$D:$D,MATCH(SCORE!X$2&amp;" "&amp;SCORE!$D1289,EVENTOS!$F:$F,0)),0)</f>
        <v>0</v>
      </c>
      <c r="Y1289" s="3">
        <f>SUMIFS(EVENTOS!$D:$D, EVENTOS!$B:$B, D1289, EVENTOS!$E:$E, "*GirAlto*")</f>
        <v>0</v>
      </c>
      <c r="Z1289" s="3">
        <f>SUMIFS(EVENTOS!$D:$D, EVENTOS!$B:$B, D1289, EVENTOS!$E:$E, "*GirMed*")</f>
        <v>0</v>
      </c>
      <c r="AA1289" s="3">
        <f>SUMIFS(EVENTOS!$D:$D, EVENTOS!$B:$B, D1289, EVENTOS!$E:$E, "*GirBajo*")</f>
        <v>0</v>
      </c>
      <c r="AB1289" s="3">
        <f>IFERROR(INDEX(EVENTOS!$D:$D,MATCH(SCORE!AB$2&amp;" "&amp;SCORE!$D1289,EVENTOS!$F:$F,0)),0)</f>
        <v>0</v>
      </c>
      <c r="AC1289" s="3">
        <f>IFERROR(INDEX(EVENTOS!$D:$D,MATCH(SCORE!AC$2&amp;" "&amp;SCORE!$D1289,EVENTOS!$F:$F,0)),0)</f>
        <v>0</v>
      </c>
      <c r="AD1289" s="3">
        <f>IFERROR(INDEX(EVENTOS!$D:$D,MATCH(SCORE!AD$2&amp;" "&amp;SCORE!$D1289,EVENTOS!$F:$F,0)),0)</f>
        <v>0</v>
      </c>
      <c r="AE1289" s="3">
        <f t="shared" si="60"/>
        <v>0</v>
      </c>
      <c r="AF1289" s="10" t="e">
        <f t="shared" si="61"/>
        <v>#N/A</v>
      </c>
      <c r="AG1289" s="3" t="str">
        <f t="shared" si="62"/>
        <v/>
      </c>
    </row>
    <row r="1290" spans="1:33" x14ac:dyDescent="0.25">
      <c r="A1290" s="7"/>
      <c r="B1290" s="8"/>
      <c r="C1290" s="3"/>
      <c r="D1290" s="3"/>
      <c r="E1290" s="3" t="e">
        <f>VLOOKUP(D1290,VIAJES!$D:$E,2,FALSE)</f>
        <v>#N/A</v>
      </c>
      <c r="F1290" s="9" t="e">
        <f>VLOOKUP(D1290,VIAJES!$D:$F,3,FALSE)</f>
        <v>#N/A</v>
      </c>
      <c r="G1290" s="9" t="e">
        <f>VLOOKUP(D1290,VIAJES!$D:$G,4,FALSE)</f>
        <v>#N/A</v>
      </c>
      <c r="H1290" s="3" t="e">
        <f>VLOOKUP(D1290,VIAJES!$D:$H,5,FALSE)</f>
        <v>#N/A</v>
      </c>
      <c r="S1290" s="3">
        <f>IFERROR(INDEX(EVENTOS!$D:$D,MATCH(SCORE!S$2&amp;" "&amp;SCORE!$D1290,EVENTOS!$F:$F,0)),0)</f>
        <v>0</v>
      </c>
      <c r="T1290" s="3">
        <f>IFERROR(INDEX(EVENTOS!$D:$D,MATCH(SCORE!T$2&amp;" "&amp;SCORE!$D1290,EVENTOS!$F:$F,0)),0)</f>
        <v>0</v>
      </c>
      <c r="U1290" s="3">
        <f>IFERROR(INDEX(EVENTOS!$D:$D,MATCH(SCORE!U$2&amp;" "&amp;SCORE!$D1290,EVENTOS!$F:$F,0)),0)</f>
        <v>0</v>
      </c>
      <c r="V1290" s="3">
        <f>IFERROR(INDEX(EVENTOS!$D:$D,MATCH(SCORE!V$2&amp;" "&amp;SCORE!$D1290,EVENTOS!$F:$F,0)),0)</f>
        <v>0</v>
      </c>
      <c r="W1290" s="3">
        <f>IFERROR(INDEX(EVENTOS!$D:$D,MATCH(SCORE!W$2&amp;" "&amp;SCORE!$D1290,EVENTOS!$F:$F,0)),0)</f>
        <v>0</v>
      </c>
      <c r="X1290" s="3">
        <f>IFERROR(INDEX(EVENTOS!$D:$D,MATCH(SCORE!X$2&amp;" "&amp;SCORE!$D1290,EVENTOS!$F:$F,0)),0)</f>
        <v>0</v>
      </c>
      <c r="Y1290" s="3">
        <f>SUMIFS(EVENTOS!$D:$D, EVENTOS!$B:$B, D1290, EVENTOS!$E:$E, "*GirAlto*")</f>
        <v>0</v>
      </c>
      <c r="Z1290" s="3">
        <f>SUMIFS(EVENTOS!$D:$D, EVENTOS!$B:$B, D1290, EVENTOS!$E:$E, "*GirMed*")</f>
        <v>0</v>
      </c>
      <c r="AA1290" s="3">
        <f>SUMIFS(EVENTOS!$D:$D, EVENTOS!$B:$B, D1290, EVENTOS!$E:$E, "*GirBajo*")</f>
        <v>0</v>
      </c>
      <c r="AB1290" s="3">
        <f>IFERROR(INDEX(EVENTOS!$D:$D,MATCH(SCORE!AB$2&amp;" "&amp;SCORE!$D1290,EVENTOS!$F:$F,0)),0)</f>
        <v>0</v>
      </c>
      <c r="AC1290" s="3">
        <f>IFERROR(INDEX(EVENTOS!$D:$D,MATCH(SCORE!AC$2&amp;" "&amp;SCORE!$D1290,EVENTOS!$F:$F,0)),0)</f>
        <v>0</v>
      </c>
      <c r="AD1290" s="3">
        <f>IFERROR(INDEX(EVENTOS!$D:$D,MATCH(SCORE!AD$2&amp;" "&amp;SCORE!$D1290,EVENTOS!$F:$F,0)),0)</f>
        <v>0</v>
      </c>
      <c r="AE1290" s="3">
        <f t="shared" si="60"/>
        <v>0</v>
      </c>
      <c r="AF1290" s="10" t="e">
        <f t="shared" si="61"/>
        <v>#N/A</v>
      </c>
      <c r="AG1290" s="3" t="str">
        <f t="shared" si="62"/>
        <v/>
      </c>
    </row>
    <row r="1291" spans="1:33" x14ac:dyDescent="0.25">
      <c r="A1291" s="7"/>
      <c r="B1291" s="8"/>
      <c r="C1291" s="3"/>
      <c r="D1291" s="3"/>
      <c r="E1291" s="3" t="e">
        <f>VLOOKUP(D1291,VIAJES!$D:$E,2,FALSE)</f>
        <v>#N/A</v>
      </c>
      <c r="F1291" s="9" t="e">
        <f>VLOOKUP(D1291,VIAJES!$D:$F,3,FALSE)</f>
        <v>#N/A</v>
      </c>
      <c r="G1291" s="9" t="e">
        <f>VLOOKUP(D1291,VIAJES!$D:$G,4,FALSE)</f>
        <v>#N/A</v>
      </c>
      <c r="H1291" s="3" t="e">
        <f>VLOOKUP(D1291,VIAJES!$D:$H,5,FALSE)</f>
        <v>#N/A</v>
      </c>
      <c r="S1291" s="3">
        <f>IFERROR(INDEX(EVENTOS!$D:$D,MATCH(SCORE!S$2&amp;" "&amp;SCORE!$D1291,EVENTOS!$F:$F,0)),0)</f>
        <v>0</v>
      </c>
      <c r="T1291" s="3">
        <f>IFERROR(INDEX(EVENTOS!$D:$D,MATCH(SCORE!T$2&amp;" "&amp;SCORE!$D1291,EVENTOS!$F:$F,0)),0)</f>
        <v>0</v>
      </c>
      <c r="U1291" s="3">
        <f>IFERROR(INDEX(EVENTOS!$D:$D,MATCH(SCORE!U$2&amp;" "&amp;SCORE!$D1291,EVENTOS!$F:$F,0)),0)</f>
        <v>0</v>
      </c>
      <c r="V1291" s="3">
        <f>IFERROR(INDEX(EVENTOS!$D:$D,MATCH(SCORE!V$2&amp;" "&amp;SCORE!$D1291,EVENTOS!$F:$F,0)),0)</f>
        <v>0</v>
      </c>
      <c r="W1291" s="3">
        <f>IFERROR(INDEX(EVENTOS!$D:$D,MATCH(SCORE!W$2&amp;" "&amp;SCORE!$D1291,EVENTOS!$F:$F,0)),0)</f>
        <v>0</v>
      </c>
      <c r="X1291" s="3">
        <f>IFERROR(INDEX(EVENTOS!$D:$D,MATCH(SCORE!X$2&amp;" "&amp;SCORE!$D1291,EVENTOS!$F:$F,0)),0)</f>
        <v>0</v>
      </c>
      <c r="Y1291" s="3">
        <f>SUMIFS(EVENTOS!$D:$D, EVENTOS!$B:$B, D1291, EVENTOS!$E:$E, "*GirAlto*")</f>
        <v>0</v>
      </c>
      <c r="Z1291" s="3">
        <f>SUMIFS(EVENTOS!$D:$D, EVENTOS!$B:$B, D1291, EVENTOS!$E:$E, "*GirMed*")</f>
        <v>0</v>
      </c>
      <c r="AA1291" s="3">
        <f>SUMIFS(EVENTOS!$D:$D, EVENTOS!$B:$B, D1291, EVENTOS!$E:$E, "*GirBajo*")</f>
        <v>0</v>
      </c>
      <c r="AB1291" s="3">
        <f>IFERROR(INDEX(EVENTOS!$D:$D,MATCH(SCORE!AB$2&amp;" "&amp;SCORE!$D1291,EVENTOS!$F:$F,0)),0)</f>
        <v>0</v>
      </c>
      <c r="AC1291" s="3">
        <f>IFERROR(INDEX(EVENTOS!$D:$D,MATCH(SCORE!AC$2&amp;" "&amp;SCORE!$D1291,EVENTOS!$F:$F,0)),0)</f>
        <v>0</v>
      </c>
      <c r="AD1291" s="3">
        <f>IFERROR(INDEX(EVENTOS!$D:$D,MATCH(SCORE!AD$2&amp;" "&amp;SCORE!$D1291,EVENTOS!$F:$F,0)),0)</f>
        <v>0</v>
      </c>
      <c r="AE1291" s="3">
        <f t="shared" si="60"/>
        <v>0</v>
      </c>
      <c r="AF1291" s="10" t="e">
        <f t="shared" si="61"/>
        <v>#N/A</v>
      </c>
      <c r="AG1291" s="3" t="str">
        <f t="shared" si="62"/>
        <v/>
      </c>
    </row>
    <row r="1292" spans="1:33" x14ac:dyDescent="0.25">
      <c r="A1292" s="7"/>
      <c r="B1292" s="8"/>
      <c r="C1292" s="3"/>
      <c r="D1292" s="3"/>
      <c r="E1292" s="3" t="e">
        <f>VLOOKUP(D1292,VIAJES!$D:$E,2,FALSE)</f>
        <v>#N/A</v>
      </c>
      <c r="F1292" s="9" t="e">
        <f>VLOOKUP(D1292,VIAJES!$D:$F,3,FALSE)</f>
        <v>#N/A</v>
      </c>
      <c r="G1292" s="9" t="e">
        <f>VLOOKUP(D1292,VIAJES!$D:$G,4,FALSE)</f>
        <v>#N/A</v>
      </c>
      <c r="H1292" s="3" t="e">
        <f>VLOOKUP(D1292,VIAJES!$D:$H,5,FALSE)</f>
        <v>#N/A</v>
      </c>
      <c r="S1292" s="3">
        <f>IFERROR(INDEX(EVENTOS!$D:$D,MATCH(SCORE!S$2&amp;" "&amp;SCORE!$D1292,EVENTOS!$F:$F,0)),0)</f>
        <v>0</v>
      </c>
      <c r="T1292" s="3">
        <f>IFERROR(INDEX(EVENTOS!$D:$D,MATCH(SCORE!T$2&amp;" "&amp;SCORE!$D1292,EVENTOS!$F:$F,0)),0)</f>
        <v>0</v>
      </c>
      <c r="U1292" s="3">
        <f>IFERROR(INDEX(EVENTOS!$D:$D,MATCH(SCORE!U$2&amp;" "&amp;SCORE!$D1292,EVENTOS!$F:$F,0)),0)</f>
        <v>0</v>
      </c>
      <c r="V1292" s="3">
        <f>IFERROR(INDEX(EVENTOS!$D:$D,MATCH(SCORE!V$2&amp;" "&amp;SCORE!$D1292,EVENTOS!$F:$F,0)),0)</f>
        <v>0</v>
      </c>
      <c r="W1292" s="3">
        <f>IFERROR(INDEX(EVENTOS!$D:$D,MATCH(SCORE!W$2&amp;" "&amp;SCORE!$D1292,EVENTOS!$F:$F,0)),0)</f>
        <v>0</v>
      </c>
      <c r="X1292" s="3">
        <f>IFERROR(INDEX(EVENTOS!$D:$D,MATCH(SCORE!X$2&amp;" "&amp;SCORE!$D1292,EVENTOS!$F:$F,0)),0)</f>
        <v>0</v>
      </c>
      <c r="Y1292" s="3">
        <f>SUMIFS(EVENTOS!$D:$D, EVENTOS!$B:$B, D1292, EVENTOS!$E:$E, "*GirAlto*")</f>
        <v>0</v>
      </c>
      <c r="Z1292" s="3">
        <f>SUMIFS(EVENTOS!$D:$D, EVENTOS!$B:$B, D1292, EVENTOS!$E:$E, "*GirMed*")</f>
        <v>0</v>
      </c>
      <c r="AA1292" s="3">
        <f>SUMIFS(EVENTOS!$D:$D, EVENTOS!$B:$B, D1292, EVENTOS!$E:$E, "*GirBajo*")</f>
        <v>0</v>
      </c>
      <c r="AB1292" s="3">
        <f>IFERROR(INDEX(EVENTOS!$D:$D,MATCH(SCORE!AB$2&amp;" "&amp;SCORE!$D1292,EVENTOS!$F:$F,0)),0)</f>
        <v>0</v>
      </c>
      <c r="AC1292" s="3">
        <f>IFERROR(INDEX(EVENTOS!$D:$D,MATCH(SCORE!AC$2&amp;" "&amp;SCORE!$D1292,EVENTOS!$F:$F,0)),0)</f>
        <v>0</v>
      </c>
      <c r="AD1292" s="3">
        <f>IFERROR(INDEX(EVENTOS!$D:$D,MATCH(SCORE!AD$2&amp;" "&amp;SCORE!$D1292,EVENTOS!$F:$F,0)),0)</f>
        <v>0</v>
      </c>
      <c r="AE1292" s="3">
        <f t="shared" si="60"/>
        <v>0</v>
      </c>
      <c r="AF1292" s="10" t="e">
        <f t="shared" si="61"/>
        <v>#N/A</v>
      </c>
      <c r="AG1292" s="3" t="str">
        <f t="shared" si="62"/>
        <v/>
      </c>
    </row>
    <row r="1293" spans="1:33" x14ac:dyDescent="0.25">
      <c r="A1293" s="7"/>
      <c r="B1293" s="8"/>
      <c r="C1293" s="3"/>
      <c r="D1293" s="3"/>
      <c r="E1293" s="3" t="e">
        <f>VLOOKUP(D1293,VIAJES!$D:$E,2,FALSE)</f>
        <v>#N/A</v>
      </c>
      <c r="F1293" s="9" t="e">
        <f>VLOOKUP(D1293,VIAJES!$D:$F,3,FALSE)</f>
        <v>#N/A</v>
      </c>
      <c r="G1293" s="9" t="e">
        <f>VLOOKUP(D1293,VIAJES!$D:$G,4,FALSE)</f>
        <v>#N/A</v>
      </c>
      <c r="H1293" s="3" t="e">
        <f>VLOOKUP(D1293,VIAJES!$D:$H,5,FALSE)</f>
        <v>#N/A</v>
      </c>
      <c r="S1293" s="3">
        <f>IFERROR(INDEX(EVENTOS!$D:$D,MATCH(SCORE!S$2&amp;" "&amp;SCORE!$D1293,EVENTOS!$F:$F,0)),0)</f>
        <v>0</v>
      </c>
      <c r="T1293" s="3">
        <f>IFERROR(INDEX(EVENTOS!$D:$D,MATCH(SCORE!T$2&amp;" "&amp;SCORE!$D1293,EVENTOS!$F:$F,0)),0)</f>
        <v>0</v>
      </c>
      <c r="U1293" s="3">
        <f>IFERROR(INDEX(EVENTOS!$D:$D,MATCH(SCORE!U$2&amp;" "&amp;SCORE!$D1293,EVENTOS!$F:$F,0)),0)</f>
        <v>0</v>
      </c>
      <c r="V1293" s="3">
        <f>IFERROR(INDEX(EVENTOS!$D:$D,MATCH(SCORE!V$2&amp;" "&amp;SCORE!$D1293,EVENTOS!$F:$F,0)),0)</f>
        <v>0</v>
      </c>
      <c r="W1293" s="3">
        <f>IFERROR(INDEX(EVENTOS!$D:$D,MATCH(SCORE!W$2&amp;" "&amp;SCORE!$D1293,EVENTOS!$F:$F,0)),0)</f>
        <v>0</v>
      </c>
      <c r="X1293" s="3">
        <f>IFERROR(INDEX(EVENTOS!$D:$D,MATCH(SCORE!X$2&amp;" "&amp;SCORE!$D1293,EVENTOS!$F:$F,0)),0)</f>
        <v>0</v>
      </c>
      <c r="Y1293" s="3">
        <f>SUMIFS(EVENTOS!$D:$D, EVENTOS!$B:$B, D1293, EVENTOS!$E:$E, "*GirAlto*")</f>
        <v>0</v>
      </c>
      <c r="Z1293" s="3">
        <f>SUMIFS(EVENTOS!$D:$D, EVENTOS!$B:$B, D1293, EVENTOS!$E:$E, "*GirMed*")</f>
        <v>0</v>
      </c>
      <c r="AA1293" s="3">
        <f>SUMIFS(EVENTOS!$D:$D, EVENTOS!$B:$B, D1293, EVENTOS!$E:$E, "*GirBajo*")</f>
        <v>0</v>
      </c>
      <c r="AB1293" s="3">
        <f>IFERROR(INDEX(EVENTOS!$D:$D,MATCH(SCORE!AB$2&amp;" "&amp;SCORE!$D1293,EVENTOS!$F:$F,0)),0)</f>
        <v>0</v>
      </c>
      <c r="AC1293" s="3">
        <f>IFERROR(INDEX(EVENTOS!$D:$D,MATCH(SCORE!AC$2&amp;" "&amp;SCORE!$D1293,EVENTOS!$F:$F,0)),0)</f>
        <v>0</v>
      </c>
      <c r="AD1293" s="3">
        <f>IFERROR(INDEX(EVENTOS!$D:$D,MATCH(SCORE!AD$2&amp;" "&amp;SCORE!$D1293,EVENTOS!$F:$F,0)),0)</f>
        <v>0</v>
      </c>
      <c r="AE1293" s="3">
        <f t="shared" si="60"/>
        <v>0</v>
      </c>
      <c r="AF1293" s="10" t="e">
        <f t="shared" si="61"/>
        <v>#N/A</v>
      </c>
      <c r="AG1293" s="3" t="str">
        <f t="shared" si="62"/>
        <v/>
      </c>
    </row>
    <row r="1294" spans="1:33" x14ac:dyDescent="0.25">
      <c r="A1294" s="7"/>
      <c r="B1294" s="8"/>
      <c r="C1294" s="3"/>
      <c r="D1294" s="3"/>
      <c r="E1294" s="3" t="e">
        <f>VLOOKUP(D1294,VIAJES!$D:$E,2,FALSE)</f>
        <v>#N/A</v>
      </c>
      <c r="F1294" s="9" t="e">
        <f>VLOOKUP(D1294,VIAJES!$D:$F,3,FALSE)</f>
        <v>#N/A</v>
      </c>
      <c r="G1294" s="9" t="e">
        <f>VLOOKUP(D1294,VIAJES!$D:$G,4,FALSE)</f>
        <v>#N/A</v>
      </c>
      <c r="H1294" s="3" t="e">
        <f>VLOOKUP(D1294,VIAJES!$D:$H,5,FALSE)</f>
        <v>#N/A</v>
      </c>
      <c r="S1294" s="3">
        <f>IFERROR(INDEX(EVENTOS!$D:$D,MATCH(SCORE!S$2&amp;" "&amp;SCORE!$D1294,EVENTOS!$F:$F,0)),0)</f>
        <v>0</v>
      </c>
      <c r="T1294" s="3">
        <f>IFERROR(INDEX(EVENTOS!$D:$D,MATCH(SCORE!T$2&amp;" "&amp;SCORE!$D1294,EVENTOS!$F:$F,0)),0)</f>
        <v>0</v>
      </c>
      <c r="U1294" s="3">
        <f>IFERROR(INDEX(EVENTOS!$D:$D,MATCH(SCORE!U$2&amp;" "&amp;SCORE!$D1294,EVENTOS!$F:$F,0)),0)</f>
        <v>0</v>
      </c>
      <c r="V1294" s="3">
        <f>IFERROR(INDEX(EVENTOS!$D:$D,MATCH(SCORE!V$2&amp;" "&amp;SCORE!$D1294,EVENTOS!$F:$F,0)),0)</f>
        <v>0</v>
      </c>
      <c r="W1294" s="3">
        <f>IFERROR(INDEX(EVENTOS!$D:$D,MATCH(SCORE!W$2&amp;" "&amp;SCORE!$D1294,EVENTOS!$F:$F,0)),0)</f>
        <v>0</v>
      </c>
      <c r="X1294" s="3">
        <f>IFERROR(INDEX(EVENTOS!$D:$D,MATCH(SCORE!X$2&amp;" "&amp;SCORE!$D1294,EVENTOS!$F:$F,0)),0)</f>
        <v>0</v>
      </c>
      <c r="Y1294" s="3">
        <f>SUMIFS(EVENTOS!$D:$D, EVENTOS!$B:$B, D1294, EVENTOS!$E:$E, "*GirAlto*")</f>
        <v>0</v>
      </c>
      <c r="Z1294" s="3">
        <f>SUMIFS(EVENTOS!$D:$D, EVENTOS!$B:$B, D1294, EVENTOS!$E:$E, "*GirMed*")</f>
        <v>0</v>
      </c>
      <c r="AA1294" s="3">
        <f>SUMIFS(EVENTOS!$D:$D, EVENTOS!$B:$B, D1294, EVENTOS!$E:$E, "*GirBajo*")</f>
        <v>0</v>
      </c>
      <c r="AB1294" s="3">
        <f>IFERROR(INDEX(EVENTOS!$D:$D,MATCH(SCORE!AB$2&amp;" "&amp;SCORE!$D1294,EVENTOS!$F:$F,0)),0)</f>
        <v>0</v>
      </c>
      <c r="AC1294" s="3">
        <f>IFERROR(INDEX(EVENTOS!$D:$D,MATCH(SCORE!AC$2&amp;" "&amp;SCORE!$D1294,EVENTOS!$F:$F,0)),0)</f>
        <v>0</v>
      </c>
      <c r="AD1294" s="3">
        <f>IFERROR(INDEX(EVENTOS!$D:$D,MATCH(SCORE!AD$2&amp;" "&amp;SCORE!$D1294,EVENTOS!$F:$F,0)),0)</f>
        <v>0</v>
      </c>
      <c r="AE1294" s="3">
        <f t="shared" si="60"/>
        <v>0</v>
      </c>
      <c r="AF1294" s="10" t="e">
        <f t="shared" si="61"/>
        <v>#N/A</v>
      </c>
      <c r="AG1294" s="3" t="str">
        <f t="shared" si="62"/>
        <v/>
      </c>
    </row>
    <row r="1295" spans="1:33" x14ac:dyDescent="0.25">
      <c r="A1295" s="7"/>
      <c r="B1295" s="8"/>
      <c r="C1295" s="3"/>
      <c r="D1295" s="3"/>
      <c r="E1295" s="3" t="e">
        <f>VLOOKUP(D1295,VIAJES!$D:$E,2,FALSE)</f>
        <v>#N/A</v>
      </c>
      <c r="F1295" s="9" t="e">
        <f>VLOOKUP(D1295,VIAJES!$D:$F,3,FALSE)</f>
        <v>#N/A</v>
      </c>
      <c r="G1295" s="9" t="e">
        <f>VLOOKUP(D1295,VIAJES!$D:$G,4,FALSE)</f>
        <v>#N/A</v>
      </c>
      <c r="H1295" s="3" t="e">
        <f>VLOOKUP(D1295,VIAJES!$D:$H,5,FALSE)</f>
        <v>#N/A</v>
      </c>
      <c r="S1295" s="3">
        <f>IFERROR(INDEX(EVENTOS!$D:$D,MATCH(SCORE!S$2&amp;" "&amp;SCORE!$D1295,EVENTOS!$F:$F,0)),0)</f>
        <v>0</v>
      </c>
      <c r="T1295" s="3">
        <f>IFERROR(INDEX(EVENTOS!$D:$D,MATCH(SCORE!T$2&amp;" "&amp;SCORE!$D1295,EVENTOS!$F:$F,0)),0)</f>
        <v>0</v>
      </c>
      <c r="U1295" s="3">
        <f>IFERROR(INDEX(EVENTOS!$D:$D,MATCH(SCORE!U$2&amp;" "&amp;SCORE!$D1295,EVENTOS!$F:$F,0)),0)</f>
        <v>0</v>
      </c>
      <c r="V1295" s="3">
        <f>IFERROR(INDEX(EVENTOS!$D:$D,MATCH(SCORE!V$2&amp;" "&amp;SCORE!$D1295,EVENTOS!$F:$F,0)),0)</f>
        <v>0</v>
      </c>
      <c r="W1295" s="3">
        <f>IFERROR(INDEX(EVENTOS!$D:$D,MATCH(SCORE!W$2&amp;" "&amp;SCORE!$D1295,EVENTOS!$F:$F,0)),0)</f>
        <v>0</v>
      </c>
      <c r="X1295" s="3">
        <f>IFERROR(INDEX(EVENTOS!$D:$D,MATCH(SCORE!X$2&amp;" "&amp;SCORE!$D1295,EVENTOS!$F:$F,0)),0)</f>
        <v>0</v>
      </c>
      <c r="Y1295" s="3">
        <f>SUMIFS(EVENTOS!$D:$D, EVENTOS!$B:$B, D1295, EVENTOS!$E:$E, "*GirAlto*")</f>
        <v>0</v>
      </c>
      <c r="Z1295" s="3">
        <f>SUMIFS(EVENTOS!$D:$D, EVENTOS!$B:$B, D1295, EVENTOS!$E:$E, "*GirMed*")</f>
        <v>0</v>
      </c>
      <c r="AA1295" s="3">
        <f>SUMIFS(EVENTOS!$D:$D, EVENTOS!$B:$B, D1295, EVENTOS!$E:$E, "*GirBajo*")</f>
        <v>0</v>
      </c>
      <c r="AB1295" s="3">
        <f>IFERROR(INDEX(EVENTOS!$D:$D,MATCH(SCORE!AB$2&amp;" "&amp;SCORE!$D1295,EVENTOS!$F:$F,0)),0)</f>
        <v>0</v>
      </c>
      <c r="AC1295" s="3">
        <f>IFERROR(INDEX(EVENTOS!$D:$D,MATCH(SCORE!AC$2&amp;" "&amp;SCORE!$D1295,EVENTOS!$F:$F,0)),0)</f>
        <v>0</v>
      </c>
      <c r="AD1295" s="3">
        <f>IFERROR(INDEX(EVENTOS!$D:$D,MATCH(SCORE!AD$2&amp;" "&amp;SCORE!$D1295,EVENTOS!$F:$F,0)),0)</f>
        <v>0</v>
      </c>
      <c r="AE1295" s="3">
        <f t="shared" si="60"/>
        <v>0</v>
      </c>
      <c r="AF1295" s="10" t="e">
        <f t="shared" si="61"/>
        <v>#N/A</v>
      </c>
      <c r="AG1295" s="3" t="str">
        <f t="shared" si="62"/>
        <v/>
      </c>
    </row>
    <row r="1296" spans="1:33" x14ac:dyDescent="0.25">
      <c r="A1296" s="7"/>
      <c r="B1296" s="8"/>
      <c r="C1296" s="3"/>
      <c r="D1296" s="3"/>
      <c r="E1296" s="3" t="e">
        <f>VLOOKUP(D1296,VIAJES!$D:$E,2,FALSE)</f>
        <v>#N/A</v>
      </c>
      <c r="F1296" s="9" t="e">
        <f>VLOOKUP(D1296,VIAJES!$D:$F,3,FALSE)</f>
        <v>#N/A</v>
      </c>
      <c r="G1296" s="9" t="e">
        <f>VLOOKUP(D1296,VIAJES!$D:$G,4,FALSE)</f>
        <v>#N/A</v>
      </c>
      <c r="H1296" s="3" t="e">
        <f>VLOOKUP(D1296,VIAJES!$D:$H,5,FALSE)</f>
        <v>#N/A</v>
      </c>
      <c r="S1296" s="3">
        <f>IFERROR(INDEX(EVENTOS!$D:$D,MATCH(SCORE!S$2&amp;" "&amp;SCORE!$D1296,EVENTOS!$F:$F,0)),0)</f>
        <v>0</v>
      </c>
      <c r="T1296" s="3">
        <f>IFERROR(INDEX(EVENTOS!$D:$D,MATCH(SCORE!T$2&amp;" "&amp;SCORE!$D1296,EVENTOS!$F:$F,0)),0)</f>
        <v>0</v>
      </c>
      <c r="U1296" s="3">
        <f>IFERROR(INDEX(EVENTOS!$D:$D,MATCH(SCORE!U$2&amp;" "&amp;SCORE!$D1296,EVENTOS!$F:$F,0)),0)</f>
        <v>0</v>
      </c>
      <c r="V1296" s="3">
        <f>IFERROR(INDEX(EVENTOS!$D:$D,MATCH(SCORE!V$2&amp;" "&amp;SCORE!$D1296,EVENTOS!$F:$F,0)),0)</f>
        <v>0</v>
      </c>
      <c r="W1296" s="3">
        <f>IFERROR(INDEX(EVENTOS!$D:$D,MATCH(SCORE!W$2&amp;" "&amp;SCORE!$D1296,EVENTOS!$F:$F,0)),0)</f>
        <v>0</v>
      </c>
      <c r="X1296" s="3">
        <f>IFERROR(INDEX(EVENTOS!$D:$D,MATCH(SCORE!X$2&amp;" "&amp;SCORE!$D1296,EVENTOS!$F:$F,0)),0)</f>
        <v>0</v>
      </c>
      <c r="Y1296" s="3">
        <f>SUMIFS(EVENTOS!$D:$D, EVENTOS!$B:$B, D1296, EVENTOS!$E:$E, "*GirAlto*")</f>
        <v>0</v>
      </c>
      <c r="Z1296" s="3">
        <f>SUMIFS(EVENTOS!$D:$D, EVENTOS!$B:$B, D1296, EVENTOS!$E:$E, "*GirMed*")</f>
        <v>0</v>
      </c>
      <c r="AA1296" s="3">
        <f>SUMIFS(EVENTOS!$D:$D, EVENTOS!$B:$B, D1296, EVENTOS!$E:$E, "*GirBajo*")</f>
        <v>0</v>
      </c>
      <c r="AB1296" s="3">
        <f>IFERROR(INDEX(EVENTOS!$D:$D,MATCH(SCORE!AB$2&amp;" "&amp;SCORE!$D1296,EVENTOS!$F:$F,0)),0)</f>
        <v>0</v>
      </c>
      <c r="AC1296" s="3">
        <f>IFERROR(INDEX(EVENTOS!$D:$D,MATCH(SCORE!AC$2&amp;" "&amp;SCORE!$D1296,EVENTOS!$F:$F,0)),0)</f>
        <v>0</v>
      </c>
      <c r="AD1296" s="3">
        <f>IFERROR(INDEX(EVENTOS!$D:$D,MATCH(SCORE!AD$2&amp;" "&amp;SCORE!$D1296,EVENTOS!$F:$F,0)),0)</f>
        <v>0</v>
      </c>
      <c r="AE1296" s="3">
        <f t="shared" si="60"/>
        <v>0</v>
      </c>
      <c r="AF1296" s="10" t="e">
        <f t="shared" si="61"/>
        <v>#N/A</v>
      </c>
      <c r="AG1296" s="3" t="str">
        <f t="shared" si="62"/>
        <v/>
      </c>
    </row>
    <row r="1297" spans="1:33" x14ac:dyDescent="0.25">
      <c r="A1297" s="7"/>
      <c r="B1297" s="8"/>
      <c r="C1297" s="3"/>
      <c r="D1297" s="3"/>
      <c r="E1297" s="3" t="e">
        <f>VLOOKUP(D1297,VIAJES!$D:$E,2,FALSE)</f>
        <v>#N/A</v>
      </c>
      <c r="F1297" s="9" t="e">
        <f>VLOOKUP(D1297,VIAJES!$D:$F,3,FALSE)</f>
        <v>#N/A</v>
      </c>
      <c r="G1297" s="9" t="e">
        <f>VLOOKUP(D1297,VIAJES!$D:$G,4,FALSE)</f>
        <v>#N/A</v>
      </c>
      <c r="H1297" s="3" t="e">
        <f>VLOOKUP(D1297,VIAJES!$D:$H,5,FALSE)</f>
        <v>#N/A</v>
      </c>
      <c r="S1297" s="3">
        <f>IFERROR(INDEX(EVENTOS!$D:$D,MATCH(SCORE!S$2&amp;" "&amp;SCORE!$D1297,EVENTOS!$F:$F,0)),0)</f>
        <v>0</v>
      </c>
      <c r="T1297" s="3">
        <f>IFERROR(INDEX(EVENTOS!$D:$D,MATCH(SCORE!T$2&amp;" "&amp;SCORE!$D1297,EVENTOS!$F:$F,0)),0)</f>
        <v>0</v>
      </c>
      <c r="U1297" s="3">
        <f>IFERROR(INDEX(EVENTOS!$D:$D,MATCH(SCORE!U$2&amp;" "&amp;SCORE!$D1297,EVENTOS!$F:$F,0)),0)</f>
        <v>0</v>
      </c>
      <c r="V1297" s="3">
        <f>IFERROR(INDEX(EVENTOS!$D:$D,MATCH(SCORE!V$2&amp;" "&amp;SCORE!$D1297,EVENTOS!$F:$F,0)),0)</f>
        <v>0</v>
      </c>
      <c r="W1297" s="3">
        <f>IFERROR(INDEX(EVENTOS!$D:$D,MATCH(SCORE!W$2&amp;" "&amp;SCORE!$D1297,EVENTOS!$F:$F,0)),0)</f>
        <v>0</v>
      </c>
      <c r="X1297" s="3">
        <f>IFERROR(INDEX(EVENTOS!$D:$D,MATCH(SCORE!X$2&amp;" "&amp;SCORE!$D1297,EVENTOS!$F:$F,0)),0)</f>
        <v>0</v>
      </c>
      <c r="Y1297" s="3">
        <f>SUMIFS(EVENTOS!$D:$D, EVENTOS!$B:$B, D1297, EVENTOS!$E:$E, "*GirAlto*")</f>
        <v>0</v>
      </c>
      <c r="Z1297" s="3">
        <f>SUMIFS(EVENTOS!$D:$D, EVENTOS!$B:$B, D1297, EVENTOS!$E:$E, "*GirMed*")</f>
        <v>0</v>
      </c>
      <c r="AA1297" s="3">
        <f>SUMIFS(EVENTOS!$D:$D, EVENTOS!$B:$B, D1297, EVENTOS!$E:$E, "*GirBajo*")</f>
        <v>0</v>
      </c>
      <c r="AB1297" s="3">
        <f>IFERROR(INDEX(EVENTOS!$D:$D,MATCH(SCORE!AB$2&amp;" "&amp;SCORE!$D1297,EVENTOS!$F:$F,0)),0)</f>
        <v>0</v>
      </c>
      <c r="AC1297" s="3">
        <f>IFERROR(INDEX(EVENTOS!$D:$D,MATCH(SCORE!AC$2&amp;" "&amp;SCORE!$D1297,EVENTOS!$F:$F,0)),0)</f>
        <v>0</v>
      </c>
      <c r="AD1297" s="3">
        <f>IFERROR(INDEX(EVENTOS!$D:$D,MATCH(SCORE!AD$2&amp;" "&amp;SCORE!$D1297,EVENTOS!$F:$F,0)),0)</f>
        <v>0</v>
      </c>
      <c r="AE1297" s="3">
        <f t="shared" si="60"/>
        <v>0</v>
      </c>
      <c r="AF1297" s="10" t="e">
        <f t="shared" si="61"/>
        <v>#N/A</v>
      </c>
      <c r="AG1297" s="3" t="str">
        <f t="shared" si="62"/>
        <v/>
      </c>
    </row>
    <row r="1298" spans="1:33" x14ac:dyDescent="0.25">
      <c r="A1298" s="7"/>
      <c r="B1298" s="8"/>
      <c r="C1298" s="3"/>
      <c r="D1298" s="3"/>
      <c r="E1298" s="3" t="e">
        <f>VLOOKUP(D1298,VIAJES!$D:$E,2,FALSE)</f>
        <v>#N/A</v>
      </c>
      <c r="F1298" s="9" t="e">
        <f>VLOOKUP(D1298,VIAJES!$D:$F,3,FALSE)</f>
        <v>#N/A</v>
      </c>
      <c r="G1298" s="9" t="e">
        <f>VLOOKUP(D1298,VIAJES!$D:$G,4,FALSE)</f>
        <v>#N/A</v>
      </c>
      <c r="H1298" s="3" t="e">
        <f>VLOOKUP(D1298,VIAJES!$D:$H,5,FALSE)</f>
        <v>#N/A</v>
      </c>
      <c r="S1298" s="3">
        <f>IFERROR(INDEX(EVENTOS!$D:$D,MATCH(SCORE!S$2&amp;" "&amp;SCORE!$D1298,EVENTOS!$F:$F,0)),0)</f>
        <v>0</v>
      </c>
      <c r="T1298" s="3">
        <f>IFERROR(INDEX(EVENTOS!$D:$D,MATCH(SCORE!T$2&amp;" "&amp;SCORE!$D1298,EVENTOS!$F:$F,0)),0)</f>
        <v>0</v>
      </c>
      <c r="U1298" s="3">
        <f>IFERROR(INDEX(EVENTOS!$D:$D,MATCH(SCORE!U$2&amp;" "&amp;SCORE!$D1298,EVENTOS!$F:$F,0)),0)</f>
        <v>0</v>
      </c>
      <c r="V1298" s="3">
        <f>IFERROR(INDEX(EVENTOS!$D:$D,MATCH(SCORE!V$2&amp;" "&amp;SCORE!$D1298,EVENTOS!$F:$F,0)),0)</f>
        <v>0</v>
      </c>
      <c r="W1298" s="3">
        <f>IFERROR(INDEX(EVENTOS!$D:$D,MATCH(SCORE!W$2&amp;" "&amp;SCORE!$D1298,EVENTOS!$F:$F,0)),0)</f>
        <v>0</v>
      </c>
      <c r="X1298" s="3">
        <f>IFERROR(INDEX(EVENTOS!$D:$D,MATCH(SCORE!X$2&amp;" "&amp;SCORE!$D1298,EVENTOS!$F:$F,0)),0)</f>
        <v>0</v>
      </c>
      <c r="Y1298" s="3">
        <f>SUMIFS(EVENTOS!$D:$D, EVENTOS!$B:$B, D1298, EVENTOS!$E:$E, "*GirAlto*")</f>
        <v>0</v>
      </c>
      <c r="Z1298" s="3">
        <f>SUMIFS(EVENTOS!$D:$D, EVENTOS!$B:$B, D1298, EVENTOS!$E:$E, "*GirMed*")</f>
        <v>0</v>
      </c>
      <c r="AA1298" s="3">
        <f>SUMIFS(EVENTOS!$D:$D, EVENTOS!$B:$B, D1298, EVENTOS!$E:$E, "*GirBajo*")</f>
        <v>0</v>
      </c>
      <c r="AB1298" s="3">
        <f>IFERROR(INDEX(EVENTOS!$D:$D,MATCH(SCORE!AB$2&amp;" "&amp;SCORE!$D1298,EVENTOS!$F:$F,0)),0)</f>
        <v>0</v>
      </c>
      <c r="AC1298" s="3">
        <f>IFERROR(INDEX(EVENTOS!$D:$D,MATCH(SCORE!AC$2&amp;" "&amp;SCORE!$D1298,EVENTOS!$F:$F,0)),0)</f>
        <v>0</v>
      </c>
      <c r="AD1298" s="3">
        <f>IFERROR(INDEX(EVENTOS!$D:$D,MATCH(SCORE!AD$2&amp;" "&amp;SCORE!$D1298,EVENTOS!$F:$F,0)),0)</f>
        <v>0</v>
      </c>
      <c r="AE1298" s="3">
        <f t="shared" si="60"/>
        <v>0</v>
      </c>
      <c r="AF1298" s="10" t="e">
        <f t="shared" si="61"/>
        <v>#N/A</v>
      </c>
      <c r="AG1298" s="3" t="str">
        <f t="shared" si="62"/>
        <v/>
      </c>
    </row>
    <row r="1299" spans="1:33" x14ac:dyDescent="0.25">
      <c r="A1299" s="7"/>
      <c r="B1299" s="8"/>
      <c r="C1299" s="3"/>
      <c r="D1299" s="3"/>
      <c r="E1299" s="3" t="e">
        <f>VLOOKUP(D1299,VIAJES!$D:$E,2,FALSE)</f>
        <v>#N/A</v>
      </c>
      <c r="F1299" s="9" t="e">
        <f>VLOOKUP(D1299,VIAJES!$D:$F,3,FALSE)</f>
        <v>#N/A</v>
      </c>
      <c r="G1299" s="9" t="e">
        <f>VLOOKUP(D1299,VIAJES!$D:$G,4,FALSE)</f>
        <v>#N/A</v>
      </c>
      <c r="H1299" s="3" t="e">
        <f>VLOOKUP(D1299,VIAJES!$D:$H,5,FALSE)</f>
        <v>#N/A</v>
      </c>
      <c r="S1299" s="3">
        <f>IFERROR(INDEX(EVENTOS!$D:$D,MATCH(SCORE!S$2&amp;" "&amp;SCORE!$D1299,EVENTOS!$F:$F,0)),0)</f>
        <v>0</v>
      </c>
      <c r="T1299" s="3">
        <f>IFERROR(INDEX(EVENTOS!$D:$D,MATCH(SCORE!T$2&amp;" "&amp;SCORE!$D1299,EVENTOS!$F:$F,0)),0)</f>
        <v>0</v>
      </c>
      <c r="U1299" s="3">
        <f>IFERROR(INDEX(EVENTOS!$D:$D,MATCH(SCORE!U$2&amp;" "&amp;SCORE!$D1299,EVENTOS!$F:$F,0)),0)</f>
        <v>0</v>
      </c>
      <c r="V1299" s="3">
        <f>IFERROR(INDEX(EVENTOS!$D:$D,MATCH(SCORE!V$2&amp;" "&amp;SCORE!$D1299,EVENTOS!$F:$F,0)),0)</f>
        <v>0</v>
      </c>
      <c r="W1299" s="3">
        <f>IFERROR(INDEX(EVENTOS!$D:$D,MATCH(SCORE!W$2&amp;" "&amp;SCORE!$D1299,EVENTOS!$F:$F,0)),0)</f>
        <v>0</v>
      </c>
      <c r="X1299" s="3">
        <f>IFERROR(INDEX(EVENTOS!$D:$D,MATCH(SCORE!X$2&amp;" "&amp;SCORE!$D1299,EVENTOS!$F:$F,0)),0)</f>
        <v>0</v>
      </c>
      <c r="Y1299" s="3">
        <f>SUMIFS(EVENTOS!$D:$D, EVENTOS!$B:$B, D1299, EVENTOS!$E:$E, "*GirAlto*")</f>
        <v>0</v>
      </c>
      <c r="Z1299" s="3">
        <f>SUMIFS(EVENTOS!$D:$D, EVENTOS!$B:$B, D1299, EVENTOS!$E:$E, "*GirMed*")</f>
        <v>0</v>
      </c>
      <c r="AA1299" s="3">
        <f>SUMIFS(EVENTOS!$D:$D, EVENTOS!$B:$B, D1299, EVENTOS!$E:$E, "*GirBajo*")</f>
        <v>0</v>
      </c>
      <c r="AB1299" s="3">
        <f>IFERROR(INDEX(EVENTOS!$D:$D,MATCH(SCORE!AB$2&amp;" "&amp;SCORE!$D1299,EVENTOS!$F:$F,0)),0)</f>
        <v>0</v>
      </c>
      <c r="AC1299" s="3">
        <f>IFERROR(INDEX(EVENTOS!$D:$D,MATCH(SCORE!AC$2&amp;" "&amp;SCORE!$D1299,EVENTOS!$F:$F,0)),0)</f>
        <v>0</v>
      </c>
      <c r="AD1299" s="3">
        <f>IFERROR(INDEX(EVENTOS!$D:$D,MATCH(SCORE!AD$2&amp;" "&amp;SCORE!$D1299,EVENTOS!$F:$F,0)),0)</f>
        <v>0</v>
      </c>
      <c r="AE1299" s="3">
        <f t="shared" si="60"/>
        <v>0</v>
      </c>
      <c r="AF1299" s="10" t="e">
        <f t="shared" si="61"/>
        <v>#N/A</v>
      </c>
      <c r="AG1299" s="3" t="str">
        <f t="shared" si="62"/>
        <v/>
      </c>
    </row>
    <row r="1300" spans="1:33" x14ac:dyDescent="0.25">
      <c r="A1300" s="7"/>
      <c r="B1300" s="8"/>
      <c r="C1300" s="3"/>
      <c r="D1300" s="3"/>
      <c r="E1300" s="3" t="e">
        <f>VLOOKUP(D1300,VIAJES!$D:$E,2,FALSE)</f>
        <v>#N/A</v>
      </c>
      <c r="F1300" s="9" t="e">
        <f>VLOOKUP(D1300,VIAJES!$D:$F,3,FALSE)</f>
        <v>#N/A</v>
      </c>
      <c r="G1300" s="9" t="e">
        <f>VLOOKUP(D1300,VIAJES!$D:$G,4,FALSE)</f>
        <v>#N/A</v>
      </c>
      <c r="H1300" s="3" t="e">
        <f>VLOOKUP(D1300,VIAJES!$D:$H,5,FALSE)</f>
        <v>#N/A</v>
      </c>
      <c r="S1300" s="3">
        <f>IFERROR(INDEX(EVENTOS!$D:$D,MATCH(SCORE!S$2&amp;" "&amp;SCORE!$D1300,EVENTOS!$F:$F,0)),0)</f>
        <v>0</v>
      </c>
      <c r="T1300" s="3">
        <f>IFERROR(INDEX(EVENTOS!$D:$D,MATCH(SCORE!T$2&amp;" "&amp;SCORE!$D1300,EVENTOS!$F:$F,0)),0)</f>
        <v>0</v>
      </c>
      <c r="U1300" s="3">
        <f>IFERROR(INDEX(EVENTOS!$D:$D,MATCH(SCORE!U$2&amp;" "&amp;SCORE!$D1300,EVENTOS!$F:$F,0)),0)</f>
        <v>0</v>
      </c>
      <c r="V1300" s="3">
        <f>IFERROR(INDEX(EVENTOS!$D:$D,MATCH(SCORE!V$2&amp;" "&amp;SCORE!$D1300,EVENTOS!$F:$F,0)),0)</f>
        <v>0</v>
      </c>
      <c r="W1300" s="3">
        <f>IFERROR(INDEX(EVENTOS!$D:$D,MATCH(SCORE!W$2&amp;" "&amp;SCORE!$D1300,EVENTOS!$F:$F,0)),0)</f>
        <v>0</v>
      </c>
      <c r="X1300" s="3">
        <f>IFERROR(INDEX(EVENTOS!$D:$D,MATCH(SCORE!X$2&amp;" "&amp;SCORE!$D1300,EVENTOS!$F:$F,0)),0)</f>
        <v>0</v>
      </c>
      <c r="Y1300" s="3">
        <f>SUMIFS(EVENTOS!$D:$D, EVENTOS!$B:$B, D1300, EVENTOS!$E:$E, "*GirAlto*")</f>
        <v>0</v>
      </c>
      <c r="Z1300" s="3">
        <f>SUMIFS(EVENTOS!$D:$D, EVENTOS!$B:$B, D1300, EVENTOS!$E:$E, "*GirMed*")</f>
        <v>0</v>
      </c>
      <c r="AA1300" s="3">
        <f>SUMIFS(EVENTOS!$D:$D, EVENTOS!$B:$B, D1300, EVENTOS!$E:$E, "*GirBajo*")</f>
        <v>0</v>
      </c>
      <c r="AB1300" s="3">
        <f>IFERROR(INDEX(EVENTOS!$D:$D,MATCH(SCORE!AB$2&amp;" "&amp;SCORE!$D1300,EVENTOS!$F:$F,0)),0)</f>
        <v>0</v>
      </c>
      <c r="AC1300" s="3">
        <f>IFERROR(INDEX(EVENTOS!$D:$D,MATCH(SCORE!AC$2&amp;" "&amp;SCORE!$D1300,EVENTOS!$F:$F,0)),0)</f>
        <v>0</v>
      </c>
      <c r="AD1300" s="3">
        <f>IFERROR(INDEX(EVENTOS!$D:$D,MATCH(SCORE!AD$2&amp;" "&amp;SCORE!$D1300,EVENTOS!$F:$F,0)),0)</f>
        <v>0</v>
      </c>
      <c r="AE1300" s="3">
        <f t="shared" si="60"/>
        <v>0</v>
      </c>
      <c r="AF1300" s="10" t="e">
        <f t="shared" si="61"/>
        <v>#N/A</v>
      </c>
      <c r="AG1300" s="3" t="str">
        <f t="shared" si="62"/>
        <v/>
      </c>
    </row>
    <row r="1303" spans="1:33" x14ac:dyDescent="0.25">
      <c r="E1303">
        <v>70</v>
      </c>
    </row>
    <row r="1304" spans="1:33" x14ac:dyDescent="0.25">
      <c r="E1304">
        <v>86</v>
      </c>
    </row>
    <row r="1305" spans="1:33" x14ac:dyDescent="0.25">
      <c r="E1305">
        <v>88</v>
      </c>
    </row>
    <row r="1306" spans="1:33" x14ac:dyDescent="0.25">
      <c r="E1306">
        <v>33</v>
      </c>
    </row>
    <row r="1307" spans="1:33" x14ac:dyDescent="0.25">
      <c r="E1307">
        <v>68</v>
      </c>
    </row>
    <row r="1308" spans="1:33" x14ac:dyDescent="0.25">
      <c r="E1308">
        <v>95</v>
      </c>
    </row>
    <row r="1309" spans="1:33" x14ac:dyDescent="0.25">
      <c r="E1309">
        <v>95</v>
      </c>
    </row>
    <row r="1310" spans="1:33" x14ac:dyDescent="0.25">
      <c r="E1310">
        <f>AVERAGE(E1303:E1309)</f>
        <v>76.428571428571431</v>
      </c>
    </row>
  </sheetData>
  <autoFilter ref="S1:AG1300" xr:uid="{2DB10EF4-AD3F-4080-A104-1FD50F063842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12">
    <mergeCell ref="AE1:AE2"/>
    <mergeCell ref="AF1:AF2"/>
    <mergeCell ref="AG1:AG2"/>
    <mergeCell ref="S1:AD1"/>
    <mergeCell ref="A1:A2"/>
    <mergeCell ref="B1:B2"/>
    <mergeCell ref="C1:C2"/>
    <mergeCell ref="D1:D2"/>
    <mergeCell ref="E1:E2"/>
    <mergeCell ref="F1:F2"/>
    <mergeCell ref="G1:G2"/>
    <mergeCell ref="H1:H2"/>
  </mergeCells>
  <conditionalFormatting sqref="AG3:AG1300">
    <cfRule type="cellIs" dxfId="4" priority="1" operator="between">
      <formula>60</formula>
      <formula>5</formula>
    </cfRule>
    <cfRule type="cellIs" dxfId="3" priority="2" operator="between">
      <formula>60</formula>
      <formula>5</formula>
    </cfRule>
    <cfRule type="cellIs" dxfId="2" priority="3" operator="between">
      <formula>75</formula>
      <formula>61</formula>
    </cfRule>
    <cfRule type="cellIs" dxfId="1" priority="4" operator="between">
      <formula>89</formula>
      <formula>76</formula>
    </cfRule>
    <cfRule type="cellIs" dxfId="0" priority="5" operator="between">
      <formula>95</formula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VIAJES</vt:lpstr>
      <vt:lpstr>EVENTOS</vt:lpstr>
      <vt:lpstr>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Ivan Fragoso</dc:creator>
  <cp:keywords/>
  <dc:description/>
  <cp:lastModifiedBy>Aldo Dionicio Velazquez Medina</cp:lastModifiedBy>
  <cp:revision/>
  <dcterms:created xsi:type="dcterms:W3CDTF">2025-01-21T17:45:11Z</dcterms:created>
  <dcterms:modified xsi:type="dcterms:W3CDTF">2026-03-17T21:55:44Z</dcterms:modified>
  <cp:category/>
  <cp:contentStatus/>
</cp:coreProperties>
</file>